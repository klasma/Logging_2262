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46087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46087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46087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46087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46087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46087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46087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46087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46087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46087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46087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46087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Buskskvätta
Hornuggla
Kråka
Rosenfink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46087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46087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46087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46087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46087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46087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46087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46087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Kötticka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46087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46087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46087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46087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46087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46087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46087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46087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46087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46087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46087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46087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46087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46087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46087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46087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46087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46087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46087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46087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46087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46087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46087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46087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46087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46087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46087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46087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46087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46087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46087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46087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46087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46087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20882-2025</t>
        </is>
      </c>
      <c r="B64" s="1" t="n">
        <v>45777.36506944444</v>
      </c>
      <c r="C64" s="1" t="n">
        <v>46087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20882-2025 artfynd.xlsx", "A 20882-2025")</f>
        <v/>
      </c>
      <c r="T64">
        <f>HYPERLINK("https://klasma.github.io/Logging_2262/kartor/A 20882-2025 karta.png", "A 20882-2025")</f>
        <v/>
      </c>
      <c r="V64">
        <f>HYPERLINK("https://klasma.github.io/Logging_2262/klagomål/A 20882-2025 FSC-klagomål.docx", "A 20882-2025")</f>
        <v/>
      </c>
      <c r="W64">
        <f>HYPERLINK("https://klasma.github.io/Logging_2262/klagomålsmail/A 20882-2025 FSC-klagomål mail.docx", "A 20882-2025")</f>
        <v/>
      </c>
      <c r="X64">
        <f>HYPERLINK("https://klasma.github.io/Logging_2262/tillsyn/A 20882-2025 tillsynsbegäran.docx", "A 20882-2025")</f>
        <v/>
      </c>
      <c r="Y64">
        <f>HYPERLINK("https://klasma.github.io/Logging_2262/tillsynsmail/A 20882-2025 tillsynsbegäran mail.docx", "A 20882-2025")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46087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46087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46087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46087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46087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46087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22379-2025</t>
        </is>
      </c>
      <c r="B71" s="1" t="n">
        <v>45786</v>
      </c>
      <c r="C71" s="1" t="n">
        <v>46087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8.300000000000001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Mörk kolflarnlav</t>
        </is>
      </c>
      <c r="S71">
        <f>HYPERLINK("https://klasma.github.io/Logging_2262/artfynd/A 22379-2025 artfynd.xlsx", "A 22379-2025")</f>
        <v/>
      </c>
      <c r="T71">
        <f>HYPERLINK("https://klasma.github.io/Logging_2262/kartor/A 22379-2025 karta.png", "A 22379-2025")</f>
        <v/>
      </c>
      <c r="V71">
        <f>HYPERLINK("https://klasma.github.io/Logging_2262/klagomål/A 22379-2025 FSC-klagomål.docx", "A 22379-2025")</f>
        <v/>
      </c>
      <c r="W71">
        <f>HYPERLINK("https://klasma.github.io/Logging_2262/klagomålsmail/A 22379-2025 FSC-klagomål mail.docx", "A 22379-2025")</f>
        <v/>
      </c>
      <c r="X71">
        <f>HYPERLINK("https://klasma.github.io/Logging_2262/tillsyn/A 22379-2025 tillsynsbegäran.docx", "A 22379-2025")</f>
        <v/>
      </c>
      <c r="Y71">
        <f>HYPERLINK("https://klasma.github.io/Logging_2262/tillsynsmail/A 22379-2025 tillsynsbegäran mail.docx", "A 22379-2025")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46087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46087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46087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46087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46087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53287-2024</t>
        </is>
      </c>
      <c r="B77" s="1" t="n">
        <v>45614.38584490741</v>
      </c>
      <c r="C77" s="1" t="n">
        <v>46087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Korallblylav
Slanklav</t>
        </is>
      </c>
      <c r="S77">
        <f>HYPERLINK("https://klasma.github.io/Logging_2262/artfynd/A 53287-2024 artfynd.xlsx", "A 53287-2024")</f>
        <v/>
      </c>
      <c r="T77">
        <f>HYPERLINK("https://klasma.github.io/Logging_2262/kartor/A 53287-2024 karta.png", "A 53287-2024")</f>
        <v/>
      </c>
      <c r="V77">
        <f>HYPERLINK("https://klasma.github.io/Logging_2262/klagomål/A 53287-2024 FSC-klagomål.docx", "A 53287-2024")</f>
        <v/>
      </c>
      <c r="W77">
        <f>HYPERLINK("https://klasma.github.io/Logging_2262/klagomålsmail/A 53287-2024 FSC-klagomål mail.docx", "A 53287-2024")</f>
        <v/>
      </c>
      <c r="X77">
        <f>HYPERLINK("https://klasma.github.io/Logging_2262/tillsyn/A 53287-2024 tillsynsbegäran.docx", "A 53287-2024")</f>
        <v/>
      </c>
      <c r="Y77">
        <f>HYPERLINK("https://klasma.github.io/Logging_2262/tillsynsmail/A 53287-2024 tillsynsbegäran mail.docx", "A 53287-2024")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46087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46087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43413-2023</t>
        </is>
      </c>
      <c r="B80" s="1" t="n">
        <v>45183</v>
      </c>
      <c r="C80" s="1" t="n">
        <v>46087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Harticka</t>
        </is>
      </c>
      <c r="S80">
        <f>HYPERLINK("https://klasma.github.io/Logging_2262/artfynd/A 43413-2023 artfynd.xlsx", "A 43413-2023")</f>
        <v/>
      </c>
      <c r="T80">
        <f>HYPERLINK("https://klasma.github.io/Logging_2262/kartor/A 43413-2023 karta.png", "A 43413-2023")</f>
        <v/>
      </c>
      <c r="V80">
        <f>HYPERLINK("https://klasma.github.io/Logging_2262/klagomål/A 43413-2023 FSC-klagomål.docx", "A 43413-2023")</f>
        <v/>
      </c>
      <c r="W80">
        <f>HYPERLINK("https://klasma.github.io/Logging_2262/klagomålsmail/A 43413-2023 FSC-klagomål mail.docx", "A 43413-2023")</f>
        <v/>
      </c>
      <c r="X80">
        <f>HYPERLINK("https://klasma.github.io/Logging_2262/tillsyn/A 43413-2023 tillsynsbegäran.docx", "A 43413-2023")</f>
        <v/>
      </c>
      <c r="Y80">
        <f>HYPERLINK("https://klasma.github.io/Logging_2262/tillsynsmail/A 43413-2023 tillsynsbegäran mail.docx", "A 43413-2023")</f>
        <v/>
      </c>
    </row>
    <row r="81" ht="15" customHeight="1">
      <c r="A81" t="inlineStr">
        <is>
          <t>A 30187-2025</t>
        </is>
      </c>
      <c r="B81" s="1" t="n">
        <v>45827.3472800926</v>
      </c>
      <c r="C81" s="1" t="n">
        <v>46087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Rosenticka
Ullticka</t>
        </is>
      </c>
      <c r="S81">
        <f>HYPERLINK("https://klasma.github.io/Logging_2262/artfynd/A 30187-2025 artfynd.xlsx", "A 30187-2025")</f>
        <v/>
      </c>
      <c r="T81">
        <f>HYPERLINK("https://klasma.github.io/Logging_2262/kartor/A 30187-2025 karta.png", "A 30187-2025")</f>
        <v/>
      </c>
      <c r="V81">
        <f>HYPERLINK("https://klasma.github.io/Logging_2262/klagomål/A 30187-2025 FSC-klagomål.docx", "A 30187-2025")</f>
        <v/>
      </c>
      <c r="W81">
        <f>HYPERLINK("https://klasma.github.io/Logging_2262/klagomålsmail/A 30187-2025 FSC-klagomål mail.docx", "A 30187-2025")</f>
        <v/>
      </c>
      <c r="X81">
        <f>HYPERLINK("https://klasma.github.io/Logging_2262/tillsyn/A 30187-2025 tillsynsbegäran.docx", "A 30187-2025")</f>
        <v/>
      </c>
      <c r="Y81">
        <f>HYPERLINK("https://klasma.github.io/Logging_2262/tillsynsmail/A 30187-2025 tillsynsbegäran mail.docx", "A 30187-2025")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46087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49202-2022</t>
        </is>
      </c>
      <c r="B83" s="1" t="n">
        <v>44860</v>
      </c>
      <c r="C83" s="1" t="n">
        <v>46087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Violettgrå tagellav</t>
        </is>
      </c>
      <c r="S83">
        <f>HYPERLINK("https://klasma.github.io/Logging_2262/artfynd/A 49202-2022 artfynd.xlsx", "A 49202-2022")</f>
        <v/>
      </c>
      <c r="T83">
        <f>HYPERLINK("https://klasma.github.io/Logging_2262/kartor/A 49202-2022 karta.png", "A 49202-2022")</f>
        <v/>
      </c>
      <c r="V83">
        <f>HYPERLINK("https://klasma.github.io/Logging_2262/klagomål/A 49202-2022 FSC-klagomål.docx", "A 49202-2022")</f>
        <v/>
      </c>
      <c r="W83">
        <f>HYPERLINK("https://klasma.github.io/Logging_2262/klagomålsmail/A 49202-2022 FSC-klagomål mail.docx", "A 49202-2022")</f>
        <v/>
      </c>
      <c r="X83">
        <f>HYPERLINK("https://klasma.github.io/Logging_2262/tillsyn/A 49202-2022 tillsynsbegäran.docx", "A 49202-2022")</f>
        <v/>
      </c>
      <c r="Y83">
        <f>HYPERLINK("https://klasma.github.io/Logging_2262/tillsynsmail/A 49202-2022 tillsynsbegäran mail.docx", "A 49202-2022")</f>
        <v/>
      </c>
    </row>
    <row r="84" ht="15" customHeight="1">
      <c r="A84" t="inlineStr">
        <is>
          <t>A 36126-2025</t>
        </is>
      </c>
      <c r="B84" s="1" t="n">
        <v>45866</v>
      </c>
      <c r="C84" s="1" t="n">
        <v>46087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Vedflamlav</t>
        </is>
      </c>
      <c r="S84">
        <f>HYPERLINK("https://klasma.github.io/Logging_2262/artfynd/A 36126-2025 artfynd.xlsx", "A 36126-2025")</f>
        <v/>
      </c>
      <c r="T84">
        <f>HYPERLINK("https://klasma.github.io/Logging_2262/kartor/A 36126-2025 karta.png", "A 36126-2025")</f>
        <v/>
      </c>
      <c r="U84">
        <f>HYPERLINK("https://klasma.github.io/Logging_2262/knärot/A 36126-2025 karta knärot.png", "A 36126-2025")</f>
        <v/>
      </c>
      <c r="V84">
        <f>HYPERLINK("https://klasma.github.io/Logging_2262/klagomål/A 36126-2025 FSC-klagomål.docx", "A 36126-2025")</f>
        <v/>
      </c>
      <c r="W84">
        <f>HYPERLINK("https://klasma.github.io/Logging_2262/klagomålsmail/A 36126-2025 FSC-klagomål mail.docx", "A 36126-2025")</f>
        <v/>
      </c>
      <c r="X84">
        <f>HYPERLINK("https://klasma.github.io/Logging_2262/tillsyn/A 36126-2025 tillsynsbegäran.docx", "A 36126-2025")</f>
        <v/>
      </c>
      <c r="Y84">
        <f>HYPERLINK("https://klasma.github.io/Logging_2262/tillsynsmail/A 36126-2025 tillsynsbegäran mail.docx", "A 36126-2025")</f>
        <v/>
      </c>
    </row>
    <row r="85" ht="15" customHeight="1">
      <c r="A85" t="inlineStr">
        <is>
          <t>A 55709-2024</t>
        </is>
      </c>
      <c r="B85" s="1" t="n">
        <v>45622.69840277778</v>
      </c>
      <c r="C85" s="1" t="n">
        <v>46087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Skinnlav</t>
        </is>
      </c>
      <c r="S85">
        <f>HYPERLINK("https://klasma.github.io/Logging_2262/artfynd/A 55709-2024 artfynd.xlsx", "A 55709-2024")</f>
        <v/>
      </c>
      <c r="T85">
        <f>HYPERLINK("https://klasma.github.io/Logging_2262/kartor/A 55709-2024 karta.png", "A 55709-2024")</f>
        <v/>
      </c>
      <c r="V85">
        <f>HYPERLINK("https://klasma.github.io/Logging_2262/klagomål/A 55709-2024 FSC-klagomål.docx", "A 55709-2024")</f>
        <v/>
      </c>
      <c r="W85">
        <f>HYPERLINK("https://klasma.github.io/Logging_2262/klagomålsmail/A 55709-2024 FSC-klagomål mail.docx", "A 55709-2024")</f>
        <v/>
      </c>
      <c r="X85">
        <f>HYPERLINK("https://klasma.github.io/Logging_2262/tillsyn/A 55709-2024 tillsynsbegäran.docx", "A 55709-2024")</f>
        <v/>
      </c>
      <c r="Y85">
        <f>HYPERLINK("https://klasma.github.io/Logging_2262/tillsynsmail/A 55709-2024 tillsynsbegäran mail.docx", "A 55709-2024")</f>
        <v/>
      </c>
    </row>
    <row r="86" ht="15" customHeight="1">
      <c r="A86" t="inlineStr">
        <is>
          <t>A 41784-2024</t>
        </is>
      </c>
      <c r="B86" s="1" t="n">
        <v>45561</v>
      </c>
      <c r="C86" s="1" t="n">
        <v>46087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Koralltaggsvamp</t>
        </is>
      </c>
      <c r="S86">
        <f>HYPERLINK("https://klasma.github.io/Logging_2262/artfynd/A 41784-2024 artfynd.xlsx", "A 41784-2024")</f>
        <v/>
      </c>
      <c r="T86">
        <f>HYPERLINK("https://klasma.github.io/Logging_2262/kartor/A 41784-2024 karta.png", "A 41784-2024")</f>
        <v/>
      </c>
      <c r="U86">
        <f>HYPERLINK("https://klasma.github.io/Logging_2262/knärot/A 41784-2024 karta knärot.png", "A 41784-2024")</f>
        <v/>
      </c>
      <c r="V86">
        <f>HYPERLINK("https://klasma.github.io/Logging_2262/klagomål/A 41784-2024 FSC-klagomål.docx", "A 41784-2024")</f>
        <v/>
      </c>
      <c r="W86">
        <f>HYPERLINK("https://klasma.github.io/Logging_2262/klagomålsmail/A 41784-2024 FSC-klagomål mail.docx", "A 41784-2024")</f>
        <v/>
      </c>
      <c r="X86">
        <f>HYPERLINK("https://klasma.github.io/Logging_2262/tillsyn/A 41784-2024 tillsynsbegäran.docx", "A 41784-2024")</f>
        <v/>
      </c>
      <c r="Y86">
        <f>HYPERLINK("https://klasma.github.io/Logging_2262/tillsynsmail/A 41784-2024 tillsynsbegäran mail.docx", "A 41784-2024")</f>
        <v/>
      </c>
    </row>
    <row r="87" ht="15" customHeight="1">
      <c r="A87" t="inlineStr">
        <is>
          <t>A 39150-2024</t>
        </is>
      </c>
      <c r="B87" s="1" t="n">
        <v>45548</v>
      </c>
      <c r="C87" s="1" t="n">
        <v>46087</v>
      </c>
      <c r="D87" t="inlineStr">
        <is>
          <t>VÄSTERNORRLANDS LÄN</t>
        </is>
      </c>
      <c r="E87" t="inlineStr">
        <is>
          <t>TIMRÅ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Rödvingetrast
Ögonpyrola</t>
        </is>
      </c>
      <c r="S87">
        <f>HYPERLINK("https://klasma.github.io/Logging_2262/artfynd/A 39150-2024 artfynd.xlsx", "A 39150-2024")</f>
        <v/>
      </c>
      <c r="T87">
        <f>HYPERLINK("https://klasma.github.io/Logging_2262/kartor/A 39150-2024 karta.png", "A 39150-2024")</f>
        <v/>
      </c>
      <c r="V87">
        <f>HYPERLINK("https://klasma.github.io/Logging_2262/klagomål/A 39150-2024 FSC-klagomål.docx", "A 39150-2024")</f>
        <v/>
      </c>
      <c r="W87">
        <f>HYPERLINK("https://klasma.github.io/Logging_2262/klagomålsmail/A 39150-2024 FSC-klagomål mail.docx", "A 39150-2024")</f>
        <v/>
      </c>
      <c r="X87">
        <f>HYPERLINK("https://klasma.github.io/Logging_2262/tillsyn/A 39150-2024 tillsynsbegäran.docx", "A 39150-2024")</f>
        <v/>
      </c>
      <c r="Y87">
        <f>HYPERLINK("https://klasma.github.io/Logging_2262/tillsynsmail/A 39150-2024 tillsynsbegäran mail.docx", "A 39150-2024")</f>
        <v/>
      </c>
      <c r="Z87">
        <f>HYPERLINK("https://klasma.github.io/Logging_2262/fåglar/A 39150-2024 prioriterade fågelarter.docx", "A 39150-2024")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46087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46087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22050-2025</t>
        </is>
      </c>
      <c r="B90" s="1" t="n">
        <v>45785.34451388889</v>
      </c>
      <c r="C90" s="1" t="n">
        <v>46087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22050-2025 artfynd.xlsx", "A 22050-2025")</f>
        <v/>
      </c>
      <c r="T90">
        <f>HYPERLINK("https://klasma.github.io/Logging_2262/kartor/A 22050-2025 karta.png", "A 22050-2025")</f>
        <v/>
      </c>
      <c r="V90">
        <f>HYPERLINK("https://klasma.github.io/Logging_2262/klagomål/A 22050-2025 FSC-klagomål.docx", "A 22050-2025")</f>
        <v/>
      </c>
      <c r="W90">
        <f>HYPERLINK("https://klasma.github.io/Logging_2262/klagomålsmail/A 22050-2025 FSC-klagomål mail.docx", "A 22050-2025")</f>
        <v/>
      </c>
      <c r="X90">
        <f>HYPERLINK("https://klasma.github.io/Logging_2262/tillsyn/A 22050-2025 tillsynsbegäran.docx", "A 22050-2025")</f>
        <v/>
      </c>
      <c r="Y90">
        <f>HYPERLINK("https://klasma.github.io/Logging_2262/tillsynsmail/A 22050-2025 tillsynsbegäran mail.docx", "A 22050-2025")</f>
        <v/>
      </c>
    </row>
    <row r="91" ht="15" customHeight="1">
      <c r="A91" t="inlineStr">
        <is>
          <t>A 22212-2025</t>
        </is>
      </c>
      <c r="B91" s="1" t="n">
        <v>45785.65763888889</v>
      </c>
      <c r="C91" s="1" t="n">
        <v>46087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22212-2025 artfynd.xlsx", "A 22212-2025")</f>
        <v/>
      </c>
      <c r="T91">
        <f>HYPERLINK("https://klasma.github.io/Logging_2262/kartor/A 22212-2025 karta.png", "A 22212-2025")</f>
        <v/>
      </c>
      <c r="V91">
        <f>HYPERLINK("https://klasma.github.io/Logging_2262/klagomål/A 22212-2025 FSC-klagomål.docx", "A 22212-2025")</f>
        <v/>
      </c>
      <c r="W91">
        <f>HYPERLINK("https://klasma.github.io/Logging_2262/klagomålsmail/A 22212-2025 FSC-klagomål mail.docx", "A 22212-2025")</f>
        <v/>
      </c>
      <c r="X91">
        <f>HYPERLINK("https://klasma.github.io/Logging_2262/tillsyn/A 22212-2025 tillsynsbegäran.docx", "A 22212-2025")</f>
        <v/>
      </c>
      <c r="Y91">
        <f>HYPERLINK("https://klasma.github.io/Logging_2262/tillsynsmail/A 22212-2025 tillsynsbegäran mail.docx", "A 22212-2025")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46087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46087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52276-2025</t>
        </is>
      </c>
      <c r="B94" s="1" t="n">
        <v>45953.55266203704</v>
      </c>
      <c r="C94" s="1" t="n">
        <v>46087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52276-2025 artfynd.xlsx", "A 52276-2025")</f>
        <v/>
      </c>
      <c r="T94">
        <f>HYPERLINK("https://klasma.github.io/Logging_2262/kartor/A 52276-2025 karta.png", "A 52276-2025")</f>
        <v/>
      </c>
      <c r="V94">
        <f>HYPERLINK("https://klasma.github.io/Logging_2262/klagomål/A 52276-2025 FSC-klagomål.docx", "A 52276-2025")</f>
        <v/>
      </c>
      <c r="W94">
        <f>HYPERLINK("https://klasma.github.io/Logging_2262/klagomålsmail/A 52276-2025 FSC-klagomål mail.docx", "A 52276-2025")</f>
        <v/>
      </c>
      <c r="X94">
        <f>HYPERLINK("https://klasma.github.io/Logging_2262/tillsyn/A 52276-2025 tillsynsbegäran.docx", "A 52276-2025")</f>
        <v/>
      </c>
      <c r="Y94">
        <f>HYPERLINK("https://klasma.github.io/Logging_2262/tillsynsmail/A 52276-2025 tillsynsbegäran mail.docx", "A 52276-2025")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46087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46087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46087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46087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23159-2025</t>
        </is>
      </c>
      <c r="B99" s="1" t="n">
        <v>45791.40748842592</v>
      </c>
      <c r="C99" s="1" t="n">
        <v>46087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23159-2025 artfynd.xlsx", "A 23159-2025")</f>
        <v/>
      </c>
      <c r="T99">
        <f>HYPERLINK("https://klasma.github.io/Logging_2262/kartor/A 23159-2025 karta.png", "A 23159-2025")</f>
        <v/>
      </c>
      <c r="V99">
        <f>HYPERLINK("https://klasma.github.io/Logging_2262/klagomål/A 23159-2025 FSC-klagomål.docx", "A 23159-2025")</f>
        <v/>
      </c>
      <c r="W99">
        <f>HYPERLINK("https://klasma.github.io/Logging_2262/klagomålsmail/A 23159-2025 FSC-klagomål mail.docx", "A 23159-2025")</f>
        <v/>
      </c>
      <c r="X99">
        <f>HYPERLINK("https://klasma.github.io/Logging_2262/tillsyn/A 23159-2025 tillsynsbegäran.docx", "A 23159-2025")</f>
        <v/>
      </c>
      <c r="Y99">
        <f>HYPERLINK("https://klasma.github.io/Logging_2262/tillsynsmail/A 23159-2025 tillsynsbegäran mail.docx", "A 23159-2025")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46087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46087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46087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56287-2024</t>
        </is>
      </c>
      <c r="B103" s="1" t="n">
        <v>45624.67935185185</v>
      </c>
      <c r="C103" s="1" t="n">
        <v>46087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56287-2024 artfynd.xlsx", "A 56287-2024")</f>
        <v/>
      </c>
      <c r="T103">
        <f>HYPERLINK("https://klasma.github.io/Logging_2262/kartor/A 56287-2024 karta.png", "A 56287-2024")</f>
        <v/>
      </c>
      <c r="V103">
        <f>HYPERLINK("https://klasma.github.io/Logging_2262/klagomål/A 56287-2024 FSC-klagomål.docx", "A 56287-2024")</f>
        <v/>
      </c>
      <c r="W103">
        <f>HYPERLINK("https://klasma.github.io/Logging_2262/klagomålsmail/A 56287-2024 FSC-klagomål mail.docx", "A 56287-2024")</f>
        <v/>
      </c>
      <c r="X103">
        <f>HYPERLINK("https://klasma.github.io/Logging_2262/tillsyn/A 56287-2024 tillsynsbegäran.docx", "A 56287-2024")</f>
        <v/>
      </c>
      <c r="Y103">
        <f>HYPERLINK("https://klasma.github.io/Logging_2262/tillsynsmail/A 56287-2024 tillsynsbegäran mail.docx", "A 56287-2024")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46087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46087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46087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7388-2026</t>
        </is>
      </c>
      <c r="B107" s="1" t="n">
        <v>46059</v>
      </c>
      <c r="C107" s="1" t="n">
        <v>46087</v>
      </c>
      <c r="D107" t="inlineStr">
        <is>
          <t>VÄSTERNORRLANDS LÄN</t>
        </is>
      </c>
      <c r="E107" t="inlineStr">
        <is>
          <t>TIMRÅ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HYPERLINK("https://klasma.github.io/Logging_2262/artfynd/A 7388-2026 artfynd.xlsx", "A 7388-2026")</f>
        <v/>
      </c>
      <c r="T107">
        <f>HYPERLINK("https://klasma.github.io/Logging_2262/kartor/A 7388-2026 karta.png", "A 7388-2026")</f>
        <v/>
      </c>
      <c r="V107">
        <f>HYPERLINK("https://klasma.github.io/Logging_2262/klagomål/A 7388-2026 FSC-klagomål.docx", "A 7388-2026")</f>
        <v/>
      </c>
      <c r="W107">
        <f>HYPERLINK("https://klasma.github.io/Logging_2262/klagomålsmail/A 7388-2026 FSC-klagomål mail.docx", "A 7388-2026")</f>
        <v/>
      </c>
      <c r="X107">
        <f>HYPERLINK("https://klasma.github.io/Logging_2262/tillsyn/A 7388-2026 tillsynsbegäran.docx", "A 7388-2026")</f>
        <v/>
      </c>
      <c r="Y107">
        <f>HYPERLINK("https://klasma.github.io/Logging_2262/tillsynsmail/A 7388-2026 tillsynsbegäran mail.docx", "A 7388-2026")</f>
        <v/>
      </c>
      <c r="Z107">
        <f>HYPERLINK("https://klasma.github.io/Logging_2262/fåglar/A 7388-2026 prioriterade fågelarter.docx", "A 7388-2026")</f>
        <v/>
      </c>
    </row>
    <row r="108" ht="15" customHeight="1">
      <c r="A108" t="inlineStr">
        <is>
          <t>A 30072-2025</t>
        </is>
      </c>
      <c r="B108" s="1" t="n">
        <v>45826.63604166666</v>
      </c>
      <c r="C108" s="1" t="n">
        <v>46087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30072-2025 artfynd.xlsx", "A 30072-2025")</f>
        <v/>
      </c>
      <c r="T108">
        <f>HYPERLINK("https://klasma.github.io/Logging_2262/kartor/A 30072-2025 karta.png", "A 30072-2025")</f>
        <v/>
      </c>
      <c r="U108">
        <f>HYPERLINK("https://klasma.github.io/Logging_2262/knärot/A 30072-2025 karta knärot.png", "A 30072-2025")</f>
        <v/>
      </c>
      <c r="V108">
        <f>HYPERLINK("https://klasma.github.io/Logging_2262/klagomål/A 30072-2025 FSC-klagomål.docx", "A 30072-2025")</f>
        <v/>
      </c>
      <c r="W108">
        <f>HYPERLINK("https://klasma.github.io/Logging_2262/klagomålsmail/A 30072-2025 FSC-klagomål mail.docx", "A 30072-2025")</f>
        <v/>
      </c>
      <c r="X108">
        <f>HYPERLINK("https://klasma.github.io/Logging_2262/tillsyn/A 30072-2025 tillsynsbegäran.docx", "A 30072-2025")</f>
        <v/>
      </c>
      <c r="Y108">
        <f>HYPERLINK("https://klasma.github.io/Logging_2262/tillsynsmail/A 30072-2025 tillsynsbegäran mail.docx", "A 30072-2025")</f>
        <v/>
      </c>
    </row>
    <row r="109" ht="15" customHeight="1">
      <c r="A109" t="inlineStr">
        <is>
          <t>A 7692-2026</t>
        </is>
      </c>
      <c r="B109" s="1" t="n">
        <v>46059</v>
      </c>
      <c r="C109" s="1" t="n">
        <v>46087</v>
      </c>
      <c r="D109" t="inlineStr">
        <is>
          <t>VÄSTERNORRLANDS LÄN</t>
        </is>
      </c>
      <c r="E109" t="inlineStr">
        <is>
          <t>TIMRÅ</t>
        </is>
      </c>
      <c r="G109" t="n">
        <v>2.4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HYPERLINK("https://klasma.github.io/Logging_2262/artfynd/A 7692-2026 artfynd.xlsx", "A 7692-2026")</f>
        <v/>
      </c>
      <c r="T109">
        <f>HYPERLINK("https://klasma.github.io/Logging_2262/kartor/A 7692-2026 karta.png", "A 7692-2026")</f>
        <v/>
      </c>
      <c r="V109">
        <f>HYPERLINK("https://klasma.github.io/Logging_2262/klagomål/A 7692-2026 FSC-klagomål.docx", "A 7692-2026")</f>
        <v/>
      </c>
      <c r="W109">
        <f>HYPERLINK("https://klasma.github.io/Logging_2262/klagomålsmail/A 7692-2026 FSC-klagomål mail.docx", "A 7692-2026")</f>
        <v/>
      </c>
      <c r="X109">
        <f>HYPERLINK("https://klasma.github.io/Logging_2262/tillsyn/A 7692-2026 tillsynsbegäran.docx", "A 7692-2026")</f>
        <v/>
      </c>
      <c r="Y109">
        <f>HYPERLINK("https://klasma.github.io/Logging_2262/tillsynsmail/A 7692-2026 tillsynsbegäran mail.docx", "A 7692-2026")</f>
        <v/>
      </c>
    </row>
    <row r="110" ht="15" customHeight="1">
      <c r="A110" t="inlineStr">
        <is>
          <t>A 32367-2025</t>
        </is>
      </c>
      <c r="B110" s="1" t="n">
        <v>45837.65688657408</v>
      </c>
      <c r="C110" s="1" t="n">
        <v>46087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32367-2025 artfynd.xlsx", "A 32367-2025")</f>
        <v/>
      </c>
      <c r="T110">
        <f>HYPERLINK("https://klasma.github.io/Logging_2262/kartor/A 32367-2025 karta.png", "A 32367-2025")</f>
        <v/>
      </c>
      <c r="V110">
        <f>HYPERLINK("https://klasma.github.io/Logging_2262/klagomål/A 32367-2025 FSC-klagomål.docx", "A 32367-2025")</f>
        <v/>
      </c>
      <c r="W110">
        <f>HYPERLINK("https://klasma.github.io/Logging_2262/klagomålsmail/A 32367-2025 FSC-klagomål mail.docx", "A 32367-2025")</f>
        <v/>
      </c>
      <c r="X110">
        <f>HYPERLINK("https://klasma.github.io/Logging_2262/tillsyn/A 32367-2025 tillsynsbegäran.docx", "A 32367-2025")</f>
        <v/>
      </c>
      <c r="Y110">
        <f>HYPERLINK("https://klasma.github.io/Logging_2262/tillsynsmail/A 32367-2025 tillsynsbegäran mail.docx", "A 32367-2025")</f>
        <v/>
      </c>
    </row>
    <row r="111" ht="15" customHeight="1">
      <c r="A111" t="inlineStr">
        <is>
          <t>A 32171-2025</t>
        </is>
      </c>
      <c r="B111" s="1" t="n">
        <v>45835.55256944444</v>
      </c>
      <c r="C111" s="1" t="n">
        <v>46087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32171-2025 artfynd.xlsx", "A 32171-2025")</f>
        <v/>
      </c>
      <c r="T111">
        <f>HYPERLINK("https://klasma.github.io/Logging_2262/kartor/A 32171-2025 karta.png", "A 32171-2025")</f>
        <v/>
      </c>
      <c r="V111">
        <f>HYPERLINK("https://klasma.github.io/Logging_2262/klagomål/A 32171-2025 FSC-klagomål.docx", "A 32171-2025")</f>
        <v/>
      </c>
      <c r="W111">
        <f>HYPERLINK("https://klasma.github.io/Logging_2262/klagomålsmail/A 32171-2025 FSC-klagomål mail.docx", "A 32171-2025")</f>
        <v/>
      </c>
      <c r="X111">
        <f>HYPERLINK("https://klasma.github.io/Logging_2262/tillsyn/A 32171-2025 tillsynsbegäran.docx", "A 32171-2025")</f>
        <v/>
      </c>
      <c r="Y111">
        <f>HYPERLINK("https://klasma.github.io/Logging_2262/tillsynsmail/A 32171-2025 tillsynsbegäran mail.docx", "A 32171-2025")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46087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46087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12785-2022</t>
        </is>
      </c>
      <c r="B114" s="1" t="n">
        <v>44641</v>
      </c>
      <c r="C114" s="1" t="n">
        <v>46087</v>
      </c>
      <c r="D114" t="inlineStr">
        <is>
          <t>VÄSTERNORRLANDS LÄN</t>
        </is>
      </c>
      <c r="E114" t="inlineStr">
        <is>
          <t>TIMRÅ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HYPERLINK("https://klasma.github.io/Logging_2262/artfynd/A 12785-2022 artfynd.xlsx", "A 12785-2022")</f>
        <v/>
      </c>
      <c r="T114">
        <f>HYPERLINK("https://klasma.github.io/Logging_2262/kartor/A 12785-2022 karta.png", "A 12785-2022")</f>
        <v/>
      </c>
      <c r="V114">
        <f>HYPERLINK("https://klasma.github.io/Logging_2262/klagomål/A 12785-2022 FSC-klagomål.docx", "A 12785-2022")</f>
        <v/>
      </c>
      <c r="W114">
        <f>HYPERLINK("https://klasma.github.io/Logging_2262/klagomålsmail/A 12785-2022 FSC-klagomål mail.docx", "A 12785-2022")</f>
        <v/>
      </c>
      <c r="X114">
        <f>HYPERLINK("https://klasma.github.io/Logging_2262/tillsyn/A 12785-2022 tillsynsbegäran.docx", "A 12785-2022")</f>
        <v/>
      </c>
      <c r="Y114">
        <f>HYPERLINK("https://klasma.github.io/Logging_2262/tillsynsmail/A 12785-2022 tillsynsbegäran mail.docx", "A 12785-2022")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46087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58464-2023</t>
        </is>
      </c>
      <c r="B116" s="1" t="n">
        <v>45250</v>
      </c>
      <c r="C116" s="1" t="n">
        <v>46087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HYPERLINK("https://klasma.github.io/Logging_2262/artfynd/A 58464-2023 artfynd.xlsx", "A 58464-2023")</f>
        <v/>
      </c>
      <c r="T116">
        <f>HYPERLINK("https://klasma.github.io/Logging_2262/kartor/A 58464-2023 karta.png", "A 58464-2023")</f>
        <v/>
      </c>
      <c r="V116">
        <f>HYPERLINK("https://klasma.github.io/Logging_2262/klagomål/A 58464-2023 FSC-klagomål.docx", "A 58464-2023")</f>
        <v/>
      </c>
      <c r="W116">
        <f>HYPERLINK("https://klasma.github.io/Logging_2262/klagomålsmail/A 58464-2023 FSC-klagomål mail.docx", "A 58464-2023")</f>
        <v/>
      </c>
      <c r="X116">
        <f>HYPERLINK("https://klasma.github.io/Logging_2262/tillsyn/A 58464-2023 tillsynsbegäran.docx", "A 58464-2023")</f>
        <v/>
      </c>
      <c r="Y116">
        <f>HYPERLINK("https://klasma.github.io/Logging_2262/tillsynsmail/A 58464-2023 tillsynsbegäran mail.docx", "A 58464-2023")</f>
        <v/>
      </c>
    </row>
    <row r="117" ht="15" customHeight="1">
      <c r="A117" t="inlineStr">
        <is>
          <t>A 21845-2024</t>
        </is>
      </c>
      <c r="B117" s="1" t="n">
        <v>45442</v>
      </c>
      <c r="C117" s="1" t="n">
        <v>46087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21845-2024 artfynd.xlsx", "A 21845-2024")</f>
        <v/>
      </c>
      <c r="T117">
        <f>HYPERLINK("https://klasma.github.io/Logging_2262/kartor/A 21845-2024 karta.png", "A 21845-2024")</f>
        <v/>
      </c>
      <c r="V117">
        <f>HYPERLINK("https://klasma.github.io/Logging_2262/klagomål/A 21845-2024 FSC-klagomål.docx", "A 21845-2024")</f>
        <v/>
      </c>
      <c r="W117">
        <f>HYPERLINK("https://klasma.github.io/Logging_2262/klagomålsmail/A 21845-2024 FSC-klagomål mail.docx", "A 21845-2024")</f>
        <v/>
      </c>
      <c r="X117">
        <f>HYPERLINK("https://klasma.github.io/Logging_2262/tillsyn/A 21845-2024 tillsynsbegäran.docx", "A 21845-2024")</f>
        <v/>
      </c>
      <c r="Y117">
        <f>HYPERLINK("https://klasma.github.io/Logging_2262/tillsynsmail/A 21845-2024 tillsynsbegäran mail.docx", "A 21845-2024")</f>
        <v/>
      </c>
    </row>
    <row r="118" ht="15" customHeight="1">
      <c r="A118" t="inlineStr">
        <is>
          <t>A 45721-2024</t>
        </is>
      </c>
      <c r="B118" s="1" t="n">
        <v>45579.59434027778</v>
      </c>
      <c r="C118" s="1" t="n">
        <v>46087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HYPERLINK("https://klasma.github.io/Logging_2262/artfynd/A 45721-2024 artfynd.xlsx", "A 45721-2024")</f>
        <v/>
      </c>
      <c r="T118">
        <f>HYPERLINK("https://klasma.github.io/Logging_2262/kartor/A 45721-2024 karta.png", "A 45721-2024")</f>
        <v/>
      </c>
      <c r="V118">
        <f>HYPERLINK("https://klasma.github.io/Logging_2262/klagomål/A 45721-2024 FSC-klagomål.docx", "A 45721-2024")</f>
        <v/>
      </c>
      <c r="W118">
        <f>HYPERLINK("https://klasma.github.io/Logging_2262/klagomålsmail/A 45721-2024 FSC-klagomål mail.docx", "A 45721-2024")</f>
        <v/>
      </c>
      <c r="X118">
        <f>HYPERLINK("https://klasma.github.io/Logging_2262/tillsyn/A 45721-2024 tillsynsbegäran.docx", "A 45721-2024")</f>
        <v/>
      </c>
      <c r="Y118">
        <f>HYPERLINK("https://klasma.github.io/Logging_2262/tillsynsmail/A 45721-2024 tillsynsbegäran mail.docx", "A 45721-2024")</f>
        <v/>
      </c>
    </row>
    <row r="119" ht="15" customHeight="1">
      <c r="A119" t="inlineStr">
        <is>
          <t>A 7904-2024</t>
        </is>
      </c>
      <c r="B119" s="1" t="n">
        <v>45349</v>
      </c>
      <c r="C119" s="1" t="n">
        <v>46087</v>
      </c>
      <c r="D119" t="inlineStr">
        <is>
          <t>VÄSTERNORRLANDS LÄN</t>
        </is>
      </c>
      <c r="E119" t="inlineStr">
        <is>
          <t>TIMRÅ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Bergviol</t>
        </is>
      </c>
      <c r="S119">
        <f>HYPERLINK("https://klasma.github.io/Logging_2262/artfynd/A 7904-2024 artfynd.xlsx", "A 7904-2024")</f>
        <v/>
      </c>
      <c r="T119">
        <f>HYPERLINK("https://klasma.github.io/Logging_2262/kartor/A 7904-2024 karta.png", "A 7904-2024")</f>
        <v/>
      </c>
      <c r="V119">
        <f>HYPERLINK("https://klasma.github.io/Logging_2262/klagomål/A 7904-2024 FSC-klagomål.docx", "A 7904-2024")</f>
        <v/>
      </c>
      <c r="W119">
        <f>HYPERLINK("https://klasma.github.io/Logging_2262/klagomålsmail/A 7904-2024 FSC-klagomål mail.docx", "A 7904-2024")</f>
        <v/>
      </c>
      <c r="X119">
        <f>HYPERLINK("https://klasma.github.io/Logging_2262/tillsyn/A 7904-2024 tillsynsbegäran.docx", "A 7904-2024")</f>
        <v/>
      </c>
      <c r="Y119">
        <f>HYPERLINK("https://klasma.github.io/Logging_2262/tillsynsmail/A 7904-2024 tillsynsbegäran mail.docx", "A 7904-2024")</f>
        <v/>
      </c>
    </row>
    <row r="120" ht="15" customHeight="1">
      <c r="A120" t="inlineStr">
        <is>
          <t>A 57242-2022</t>
        </is>
      </c>
      <c r="B120" s="1" t="n">
        <v>44889</v>
      </c>
      <c r="C120" s="1" t="n">
        <v>46087</v>
      </c>
      <c r="D120" t="inlineStr">
        <is>
          <t>VÄSTERNORRLANDS LÄN</t>
        </is>
      </c>
      <c r="E120" t="inlineStr">
        <is>
          <t>TIMRÅ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HYPERLINK("https://klasma.github.io/Logging_2262/artfynd/A 57242-2022 artfynd.xlsx", "A 57242-2022")</f>
        <v/>
      </c>
      <c r="T120">
        <f>HYPERLINK("https://klasma.github.io/Logging_2262/kartor/A 57242-2022 karta.png", "A 57242-2022")</f>
        <v/>
      </c>
      <c r="V120">
        <f>HYPERLINK("https://klasma.github.io/Logging_2262/klagomål/A 57242-2022 FSC-klagomål.docx", "A 57242-2022")</f>
        <v/>
      </c>
      <c r="W120">
        <f>HYPERLINK("https://klasma.github.io/Logging_2262/klagomålsmail/A 57242-2022 FSC-klagomål mail.docx", "A 57242-2022")</f>
        <v/>
      </c>
      <c r="X120">
        <f>HYPERLINK("https://klasma.github.io/Logging_2262/tillsyn/A 57242-2022 tillsynsbegäran.docx", "A 57242-2022")</f>
        <v/>
      </c>
      <c r="Y120">
        <f>HYPERLINK("https://klasma.github.io/Logging_2262/tillsynsmail/A 57242-2022 tillsynsbegäran mail.docx", "A 57242-2022")</f>
        <v/>
      </c>
    </row>
    <row r="121" ht="15" customHeight="1">
      <c r="A121" t="inlineStr">
        <is>
          <t>A 53295-2024</t>
        </is>
      </c>
      <c r="B121" s="1" t="n">
        <v>45614.38761574074</v>
      </c>
      <c r="C121" s="1" t="n">
        <v>46087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HYPERLINK("https://klasma.github.io/Logging_2262/artfynd/A 53295-2024 artfynd.xlsx", "A 53295-2024")</f>
        <v/>
      </c>
      <c r="T121">
        <f>HYPERLINK("https://klasma.github.io/Logging_2262/kartor/A 53295-2024 karta.png", "A 53295-2024")</f>
        <v/>
      </c>
      <c r="V121">
        <f>HYPERLINK("https://klasma.github.io/Logging_2262/klagomål/A 53295-2024 FSC-klagomål.docx", "A 53295-2024")</f>
        <v/>
      </c>
      <c r="W121">
        <f>HYPERLINK("https://klasma.github.io/Logging_2262/klagomålsmail/A 53295-2024 FSC-klagomål mail.docx", "A 53295-2024")</f>
        <v/>
      </c>
      <c r="X121">
        <f>HYPERLINK("https://klasma.github.io/Logging_2262/tillsyn/A 53295-2024 tillsynsbegäran.docx", "A 53295-2024")</f>
        <v/>
      </c>
      <c r="Y121">
        <f>HYPERLINK("https://klasma.github.io/Logging_2262/tillsynsmail/A 53295-2024 tillsynsbegäran mail.docx", "A 53295-2024")</f>
        <v/>
      </c>
    </row>
    <row r="122" ht="15" customHeight="1">
      <c r="A122" t="inlineStr">
        <is>
          <t>A 56372-2023</t>
        </is>
      </c>
      <c r="B122" s="1" t="n">
        <v>45243</v>
      </c>
      <c r="C122" s="1" t="n">
        <v>46087</v>
      </c>
      <c r="D122" t="inlineStr">
        <is>
          <t>VÄSTERNORRLANDS LÄN</t>
        </is>
      </c>
      <c r="E122" t="inlineStr">
        <is>
          <t>TIMRÅ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56372-2023 artfynd.xlsx", "A 56372-2023")</f>
        <v/>
      </c>
      <c r="T122">
        <f>HYPERLINK("https://klasma.github.io/Logging_2262/kartor/A 56372-2023 karta.png", "A 56372-2023")</f>
        <v/>
      </c>
      <c r="U122">
        <f>HYPERLINK("https://klasma.github.io/Logging_2262/knärot/A 56372-2023 karta knärot.png", "A 56372-2023")</f>
        <v/>
      </c>
      <c r="V122">
        <f>HYPERLINK("https://klasma.github.io/Logging_2262/klagomål/A 56372-2023 FSC-klagomål.docx", "A 56372-2023")</f>
        <v/>
      </c>
      <c r="W122">
        <f>HYPERLINK("https://klasma.github.io/Logging_2262/klagomålsmail/A 56372-2023 FSC-klagomål mail.docx", "A 56372-2023")</f>
        <v/>
      </c>
      <c r="X122">
        <f>HYPERLINK("https://klasma.github.io/Logging_2262/tillsyn/A 56372-2023 tillsynsbegäran.docx", "A 56372-2023")</f>
        <v/>
      </c>
      <c r="Y122">
        <f>HYPERLINK("https://klasma.github.io/Logging_2262/tillsynsmail/A 56372-2023 tillsynsbegäran mail.docx", "A 56372-2023")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46087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46087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46087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46087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46087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46087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46087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46087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46087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46087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46087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46087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46087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46087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46087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46087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46087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46087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46087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46087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46087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46087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46087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46087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46087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46087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46087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46087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46087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46087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46087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46087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46087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46087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46087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46087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46087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46087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46087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46087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46087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46087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46087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46087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46087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46087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46087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46087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46087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46087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46087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46087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46087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46087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46087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46087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46087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46087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46087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46087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46087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39534-2021</t>
        </is>
      </c>
      <c r="B184" s="1" t="n">
        <v>44415.93429398148</v>
      </c>
      <c r="C184" s="1" t="n">
        <v>46087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46087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46087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5722-2024</t>
        </is>
      </c>
      <c r="B187" s="1" t="n">
        <v>45334</v>
      </c>
      <c r="C187" s="1" t="n">
        <v>46087</v>
      </c>
      <c r="D187" t="inlineStr">
        <is>
          <t>VÄSTERNORRLANDS LÄN</t>
        </is>
      </c>
      <c r="E187" t="inlineStr">
        <is>
          <t>TIMRÅ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18778-2023</t>
        </is>
      </c>
      <c r="B188" s="1" t="n">
        <v>45043</v>
      </c>
      <c r="C188" s="1" t="n">
        <v>46087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45338-2025</t>
        </is>
      </c>
      <c r="B189" s="1" t="n">
        <v>45922</v>
      </c>
      <c r="C189" s="1" t="n">
        <v>46087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60681-2024</t>
        </is>
      </c>
      <c r="B190" s="1" t="n">
        <v>45642</v>
      </c>
      <c r="C190" s="1" t="n">
        <v>46087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HYPERLINK("https://klasma.github.io/Logging_2262/knärot/A 60681-2024 karta knärot.png", "A 60681-2024")</f>
        <v/>
      </c>
      <c r="V190">
        <f>HYPERLINK("https://klasma.github.io/Logging_2262/klagomål/A 60681-2024 FSC-klagomål.docx", "A 60681-2024")</f>
        <v/>
      </c>
      <c r="W190">
        <f>HYPERLINK("https://klasma.github.io/Logging_2262/klagomålsmail/A 60681-2024 FSC-klagomål mail.docx", "A 60681-2024")</f>
        <v/>
      </c>
      <c r="X190">
        <f>HYPERLINK("https://klasma.github.io/Logging_2262/tillsyn/A 60681-2024 tillsynsbegäran.docx", "A 60681-2024")</f>
        <v/>
      </c>
      <c r="Y190">
        <f>HYPERLINK("https://klasma.github.io/Logging_2262/tillsynsmail/A 60681-2024 tillsynsbegäran mail.docx", "A 60681-2024")</f>
        <v/>
      </c>
    </row>
    <row r="191" ht="15" customHeight="1">
      <c r="A191" t="inlineStr">
        <is>
          <t>A 47908-2025</t>
        </is>
      </c>
      <c r="B191" s="1" t="n">
        <v>45932.5109837963</v>
      </c>
      <c r="C191" s="1" t="n">
        <v>46087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46087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38623-2025</t>
        </is>
      </c>
      <c r="B193" s="1" t="n">
        <v>45884.55336805555</v>
      </c>
      <c r="C193" s="1" t="n">
        <v>46087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20226-2024</t>
        </is>
      </c>
      <c r="B194" s="1" t="n">
        <v>45434</v>
      </c>
      <c r="C194" s="1" t="n">
        <v>46087</v>
      </c>
      <c r="D194" t="inlineStr">
        <is>
          <t>VÄSTERNORRLANDS LÄN</t>
        </is>
      </c>
      <c r="E194" t="inlineStr">
        <is>
          <t>TIMRÅ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48604-2025</t>
        </is>
      </c>
      <c r="B195" s="1" t="n">
        <v>45936.46949074074</v>
      </c>
      <c r="C195" s="1" t="n">
        <v>46087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38938-2025</t>
        </is>
      </c>
      <c r="B196" s="1" t="n">
        <v>45884</v>
      </c>
      <c r="C196" s="1" t="n">
        <v>46087</v>
      </c>
      <c r="D196" t="inlineStr">
        <is>
          <t>VÄSTERNORRLANDS LÄN</t>
        </is>
      </c>
      <c r="E196" t="inlineStr">
        <is>
          <t>TIMRÅ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58998-2023</t>
        </is>
      </c>
      <c r="B197" s="1" t="n">
        <v>45250</v>
      </c>
      <c r="C197" s="1" t="n">
        <v>46087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38624-2025</t>
        </is>
      </c>
      <c r="B198" s="1" t="n">
        <v>45884.55347222222</v>
      </c>
      <c r="C198" s="1" t="n">
        <v>46087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17974-2025</t>
        </is>
      </c>
      <c r="B199" s="1" t="n">
        <v>45761</v>
      </c>
      <c r="C199" s="1" t="n">
        <v>46087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21483-2025</t>
        </is>
      </c>
      <c r="B200" s="1" t="n">
        <v>45782.59474537037</v>
      </c>
      <c r="C200" s="1" t="n">
        <v>46087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21286-2025</t>
        </is>
      </c>
      <c r="B201" s="1" t="n">
        <v>45779.69825231482</v>
      </c>
      <c r="C201" s="1" t="n">
        <v>46087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4126-2023</t>
        </is>
      </c>
      <c r="B202" s="1" t="n">
        <v>44952</v>
      </c>
      <c r="C202" s="1" t="n">
        <v>46087</v>
      </c>
      <c r="D202" t="inlineStr">
        <is>
          <t>VÄSTERNORRLANDS LÄN</t>
        </is>
      </c>
      <c r="E202" t="inlineStr">
        <is>
          <t>TIMRÅ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49257-2025</t>
        </is>
      </c>
      <c r="B203" s="1" t="n">
        <v>45938.49212962963</v>
      </c>
      <c r="C203" s="1" t="n">
        <v>46087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21596-2025</t>
        </is>
      </c>
      <c r="B204" s="1" t="n">
        <v>45783.34482638889</v>
      </c>
      <c r="C204" s="1" t="n">
        <v>46087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21998-2025</t>
        </is>
      </c>
      <c r="B205" s="1" t="n">
        <v>45784.69828703703</v>
      </c>
      <c r="C205" s="1" t="n">
        <v>46087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38306-2025</t>
        </is>
      </c>
      <c r="B206" s="1" t="n">
        <v>45883.46928240741</v>
      </c>
      <c r="C206" s="1" t="n">
        <v>46087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21764-2025</t>
        </is>
      </c>
      <c r="B207" s="1" t="n">
        <v>45783.63800925926</v>
      </c>
      <c r="C207" s="1" t="n">
        <v>46087</v>
      </c>
      <c r="D207" t="inlineStr">
        <is>
          <t>VÄSTERNORRLANDS LÄN</t>
        </is>
      </c>
      <c r="E207" t="inlineStr">
        <is>
          <t>TIMRÅ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21599-2025</t>
        </is>
      </c>
      <c r="B208" s="1" t="n">
        <v>45783.34505787037</v>
      </c>
      <c r="C208" s="1" t="n">
        <v>46087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21929-2025</t>
        </is>
      </c>
      <c r="B209" s="1" t="n">
        <v>45784.55241898148</v>
      </c>
      <c r="C209" s="1" t="n">
        <v>46087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49751-2025</t>
        </is>
      </c>
      <c r="B210" s="1" t="n">
        <v>45940.34512731482</v>
      </c>
      <c r="C210" s="1" t="n">
        <v>46087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29003-2025</t>
        </is>
      </c>
      <c r="B211" s="1" t="n">
        <v>45821.39233796296</v>
      </c>
      <c r="C211" s="1" t="n">
        <v>46087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39194-2025</t>
        </is>
      </c>
      <c r="B212" s="1" t="n">
        <v>45888.67773148148</v>
      </c>
      <c r="C212" s="1" t="n">
        <v>46087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21760-2025</t>
        </is>
      </c>
      <c r="B213" s="1" t="n">
        <v>45783.63148148148</v>
      </c>
      <c r="C213" s="1" t="n">
        <v>46087</v>
      </c>
      <c r="D213" t="inlineStr">
        <is>
          <t>VÄSTERNORRLANDS LÄN</t>
        </is>
      </c>
      <c r="E213" t="inlineStr">
        <is>
          <t>TIMRÅ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22368-2024</t>
        </is>
      </c>
      <c r="B214" s="1" t="n">
        <v>45446</v>
      </c>
      <c r="C214" s="1" t="n">
        <v>46087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23670-2022</t>
        </is>
      </c>
      <c r="B215" s="1" t="n">
        <v>44721.92605324074</v>
      </c>
      <c r="C215" s="1" t="n">
        <v>46087</v>
      </c>
      <c r="D215" t="inlineStr">
        <is>
          <t>VÄSTERNORRLANDS LÄN</t>
        </is>
      </c>
      <c r="E215" t="inlineStr">
        <is>
          <t>TIMRÅ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22240-2025</t>
        </is>
      </c>
      <c r="B216" s="1" t="n">
        <v>45785.67780092593</v>
      </c>
      <c r="C216" s="1" t="n">
        <v>46087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46087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49575-2025</t>
        </is>
      </c>
      <c r="B218" s="1" t="n">
        <v>45939.49052083334</v>
      </c>
      <c r="C218" s="1" t="n">
        <v>46087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49512-2025</t>
        </is>
      </c>
      <c r="B219" s="1" t="n">
        <v>45939.38305555555</v>
      </c>
      <c r="C219" s="1" t="n">
        <v>46087</v>
      </c>
      <c r="D219" t="inlineStr">
        <is>
          <t>VÄSTERNORRLANDS LÄN</t>
        </is>
      </c>
      <c r="E219" t="inlineStr">
        <is>
          <t>TIMRÅ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49646-2025</t>
        </is>
      </c>
      <c r="B220" s="1" t="n">
        <v>45939.61747685185</v>
      </c>
      <c r="C220" s="1" t="n">
        <v>46087</v>
      </c>
      <c r="D220" t="inlineStr">
        <is>
          <t>VÄSTERNORRLANDS LÄN</t>
        </is>
      </c>
      <c r="E220" t="inlineStr">
        <is>
          <t>TIMRÅ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40519-2021</t>
        </is>
      </c>
      <c r="B221" s="1" t="n">
        <v>44420</v>
      </c>
      <c r="C221" s="1" t="n">
        <v>46087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38716-2025</t>
        </is>
      </c>
      <c r="B222" s="1" t="n">
        <v>45886.51091435185</v>
      </c>
      <c r="C222" s="1" t="n">
        <v>46087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53305-2021</t>
        </is>
      </c>
      <c r="B223" s="1" t="n">
        <v>44467</v>
      </c>
      <c r="C223" s="1" t="n">
        <v>46087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50122-2025</t>
        </is>
      </c>
      <c r="B224" s="1" t="n">
        <v>45943.55063657407</v>
      </c>
      <c r="C224" s="1" t="n">
        <v>46087</v>
      </c>
      <c r="D224" t="inlineStr">
        <is>
          <t>VÄSTERNORRLANDS LÄN</t>
        </is>
      </c>
      <c r="E224" t="inlineStr">
        <is>
          <t>TIMRÅ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20786-2024</t>
        </is>
      </c>
      <c r="B225" s="1" t="n">
        <v>45437</v>
      </c>
      <c r="C225" s="1" t="n">
        <v>46087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44030-2024</t>
        </is>
      </c>
      <c r="B226" s="1" t="n">
        <v>45572</v>
      </c>
      <c r="C226" s="1" t="n">
        <v>46087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22416-2024</t>
        </is>
      </c>
      <c r="B227" s="1" t="n">
        <v>45446</v>
      </c>
      <c r="C227" s="1" t="n">
        <v>46087</v>
      </c>
      <c r="D227" t="inlineStr">
        <is>
          <t>VÄSTERNORRLANDS LÄN</t>
        </is>
      </c>
      <c r="E227" t="inlineStr">
        <is>
          <t>TIMRÅ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51457-2025</t>
        </is>
      </c>
      <c r="B228" s="1" t="n">
        <v>45950.59730324074</v>
      </c>
      <c r="C228" s="1" t="n">
        <v>46087</v>
      </c>
      <c r="D228" t="inlineStr">
        <is>
          <t>VÄSTERNORRLANDS LÄN</t>
        </is>
      </c>
      <c r="E228" t="inlineStr">
        <is>
          <t>TIMRÅ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40192-2025</t>
        </is>
      </c>
      <c r="B229" s="1" t="n">
        <v>45894.65702546296</v>
      </c>
      <c r="C229" s="1" t="n">
        <v>46087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44432-2022</t>
        </is>
      </c>
      <c r="B230" s="1" t="n">
        <v>44839</v>
      </c>
      <c r="C230" s="1" t="n">
        <v>46087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27696-2025</t>
        </is>
      </c>
      <c r="B231" s="1" t="n">
        <v>45813</v>
      </c>
      <c r="C231" s="1" t="n">
        <v>46087</v>
      </c>
      <c r="D231" t="inlineStr">
        <is>
          <t>VÄSTERNORRLANDS LÄN</t>
        </is>
      </c>
      <c r="E231" t="inlineStr">
        <is>
          <t>TIMRÅ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29186-2025</t>
        </is>
      </c>
      <c r="B232" s="1" t="n">
        <v>45821</v>
      </c>
      <c r="C232" s="1" t="n">
        <v>46087</v>
      </c>
      <c r="D232" t="inlineStr">
        <is>
          <t>VÄSTERNORRLANDS LÄN</t>
        </is>
      </c>
      <c r="E232" t="inlineStr">
        <is>
          <t>TIMRÅ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51482-2025</t>
        </is>
      </c>
      <c r="B233" s="1" t="n">
        <v>45950.62047453703</v>
      </c>
      <c r="C233" s="1" t="n">
        <v>46087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51510-2025</t>
        </is>
      </c>
      <c r="B234" s="1" t="n">
        <v>45950.64591435185</v>
      </c>
      <c r="C234" s="1" t="n">
        <v>46087</v>
      </c>
      <c r="D234" t="inlineStr">
        <is>
          <t>VÄSTERNORRLANDS LÄN</t>
        </is>
      </c>
      <c r="E234" t="inlineStr">
        <is>
          <t>TIMRÅ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52114-2025</t>
        </is>
      </c>
      <c r="B235" s="1" t="n">
        <v>45952.69902777778</v>
      </c>
      <c r="C235" s="1" t="n">
        <v>46087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52124-2025</t>
        </is>
      </c>
      <c r="B236" s="1" t="n">
        <v>45952.72013888889</v>
      </c>
      <c r="C236" s="1" t="n">
        <v>46087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51590-2025</t>
        </is>
      </c>
      <c r="B237" s="1" t="n">
        <v>45951.36527777778</v>
      </c>
      <c r="C237" s="1" t="n">
        <v>46087</v>
      </c>
      <c r="D237" t="inlineStr">
        <is>
          <t>VÄSTERNORRLANDS LÄN</t>
        </is>
      </c>
      <c r="E237" t="inlineStr">
        <is>
          <t>TIMRÅ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22389-2025</t>
        </is>
      </c>
      <c r="B238" s="1" t="n">
        <v>45786.51099537037</v>
      </c>
      <c r="C238" s="1" t="n">
        <v>46087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51788-2025</t>
        </is>
      </c>
      <c r="B239" s="1" t="n">
        <v>45951.67846064815</v>
      </c>
      <c r="C239" s="1" t="n">
        <v>46087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46087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51585-2025</t>
        </is>
      </c>
      <c r="B241" s="1" t="n">
        <v>45951.34582175926</v>
      </c>
      <c r="C241" s="1" t="n">
        <v>46087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40484-2025</t>
        </is>
      </c>
      <c r="B242" s="1" t="n">
        <v>45895</v>
      </c>
      <c r="C242" s="1" t="n">
        <v>46087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51584-2025</t>
        </is>
      </c>
      <c r="B243" s="1" t="n">
        <v>45951.34575231482</v>
      </c>
      <c r="C243" s="1" t="n">
        <v>46087</v>
      </c>
      <c r="D243" t="inlineStr">
        <is>
          <t>VÄSTERNORRLANDS LÄN</t>
        </is>
      </c>
      <c r="E243" t="inlineStr">
        <is>
          <t>TIMRÅ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33287-2024</t>
        </is>
      </c>
      <c r="B244" s="1" t="n">
        <v>45518.74296296296</v>
      </c>
      <c r="C244" s="1" t="n">
        <v>46087</v>
      </c>
      <c r="D244" t="inlineStr">
        <is>
          <t>VÄSTERNORRLANDS LÄN</t>
        </is>
      </c>
      <c r="E244" t="inlineStr">
        <is>
          <t>TIMRÅ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69663-2021</t>
        </is>
      </c>
      <c r="B245" s="1" t="n">
        <v>44531</v>
      </c>
      <c r="C245" s="1" t="n">
        <v>46087</v>
      </c>
      <c r="D245" t="inlineStr">
        <is>
          <t>VÄSTERNORRLANDS LÄN</t>
        </is>
      </c>
      <c r="E245" t="inlineStr">
        <is>
          <t>TIMRÅ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52091-2025</t>
        </is>
      </c>
      <c r="B246" s="1" t="n">
        <v>45952.67809027778</v>
      </c>
      <c r="C246" s="1" t="n">
        <v>46087</v>
      </c>
      <c r="D246" t="inlineStr">
        <is>
          <t>VÄSTERNORRLANDS LÄN</t>
        </is>
      </c>
      <c r="E246" t="inlineStr">
        <is>
          <t>TIMRÅ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51779-2025</t>
        </is>
      </c>
      <c r="B247" s="1" t="n">
        <v>45951.65715277778</v>
      </c>
      <c r="C247" s="1" t="n">
        <v>46087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51580-2025</t>
        </is>
      </c>
      <c r="B248" s="1" t="n">
        <v>45951.34542824074</v>
      </c>
      <c r="C248" s="1" t="n">
        <v>46087</v>
      </c>
      <c r="D248" t="inlineStr">
        <is>
          <t>VÄSTERNORRLANDS LÄN</t>
        </is>
      </c>
      <c r="E248" t="inlineStr">
        <is>
          <t>TIMRÅ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51582-2025</t>
        </is>
      </c>
      <c r="B249" s="1" t="n">
        <v>45951.34561342592</v>
      </c>
      <c r="C249" s="1" t="n">
        <v>46087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52090-2025</t>
        </is>
      </c>
      <c r="B250" s="1" t="n">
        <v>45952.67783564814</v>
      </c>
      <c r="C250" s="1" t="n">
        <v>46087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52123-2025</t>
        </is>
      </c>
      <c r="B251" s="1" t="n">
        <v>45952.71978009259</v>
      </c>
      <c r="C251" s="1" t="n">
        <v>46087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55179-2022</t>
        </is>
      </c>
      <c r="B252" s="1" t="n">
        <v>44886</v>
      </c>
      <c r="C252" s="1" t="n">
        <v>46087</v>
      </c>
      <c r="D252" t="inlineStr">
        <is>
          <t>VÄSTERNORRLANDS LÄN</t>
        </is>
      </c>
      <c r="E252" t="inlineStr">
        <is>
          <t>TIMRÅ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51841-2025</t>
        </is>
      </c>
      <c r="B253" s="1" t="n">
        <v>45952.34482638889</v>
      </c>
      <c r="C253" s="1" t="n">
        <v>46087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52356-2025</t>
        </is>
      </c>
      <c r="B254" s="1" t="n">
        <v>45953.80394675926</v>
      </c>
      <c r="C254" s="1" t="n">
        <v>46087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52561-2025</t>
        </is>
      </c>
      <c r="B255" s="1" t="n">
        <v>45954.5725</v>
      </c>
      <c r="C255" s="1" t="n">
        <v>46087</v>
      </c>
      <c r="D255" t="inlineStr">
        <is>
          <t>VÄSTERNORRLANDS LÄN</t>
        </is>
      </c>
      <c r="E255" t="inlineStr">
        <is>
          <t>TIMRÅ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52151-2025</t>
        </is>
      </c>
      <c r="B256" s="1" t="n">
        <v>45953.34508101852</v>
      </c>
      <c r="C256" s="1" t="n">
        <v>46087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52627-2025</t>
        </is>
      </c>
      <c r="B257" s="1" t="n">
        <v>45953</v>
      </c>
      <c r="C257" s="1" t="n">
        <v>46087</v>
      </c>
      <c r="D257" t="inlineStr">
        <is>
          <t>VÄSTERNORRLANDS LÄN</t>
        </is>
      </c>
      <c r="E257" t="inlineStr">
        <is>
          <t>TIMRÅ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41098-2025</t>
        </is>
      </c>
      <c r="B258" s="1" t="n">
        <v>45898.44826388889</v>
      </c>
      <c r="C258" s="1" t="n">
        <v>46087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52275-2025</t>
        </is>
      </c>
      <c r="B259" s="1" t="n">
        <v>45953.55248842593</v>
      </c>
      <c r="C259" s="1" t="n">
        <v>46087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41097-2025</t>
        </is>
      </c>
      <c r="B260" s="1" t="n">
        <v>45898.44824074074</v>
      </c>
      <c r="C260" s="1" t="n">
        <v>46087</v>
      </c>
      <c r="D260" t="inlineStr">
        <is>
          <t>VÄSTERNORRLANDS LÄN</t>
        </is>
      </c>
      <c r="E260" t="inlineStr">
        <is>
          <t>TIMRÅ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52227-2025</t>
        </is>
      </c>
      <c r="B261" s="1" t="n">
        <v>45953.44878472222</v>
      </c>
      <c r="C261" s="1" t="n">
        <v>46087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54993-2024</t>
        </is>
      </c>
      <c r="B262" s="1" t="n">
        <v>45620.95182870371</v>
      </c>
      <c r="C262" s="1" t="n">
        <v>46087</v>
      </c>
      <c r="D262" t="inlineStr">
        <is>
          <t>VÄSTERNORRLANDS LÄN</t>
        </is>
      </c>
      <c r="E262" t="inlineStr">
        <is>
          <t>TIMRÅ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41077-2025</t>
        </is>
      </c>
      <c r="B263" s="1" t="n">
        <v>45898.42746527777</v>
      </c>
      <c r="C263" s="1" t="n">
        <v>46087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41077-2025 karta knärot.png", "A 41077-2025")</f>
        <v/>
      </c>
      <c r="V263">
        <f>HYPERLINK("https://klasma.github.io/Logging_2262/klagomål/A 41077-2025 FSC-klagomål.docx", "A 41077-2025")</f>
        <v/>
      </c>
      <c r="W263">
        <f>HYPERLINK("https://klasma.github.io/Logging_2262/klagomålsmail/A 41077-2025 FSC-klagomål mail.docx", "A 41077-2025")</f>
        <v/>
      </c>
      <c r="X263">
        <f>HYPERLINK("https://klasma.github.io/Logging_2262/tillsyn/A 41077-2025 tillsynsbegäran.docx", "A 41077-2025")</f>
        <v/>
      </c>
      <c r="Y263">
        <f>HYPERLINK("https://klasma.github.io/Logging_2262/tillsynsmail/A 41077-2025 tillsynsbegäran mail.docx", "A 41077-2025")</f>
        <v/>
      </c>
    </row>
    <row r="264" ht="15" customHeight="1">
      <c r="A264" t="inlineStr">
        <is>
          <t>A 40717-2025</t>
        </is>
      </c>
      <c r="B264" s="1" t="n">
        <v>45897.34467592592</v>
      </c>
      <c r="C264" s="1" t="n">
        <v>46087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22820-2025</t>
        </is>
      </c>
      <c r="B265" s="1" t="n">
        <v>45789.71949074074</v>
      </c>
      <c r="C265" s="1" t="n">
        <v>46087</v>
      </c>
      <c r="D265" t="inlineStr">
        <is>
          <t>VÄSTERNORRLANDS LÄN</t>
        </is>
      </c>
      <c r="E265" t="inlineStr">
        <is>
          <t>TIMRÅ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22821-2025</t>
        </is>
      </c>
      <c r="B266" s="1" t="n">
        <v>45789.71967592592</v>
      </c>
      <c r="C266" s="1" t="n">
        <v>46087</v>
      </c>
      <c r="D266" t="inlineStr">
        <is>
          <t>VÄSTERNORRLANDS LÄN</t>
        </is>
      </c>
      <c r="E266" t="inlineStr">
        <is>
          <t>TIMRÅ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26662-2024</t>
        </is>
      </c>
      <c r="B267" s="1" t="n">
        <v>45469</v>
      </c>
      <c r="C267" s="1" t="n">
        <v>46087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52867-2025</t>
        </is>
      </c>
      <c r="B268" s="1" t="n">
        <v>45957.51130787037</v>
      </c>
      <c r="C268" s="1" t="n">
        <v>46087</v>
      </c>
      <c r="D268" t="inlineStr">
        <is>
          <t>VÄSTERNORRLANDS LÄN</t>
        </is>
      </c>
      <c r="E268" t="inlineStr">
        <is>
          <t>TIMRÅ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22668-2025</t>
        </is>
      </c>
      <c r="B269" s="1" t="n">
        <v>45789</v>
      </c>
      <c r="C269" s="1" t="n">
        <v>46087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30907-2024</t>
        </is>
      </c>
      <c r="B270" s="1" t="n">
        <v>45498</v>
      </c>
      <c r="C270" s="1" t="n">
        <v>46087</v>
      </c>
      <c r="D270" t="inlineStr">
        <is>
          <t>VÄSTERNORRLANDS LÄN</t>
        </is>
      </c>
      <c r="E270" t="inlineStr">
        <is>
          <t>TIMRÅ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52213-2022</t>
        </is>
      </c>
      <c r="B271" s="1" t="n">
        <v>44869</v>
      </c>
      <c r="C271" s="1" t="n">
        <v>46087</v>
      </c>
      <c r="D271" t="inlineStr">
        <is>
          <t>VÄSTERNORRLANDS LÄN</t>
        </is>
      </c>
      <c r="E271" t="inlineStr">
        <is>
          <t>TIMRÅ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37165-2021</t>
        </is>
      </c>
      <c r="B272" s="1" t="n">
        <v>44396</v>
      </c>
      <c r="C272" s="1" t="n">
        <v>46087</v>
      </c>
      <c r="D272" t="inlineStr">
        <is>
          <t>VÄSTERNORRLANDS LÄN</t>
        </is>
      </c>
      <c r="E272" t="inlineStr">
        <is>
          <t>TIMRÅ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53508-2025</t>
        </is>
      </c>
      <c r="B273" s="1" t="n">
        <v>45960.34491898148</v>
      </c>
      <c r="C273" s="1" t="n">
        <v>46087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22818-2025</t>
        </is>
      </c>
      <c r="B274" s="1" t="n">
        <v>45789.71915509259</v>
      </c>
      <c r="C274" s="1" t="n">
        <v>46087</v>
      </c>
      <c r="D274" t="inlineStr">
        <is>
          <t>VÄSTERNORRLANDS LÄN</t>
        </is>
      </c>
      <c r="E274" t="inlineStr">
        <is>
          <t>TIMRÅ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42144-2025</t>
        </is>
      </c>
      <c r="B275" s="1" t="n">
        <v>45904.37346064814</v>
      </c>
      <c r="C275" s="1" t="n">
        <v>46087</v>
      </c>
      <c r="D275" t="inlineStr">
        <is>
          <t>VÄSTERNORRLANDS LÄN</t>
        </is>
      </c>
      <c r="E275" t="inlineStr">
        <is>
          <t>TIMRÅ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42065-2025</t>
        </is>
      </c>
      <c r="B276" s="1" t="n">
        <v>45903.65372685185</v>
      </c>
      <c r="C276" s="1" t="n">
        <v>46087</v>
      </c>
      <c r="D276" t="inlineStr">
        <is>
          <t>VÄSTERNORRLANDS LÄN</t>
        </is>
      </c>
      <c r="E276" t="inlineStr">
        <is>
          <t>TIMRÅ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53957-2022</t>
        </is>
      </c>
      <c r="B277" s="1" t="n">
        <v>44880.95756944444</v>
      </c>
      <c r="C277" s="1" t="n">
        <v>46087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42040-2025</t>
        </is>
      </c>
      <c r="B278" s="1" t="n">
        <v>45903.61538194444</v>
      </c>
      <c r="C278" s="1" t="n">
        <v>46087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22855-2025</t>
        </is>
      </c>
      <c r="B279" s="1" t="n">
        <v>45790.34469907408</v>
      </c>
      <c r="C279" s="1" t="n">
        <v>46087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23030-2025</t>
        </is>
      </c>
      <c r="B280" s="1" t="n">
        <v>45790.65737268519</v>
      </c>
      <c r="C280" s="1" t="n">
        <v>46087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42058-2025</t>
        </is>
      </c>
      <c r="B281" s="1" t="n">
        <v>45903.645</v>
      </c>
      <c r="C281" s="1" t="n">
        <v>46087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17002-2023</t>
        </is>
      </c>
      <c r="B282" s="1" t="n">
        <v>45033</v>
      </c>
      <c r="C282" s="1" t="n">
        <v>46087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20936-2024</t>
        </is>
      </c>
      <c r="B283" s="1" t="n">
        <v>45439</v>
      </c>
      <c r="C283" s="1" t="n">
        <v>46087</v>
      </c>
      <c r="D283" t="inlineStr">
        <is>
          <t>VÄSTERNORRLANDS LÄN</t>
        </is>
      </c>
      <c r="E283" t="inlineStr">
        <is>
          <t>TIMRÅ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40483-2025</t>
        </is>
      </c>
      <c r="B284" s="1" t="n">
        <v>45895</v>
      </c>
      <c r="C284" s="1" t="n">
        <v>46087</v>
      </c>
      <c r="D284" t="inlineStr">
        <is>
          <t>VÄSTERNORRLANDS LÄN</t>
        </is>
      </c>
      <c r="E284" t="inlineStr">
        <is>
          <t>TIMRÅ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39302-2025</t>
        </is>
      </c>
      <c r="B285" s="1" t="n">
        <v>45889</v>
      </c>
      <c r="C285" s="1" t="n">
        <v>46087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1467-2024</t>
        </is>
      </c>
      <c r="B286" s="1" t="n">
        <v>45303</v>
      </c>
      <c r="C286" s="1" t="n">
        <v>46087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57403-2022</t>
        </is>
      </c>
      <c r="B287" s="1" t="n">
        <v>44889</v>
      </c>
      <c r="C287" s="1" t="n">
        <v>46087</v>
      </c>
      <c r="D287" t="inlineStr">
        <is>
          <t>VÄSTERNORRLANDS LÄN</t>
        </is>
      </c>
      <c r="E287" t="inlineStr">
        <is>
          <t>TIMRÅ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23346-2025</t>
        </is>
      </c>
      <c r="B288" s="1" t="n">
        <v>45791.65733796296</v>
      </c>
      <c r="C288" s="1" t="n">
        <v>46087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42657-2025</t>
        </is>
      </c>
      <c r="B289" s="1" t="n">
        <v>45907.49268518519</v>
      </c>
      <c r="C289" s="1" t="n">
        <v>46087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61373-2022</t>
        </is>
      </c>
      <c r="B290" s="1" t="n">
        <v>44915</v>
      </c>
      <c r="C290" s="1" t="n">
        <v>46087</v>
      </c>
      <c r="D290" t="inlineStr">
        <is>
          <t>VÄSTERNORRLANDS LÄN</t>
        </is>
      </c>
      <c r="E290" t="inlineStr">
        <is>
          <t>TIMRÅ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52010-2022</t>
        </is>
      </c>
      <c r="B291" s="1" t="n">
        <v>44872</v>
      </c>
      <c r="C291" s="1" t="n">
        <v>46087</v>
      </c>
      <c r="D291" t="inlineStr">
        <is>
          <t>VÄSTERNORRLANDS LÄN</t>
        </is>
      </c>
      <c r="E291" t="inlineStr">
        <is>
          <t>TIMRÅ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57840-2022</t>
        </is>
      </c>
      <c r="B292" s="1" t="n">
        <v>44897</v>
      </c>
      <c r="C292" s="1" t="n">
        <v>46087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54347-2025</t>
        </is>
      </c>
      <c r="B293" s="1" t="n">
        <v>45965.36548611111</v>
      </c>
      <c r="C293" s="1" t="n">
        <v>46087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69274-2021</t>
        </is>
      </c>
      <c r="B294" s="1" t="n">
        <v>44530</v>
      </c>
      <c r="C294" s="1" t="n">
        <v>46087</v>
      </c>
      <c r="D294" t="inlineStr">
        <is>
          <t>VÄSTERNORRLANDS LÄN</t>
        </is>
      </c>
      <c r="E294" t="inlineStr">
        <is>
          <t>TIMRÅ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69278-2021</t>
        </is>
      </c>
      <c r="B295" s="1" t="n">
        <v>44531.44428240741</v>
      </c>
      <c r="C295" s="1" t="n">
        <v>46087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23173-2025</t>
        </is>
      </c>
      <c r="B296" s="1" t="n">
        <v>45791.42796296296</v>
      </c>
      <c r="C296" s="1" t="n">
        <v>46087</v>
      </c>
      <c r="D296" t="inlineStr">
        <is>
          <t>VÄSTERNORRLANDS LÄN</t>
        </is>
      </c>
      <c r="E296" t="inlineStr">
        <is>
          <t>TIMRÅ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HYPERLINK("https://klasma.github.io/Logging_2262/knärot/A 23173-2025 karta knärot.png", "A 23173-2025")</f>
        <v/>
      </c>
      <c r="V296">
        <f>HYPERLINK("https://klasma.github.io/Logging_2262/klagomål/A 23173-2025 FSC-klagomål.docx", "A 23173-2025")</f>
        <v/>
      </c>
      <c r="W296">
        <f>HYPERLINK("https://klasma.github.io/Logging_2262/klagomålsmail/A 23173-2025 FSC-klagomål mail.docx", "A 23173-2025")</f>
        <v/>
      </c>
      <c r="X296">
        <f>HYPERLINK("https://klasma.github.io/Logging_2262/tillsyn/A 23173-2025 tillsynsbegäran.docx", "A 23173-2025")</f>
        <v/>
      </c>
      <c r="Y296">
        <f>HYPERLINK("https://klasma.github.io/Logging_2262/tillsynsmail/A 23173-2025 tillsynsbegäran mail.docx", "A 23173-2025")</f>
        <v/>
      </c>
    </row>
    <row r="297" ht="15" customHeight="1">
      <c r="A297" t="inlineStr">
        <is>
          <t>A 2123-2025</t>
        </is>
      </c>
      <c r="B297" s="1" t="n">
        <v>45672</v>
      </c>
      <c r="C297" s="1" t="n">
        <v>46087</v>
      </c>
      <c r="D297" t="inlineStr">
        <is>
          <t>VÄSTERNORRLANDS LÄN</t>
        </is>
      </c>
      <c r="E297" t="inlineStr">
        <is>
          <t>TIMRÅ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55591-2025</t>
        </is>
      </c>
      <c r="B298" s="1" t="n">
        <v>45971.68888888889</v>
      </c>
      <c r="C298" s="1" t="n">
        <v>46087</v>
      </c>
      <c r="D298" t="inlineStr">
        <is>
          <t>VÄSTERNORRLANDS LÄN</t>
        </is>
      </c>
      <c r="E298" t="inlineStr">
        <is>
          <t>TIMRÅ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23839-2025</t>
        </is>
      </c>
      <c r="B299" s="1" t="n">
        <v>45793.61495370371</v>
      </c>
      <c r="C299" s="1" t="n">
        <v>46087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46087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46087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7152-2022</t>
        </is>
      </c>
      <c r="B302" s="1" t="n">
        <v>44603.92236111111</v>
      </c>
      <c r="C302" s="1" t="n">
        <v>46087</v>
      </c>
      <c r="D302" t="inlineStr">
        <is>
          <t>VÄSTERNORRLANDS LÄN</t>
        </is>
      </c>
      <c r="E302" t="inlineStr">
        <is>
          <t>TIMRÅ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6394-2025</t>
        </is>
      </c>
      <c r="B303" s="1" t="n">
        <v>45699.43229166666</v>
      </c>
      <c r="C303" s="1" t="n">
        <v>46087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44326-2025</t>
        </is>
      </c>
      <c r="B304" s="1" t="n">
        <v>45916.40740740741</v>
      </c>
      <c r="C304" s="1" t="n">
        <v>46087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44033-2025</t>
        </is>
      </c>
      <c r="B305" s="1" t="n">
        <v>45915.49049768518</v>
      </c>
      <c r="C305" s="1" t="n">
        <v>46087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38992-2024</t>
        </is>
      </c>
      <c r="B306" s="1" t="n">
        <v>45548</v>
      </c>
      <c r="C306" s="1" t="n">
        <v>46087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23957-2025</t>
        </is>
      </c>
      <c r="B307" s="1" t="n">
        <v>45796.365</v>
      </c>
      <c r="C307" s="1" t="n">
        <v>46087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56170-2022</t>
        </is>
      </c>
      <c r="B308" s="1" t="n">
        <v>44889</v>
      </c>
      <c r="C308" s="1" t="n">
        <v>46087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16055-2024</t>
        </is>
      </c>
      <c r="B309" s="1" t="n">
        <v>45406</v>
      </c>
      <c r="C309" s="1" t="n">
        <v>46087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46087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56660-2025</t>
        </is>
      </c>
      <c r="B311" s="1" t="n">
        <v>45975.65680555555</v>
      </c>
      <c r="C311" s="1" t="n">
        <v>46087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44795-2025</t>
        </is>
      </c>
      <c r="B312" s="1" t="n">
        <v>45918.34467592592</v>
      </c>
      <c r="C312" s="1" t="n">
        <v>46087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44807-2025</t>
        </is>
      </c>
      <c r="B313" s="1" t="n">
        <v>45918.36494212963</v>
      </c>
      <c r="C313" s="1" t="n">
        <v>46087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56973-2025</t>
        </is>
      </c>
      <c r="B314" s="1" t="n">
        <v>45978.68487268518</v>
      </c>
      <c r="C314" s="1" t="n">
        <v>46087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50699-2024</t>
        </is>
      </c>
      <c r="B315" s="1" t="n">
        <v>45602</v>
      </c>
      <c r="C315" s="1" t="n">
        <v>46087</v>
      </c>
      <c r="D315" t="inlineStr">
        <is>
          <t>VÄSTERNORRLANDS LÄN</t>
        </is>
      </c>
      <c r="E315" t="inlineStr">
        <is>
          <t>TIMRÅ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60074-2023</t>
        </is>
      </c>
      <c r="B316" s="1" t="n">
        <v>45258</v>
      </c>
      <c r="C316" s="1" t="n">
        <v>46087</v>
      </c>
      <c r="D316" t="inlineStr">
        <is>
          <t>VÄSTERNORRLANDS LÄN</t>
        </is>
      </c>
      <c r="E316" t="inlineStr">
        <is>
          <t>TIMRÅ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35262-2021</t>
        </is>
      </c>
      <c r="B317" s="1" t="n">
        <v>44384</v>
      </c>
      <c r="C317" s="1" t="n">
        <v>46087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45339-2025</t>
        </is>
      </c>
      <c r="B318" s="1" t="n">
        <v>45922.34416666667</v>
      </c>
      <c r="C318" s="1" t="n">
        <v>46087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32105-2024</t>
        </is>
      </c>
      <c r="B319" s="1" t="n">
        <v>45511</v>
      </c>
      <c r="C319" s="1" t="n">
        <v>46087</v>
      </c>
      <c r="D319" t="inlineStr">
        <is>
          <t>VÄSTERNORRLANDS LÄN</t>
        </is>
      </c>
      <c r="E319" t="inlineStr">
        <is>
          <t>TIMRÅ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52705-2022</t>
        </is>
      </c>
      <c r="B320" s="1" t="n">
        <v>44874.92969907408</v>
      </c>
      <c r="C320" s="1" t="n">
        <v>46087</v>
      </c>
      <c r="D320" t="inlineStr">
        <is>
          <t>VÄSTERNORRLANDS LÄN</t>
        </is>
      </c>
      <c r="E320" t="inlineStr">
        <is>
          <t>TIMRÅ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57044-2025</t>
        </is>
      </c>
      <c r="B321" s="1" t="n">
        <v>45979.34629629629</v>
      </c>
      <c r="C321" s="1" t="n">
        <v>46087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40593-2024</t>
        </is>
      </c>
      <c r="B322" s="1" t="n">
        <v>45555</v>
      </c>
      <c r="C322" s="1" t="n">
        <v>46087</v>
      </c>
      <c r="D322" t="inlineStr">
        <is>
          <t>VÄSTERNORRLANDS LÄN</t>
        </is>
      </c>
      <c r="E322" t="inlineStr">
        <is>
          <t>TIMRÅ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57775-2025</t>
        </is>
      </c>
      <c r="B323" s="1" t="n">
        <v>45981.56496527778</v>
      </c>
      <c r="C323" s="1" t="n">
        <v>46087</v>
      </c>
      <c r="D323" t="inlineStr">
        <is>
          <t>VÄSTERNORRLANDS LÄN</t>
        </is>
      </c>
      <c r="E323" t="inlineStr">
        <is>
          <t>TIMRÅ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37861-2024</t>
        </is>
      </c>
      <c r="B324" s="1" t="n">
        <v>45544</v>
      </c>
      <c r="C324" s="1" t="n">
        <v>46087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24529-2025</t>
        </is>
      </c>
      <c r="B325" s="1" t="n">
        <v>45798.42756944444</v>
      </c>
      <c r="C325" s="1" t="n">
        <v>46087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8506-2024</t>
        </is>
      </c>
      <c r="B326" s="1" t="n">
        <v>45351</v>
      </c>
      <c r="C326" s="1" t="n">
        <v>46087</v>
      </c>
      <c r="D326" t="inlineStr">
        <is>
          <t>VÄSTERNORRLANDS LÄN</t>
        </is>
      </c>
      <c r="E326" t="inlineStr">
        <is>
          <t>TIMRÅ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46016-2025</t>
        </is>
      </c>
      <c r="B327" s="1" t="n">
        <v>45924.42755787037</v>
      </c>
      <c r="C327" s="1" t="n">
        <v>46087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57782-2025</t>
        </is>
      </c>
      <c r="B328" s="1" t="n">
        <v>45981.57255787037</v>
      </c>
      <c r="C328" s="1" t="n">
        <v>46087</v>
      </c>
      <c r="D328" t="inlineStr">
        <is>
          <t>VÄSTERNORRLANDS LÄN</t>
        </is>
      </c>
      <c r="E328" t="inlineStr">
        <is>
          <t>TIMRÅ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74020-2021</t>
        </is>
      </c>
      <c r="B329" s="1" t="n">
        <v>44557.43879629629</v>
      </c>
      <c r="C329" s="1" t="n">
        <v>46087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55872-2022</t>
        </is>
      </c>
      <c r="B330" s="1" t="n">
        <v>44888.92847222222</v>
      </c>
      <c r="C330" s="1" t="n">
        <v>46087</v>
      </c>
      <c r="D330" t="inlineStr">
        <is>
          <t>VÄSTERNORRLANDS LÄN</t>
        </is>
      </c>
      <c r="E330" t="inlineStr">
        <is>
          <t>TIMRÅ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14926-2025</t>
        </is>
      </c>
      <c r="B331" s="1" t="n">
        <v>45743.55283564814</v>
      </c>
      <c r="C331" s="1" t="n">
        <v>46087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46019-2025</t>
        </is>
      </c>
      <c r="B332" s="1" t="n">
        <v>45924.42788194444</v>
      </c>
      <c r="C332" s="1" t="n">
        <v>46087</v>
      </c>
      <c r="D332" t="inlineStr">
        <is>
          <t>VÄSTERNORRLANDS LÄN</t>
        </is>
      </c>
      <c r="E332" t="inlineStr">
        <is>
          <t>TIMRÅ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19455-2024</t>
        </is>
      </c>
      <c r="B333" s="1" t="n">
        <v>45429</v>
      </c>
      <c r="C333" s="1" t="n">
        <v>46087</v>
      </c>
      <c r="D333" t="inlineStr">
        <is>
          <t>VÄSTERNORRLANDS LÄN</t>
        </is>
      </c>
      <c r="E333" t="inlineStr">
        <is>
          <t>TIMRÅ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43129-2023</t>
        </is>
      </c>
      <c r="B334" s="1" t="n">
        <v>45182</v>
      </c>
      <c r="C334" s="1" t="n">
        <v>46087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57974-2025</t>
        </is>
      </c>
      <c r="B335" s="1" t="n">
        <v>45982.39275462963</v>
      </c>
      <c r="C335" s="1" t="n">
        <v>46087</v>
      </c>
      <c r="D335" t="inlineStr">
        <is>
          <t>VÄSTERNORRLANDS LÄN</t>
        </is>
      </c>
      <c r="E335" t="inlineStr">
        <is>
          <t>TIMRÅ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1826-2025</t>
        </is>
      </c>
      <c r="B336" s="1" t="n">
        <v>45671.53855324074</v>
      </c>
      <c r="C336" s="1" t="n">
        <v>46087</v>
      </c>
      <c r="D336" t="inlineStr">
        <is>
          <t>VÄSTERNORRLANDS LÄN</t>
        </is>
      </c>
      <c r="E336" t="inlineStr">
        <is>
          <t>TIMRÅ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56286-2024</t>
        </is>
      </c>
      <c r="B337" s="1" t="n">
        <v>45624.67921296296</v>
      </c>
      <c r="C337" s="1" t="n">
        <v>46087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58265-2025</t>
        </is>
      </c>
      <c r="B338" s="1" t="n">
        <v>45985.42018518518</v>
      </c>
      <c r="C338" s="1" t="n">
        <v>46087</v>
      </c>
      <c r="D338" t="inlineStr">
        <is>
          <t>VÄSTERNORRLANDS LÄN</t>
        </is>
      </c>
      <c r="E338" t="inlineStr">
        <is>
          <t>TIMRÅ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58283-2025</t>
        </is>
      </c>
      <c r="B339" s="1" t="n">
        <v>45985.44314814815</v>
      </c>
      <c r="C339" s="1" t="n">
        <v>46087</v>
      </c>
      <c r="D339" t="inlineStr">
        <is>
          <t>VÄSTERNORRLANDS LÄN</t>
        </is>
      </c>
      <c r="E339" t="inlineStr">
        <is>
          <t>TIMRÅ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16786-2023</t>
        </is>
      </c>
      <c r="B340" s="1" t="n">
        <v>45032</v>
      </c>
      <c r="C340" s="1" t="n">
        <v>46087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58327-2025</t>
        </is>
      </c>
      <c r="B341" s="1" t="n">
        <v>45985.47813657407</v>
      </c>
      <c r="C341" s="1" t="n">
        <v>46087</v>
      </c>
      <c r="D341" t="inlineStr">
        <is>
          <t>VÄSTERNORRLANDS LÄN</t>
        </is>
      </c>
      <c r="E341" t="inlineStr">
        <is>
          <t>TIMRÅ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47475-2025</t>
        </is>
      </c>
      <c r="B342" s="1" t="n">
        <v>45930</v>
      </c>
      <c r="C342" s="1" t="n">
        <v>46087</v>
      </c>
      <c r="D342" t="inlineStr">
        <is>
          <t>VÄSTERNORRLANDS LÄN</t>
        </is>
      </c>
      <c r="E342" t="inlineStr">
        <is>
          <t>TIMRÅ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47272-2025</t>
        </is>
      </c>
      <c r="B343" s="1" t="n">
        <v>45930</v>
      </c>
      <c r="C343" s="1" t="n">
        <v>46087</v>
      </c>
      <c r="D343" t="inlineStr">
        <is>
          <t>VÄSTERNORRLANDS LÄN</t>
        </is>
      </c>
      <c r="E343" t="inlineStr">
        <is>
          <t>TIMRÅ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61821-2024</t>
        </is>
      </c>
      <c r="B344" s="1" t="n">
        <v>45649.61491898148</v>
      </c>
      <c r="C344" s="1" t="n">
        <v>46087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46960-2025</t>
        </is>
      </c>
      <c r="B345" s="1" t="n">
        <v>45929.48690972223</v>
      </c>
      <c r="C345" s="1" t="n">
        <v>46087</v>
      </c>
      <c r="D345" t="inlineStr">
        <is>
          <t>VÄSTERNORRLANDS LÄN</t>
        </is>
      </c>
      <c r="E345" t="inlineStr">
        <is>
          <t>TIMRÅ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47479-2025</t>
        </is>
      </c>
      <c r="B346" s="1" t="n">
        <v>45930</v>
      </c>
      <c r="C346" s="1" t="n">
        <v>46087</v>
      </c>
      <c r="D346" t="inlineStr">
        <is>
          <t>VÄSTERNORRLANDS LÄN</t>
        </is>
      </c>
      <c r="E346" t="inlineStr">
        <is>
          <t>TIMRÅ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46827-2025</t>
        </is>
      </c>
      <c r="B347" s="1" t="n">
        <v>45927.34444444445</v>
      </c>
      <c r="C347" s="1" t="n">
        <v>46087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58908-2025</t>
        </is>
      </c>
      <c r="B348" s="1" t="n">
        <v>45987.5112037037</v>
      </c>
      <c r="C348" s="1" t="n">
        <v>46087</v>
      </c>
      <c r="D348" t="inlineStr">
        <is>
          <t>VÄSTERNORRLANDS LÄN</t>
        </is>
      </c>
      <c r="E348" t="inlineStr">
        <is>
          <t>TIMRÅ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47608-2025</t>
        </is>
      </c>
      <c r="B349" s="1" t="n">
        <v>45930</v>
      </c>
      <c r="C349" s="1" t="n">
        <v>46087</v>
      </c>
      <c r="D349" t="inlineStr">
        <is>
          <t>VÄSTERNORRLANDS LÄN</t>
        </is>
      </c>
      <c r="E349" t="inlineStr">
        <is>
          <t>TIMRÅ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58045-2025</t>
        </is>
      </c>
      <c r="B350" s="1" t="n">
        <v>45982</v>
      </c>
      <c r="C350" s="1" t="n">
        <v>46087</v>
      </c>
      <c r="D350" t="inlineStr">
        <is>
          <t>VÄSTERNORRLANDS LÄN</t>
        </is>
      </c>
      <c r="E350" t="inlineStr">
        <is>
          <t>TIMRÅ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11479-2022</t>
        </is>
      </c>
      <c r="B351" s="1" t="n">
        <v>44630.92299768519</v>
      </c>
      <c r="C351" s="1" t="n">
        <v>46087</v>
      </c>
      <c r="D351" t="inlineStr">
        <is>
          <t>VÄSTERNORRLANDS LÄN</t>
        </is>
      </c>
      <c r="E351" t="inlineStr">
        <is>
          <t>TIMRÅ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53301-2024</t>
        </is>
      </c>
      <c r="B352" s="1" t="n">
        <v>45614.3884837963</v>
      </c>
      <c r="C352" s="1" t="n">
        <v>46087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44001-2025</t>
        </is>
      </c>
      <c r="B353" s="1" t="n">
        <v>45915</v>
      </c>
      <c r="C353" s="1" t="n">
        <v>46087</v>
      </c>
      <c r="D353" t="inlineStr">
        <is>
          <t>VÄSTERNORRLANDS LÄN</t>
        </is>
      </c>
      <c r="E353" t="inlineStr">
        <is>
          <t>TIMRÅ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45673-2024</t>
        </is>
      </c>
      <c r="B354" s="1" t="n">
        <v>45579.51072916666</v>
      </c>
      <c r="C354" s="1" t="n">
        <v>46087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56723-2022</t>
        </is>
      </c>
      <c r="B355" s="1" t="n">
        <v>44893.9297337963</v>
      </c>
      <c r="C355" s="1" t="n">
        <v>46087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44011-2024</t>
        </is>
      </c>
      <c r="B356" s="1" t="n">
        <v>45572.55322916667</v>
      </c>
      <c r="C356" s="1" t="n">
        <v>46087</v>
      </c>
      <c r="D356" t="inlineStr">
        <is>
          <t>VÄSTERNORRLANDS LÄN</t>
        </is>
      </c>
      <c r="E356" t="inlineStr">
        <is>
          <t>TIMRÅ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52228-2025</t>
        </is>
      </c>
      <c r="B357" s="1" t="n">
        <v>45953.4488425926</v>
      </c>
      <c r="C357" s="1" t="n">
        <v>46087</v>
      </c>
      <c r="D357" t="inlineStr">
        <is>
          <t>VÄSTERNORRLANDS LÄN</t>
        </is>
      </c>
      <c r="E357" t="inlineStr">
        <is>
          <t>TIMRÅ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17040-2022</t>
        </is>
      </c>
      <c r="B358" s="1" t="n">
        <v>44676</v>
      </c>
      <c r="C358" s="1" t="n">
        <v>46087</v>
      </c>
      <c r="D358" t="inlineStr">
        <is>
          <t>VÄSTERNORRLANDS LÄN</t>
        </is>
      </c>
      <c r="E358" t="inlineStr">
        <is>
          <t>TIMRÅ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41596-2024</t>
        </is>
      </c>
      <c r="B359" s="1" t="n">
        <v>45560.57388888889</v>
      </c>
      <c r="C359" s="1" t="n">
        <v>46087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45630-2024</t>
        </is>
      </c>
      <c r="B360" s="1" t="n">
        <v>45579.46971064815</v>
      </c>
      <c r="C360" s="1" t="n">
        <v>46087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8632-2023</t>
        </is>
      </c>
      <c r="B361" s="1" t="n">
        <v>44977.934375</v>
      </c>
      <c r="C361" s="1" t="n">
        <v>46087</v>
      </c>
      <c r="D361" t="inlineStr">
        <is>
          <t>VÄSTERNORRLANDS LÄN</t>
        </is>
      </c>
      <c r="E361" t="inlineStr">
        <is>
          <t>TIMRÅ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22486-2024</t>
        </is>
      </c>
      <c r="B362" s="1" t="n">
        <v>45446</v>
      </c>
      <c r="C362" s="1" t="n">
        <v>46087</v>
      </c>
      <c r="D362" t="inlineStr">
        <is>
          <t>VÄSTERNORRLANDS LÄN</t>
        </is>
      </c>
      <c r="E362" t="inlineStr">
        <is>
          <t>TIMRÅ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13343-2024</t>
        </is>
      </c>
      <c r="B363" s="1" t="n">
        <v>45386.94517361111</v>
      </c>
      <c r="C363" s="1" t="n">
        <v>46087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61055-2025</t>
        </is>
      </c>
      <c r="B364" s="1" t="n">
        <v>46000.34418981482</v>
      </c>
      <c r="C364" s="1" t="n">
        <v>46087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19341-2025</t>
        </is>
      </c>
      <c r="B365" s="1" t="n">
        <v>45769.59504629629</v>
      </c>
      <c r="C365" s="1" t="n">
        <v>46087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43568-2024</t>
        </is>
      </c>
      <c r="B366" s="1" t="n">
        <v>45569.40684027778</v>
      </c>
      <c r="C366" s="1" t="n">
        <v>46087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26300-2025</t>
        </is>
      </c>
      <c r="B367" s="1" t="n">
        <v>45805.6364699074</v>
      </c>
      <c r="C367" s="1" t="n">
        <v>46087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61348-2025</t>
        </is>
      </c>
      <c r="B368" s="1" t="n">
        <v>46001.38648148148</v>
      </c>
      <c r="C368" s="1" t="n">
        <v>46087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61350-2025</t>
        </is>
      </c>
      <c r="B369" s="1" t="n">
        <v>46001.38677083333</v>
      </c>
      <c r="C369" s="1" t="n">
        <v>46087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43113-2023</t>
        </is>
      </c>
      <c r="B370" s="1" t="n">
        <v>45182</v>
      </c>
      <c r="C370" s="1" t="n">
        <v>46087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55576-2024</t>
        </is>
      </c>
      <c r="B371" s="1" t="n">
        <v>45622</v>
      </c>
      <c r="C371" s="1" t="n">
        <v>46087</v>
      </c>
      <c r="D371" t="inlineStr">
        <is>
          <t>VÄSTERNORRLANDS LÄN</t>
        </is>
      </c>
      <c r="E371" t="inlineStr">
        <is>
          <t>TIMRÅ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4123-2023</t>
        </is>
      </c>
      <c r="B372" s="1" t="n">
        <v>44952</v>
      </c>
      <c r="C372" s="1" t="n">
        <v>46087</v>
      </c>
      <c r="D372" t="inlineStr">
        <is>
          <t>VÄSTERNORRLANDS LÄN</t>
        </is>
      </c>
      <c r="E372" t="inlineStr">
        <is>
          <t>TIMRÅ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4125-2023</t>
        </is>
      </c>
      <c r="B373" s="1" t="n">
        <v>44952</v>
      </c>
      <c r="C373" s="1" t="n">
        <v>46087</v>
      </c>
      <c r="D373" t="inlineStr">
        <is>
          <t>VÄSTERNORRLANDS LÄN</t>
        </is>
      </c>
      <c r="E373" t="inlineStr">
        <is>
          <t>TIMRÅ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45942-2024</t>
        </is>
      </c>
      <c r="B374" s="1" t="n">
        <v>45580</v>
      </c>
      <c r="C374" s="1" t="n">
        <v>46087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62307-2025</t>
        </is>
      </c>
      <c r="B375" s="1" t="n">
        <v>46006.66931712963</v>
      </c>
      <c r="C375" s="1" t="n">
        <v>46087</v>
      </c>
      <c r="D375" t="inlineStr">
        <is>
          <t>VÄSTERNORRLANDS LÄN</t>
        </is>
      </c>
      <c r="E375" t="inlineStr">
        <is>
          <t>TIMRÅ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62217-2025</t>
        </is>
      </c>
      <c r="B376" s="1" t="n">
        <v>46006.57925925926</v>
      </c>
      <c r="C376" s="1" t="n">
        <v>46087</v>
      </c>
      <c r="D376" t="inlineStr">
        <is>
          <t>VÄSTERNORRLANDS LÄN</t>
        </is>
      </c>
      <c r="E376" t="inlineStr">
        <is>
          <t>TIMRÅ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5153-2026</t>
        </is>
      </c>
      <c r="B377" s="1" t="n">
        <v>46049.61516203704</v>
      </c>
      <c r="C377" s="1" t="n">
        <v>46087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5155-2026</t>
        </is>
      </c>
      <c r="B378" s="1" t="n">
        <v>46049.61542824074</v>
      </c>
      <c r="C378" s="1" t="n">
        <v>46087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62428-2025</t>
        </is>
      </c>
      <c r="B379" s="1" t="n">
        <v>46007.45199074074</v>
      </c>
      <c r="C379" s="1" t="n">
        <v>46087</v>
      </c>
      <c r="D379" t="inlineStr">
        <is>
          <t>VÄSTERNORRLANDS LÄN</t>
        </is>
      </c>
      <c r="E379" t="inlineStr">
        <is>
          <t>TIMRÅ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53288-2024</t>
        </is>
      </c>
      <c r="B380" s="1" t="n">
        <v>45614.38604166666</v>
      </c>
      <c r="C380" s="1" t="n">
        <v>46087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53294-2024</t>
        </is>
      </c>
      <c r="B381" s="1" t="n">
        <v>45614.3875462963</v>
      </c>
      <c r="C381" s="1" t="n">
        <v>46087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43526-2024</t>
        </is>
      </c>
      <c r="B382" s="1" t="n">
        <v>45569.34474537037</v>
      </c>
      <c r="C382" s="1" t="n">
        <v>46087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63610-2025</t>
        </is>
      </c>
      <c r="B383" s="1" t="n">
        <v>46014</v>
      </c>
      <c r="C383" s="1" t="n">
        <v>46087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45586-2024</t>
        </is>
      </c>
      <c r="B384" s="1" t="n">
        <v>45579.40659722222</v>
      </c>
      <c r="C384" s="1" t="n">
        <v>46087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5156-2026</t>
        </is>
      </c>
      <c r="B385" s="1" t="n">
        <v>46049.61560185185</v>
      </c>
      <c r="C385" s="1" t="n">
        <v>46087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5157-2026</t>
        </is>
      </c>
      <c r="B386" s="1" t="n">
        <v>46049.61578703704</v>
      </c>
      <c r="C386" s="1" t="n">
        <v>46087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5839-2026</t>
        </is>
      </c>
      <c r="B387" s="1" t="n">
        <v>46052.34430555555</v>
      </c>
      <c r="C387" s="1" t="n">
        <v>46087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56288-2024</t>
        </is>
      </c>
      <c r="B388" s="1" t="n">
        <v>45624.67949074074</v>
      </c>
      <c r="C388" s="1" t="n">
        <v>46087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58879-2024</t>
        </is>
      </c>
      <c r="B389" s="1" t="n">
        <v>45636.44822916666</v>
      </c>
      <c r="C389" s="1" t="n">
        <v>46087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53289-2024</t>
        </is>
      </c>
      <c r="B390" s="1" t="n">
        <v>45614.38622685185</v>
      </c>
      <c r="C390" s="1" t="n">
        <v>46087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53292-2024</t>
        </is>
      </c>
      <c r="B391" s="1" t="n">
        <v>45614.38694444444</v>
      </c>
      <c r="C391" s="1" t="n">
        <v>46087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56442-2024</t>
        </is>
      </c>
      <c r="B392" s="1" t="n">
        <v>45625</v>
      </c>
      <c r="C392" s="1" t="n">
        <v>46087</v>
      </c>
      <c r="D392" t="inlineStr">
        <is>
          <t>VÄSTERNORRLANDS LÄN</t>
        </is>
      </c>
      <c r="E392" t="inlineStr">
        <is>
          <t>TIMRÅ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27098-2025</t>
        </is>
      </c>
      <c r="B393" s="1" t="n">
        <v>45811.6778125</v>
      </c>
      <c r="C393" s="1" t="n">
        <v>46087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5732-2026</t>
        </is>
      </c>
      <c r="B394" s="1" t="n">
        <v>46051.57375</v>
      </c>
      <c r="C394" s="1" t="n">
        <v>46087</v>
      </c>
      <c r="D394" t="inlineStr">
        <is>
          <t>VÄSTERNORRLANDS LÄN</t>
        </is>
      </c>
      <c r="E394" t="inlineStr">
        <is>
          <t>TIMRÅ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54723-2024</t>
        </is>
      </c>
      <c r="B395" s="1" t="n">
        <v>45618.43747685185</v>
      </c>
      <c r="C395" s="1" t="n">
        <v>46087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5951-2026</t>
        </is>
      </c>
      <c r="B396" s="1" t="n">
        <v>46052.49025462963</v>
      </c>
      <c r="C396" s="1" t="n">
        <v>46087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60111-2024</t>
        </is>
      </c>
      <c r="B397" s="1" t="n">
        <v>45642</v>
      </c>
      <c r="C397" s="1" t="n">
        <v>46087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6427-2026</t>
        </is>
      </c>
      <c r="B398" s="1" t="n">
        <v>46055.71923611111</v>
      </c>
      <c r="C398" s="1" t="n">
        <v>46087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1842-2025</t>
        </is>
      </c>
      <c r="B399" s="1" t="n">
        <v>45671.57582175926</v>
      </c>
      <c r="C399" s="1" t="n">
        <v>46087</v>
      </c>
      <c r="D399" t="inlineStr">
        <is>
          <t>VÄSTERNORRLANDS LÄN</t>
        </is>
      </c>
      <c r="E399" t="inlineStr">
        <is>
          <t>TIMRÅ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63518-2025</t>
        </is>
      </c>
      <c r="B400" s="1" t="n">
        <v>46013.51077546296</v>
      </c>
      <c r="C400" s="1" t="n">
        <v>46087</v>
      </c>
      <c r="D400" t="inlineStr">
        <is>
          <t>VÄSTERNORRLANDS LÄN</t>
        </is>
      </c>
      <c r="E400" t="inlineStr">
        <is>
          <t>TIMRÅ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5792-2026</t>
        </is>
      </c>
      <c r="B401" s="1" t="n">
        <v>46051</v>
      </c>
      <c r="C401" s="1" t="n">
        <v>46087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6130-2026</t>
        </is>
      </c>
      <c r="B402" s="1" t="n">
        <v>46054</v>
      </c>
      <c r="C402" s="1" t="n">
        <v>46087</v>
      </c>
      <c r="D402" t="inlineStr">
        <is>
          <t>VÄSTERNORRLANDS LÄN</t>
        </is>
      </c>
      <c r="E402" t="inlineStr">
        <is>
          <t>TIMRÅ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53703-2021</t>
        </is>
      </c>
      <c r="B403" s="1" t="n">
        <v>44469</v>
      </c>
      <c r="C403" s="1" t="n">
        <v>46087</v>
      </c>
      <c r="D403" t="inlineStr">
        <is>
          <t>VÄSTERNORRLANDS LÄN</t>
        </is>
      </c>
      <c r="E403" t="inlineStr">
        <is>
          <t>TIMRÅ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63477-2025</t>
        </is>
      </c>
      <c r="B404" s="1" t="n">
        <v>46013.44822916666</v>
      </c>
      <c r="C404" s="1" t="n">
        <v>46087</v>
      </c>
      <c r="D404" t="inlineStr">
        <is>
          <t>VÄSTERNORRLANDS LÄN</t>
        </is>
      </c>
      <c r="E404" t="inlineStr">
        <is>
          <t>TIMRÅ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63504-2025</t>
        </is>
      </c>
      <c r="B405" s="1" t="n">
        <v>46013.49018518518</v>
      </c>
      <c r="C405" s="1" t="n">
        <v>46087</v>
      </c>
      <c r="D405" t="inlineStr">
        <is>
          <t>VÄSTERNORRLANDS LÄN</t>
        </is>
      </c>
      <c r="E405" t="inlineStr">
        <is>
          <t>TIMRÅ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63505-2025</t>
        </is>
      </c>
      <c r="B406" s="1" t="n">
        <v>46013.49020833334</v>
      </c>
      <c r="C406" s="1" t="n">
        <v>46087</v>
      </c>
      <c r="D406" t="inlineStr">
        <is>
          <t>VÄSTERNORRLANDS LÄN</t>
        </is>
      </c>
      <c r="E406" t="inlineStr">
        <is>
          <t>TIMRÅ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52909-2024</t>
        </is>
      </c>
      <c r="B407" s="1" t="n">
        <v>45610.69864583333</v>
      </c>
      <c r="C407" s="1" t="n">
        <v>46087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44796-2025</t>
        </is>
      </c>
      <c r="B408" s="1" t="n">
        <v>45918.34475694445</v>
      </c>
      <c r="C408" s="1" t="n">
        <v>46087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63517-2025</t>
        </is>
      </c>
      <c r="B409" s="1" t="n">
        <v>46013</v>
      </c>
      <c r="C409" s="1" t="n">
        <v>46087</v>
      </c>
      <c r="D409" t="inlineStr">
        <is>
          <t>VÄSTERNORRLANDS LÄN</t>
        </is>
      </c>
      <c r="E409" t="inlineStr">
        <is>
          <t>TIMRÅ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6526-2026</t>
        </is>
      </c>
      <c r="B410" s="1" t="n">
        <v>46056</v>
      </c>
      <c r="C410" s="1" t="n">
        <v>46087</v>
      </c>
      <c r="D410" t="inlineStr">
        <is>
          <t>VÄSTERNORRLANDS LÄN</t>
        </is>
      </c>
      <c r="E410" t="inlineStr">
        <is>
          <t>TIMRÅ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6527-2026</t>
        </is>
      </c>
      <c r="B411" s="1" t="n">
        <v>46056</v>
      </c>
      <c r="C411" s="1" t="n">
        <v>46087</v>
      </c>
      <c r="D411" t="inlineStr">
        <is>
          <t>VÄSTERNORRLANDS LÄN</t>
        </is>
      </c>
      <c r="E411" t="inlineStr">
        <is>
          <t>TIMRÅ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6548-2026</t>
        </is>
      </c>
      <c r="B412" s="1" t="n">
        <v>46056</v>
      </c>
      <c r="C412" s="1" t="n">
        <v>46087</v>
      </c>
      <c r="D412" t="inlineStr">
        <is>
          <t>VÄSTERNORRLANDS LÄN</t>
        </is>
      </c>
      <c r="E412" t="inlineStr">
        <is>
          <t>TIMRÅ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6525-2026</t>
        </is>
      </c>
      <c r="B413" s="1" t="n">
        <v>46056</v>
      </c>
      <c r="C413" s="1" t="n">
        <v>46087</v>
      </c>
      <c r="D413" t="inlineStr">
        <is>
          <t>VÄSTERNORRLANDS LÄN</t>
        </is>
      </c>
      <c r="E413" t="inlineStr">
        <is>
          <t>TIMRÅ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6550-2026</t>
        </is>
      </c>
      <c r="B414" s="1" t="n">
        <v>46056</v>
      </c>
      <c r="C414" s="1" t="n">
        <v>46087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67063-2021</t>
        </is>
      </c>
      <c r="B415" s="1" t="n">
        <v>44522.92043981481</v>
      </c>
      <c r="C415" s="1" t="n">
        <v>46087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6976-2026</t>
        </is>
      </c>
      <c r="B416" s="1" t="n">
        <v>46057.59456018519</v>
      </c>
      <c r="C416" s="1" t="n">
        <v>46087</v>
      </c>
      <c r="D416" t="inlineStr">
        <is>
          <t>VÄSTERNORRLANDS LÄN</t>
        </is>
      </c>
      <c r="E416" t="inlineStr">
        <is>
          <t>TIMRÅ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31343-2023</t>
        </is>
      </c>
      <c r="B417" s="1" t="n">
        <v>45104</v>
      </c>
      <c r="C417" s="1" t="n">
        <v>46087</v>
      </c>
      <c r="D417" t="inlineStr">
        <is>
          <t>VÄSTERNORRLANDS LÄN</t>
        </is>
      </c>
      <c r="E417" t="inlineStr">
        <is>
          <t>TIMRÅ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28138-2025</t>
        </is>
      </c>
      <c r="B418" s="1" t="n">
        <v>45818.34482638889</v>
      </c>
      <c r="C418" s="1" t="n">
        <v>46087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6978-2026</t>
        </is>
      </c>
      <c r="B419" s="1" t="n">
        <v>46057.59460648148</v>
      </c>
      <c r="C419" s="1" t="n">
        <v>46087</v>
      </c>
      <c r="D419" t="inlineStr">
        <is>
          <t>VÄSTERNORRLANDS LÄN</t>
        </is>
      </c>
      <c r="E419" t="inlineStr">
        <is>
          <t>TIMRÅ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6977-2026</t>
        </is>
      </c>
      <c r="B420" s="1" t="n">
        <v>46057.59458333333</v>
      </c>
      <c r="C420" s="1" t="n">
        <v>46087</v>
      </c>
      <c r="D420" t="inlineStr">
        <is>
          <t>VÄSTERNORRLANDS LÄN</t>
        </is>
      </c>
      <c r="E420" t="inlineStr">
        <is>
          <t>TIMRÅ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23611-2021</t>
        </is>
      </c>
      <c r="B421" s="1" t="n">
        <v>44334</v>
      </c>
      <c r="C421" s="1" t="n">
        <v>46087</v>
      </c>
      <c r="D421" t="inlineStr">
        <is>
          <t>VÄSTERNORRLANDS LÄN</t>
        </is>
      </c>
      <c r="E421" t="inlineStr">
        <is>
          <t>TIMRÅ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23556-2024</t>
        </is>
      </c>
      <c r="B422" s="1" t="n">
        <v>45453</v>
      </c>
      <c r="C422" s="1" t="n">
        <v>46087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46087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63805-2025</t>
        </is>
      </c>
      <c r="B424" s="1" t="n">
        <v>46019.92979166667</v>
      </c>
      <c r="C424" s="1" t="n">
        <v>46087</v>
      </c>
      <c r="D424" t="inlineStr">
        <is>
          <t>VÄSTERNORRLANDS LÄN</t>
        </is>
      </c>
      <c r="E424" t="inlineStr">
        <is>
          <t>TIMRÅ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59189-2024</t>
        </is>
      </c>
      <c r="B425" s="1" t="n">
        <v>45637</v>
      </c>
      <c r="C425" s="1" t="n">
        <v>46087</v>
      </c>
      <c r="D425" t="inlineStr">
        <is>
          <t>VÄSTERNORRLANDS LÄN</t>
        </is>
      </c>
      <c r="E425" t="inlineStr">
        <is>
          <t>TIMRÅ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5378-2026</t>
        </is>
      </c>
      <c r="B426" s="1" t="n">
        <v>46048</v>
      </c>
      <c r="C426" s="1" t="n">
        <v>46087</v>
      </c>
      <c r="D426" t="inlineStr">
        <is>
          <t>VÄSTERNORRLANDS LÄN</t>
        </is>
      </c>
      <c r="E426" t="inlineStr">
        <is>
          <t>TIMRÅ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23878-2024</t>
        </is>
      </c>
      <c r="B427" s="1" t="n">
        <v>45455</v>
      </c>
      <c r="C427" s="1" t="n">
        <v>46087</v>
      </c>
      <c r="D427" t="inlineStr">
        <is>
          <t>VÄSTERNORRLANDS LÄN</t>
        </is>
      </c>
      <c r="E427" t="inlineStr">
        <is>
          <t>TIMRÅ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55638-2025</t>
        </is>
      </c>
      <c r="B428" s="1" t="n">
        <v>45972.34515046296</v>
      </c>
      <c r="C428" s="1" t="n">
        <v>46087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50181-2025</t>
        </is>
      </c>
      <c r="B429" s="1" t="n">
        <v>45943.61526620371</v>
      </c>
      <c r="C429" s="1" t="n">
        <v>46087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31339-2025</t>
        </is>
      </c>
      <c r="B430" s="1" t="n">
        <v>45833.42782407408</v>
      </c>
      <c r="C430" s="1" t="n">
        <v>46087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58311-2025</t>
        </is>
      </c>
      <c r="B431" s="1" t="n">
        <v>45985.46954861111</v>
      </c>
      <c r="C431" s="1" t="n">
        <v>46087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36869-2025</t>
        </is>
      </c>
      <c r="B432" s="1" t="n">
        <v>45874</v>
      </c>
      <c r="C432" s="1" t="n">
        <v>46087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27243-2021</t>
        </is>
      </c>
      <c r="B433" s="1" t="n">
        <v>44350</v>
      </c>
      <c r="C433" s="1" t="n">
        <v>46087</v>
      </c>
      <c r="D433" t="inlineStr">
        <is>
          <t>VÄSTERNORRLANDS LÄN</t>
        </is>
      </c>
      <c r="E433" t="inlineStr">
        <is>
          <t>TIMRÅ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25782-2025</t>
        </is>
      </c>
      <c r="B434" s="1" t="n">
        <v>45804</v>
      </c>
      <c r="C434" s="1" t="n">
        <v>46087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5369-2026</t>
        </is>
      </c>
      <c r="B435" s="1" t="n">
        <v>46048</v>
      </c>
      <c r="C435" s="1" t="n">
        <v>46087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48849-2025</t>
        </is>
      </c>
      <c r="B436" s="1" t="n">
        <v>45937.42913194445</v>
      </c>
      <c r="C436" s="1" t="n">
        <v>46087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55745-2025</t>
        </is>
      </c>
      <c r="B437" s="1" t="n">
        <v>45972.57354166666</v>
      </c>
      <c r="C437" s="1" t="n">
        <v>46087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63808-2025</t>
        </is>
      </c>
      <c r="B438" s="1" t="n">
        <v>46019.94665509259</v>
      </c>
      <c r="C438" s="1" t="n">
        <v>46087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49058-2025</t>
        </is>
      </c>
      <c r="B439" s="1" t="n">
        <v>45937.64094907408</v>
      </c>
      <c r="C439" s="1" t="n">
        <v>46087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31351-2025</t>
        </is>
      </c>
      <c r="B440" s="1" t="n">
        <v>45833.42950231482</v>
      </c>
      <c r="C440" s="1" t="n">
        <v>46087</v>
      </c>
      <c r="D440" t="inlineStr">
        <is>
          <t>VÄSTERNORRLANDS LÄN</t>
        </is>
      </c>
      <c r="E440" t="inlineStr">
        <is>
          <t>TIMRÅ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58312-2025</t>
        </is>
      </c>
      <c r="B441" s="1" t="n">
        <v>45985.47010416666</v>
      </c>
      <c r="C441" s="1" t="n">
        <v>46087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44296-2025</t>
        </is>
      </c>
      <c r="B442" s="1" t="n">
        <v>45916.36511574074</v>
      </c>
      <c r="C442" s="1" t="n">
        <v>46087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49057-2025</t>
        </is>
      </c>
      <c r="B443" s="1" t="n">
        <v>45937.64086805555</v>
      </c>
      <c r="C443" s="1" t="n">
        <v>46087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55008-2025</t>
        </is>
      </c>
      <c r="B444" s="1" t="n">
        <v>45967.61501157407</v>
      </c>
      <c r="C444" s="1" t="n">
        <v>46087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55639-2025</t>
        </is>
      </c>
      <c r="B445" s="1" t="n">
        <v>45972.34539351852</v>
      </c>
      <c r="C445" s="1" t="n">
        <v>46087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44421-2025</t>
        </is>
      </c>
      <c r="B446" s="1" t="n">
        <v>45916.55245370371</v>
      </c>
      <c r="C446" s="1" t="n">
        <v>46087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58754-2024</t>
        </is>
      </c>
      <c r="B447" s="1" t="n">
        <v>45635.71917824074</v>
      </c>
      <c r="C447" s="1" t="n">
        <v>46087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44281-2025</t>
        </is>
      </c>
      <c r="B448" s="1" t="n">
        <v>45916.34513888889</v>
      </c>
      <c r="C448" s="1" t="n">
        <v>46087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5357-2026</t>
        </is>
      </c>
      <c r="B449" s="1" t="n">
        <v>46048</v>
      </c>
      <c r="C449" s="1" t="n">
        <v>46087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10947-2025</t>
        </is>
      </c>
      <c r="B450" s="1" t="n">
        <v>45723.34417824074</v>
      </c>
      <c r="C450" s="1" t="n">
        <v>46087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20732-2021</t>
        </is>
      </c>
      <c r="B451" s="1" t="n">
        <v>44316</v>
      </c>
      <c r="C451" s="1" t="n">
        <v>46087</v>
      </c>
      <c r="D451" t="inlineStr">
        <is>
          <t>VÄSTERNORRLANDS LÄN</t>
        </is>
      </c>
      <c r="E451" t="inlineStr">
        <is>
          <t>TIMRÅ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28405-2025</t>
        </is>
      </c>
      <c r="B452" s="1" t="n">
        <v>45819.34549768519</v>
      </c>
      <c r="C452" s="1" t="n">
        <v>46087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36987-2021</t>
        </is>
      </c>
      <c r="B453" s="1" t="n">
        <v>44393</v>
      </c>
      <c r="C453" s="1" t="n">
        <v>46087</v>
      </c>
      <c r="D453" t="inlineStr">
        <is>
          <t>VÄSTERNORRLANDS LÄN</t>
        </is>
      </c>
      <c r="E453" t="inlineStr">
        <is>
          <t>TIMRÅ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8630-2026</t>
        </is>
      </c>
      <c r="B454" s="1" t="n">
        <v>46066.33487268518</v>
      </c>
      <c r="C454" s="1" t="n">
        <v>46087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640-2026</t>
        </is>
      </c>
      <c r="B455" s="1" t="n">
        <v>46024</v>
      </c>
      <c r="C455" s="1" t="n">
        <v>46087</v>
      </c>
      <c r="D455" t="inlineStr">
        <is>
          <t>VÄSTERNORRLANDS LÄN</t>
        </is>
      </c>
      <c r="E455" t="inlineStr">
        <is>
          <t>TIMRÅ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8830-2026</t>
        </is>
      </c>
      <c r="B456" s="1" t="n">
        <v>46066.63505787037</v>
      </c>
      <c r="C456" s="1" t="n">
        <v>46087</v>
      </c>
      <c r="D456" t="inlineStr">
        <is>
          <t>VÄSTERNORRLANDS LÄN</t>
        </is>
      </c>
      <c r="E456" t="inlineStr">
        <is>
          <t>TIMRÅ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10-2026</t>
        </is>
      </c>
      <c r="B457" s="1" t="n">
        <v>46023</v>
      </c>
      <c r="C457" s="1" t="n">
        <v>46087</v>
      </c>
      <c r="D457" t="inlineStr">
        <is>
          <t>VÄSTERNORRLANDS LÄN</t>
        </is>
      </c>
      <c r="E457" t="inlineStr">
        <is>
          <t>TIMRÅ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164-2026</t>
        </is>
      </c>
      <c r="B458" s="1" t="n">
        <v>46024</v>
      </c>
      <c r="C458" s="1" t="n">
        <v>46087</v>
      </c>
      <c r="D458" t="inlineStr">
        <is>
          <t>VÄSTERNORRLANDS LÄN</t>
        </is>
      </c>
      <c r="E458" t="inlineStr">
        <is>
          <t>TIMRÅ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159-2026</t>
        </is>
      </c>
      <c r="B459" s="1" t="n">
        <v>46024</v>
      </c>
      <c r="C459" s="1" t="n">
        <v>46087</v>
      </c>
      <c r="D459" t="inlineStr">
        <is>
          <t>VÄSTERNORRLANDS LÄN</t>
        </is>
      </c>
      <c r="E459" t="inlineStr">
        <is>
          <t>TIMRÅ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161-2026</t>
        </is>
      </c>
      <c r="B460" s="1" t="n">
        <v>46024</v>
      </c>
      <c r="C460" s="1" t="n">
        <v>46087</v>
      </c>
      <c r="D460" t="inlineStr">
        <is>
          <t>VÄSTERNORRLANDS LÄN</t>
        </is>
      </c>
      <c r="E460" t="inlineStr">
        <is>
          <t>TIMRÅ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162-2026</t>
        </is>
      </c>
      <c r="B461" s="1" t="n">
        <v>46024</v>
      </c>
      <c r="C461" s="1" t="n">
        <v>46087</v>
      </c>
      <c r="D461" t="inlineStr">
        <is>
          <t>VÄSTERNORRLANDS LÄN</t>
        </is>
      </c>
      <c r="E461" t="inlineStr">
        <is>
          <t>TIMRÅ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8629-2026</t>
        </is>
      </c>
      <c r="B462" s="1" t="n">
        <v>46066.33319444444</v>
      </c>
      <c r="C462" s="1" t="n">
        <v>46087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158-2026</t>
        </is>
      </c>
      <c r="B463" s="1" t="n">
        <v>46024</v>
      </c>
      <c r="C463" s="1" t="n">
        <v>46087</v>
      </c>
      <c r="D463" t="inlineStr">
        <is>
          <t>VÄSTERNORRLANDS LÄN</t>
        </is>
      </c>
      <c r="E463" t="inlineStr">
        <is>
          <t>TIMRÅ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160-2026</t>
        </is>
      </c>
      <c r="B464" s="1" t="n">
        <v>46024</v>
      </c>
      <c r="C464" s="1" t="n">
        <v>46087</v>
      </c>
      <c r="D464" t="inlineStr">
        <is>
          <t>VÄSTERNORRLANDS LÄN</t>
        </is>
      </c>
      <c r="E464" t="inlineStr">
        <is>
          <t>TIMRÅ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635-2026</t>
        </is>
      </c>
      <c r="B465" s="1" t="n">
        <v>46024</v>
      </c>
      <c r="C465" s="1" t="n">
        <v>46087</v>
      </c>
      <c r="D465" t="inlineStr">
        <is>
          <t>VÄSTERNORRLANDS LÄN</t>
        </is>
      </c>
      <c r="E465" t="inlineStr">
        <is>
          <t>TIMRÅ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28674-2025</t>
        </is>
      </c>
      <c r="B466" s="1" t="n">
        <v>45819.67739583334</v>
      </c>
      <c r="C466" s="1" t="n">
        <v>46087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8416-2026</t>
        </is>
      </c>
      <c r="B467" s="1" t="n">
        <v>46065</v>
      </c>
      <c r="C467" s="1" t="n">
        <v>46087</v>
      </c>
      <c r="D467" t="inlineStr">
        <is>
          <t>VÄSTERNORRLANDS LÄN</t>
        </is>
      </c>
      <c r="E467" t="inlineStr">
        <is>
          <t>TIMRÅ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6549-2026</t>
        </is>
      </c>
      <c r="B468" s="1" t="n">
        <v>46056</v>
      </c>
      <c r="C468" s="1" t="n">
        <v>46087</v>
      </c>
      <c r="D468" t="inlineStr">
        <is>
          <t>VÄSTERNORRLANDS LÄN</t>
        </is>
      </c>
      <c r="E468" t="inlineStr">
        <is>
          <t>TIMRÅ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43964-2023</t>
        </is>
      </c>
      <c r="B469" s="1" t="n">
        <v>45187</v>
      </c>
      <c r="C469" s="1" t="n">
        <v>46087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32048-2024</t>
        </is>
      </c>
      <c r="B470" s="1" t="n">
        <v>45510</v>
      </c>
      <c r="C470" s="1" t="n">
        <v>46087</v>
      </c>
      <c r="D470" t="inlineStr">
        <is>
          <t>VÄSTERNORRLANDS LÄN</t>
        </is>
      </c>
      <c r="E470" t="inlineStr">
        <is>
          <t>TIMRÅ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8817-2026</t>
        </is>
      </c>
      <c r="B471" s="1" t="n">
        <v>46066.62140046297</v>
      </c>
      <c r="C471" s="1" t="n">
        <v>46087</v>
      </c>
      <c r="D471" t="inlineStr">
        <is>
          <t>VÄSTERNORRLANDS LÄN</t>
        </is>
      </c>
      <c r="E471" t="inlineStr">
        <is>
          <t>TIMRÅ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8637-2026</t>
        </is>
      </c>
      <c r="B472" s="1" t="n">
        <v>46066.35460648148</v>
      </c>
      <c r="C472" s="1" t="n">
        <v>46087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6625-2026</t>
        </is>
      </c>
      <c r="B473" s="1" t="n">
        <v>46056</v>
      </c>
      <c r="C473" s="1" t="n">
        <v>46087</v>
      </c>
      <c r="D473" t="inlineStr">
        <is>
          <t>VÄSTERNORRLANDS LÄN</t>
        </is>
      </c>
      <c r="E473" t="inlineStr">
        <is>
          <t>TIMRÅ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377-2026</t>
        </is>
      </c>
      <c r="B474" s="1" t="n">
        <v>46027.72607638889</v>
      </c>
      <c r="C474" s="1" t="n">
        <v>46087</v>
      </c>
      <c r="D474" t="inlineStr">
        <is>
          <t>VÄSTERNORRLANDS LÄN</t>
        </is>
      </c>
      <c r="E474" t="inlineStr">
        <is>
          <t>TIMRÅ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46971-2022</t>
        </is>
      </c>
      <c r="B475" s="1" t="n">
        <v>44851.953125</v>
      </c>
      <c r="C475" s="1" t="n">
        <v>46087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378-2026</t>
        </is>
      </c>
      <c r="B476" s="1" t="n">
        <v>46027.72983796296</v>
      </c>
      <c r="C476" s="1" t="n">
        <v>46087</v>
      </c>
      <c r="D476" t="inlineStr">
        <is>
          <t>VÄSTERNORRLANDS LÄN</t>
        </is>
      </c>
      <c r="E476" t="inlineStr">
        <is>
          <t>TIMRÅ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9183-2026</t>
        </is>
      </c>
      <c r="B477" s="1" t="n">
        <v>46070.37175925926</v>
      </c>
      <c r="C477" s="1" t="n">
        <v>46087</v>
      </c>
      <c r="D477" t="inlineStr">
        <is>
          <t>VÄSTERNORRLANDS LÄN</t>
        </is>
      </c>
      <c r="E477" t="inlineStr">
        <is>
          <t>TIMRÅ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8639-2026</t>
        </is>
      </c>
      <c r="B478" s="1" t="n">
        <v>46066</v>
      </c>
      <c r="C478" s="1" t="n">
        <v>46087</v>
      </c>
      <c r="D478" t="inlineStr">
        <is>
          <t>VÄSTERNORRLANDS LÄN</t>
        </is>
      </c>
      <c r="E478" t="inlineStr">
        <is>
          <t>TIMRÅ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29437-2025</t>
        </is>
      </c>
      <c r="B479" s="1" t="n">
        <v>45824.6578125</v>
      </c>
      <c r="C479" s="1" t="n">
        <v>46087</v>
      </c>
      <c r="D479" t="inlineStr">
        <is>
          <t>VÄSTERNORRLANDS LÄN</t>
        </is>
      </c>
      <c r="E479" t="inlineStr">
        <is>
          <t>TIMRÅ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29190-2025</t>
        </is>
      </c>
      <c r="B480" s="1" t="n">
        <v>45822.42746527777</v>
      </c>
      <c r="C480" s="1" t="n">
        <v>46087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29480-2025</t>
        </is>
      </c>
      <c r="B481" s="1" t="n">
        <v>45824.71908564815</v>
      </c>
      <c r="C481" s="1" t="n">
        <v>46087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788-2026</t>
        </is>
      </c>
      <c r="B482" s="1" t="n">
        <v>46029.83921296296</v>
      </c>
      <c r="C482" s="1" t="n">
        <v>46087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773-2026</t>
        </is>
      </c>
      <c r="B483" s="1" t="n">
        <v>46029</v>
      </c>
      <c r="C483" s="1" t="n">
        <v>46087</v>
      </c>
      <c r="D483" t="inlineStr">
        <is>
          <t>VÄSTERNORRLANDS LÄN</t>
        </is>
      </c>
      <c r="E483" t="inlineStr">
        <is>
          <t>TIMRÅ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29191-2025</t>
        </is>
      </c>
      <c r="B484" s="1" t="n">
        <v>45822.42765046296</v>
      </c>
      <c r="C484" s="1" t="n">
        <v>46087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9662-2026</t>
        </is>
      </c>
      <c r="B485" s="1" t="n">
        <v>46072.36609953704</v>
      </c>
      <c r="C485" s="1" t="n">
        <v>46087</v>
      </c>
      <c r="D485" t="inlineStr">
        <is>
          <t>VÄSTERNORRLANDS LÄN</t>
        </is>
      </c>
      <c r="E485" t="inlineStr">
        <is>
          <t>TIMRÅ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786-2026</t>
        </is>
      </c>
      <c r="B486" s="1" t="n">
        <v>46029.82388888889</v>
      </c>
      <c r="C486" s="1" t="n">
        <v>46087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18814-2025</t>
        </is>
      </c>
      <c r="B487" s="1" t="n">
        <v>45764.3653587963</v>
      </c>
      <c r="C487" s="1" t="n">
        <v>46087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699-2026</t>
        </is>
      </c>
      <c r="B488" s="1" t="n">
        <v>46029.61538194444</v>
      </c>
      <c r="C488" s="1" t="n">
        <v>46087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959-2026</t>
        </is>
      </c>
      <c r="B489" s="1" t="n">
        <v>46030.55357638889</v>
      </c>
      <c r="C489" s="1" t="n">
        <v>46087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9663-2026</t>
        </is>
      </c>
      <c r="B490" s="1" t="n">
        <v>46072.36611111111</v>
      </c>
      <c r="C490" s="1" t="n">
        <v>46087</v>
      </c>
      <c r="D490" t="inlineStr">
        <is>
          <t>VÄSTERNORRLANDS LÄN</t>
        </is>
      </c>
      <c r="E490" t="inlineStr">
        <is>
          <t>TIMRÅ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45688-2022</t>
        </is>
      </c>
      <c r="B491" s="1" t="n">
        <v>44845</v>
      </c>
      <c r="C491" s="1" t="n">
        <v>46087</v>
      </c>
      <c r="D491" t="inlineStr">
        <is>
          <t>VÄSTERNORRLANDS LÄN</t>
        </is>
      </c>
      <c r="E491" t="inlineStr">
        <is>
          <t>TIMRÅ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1818-2025</t>
        </is>
      </c>
      <c r="B492" s="1" t="n">
        <v>45671</v>
      </c>
      <c r="C492" s="1" t="n">
        <v>46087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46021-2022</t>
        </is>
      </c>
      <c r="B493" s="1" t="n">
        <v>44846</v>
      </c>
      <c r="C493" s="1" t="n">
        <v>46087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Kyrkan</t>
        </is>
      </c>
      <c r="G493" t="n">
        <v>18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787-2026</t>
        </is>
      </c>
      <c r="B494" s="1" t="n">
        <v>46029.83471064815</v>
      </c>
      <c r="C494" s="1" t="n">
        <v>46087</v>
      </c>
      <c r="D494" t="inlineStr">
        <is>
          <t>VÄSTERNORRLANDS LÄN</t>
        </is>
      </c>
      <c r="E494" t="inlineStr">
        <is>
          <t>TIMRÅ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794-2026</t>
        </is>
      </c>
      <c r="B495" s="1" t="n">
        <v>46029.84521990741</v>
      </c>
      <c r="C495" s="1" t="n">
        <v>46087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9632-2026</t>
        </is>
      </c>
      <c r="B496" s="1" t="n">
        <v>46072</v>
      </c>
      <c r="C496" s="1" t="n">
        <v>46087</v>
      </c>
      <c r="D496" t="inlineStr">
        <is>
          <t>VÄSTERNORRLANDS LÄN</t>
        </is>
      </c>
      <c r="E496" t="inlineStr">
        <is>
          <t>TIMRÅ</t>
        </is>
      </c>
      <c r="G496" t="n">
        <v>19.5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9636-2026</t>
        </is>
      </c>
      <c r="B497" s="1" t="n">
        <v>46072</v>
      </c>
      <c r="C497" s="1" t="n">
        <v>46087</v>
      </c>
      <c r="D497" t="inlineStr">
        <is>
          <t>VÄSTERNORRLANDS LÄN</t>
        </is>
      </c>
      <c r="E497" t="inlineStr">
        <is>
          <t>TIMRÅ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35417-2021</t>
        </is>
      </c>
      <c r="B498" s="1" t="n">
        <v>44385.43622685185</v>
      </c>
      <c r="C498" s="1" t="n">
        <v>46087</v>
      </c>
      <c r="D498" t="inlineStr">
        <is>
          <t>VÄSTERNORRLANDS LÄN</t>
        </is>
      </c>
      <c r="E498" t="inlineStr">
        <is>
          <t>TIMRÅ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68774-2021</t>
        </is>
      </c>
      <c r="B499" s="1" t="n">
        <v>44529.94496527778</v>
      </c>
      <c r="C499" s="1" t="n">
        <v>46087</v>
      </c>
      <c r="D499" t="inlineStr">
        <is>
          <t>VÄSTERNORRLANDS LÄN</t>
        </is>
      </c>
      <c r="E499" t="inlineStr">
        <is>
          <t>TIMRÅ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9634-2026</t>
        </is>
      </c>
      <c r="B500" s="1" t="n">
        <v>46072</v>
      </c>
      <c r="C500" s="1" t="n">
        <v>46087</v>
      </c>
      <c r="D500" t="inlineStr">
        <is>
          <t>VÄSTERNORRLANDS LÄN</t>
        </is>
      </c>
      <c r="E500" t="inlineStr">
        <is>
          <t>TIMRÅ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9638-2026</t>
        </is>
      </c>
      <c r="B501" s="1" t="n">
        <v>46072</v>
      </c>
      <c r="C501" s="1" t="n">
        <v>46087</v>
      </c>
      <c r="D501" t="inlineStr">
        <is>
          <t>VÄSTERNORRLANDS LÄN</t>
        </is>
      </c>
      <c r="E501" t="inlineStr">
        <is>
          <t>TIMRÅ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16935-2025</t>
        </is>
      </c>
      <c r="B502" s="1" t="n">
        <v>45755.40678240741</v>
      </c>
      <c r="C502" s="1" t="n">
        <v>46087</v>
      </c>
      <c r="D502" t="inlineStr">
        <is>
          <t>VÄSTERNORRLANDS LÄN</t>
        </is>
      </c>
      <c r="E502" t="inlineStr">
        <is>
          <t>TIMRÅ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704-2026</t>
        </is>
      </c>
      <c r="B503" s="1" t="n">
        <v>46029</v>
      </c>
      <c r="C503" s="1" t="n">
        <v>46087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Kyrkan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9633-2026</t>
        </is>
      </c>
      <c r="B504" s="1" t="n">
        <v>46072</v>
      </c>
      <c r="C504" s="1" t="n">
        <v>46087</v>
      </c>
      <c r="D504" t="inlineStr">
        <is>
          <t>VÄSTERNORRLANDS LÄN</t>
        </is>
      </c>
      <c r="E504" t="inlineStr">
        <is>
          <t>TIMRÅ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9635-2026</t>
        </is>
      </c>
      <c r="B505" s="1" t="n">
        <v>46072</v>
      </c>
      <c r="C505" s="1" t="n">
        <v>46087</v>
      </c>
      <c r="D505" t="inlineStr">
        <is>
          <t>VÄSTERNORRLANDS LÄN</t>
        </is>
      </c>
      <c r="E505" t="inlineStr">
        <is>
          <t>TIMRÅ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1476-2026</t>
        </is>
      </c>
      <c r="B506" s="1" t="n">
        <v>46033</v>
      </c>
      <c r="C506" s="1" t="n">
        <v>46087</v>
      </c>
      <c r="D506" t="inlineStr">
        <is>
          <t>VÄSTERNORRLANDS LÄN</t>
        </is>
      </c>
      <c r="E506" t="inlineStr">
        <is>
          <t>TIMRÅ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2296-2026</t>
        </is>
      </c>
      <c r="B507" s="1" t="n">
        <v>46034</v>
      </c>
      <c r="C507" s="1" t="n">
        <v>46087</v>
      </c>
      <c r="D507" t="inlineStr">
        <is>
          <t>VÄSTERNORRLANDS LÄN</t>
        </is>
      </c>
      <c r="E507" t="inlineStr">
        <is>
          <t>TIMRÅ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30315-2025</t>
        </is>
      </c>
      <c r="B508" s="1" t="n">
        <v>45827.49060185185</v>
      </c>
      <c r="C508" s="1" t="n">
        <v>46087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47089-2024</t>
        </is>
      </c>
      <c r="B509" s="1" t="n">
        <v>45586.51078703703</v>
      </c>
      <c r="C509" s="1" t="n">
        <v>46087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24304-2023</t>
        </is>
      </c>
      <c r="B510" s="1" t="n">
        <v>45079</v>
      </c>
      <c r="C510" s="1" t="n">
        <v>46087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1768-2026</t>
        </is>
      </c>
      <c r="B511" s="1" t="n">
        <v>46034</v>
      </c>
      <c r="C511" s="1" t="n">
        <v>46087</v>
      </c>
      <c r="D511" t="inlineStr">
        <is>
          <t>VÄSTERNORRLANDS LÄN</t>
        </is>
      </c>
      <c r="E511" t="inlineStr">
        <is>
          <t>TIMRÅ</t>
        </is>
      </c>
      <c r="G511" t="n">
        <v>11.4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2642-2026</t>
        </is>
      </c>
      <c r="B512" s="1" t="n">
        <v>46035</v>
      </c>
      <c r="C512" s="1" t="n">
        <v>46087</v>
      </c>
      <c r="D512" t="inlineStr">
        <is>
          <t>VÄSTERNORRLANDS LÄN</t>
        </is>
      </c>
      <c r="E512" t="inlineStr">
        <is>
          <t>TIMRÅ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56284-2024</t>
        </is>
      </c>
      <c r="B513" s="1" t="n">
        <v>45624.67894675926</v>
      </c>
      <c r="C513" s="1" t="n">
        <v>46087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13861-2025</t>
        </is>
      </c>
      <c r="B514" s="1" t="n">
        <v>45737.5741550926</v>
      </c>
      <c r="C514" s="1" t="n">
        <v>46087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2803-2026</t>
        </is>
      </c>
      <c r="B515" s="1" t="n">
        <v>46036</v>
      </c>
      <c r="C515" s="1" t="n">
        <v>46087</v>
      </c>
      <c r="D515" t="inlineStr">
        <is>
          <t>VÄSTERNORRLANDS LÄN</t>
        </is>
      </c>
      <c r="E515" t="inlineStr">
        <is>
          <t>TIMRÅ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41605-2023</t>
        </is>
      </c>
      <c r="B516" s="1" t="n">
        <v>45175.65100694444</v>
      </c>
      <c r="C516" s="1" t="n">
        <v>46087</v>
      </c>
      <c r="D516" t="inlineStr">
        <is>
          <t>VÄSTERNORRLANDS LÄN</t>
        </is>
      </c>
      <c r="E516" t="inlineStr">
        <is>
          <t>TIMRÅ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2040-2026</t>
        </is>
      </c>
      <c r="B517" s="1" t="n">
        <v>46035</v>
      </c>
      <c r="C517" s="1" t="n">
        <v>46087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2477-2026</t>
        </is>
      </c>
      <c r="B518" s="1" t="n">
        <v>46035</v>
      </c>
      <c r="C518" s="1" t="n">
        <v>46087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30816-2025</t>
        </is>
      </c>
      <c r="B519" s="1" t="n">
        <v>45831.66094907407</v>
      </c>
      <c r="C519" s="1" t="n">
        <v>46087</v>
      </c>
      <c r="D519" t="inlineStr">
        <is>
          <t>VÄSTERNORRLANDS LÄN</t>
        </is>
      </c>
      <c r="E519" t="inlineStr">
        <is>
          <t>TIMRÅ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2340-2026</t>
        </is>
      </c>
      <c r="B520" s="1" t="n">
        <v>46036.61560185185</v>
      </c>
      <c r="C520" s="1" t="n">
        <v>46087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2039-2026</t>
        </is>
      </c>
      <c r="B521" s="1" t="n">
        <v>46035</v>
      </c>
      <c r="C521" s="1" t="n">
        <v>46087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18824-2025</t>
        </is>
      </c>
      <c r="B522" s="1" t="n">
        <v>45764.38584490741</v>
      </c>
      <c r="C522" s="1" t="n">
        <v>46087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2014-2026</t>
        </is>
      </c>
      <c r="B523" s="1" t="n">
        <v>46035</v>
      </c>
      <c r="C523" s="1" t="n">
        <v>46087</v>
      </c>
      <c r="D523" t="inlineStr">
        <is>
          <t>VÄSTERNORRLANDS LÄN</t>
        </is>
      </c>
      <c r="E523" t="inlineStr">
        <is>
          <t>TIMRÅ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9317-2022</t>
        </is>
      </c>
      <c r="B524" s="1" t="n">
        <v>44616</v>
      </c>
      <c r="C524" s="1" t="n">
        <v>46087</v>
      </c>
      <c r="D524" t="inlineStr">
        <is>
          <t>VÄSTERNORRLANDS LÄN</t>
        </is>
      </c>
      <c r="E524" t="inlineStr">
        <is>
          <t>TIMRÅ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13218-2025</t>
        </is>
      </c>
      <c r="B525" s="1" t="n">
        <v>45735.44883101852</v>
      </c>
      <c r="C525" s="1" t="n">
        <v>46087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2596-2026</t>
        </is>
      </c>
      <c r="B526" s="1" t="n">
        <v>46037.56555555556</v>
      </c>
      <c r="C526" s="1" t="n">
        <v>46087</v>
      </c>
      <c r="D526" t="inlineStr">
        <is>
          <t>VÄSTERNORRLANDS LÄN</t>
        </is>
      </c>
      <c r="E526" t="inlineStr">
        <is>
          <t>TIMRÅ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10988-2026</t>
        </is>
      </c>
      <c r="B527" s="1" t="n">
        <v>46079</v>
      </c>
      <c r="C527" s="1" t="n">
        <v>46087</v>
      </c>
      <c r="D527" t="inlineStr">
        <is>
          <t>VÄSTERNORRLANDS LÄN</t>
        </is>
      </c>
      <c r="E527" t="inlineStr">
        <is>
          <t>TIMRÅ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5295-2026</t>
        </is>
      </c>
      <c r="B528" s="1" t="n">
        <v>46050</v>
      </c>
      <c r="C528" s="1" t="n">
        <v>46087</v>
      </c>
      <c r="D528" t="inlineStr">
        <is>
          <t>VÄSTERNORRLANDS LÄN</t>
        </is>
      </c>
      <c r="E528" t="inlineStr">
        <is>
          <t>TIMRÅ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30827-2025</t>
        </is>
      </c>
      <c r="B529" s="1" t="n">
        <v>45831.67759259259</v>
      </c>
      <c r="C529" s="1" t="n">
        <v>46087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5296-2026</t>
        </is>
      </c>
      <c r="B530" s="1" t="n">
        <v>46050</v>
      </c>
      <c r="C530" s="1" t="n">
        <v>46087</v>
      </c>
      <c r="D530" t="inlineStr">
        <is>
          <t>VÄSTERNORRLANDS LÄN</t>
        </is>
      </c>
      <c r="E530" t="inlineStr">
        <is>
          <t>TIMRÅ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16302-2025</t>
        </is>
      </c>
      <c r="B531" s="1" t="n">
        <v>45751.34613425926</v>
      </c>
      <c r="C531" s="1" t="n">
        <v>46087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10141-2026</t>
        </is>
      </c>
      <c r="B532" s="1" t="n">
        <v>46076</v>
      </c>
      <c r="C532" s="1" t="n">
        <v>46087</v>
      </c>
      <c r="D532" t="inlineStr">
        <is>
          <t>VÄSTERNORRLANDS LÄN</t>
        </is>
      </c>
      <c r="E532" t="inlineStr">
        <is>
          <t>TIMRÅ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48397-2024</t>
        </is>
      </c>
      <c r="B533" s="1" t="n">
        <v>45590.61517361111</v>
      </c>
      <c r="C533" s="1" t="n">
        <v>46087</v>
      </c>
      <c r="D533" t="inlineStr">
        <is>
          <t>VÄSTERNORRLANDS LÄN</t>
        </is>
      </c>
      <c r="E533" t="inlineStr">
        <is>
          <t>TIMRÅ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39046-2023</t>
        </is>
      </c>
      <c r="B534" s="1" t="n">
        <v>45163</v>
      </c>
      <c r="C534" s="1" t="n">
        <v>46087</v>
      </c>
      <c r="D534" t="inlineStr">
        <is>
          <t>VÄSTERNORRLANDS LÄN</t>
        </is>
      </c>
      <c r="E534" t="inlineStr">
        <is>
          <t>TIMRÅ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10306-2026</t>
        </is>
      </c>
      <c r="B535" s="1" t="n">
        <v>46076</v>
      </c>
      <c r="C535" s="1" t="n">
        <v>46087</v>
      </c>
      <c r="D535" t="inlineStr">
        <is>
          <t>VÄSTERNORRLANDS LÄN</t>
        </is>
      </c>
      <c r="E535" t="inlineStr">
        <is>
          <t>TIMRÅ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2635-2026</t>
        </is>
      </c>
      <c r="B536" s="1" t="n">
        <v>46037</v>
      </c>
      <c r="C536" s="1" t="n">
        <v>46087</v>
      </c>
      <c r="D536" t="inlineStr">
        <is>
          <t>VÄSTERNORRLANDS LÄN</t>
        </is>
      </c>
      <c r="E536" t="inlineStr">
        <is>
          <t>TIMRÅ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57268-2022</t>
        </is>
      </c>
      <c r="B537" s="1" t="n">
        <v>44895.92809027778</v>
      </c>
      <c r="C537" s="1" t="n">
        <v>46087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60166-2022</t>
        </is>
      </c>
      <c r="B538" s="1" t="n">
        <v>44909</v>
      </c>
      <c r="C538" s="1" t="n">
        <v>46087</v>
      </c>
      <c r="D538" t="inlineStr">
        <is>
          <t>VÄSTERNORRLANDS LÄN</t>
        </is>
      </c>
      <c r="E538" t="inlineStr">
        <is>
          <t>TIMRÅ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10985-2026</t>
        </is>
      </c>
      <c r="B539" s="1" t="n">
        <v>46079</v>
      </c>
      <c r="C539" s="1" t="n">
        <v>46087</v>
      </c>
      <c r="D539" t="inlineStr">
        <is>
          <t>VÄSTERNORRLANDS LÄN</t>
        </is>
      </c>
      <c r="E539" t="inlineStr">
        <is>
          <t>TIMRÅ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13251-2025</t>
        </is>
      </c>
      <c r="B540" s="1" t="n">
        <v>45735</v>
      </c>
      <c r="C540" s="1" t="n">
        <v>46087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3184-2026</t>
        </is>
      </c>
      <c r="B541" s="1" t="n">
        <v>46041</v>
      </c>
      <c r="C541" s="1" t="n">
        <v>46087</v>
      </c>
      <c r="D541" t="inlineStr">
        <is>
          <t>VÄSTERNORRLANDS LÄN</t>
        </is>
      </c>
      <c r="E541" t="inlineStr">
        <is>
          <t>TIMRÅ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5354-2026</t>
        </is>
      </c>
      <c r="B542" s="1" t="n">
        <v>46048</v>
      </c>
      <c r="C542" s="1" t="n">
        <v>46087</v>
      </c>
      <c r="D542" t="inlineStr">
        <is>
          <t>VÄSTERNORRLANDS LÄN</t>
        </is>
      </c>
      <c r="E542" t="inlineStr">
        <is>
          <t>TIMRÅ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7699-2026</t>
        </is>
      </c>
      <c r="B543" s="1" t="n">
        <v>46059</v>
      </c>
      <c r="C543" s="1" t="n">
        <v>46087</v>
      </c>
      <c r="D543" t="inlineStr">
        <is>
          <t>VÄSTERNORRLANDS LÄN</t>
        </is>
      </c>
      <c r="E543" t="inlineStr">
        <is>
          <t>TIMRÅ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9640-2026</t>
        </is>
      </c>
      <c r="B544" s="1" t="n">
        <v>46072</v>
      </c>
      <c r="C544" s="1" t="n">
        <v>46087</v>
      </c>
      <c r="D544" t="inlineStr">
        <is>
          <t>VÄSTERNORRLANDS LÄN</t>
        </is>
      </c>
      <c r="E544" t="inlineStr">
        <is>
          <t>TIMRÅ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5294-2026</t>
        </is>
      </c>
      <c r="B545" s="1" t="n">
        <v>46050</v>
      </c>
      <c r="C545" s="1" t="n">
        <v>46087</v>
      </c>
      <c r="D545" t="inlineStr">
        <is>
          <t>VÄSTERNORRLANDS LÄN</t>
        </is>
      </c>
      <c r="E545" t="inlineStr">
        <is>
          <t>TIMRÅ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10597-2026</t>
        </is>
      </c>
      <c r="B546" s="1" t="n">
        <v>46077</v>
      </c>
      <c r="C546" s="1" t="n">
        <v>46087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11109-2026</t>
        </is>
      </c>
      <c r="B547" s="1" t="n">
        <v>46079.65716435185</v>
      </c>
      <c r="C547" s="1" t="n">
        <v>46087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10840-2026</t>
        </is>
      </c>
      <c r="B548" s="1" t="n">
        <v>46078</v>
      </c>
      <c r="C548" s="1" t="n">
        <v>46087</v>
      </c>
      <c r="D548" t="inlineStr">
        <is>
          <t>VÄSTERNORRLANDS LÄN</t>
        </is>
      </c>
      <c r="E548" t="inlineStr">
        <is>
          <t>TIMRÅ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10981-2026</t>
        </is>
      </c>
      <c r="B549" s="1" t="n">
        <v>46079</v>
      </c>
      <c r="C549" s="1" t="n">
        <v>46087</v>
      </c>
      <c r="D549" t="inlineStr">
        <is>
          <t>VÄSTERNORRLANDS LÄN</t>
        </is>
      </c>
      <c r="E549" t="inlineStr">
        <is>
          <t>TIMRÅ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51999-2022</t>
        </is>
      </c>
      <c r="B550" s="1" t="n">
        <v>44872</v>
      </c>
      <c r="C550" s="1" t="n">
        <v>46087</v>
      </c>
      <c r="D550" t="inlineStr">
        <is>
          <t>VÄSTERNORRLANDS LÄN</t>
        </is>
      </c>
      <c r="E550" t="inlineStr">
        <is>
          <t>TIMRÅ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8505-2026</t>
        </is>
      </c>
      <c r="B551" s="1" t="n">
        <v>46065</v>
      </c>
      <c r="C551" s="1" t="n">
        <v>46087</v>
      </c>
      <c r="D551" t="inlineStr">
        <is>
          <t>VÄSTERNORRLANDS LÄN</t>
        </is>
      </c>
      <c r="E551" t="inlineStr">
        <is>
          <t>TIMRÅ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10980-2026</t>
        </is>
      </c>
      <c r="B552" s="1" t="n">
        <v>46079</v>
      </c>
      <c r="C552" s="1" t="n">
        <v>46087</v>
      </c>
      <c r="D552" t="inlineStr">
        <is>
          <t>VÄSTERNORRLANDS LÄN</t>
        </is>
      </c>
      <c r="E552" t="inlineStr">
        <is>
          <t>TIMRÅ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31370-2025</t>
        </is>
      </c>
      <c r="B553" s="1" t="n">
        <v>45833.44155092593</v>
      </c>
      <c r="C553" s="1" t="n">
        <v>46087</v>
      </c>
      <c r="D553" t="inlineStr">
        <is>
          <t>VÄSTERNORRLANDS LÄN</t>
        </is>
      </c>
      <c r="E553" t="inlineStr">
        <is>
          <t>TIMRÅ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10827-2026</t>
        </is>
      </c>
      <c r="B554" s="1" t="n">
        <v>46078</v>
      </c>
      <c r="C554" s="1" t="n">
        <v>46087</v>
      </c>
      <c r="D554" t="inlineStr">
        <is>
          <t>VÄSTERNORRLANDS LÄN</t>
        </is>
      </c>
      <c r="E554" t="inlineStr">
        <is>
          <t>TIMRÅ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50355-2023</t>
        </is>
      </c>
      <c r="B555" s="1" t="n">
        <v>45209</v>
      </c>
      <c r="C555" s="1" t="n">
        <v>46087</v>
      </c>
      <c r="D555" t="inlineStr">
        <is>
          <t>VÄSTERNORRLANDS LÄN</t>
        </is>
      </c>
      <c r="E555" t="inlineStr">
        <is>
          <t>TIMRÅ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8640-2026</t>
        </is>
      </c>
      <c r="B556" s="1" t="n">
        <v>46066</v>
      </c>
      <c r="C556" s="1" t="n">
        <v>46087</v>
      </c>
      <c r="D556" t="inlineStr">
        <is>
          <t>VÄSTERNORRLANDS LÄN</t>
        </is>
      </c>
      <c r="E556" t="inlineStr">
        <is>
          <t>TIMRÅ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31325-2025</t>
        </is>
      </c>
      <c r="B557" s="1" t="n">
        <v>45833.41020833333</v>
      </c>
      <c r="C557" s="1" t="n">
        <v>46087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3169-2026</t>
        </is>
      </c>
      <c r="B558" s="1" t="n">
        <v>46041.44077546296</v>
      </c>
      <c r="C558" s="1" t="n">
        <v>46087</v>
      </c>
      <c r="D558" t="inlineStr">
        <is>
          <t>VÄSTERNORRLANDS LÄN</t>
        </is>
      </c>
      <c r="E558" t="inlineStr">
        <is>
          <t>TIMRÅ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31353-2025</t>
        </is>
      </c>
      <c r="B559" s="1" t="n">
        <v>45833.43015046296</v>
      </c>
      <c r="C559" s="1" t="n">
        <v>46087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31375-2025</t>
        </is>
      </c>
      <c r="B560" s="1" t="n">
        <v>45833.44674768519</v>
      </c>
      <c r="C560" s="1" t="n">
        <v>46087</v>
      </c>
      <c r="D560" t="inlineStr">
        <is>
          <t>VÄSTERNORRLANDS LÄN</t>
        </is>
      </c>
      <c r="E560" t="inlineStr">
        <is>
          <t>TIMRÅ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11382-2026</t>
        </is>
      </c>
      <c r="B561" s="1" t="n">
        <v>46083.41314814815</v>
      </c>
      <c r="C561" s="1" t="n">
        <v>46087</v>
      </c>
      <c r="D561" t="inlineStr">
        <is>
          <t>VÄSTERNORRLANDS LÄN</t>
        </is>
      </c>
      <c r="E561" t="inlineStr">
        <is>
          <t>TIMRÅ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52220-2022</t>
        </is>
      </c>
      <c r="B562" s="1" t="n">
        <v>44869</v>
      </c>
      <c r="C562" s="1" t="n">
        <v>46087</v>
      </c>
      <c r="D562" t="inlineStr">
        <is>
          <t>VÄSTERNORRLANDS LÄN</t>
        </is>
      </c>
      <c r="E562" t="inlineStr">
        <is>
          <t>TIMRÅ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52232-2022</t>
        </is>
      </c>
      <c r="B563" s="1" t="n">
        <v>44869</v>
      </c>
      <c r="C563" s="1" t="n">
        <v>46087</v>
      </c>
      <c r="D563" t="inlineStr">
        <is>
          <t>VÄSTERNORRLANDS LÄN</t>
        </is>
      </c>
      <c r="E563" t="inlineStr">
        <is>
          <t>TIMRÅ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9299-2026</t>
        </is>
      </c>
      <c r="B564" s="1" t="n">
        <v>46070</v>
      </c>
      <c r="C564" s="1" t="n">
        <v>46087</v>
      </c>
      <c r="D564" t="inlineStr">
        <is>
          <t>VÄSTERNORRLANDS LÄN</t>
        </is>
      </c>
      <c r="E564" t="inlineStr">
        <is>
          <t>TIMRÅ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3183-2026</t>
        </is>
      </c>
      <c r="B565" s="1" t="n">
        <v>46041</v>
      </c>
      <c r="C565" s="1" t="n">
        <v>46087</v>
      </c>
      <c r="D565" t="inlineStr">
        <is>
          <t>VÄSTERNORRLANDS LÄN</t>
        </is>
      </c>
      <c r="E565" t="inlineStr">
        <is>
          <t>TIMRÅ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8522-2026</t>
        </is>
      </c>
      <c r="B566" s="1" t="n">
        <v>46065</v>
      </c>
      <c r="C566" s="1" t="n">
        <v>46087</v>
      </c>
      <c r="D566" t="inlineStr">
        <is>
          <t>VÄSTERNORRLANDS LÄN</t>
        </is>
      </c>
      <c r="E566" t="inlineStr">
        <is>
          <t>TIMRÅ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10994-2026</t>
        </is>
      </c>
      <c r="B567" s="1" t="n">
        <v>46079</v>
      </c>
      <c r="C567" s="1" t="n">
        <v>46087</v>
      </c>
      <c r="D567" t="inlineStr">
        <is>
          <t>VÄSTERNORRLANDS LÄN</t>
        </is>
      </c>
      <c r="E567" t="inlineStr">
        <is>
          <t>TIMRÅ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31734-2025</t>
        </is>
      </c>
      <c r="B568" s="1" t="n">
        <v>45834.47052083333</v>
      </c>
      <c r="C568" s="1" t="n">
        <v>46087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3142-2026</t>
        </is>
      </c>
      <c r="B569" s="1" t="n">
        <v>46041.40667824074</v>
      </c>
      <c r="C569" s="1" t="n">
        <v>46087</v>
      </c>
      <c r="D569" t="inlineStr">
        <is>
          <t>VÄSTERNORRLANDS LÄN</t>
        </is>
      </c>
      <c r="E569" t="inlineStr">
        <is>
          <t>TIMRÅ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11386-2026</t>
        </is>
      </c>
      <c r="B570" s="1" t="n">
        <v>46083.42164351852</v>
      </c>
      <c r="C570" s="1" t="n">
        <v>46087</v>
      </c>
      <c r="D570" t="inlineStr">
        <is>
          <t>VÄSTERNORRLANDS LÄN</t>
        </is>
      </c>
      <c r="E570" t="inlineStr">
        <is>
          <t>TIMRÅ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11383-2026</t>
        </is>
      </c>
      <c r="B571" s="1" t="n">
        <v>46083.4175</v>
      </c>
      <c r="C571" s="1" t="n">
        <v>46087</v>
      </c>
      <c r="D571" t="inlineStr">
        <is>
          <t>VÄSTERNORRLANDS LÄN</t>
        </is>
      </c>
      <c r="E571" t="inlineStr">
        <is>
          <t>TIMRÅ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3176-2026</t>
        </is>
      </c>
      <c r="B572" s="1" t="n">
        <v>46041.44505787037</v>
      </c>
      <c r="C572" s="1" t="n">
        <v>46087</v>
      </c>
      <c r="D572" t="inlineStr">
        <is>
          <t>VÄSTERNORRLANDS LÄN</t>
        </is>
      </c>
      <c r="E572" t="inlineStr">
        <is>
          <t>TIMRÅ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11006-2026</t>
        </is>
      </c>
      <c r="B573" s="1" t="n">
        <v>46079</v>
      </c>
      <c r="C573" s="1" t="n">
        <v>46087</v>
      </c>
      <c r="D573" t="inlineStr">
        <is>
          <t>VÄSTERNORRLANDS LÄN</t>
        </is>
      </c>
      <c r="E573" t="inlineStr">
        <is>
          <t>TIMRÅ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3164-2026</t>
        </is>
      </c>
      <c r="B574" s="1" t="n">
        <v>46041</v>
      </c>
      <c r="C574" s="1" t="n">
        <v>46087</v>
      </c>
      <c r="D574" t="inlineStr">
        <is>
          <t>VÄSTERNORRLANDS LÄN</t>
        </is>
      </c>
      <c r="E574" t="inlineStr">
        <is>
          <t>TIMRÅ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3165-2026</t>
        </is>
      </c>
      <c r="B575" s="1" t="n">
        <v>46041.43841435185</v>
      </c>
      <c r="C575" s="1" t="n">
        <v>46087</v>
      </c>
      <c r="D575" t="inlineStr">
        <is>
          <t>VÄSTERNORRLANDS LÄN</t>
        </is>
      </c>
      <c r="E575" t="inlineStr">
        <is>
          <t>TIMRÅ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9637-2026</t>
        </is>
      </c>
      <c r="B576" s="1" t="n">
        <v>46072</v>
      </c>
      <c r="C576" s="1" t="n">
        <v>46087</v>
      </c>
      <c r="D576" t="inlineStr">
        <is>
          <t>VÄSTERNORRLANDS LÄN</t>
        </is>
      </c>
      <c r="E576" t="inlineStr">
        <is>
          <t>TIMRÅ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9639-2026</t>
        </is>
      </c>
      <c r="B577" s="1" t="n">
        <v>46072</v>
      </c>
      <c r="C577" s="1" t="n">
        <v>46087</v>
      </c>
      <c r="D577" t="inlineStr">
        <is>
          <t>VÄSTERNORRLANDS LÄN</t>
        </is>
      </c>
      <c r="E577" t="inlineStr">
        <is>
          <t>TIMRÅ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27495-2023</t>
        </is>
      </c>
      <c r="B578" s="1" t="n">
        <v>45092</v>
      </c>
      <c r="C578" s="1" t="n">
        <v>46087</v>
      </c>
      <c r="D578" t="inlineStr">
        <is>
          <t>VÄSTERNORRLANDS LÄN</t>
        </is>
      </c>
      <c r="E578" t="inlineStr">
        <is>
          <t>TIMRÅ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18130-2025</t>
        </is>
      </c>
      <c r="B579" s="1" t="n">
        <v>45761.59958333334</v>
      </c>
      <c r="C579" s="1" t="n">
        <v>46087</v>
      </c>
      <c r="D579" t="inlineStr">
        <is>
          <t>VÄSTERNORRLANDS LÄN</t>
        </is>
      </c>
      <c r="E579" t="inlineStr">
        <is>
          <t>TIMRÅ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12097-2026</t>
        </is>
      </c>
      <c r="B580" s="1" t="n">
        <v>46086</v>
      </c>
      <c r="C580" s="1" t="n">
        <v>46087</v>
      </c>
      <c r="D580" t="inlineStr">
        <is>
          <t>VÄSTERNORRLANDS LÄN</t>
        </is>
      </c>
      <c r="E580" t="inlineStr">
        <is>
          <t>TIMRÅ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32366-2025</t>
        </is>
      </c>
      <c r="B581" s="1" t="n">
        <v>45837.65679398148</v>
      </c>
      <c r="C581" s="1" t="n">
        <v>46087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32375-2025</t>
        </is>
      </c>
      <c r="B582" s="1" t="n">
        <v>45837.71907407408</v>
      </c>
      <c r="C582" s="1" t="n">
        <v>46087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14572-2024</t>
        </is>
      </c>
      <c r="B583" s="1" t="n">
        <v>45394.94991898148</v>
      </c>
      <c r="C583" s="1" t="n">
        <v>46087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11691-2026</t>
        </is>
      </c>
      <c r="B584" s="1" t="n">
        <v>46084</v>
      </c>
      <c r="C584" s="1" t="n">
        <v>46087</v>
      </c>
      <c r="D584" t="inlineStr">
        <is>
          <t>VÄSTERNORRLANDS LÄN</t>
        </is>
      </c>
      <c r="E584" t="inlineStr">
        <is>
          <t>TIMRÅ</t>
        </is>
      </c>
      <c r="G584" t="n">
        <v>21.4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31150-2023</t>
        </is>
      </c>
      <c r="B585" s="1" t="n">
        <v>45103</v>
      </c>
      <c r="C585" s="1" t="n">
        <v>46087</v>
      </c>
      <c r="D585" t="inlineStr">
        <is>
          <t>VÄSTERNORRLANDS LÄN</t>
        </is>
      </c>
      <c r="E585" t="inlineStr">
        <is>
          <t>TIMRÅ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11638-2026</t>
        </is>
      </c>
      <c r="B586" s="1" t="n">
        <v>46084</v>
      </c>
      <c r="C586" s="1" t="n">
        <v>46087</v>
      </c>
      <c r="D586" t="inlineStr">
        <is>
          <t>VÄSTERNORRLANDS LÄN</t>
        </is>
      </c>
      <c r="E586" t="inlineStr">
        <is>
          <t>TIMRÅ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11647-2026</t>
        </is>
      </c>
      <c r="B587" s="1" t="n">
        <v>46084</v>
      </c>
      <c r="C587" s="1" t="n">
        <v>46087</v>
      </c>
      <c r="D587" t="inlineStr">
        <is>
          <t>VÄSTERNORRLANDS LÄN</t>
        </is>
      </c>
      <c r="E587" t="inlineStr">
        <is>
          <t>TIMRÅ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32427-2025</t>
        </is>
      </c>
      <c r="B588" s="1" t="n">
        <v>45838.36493055556</v>
      </c>
      <c r="C588" s="1" t="n">
        <v>46087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32373-2025</t>
        </is>
      </c>
      <c r="B589" s="1" t="n">
        <v>45837.69824074074</v>
      </c>
      <c r="C589" s="1" t="n">
        <v>46087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4045-2026</t>
        </is>
      </c>
      <c r="B590" s="1" t="n">
        <v>46044</v>
      </c>
      <c r="C590" s="1" t="n">
        <v>46087</v>
      </c>
      <c r="D590" t="inlineStr">
        <is>
          <t>VÄSTERNORRLANDS LÄN</t>
        </is>
      </c>
      <c r="E590" t="inlineStr">
        <is>
          <t>TIMRÅ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7700-2026</t>
        </is>
      </c>
      <c r="B591" s="1" t="n">
        <v>46059</v>
      </c>
      <c r="C591" s="1" t="n">
        <v>46087</v>
      </c>
      <c r="D591" t="inlineStr">
        <is>
          <t>VÄSTERNORRLANDS LÄN</t>
        </is>
      </c>
      <c r="E591" t="inlineStr">
        <is>
          <t>TIMRÅ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68391-2021</t>
        </is>
      </c>
      <c r="B592" s="1" t="n">
        <v>44526</v>
      </c>
      <c r="C592" s="1" t="n">
        <v>46087</v>
      </c>
      <c r="D592" t="inlineStr">
        <is>
          <t>VÄSTERNORRLANDS LÄN</t>
        </is>
      </c>
      <c r="E592" t="inlineStr">
        <is>
          <t>TIMRÅ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4056-2026</t>
        </is>
      </c>
      <c r="B593" s="1" t="n">
        <v>46044</v>
      </c>
      <c r="C593" s="1" t="n">
        <v>46087</v>
      </c>
      <c r="D593" t="inlineStr">
        <is>
          <t>VÄSTERNORRLANDS LÄN</t>
        </is>
      </c>
      <c r="E593" t="inlineStr">
        <is>
          <t>TIMRÅ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4057-2026</t>
        </is>
      </c>
      <c r="B594" s="1" t="n">
        <v>46044</v>
      </c>
      <c r="C594" s="1" t="n">
        <v>46087</v>
      </c>
      <c r="D594" t="inlineStr">
        <is>
          <t>VÄSTERNORRLANDS LÄN</t>
        </is>
      </c>
      <c r="E594" t="inlineStr">
        <is>
          <t>TIMRÅ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7151-2024</t>
        </is>
      </c>
      <c r="B595" s="1" t="n">
        <v>45344</v>
      </c>
      <c r="C595" s="1" t="n">
        <v>46087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33225-2025</t>
        </is>
      </c>
      <c r="B596" s="1" t="n">
        <v>45840.63600694444</v>
      </c>
      <c r="C596" s="1" t="n">
        <v>46087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62133-2024</t>
        </is>
      </c>
      <c r="B597" s="1" t="n">
        <v>45656.63576388889</v>
      </c>
      <c r="C597" s="1" t="n">
        <v>46087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33044-2025</t>
        </is>
      </c>
      <c r="B598" s="1" t="n">
        <v>45840.40699074074</v>
      </c>
      <c r="C598" s="1" t="n">
        <v>46087</v>
      </c>
      <c r="D598" t="inlineStr">
        <is>
          <t>VÄSTERNORRLANDS LÄN</t>
        </is>
      </c>
      <c r="E598" t="inlineStr">
        <is>
          <t>TIMRÅ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33043-2025</t>
        </is>
      </c>
      <c r="B599" s="1" t="n">
        <v>45840.40680555555</v>
      </c>
      <c r="C599" s="1" t="n">
        <v>46087</v>
      </c>
      <c r="D599" t="inlineStr">
        <is>
          <t>VÄSTERNORRLANDS LÄN</t>
        </is>
      </c>
      <c r="E599" t="inlineStr">
        <is>
          <t>TIMRÅ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32912-2025</t>
        </is>
      </c>
      <c r="B600" s="1" t="n">
        <v>45839.63586805556</v>
      </c>
      <c r="C600" s="1" t="n">
        <v>46087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60011-2023</t>
        </is>
      </c>
      <c r="B601" s="1" t="n">
        <v>45257</v>
      </c>
      <c r="C601" s="1" t="n">
        <v>46087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33112-2025</t>
        </is>
      </c>
      <c r="B602" s="1" t="n">
        <v>45840.48953703704</v>
      </c>
      <c r="C602" s="1" t="n">
        <v>46087</v>
      </c>
      <c r="D602" t="inlineStr">
        <is>
          <t>VÄSTERNORRLANDS LÄN</t>
        </is>
      </c>
      <c r="E602" t="inlineStr">
        <is>
          <t>TIMRÅ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32964-2025</t>
        </is>
      </c>
      <c r="B603" s="1" t="n">
        <v>45839.71916666667</v>
      </c>
      <c r="C603" s="1" t="n">
        <v>46087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32070-2023</t>
        </is>
      </c>
      <c r="B604" s="1" t="n">
        <v>45107</v>
      </c>
      <c r="C604" s="1" t="n">
        <v>46087</v>
      </c>
      <c r="D604" t="inlineStr">
        <is>
          <t>VÄSTERNORRLANDS LÄN</t>
        </is>
      </c>
      <c r="E604" t="inlineStr">
        <is>
          <t>TIMRÅ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33891-2025</t>
        </is>
      </c>
      <c r="B605" s="1" t="n">
        <v>45842.57388888889</v>
      </c>
      <c r="C605" s="1" t="n">
        <v>46087</v>
      </c>
      <c r="D605" t="inlineStr">
        <is>
          <t>VÄSTERNORRLANDS LÄN</t>
        </is>
      </c>
      <c r="E605" t="inlineStr">
        <is>
          <t>TIMRÅ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34299-2025</t>
        </is>
      </c>
      <c r="B606" s="1" t="n">
        <v>45846.34501157407</v>
      </c>
      <c r="C606" s="1" t="n">
        <v>46087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34229-2025</t>
        </is>
      </c>
      <c r="B607" s="1" t="n">
        <v>45845.65732638889</v>
      </c>
      <c r="C607" s="1" t="n">
        <v>46087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74177-2021</t>
        </is>
      </c>
      <c r="B608" s="1" t="n">
        <v>44558</v>
      </c>
      <c r="C608" s="1" t="n">
        <v>46087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23851-2024</t>
        </is>
      </c>
      <c r="B609" s="1" t="n">
        <v>45455</v>
      </c>
      <c r="C609" s="1" t="n">
        <v>46087</v>
      </c>
      <c r="D609" t="inlineStr">
        <is>
          <t>VÄSTERNORRLANDS LÄN</t>
        </is>
      </c>
      <c r="E609" t="inlineStr">
        <is>
          <t>TIMRÅ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53302-2024</t>
        </is>
      </c>
      <c r="B610" s="1" t="n">
        <v>45614.38864583334</v>
      </c>
      <c r="C610" s="1" t="n">
        <v>46087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53303-2024</t>
        </is>
      </c>
      <c r="B611" s="1" t="n">
        <v>45614.38878472222</v>
      </c>
      <c r="C611" s="1" t="n">
        <v>46087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25414-2022</t>
        </is>
      </c>
      <c r="B612" s="1" t="n">
        <v>44732</v>
      </c>
      <c r="C612" s="1" t="n">
        <v>46087</v>
      </c>
      <c r="D612" t="inlineStr">
        <is>
          <t>VÄSTERNORRLANDS LÄN</t>
        </is>
      </c>
      <c r="E612" t="inlineStr">
        <is>
          <t>TIMRÅ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16555-2023</t>
        </is>
      </c>
      <c r="B613" s="1" t="n">
        <v>45029</v>
      </c>
      <c r="C613" s="1" t="n">
        <v>46087</v>
      </c>
      <c r="D613" t="inlineStr">
        <is>
          <t>VÄSTERNORRLANDS LÄN</t>
        </is>
      </c>
      <c r="E613" t="inlineStr">
        <is>
          <t>TIMRÅ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34498-2025</t>
        </is>
      </c>
      <c r="B614" s="1" t="n">
        <v>45847.42768518518</v>
      </c>
      <c r="C614" s="1" t="n">
        <v>46087</v>
      </c>
      <c r="D614" t="inlineStr">
        <is>
          <t>VÄSTERNORRLANDS LÄN</t>
        </is>
      </c>
      <c r="E614" t="inlineStr">
        <is>
          <t>TIMRÅ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34499-2025</t>
        </is>
      </c>
      <c r="B615" s="1" t="n">
        <v>45847.42783564814</v>
      </c>
      <c r="C615" s="1" t="n">
        <v>46087</v>
      </c>
      <c r="D615" t="inlineStr">
        <is>
          <t>VÄSTERNORRLANDS LÄN</t>
        </is>
      </c>
      <c r="E615" t="inlineStr">
        <is>
          <t>TIMRÅ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49495-2024</t>
        </is>
      </c>
      <c r="B616" s="1" t="n">
        <v>45596.36559027778</v>
      </c>
      <c r="C616" s="1" t="n">
        <v>46087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34879-2025</t>
        </is>
      </c>
      <c r="B617" s="1" t="n">
        <v>45849.46824074074</v>
      </c>
      <c r="C617" s="1" t="n">
        <v>46087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31508-2025</t>
        </is>
      </c>
      <c r="B618" s="1" t="n">
        <v>45833</v>
      </c>
      <c r="C618" s="1" t="n">
        <v>46087</v>
      </c>
      <c r="D618" t="inlineStr">
        <is>
          <t>VÄSTERNORRLANDS LÄN</t>
        </is>
      </c>
      <c r="E618" t="inlineStr">
        <is>
          <t>TIMRÅ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35476-2025</t>
        </is>
      </c>
      <c r="B619" s="1" t="n">
        <v>45855.67744212963</v>
      </c>
      <c r="C619" s="1" t="n">
        <v>46087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48563-2024</t>
        </is>
      </c>
      <c r="B620" s="1" t="n">
        <v>45593.38608796296</v>
      </c>
      <c r="C620" s="1" t="n">
        <v>46087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49310-2024</t>
        </is>
      </c>
      <c r="B621" s="1" t="n">
        <v>45595</v>
      </c>
      <c r="C621" s="1" t="n">
        <v>46087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35693-2025</t>
        </is>
      </c>
      <c r="B622" s="1" t="n">
        <v>45860.34459490741</v>
      </c>
      <c r="C622" s="1" t="n">
        <v>46087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35694-2025</t>
        </is>
      </c>
      <c r="B623" s="1" t="n">
        <v>45860.34461805555</v>
      </c>
      <c r="C623" s="1" t="n">
        <v>46087</v>
      </c>
      <c r="D623" t="inlineStr">
        <is>
          <t>VÄSTERNORRLANDS LÄN</t>
        </is>
      </c>
      <c r="E623" t="inlineStr">
        <is>
          <t>TIMRÅ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59964-2021</t>
        </is>
      </c>
      <c r="B624" s="1" t="n">
        <v>44494</v>
      </c>
      <c r="C624" s="1" t="n">
        <v>46087</v>
      </c>
      <c r="D624" t="inlineStr">
        <is>
          <t>VÄSTERNORRLANDS LÄN</t>
        </is>
      </c>
      <c r="E624" t="inlineStr">
        <is>
          <t>TIMRÅ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35659-2025</t>
        </is>
      </c>
      <c r="B625" s="1" t="n">
        <v>45859.59447916667</v>
      </c>
      <c r="C625" s="1" t="n">
        <v>46087</v>
      </c>
      <c r="D625" t="inlineStr">
        <is>
          <t>VÄSTERNORRLANDS LÄN</t>
        </is>
      </c>
      <c r="E625" t="inlineStr">
        <is>
          <t>TIMRÅ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43130-2023</t>
        </is>
      </c>
      <c r="B626" s="1" t="n">
        <v>45182.94908564815</v>
      </c>
      <c r="C626" s="1" t="n">
        <v>46087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25190-2025</t>
        </is>
      </c>
      <c r="B627" s="1" t="n">
        <v>45798</v>
      </c>
      <c r="C627" s="1" t="n">
        <v>46087</v>
      </c>
      <c r="D627" t="inlineStr">
        <is>
          <t>VÄSTERNORRLANDS LÄN</t>
        </is>
      </c>
      <c r="E627" t="inlineStr">
        <is>
          <t>TIMRÅ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35665-2025</t>
        </is>
      </c>
      <c r="B628" s="1" t="n">
        <v>45859</v>
      </c>
      <c r="C628" s="1" t="n">
        <v>46087</v>
      </c>
      <c r="D628" t="inlineStr">
        <is>
          <t>VÄSTERNORRLANDS LÄN</t>
        </is>
      </c>
      <c r="E628" t="inlineStr">
        <is>
          <t>TIMRÅ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35666-2025</t>
        </is>
      </c>
      <c r="B629" s="1" t="n">
        <v>45859.61543981481</v>
      </c>
      <c r="C629" s="1" t="n">
        <v>46087</v>
      </c>
      <c r="D629" t="inlineStr">
        <is>
          <t>VÄSTERNORRLANDS LÄN</t>
        </is>
      </c>
      <c r="E629" t="inlineStr">
        <is>
          <t>TIMRÅ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35667-2025</t>
        </is>
      </c>
      <c r="B630" s="1" t="n">
        <v>45859.61546296296</v>
      </c>
      <c r="C630" s="1" t="n">
        <v>46087</v>
      </c>
      <c r="D630" t="inlineStr">
        <is>
          <t>VÄSTERNORRLANDS LÄN</t>
        </is>
      </c>
      <c r="E630" t="inlineStr">
        <is>
          <t>TIMRÅ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25427-2025</t>
        </is>
      </c>
      <c r="B631" s="1" t="n">
        <v>45800.70986111111</v>
      </c>
      <c r="C631" s="1" t="n">
        <v>46087</v>
      </c>
      <c r="D631" t="inlineStr">
        <is>
          <t>VÄSTERNORRLANDS LÄN</t>
        </is>
      </c>
      <c r="E631" t="inlineStr">
        <is>
          <t>TIMRÅ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33043-2023</t>
        </is>
      </c>
      <c r="B632" s="1" t="n">
        <v>45125</v>
      </c>
      <c r="C632" s="1" t="n">
        <v>46087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2073-2022</t>
        </is>
      </c>
      <c r="B633" s="1" t="n">
        <v>44575.92912037037</v>
      </c>
      <c r="C633" s="1" t="n">
        <v>46087</v>
      </c>
      <c r="D633" t="inlineStr">
        <is>
          <t>VÄSTERNORRLANDS LÄN</t>
        </is>
      </c>
      <c r="E633" t="inlineStr">
        <is>
          <t>TIMRÅ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23049-2024</t>
        </is>
      </c>
      <c r="B634" s="1" t="n">
        <v>45450</v>
      </c>
      <c r="C634" s="1" t="n">
        <v>46087</v>
      </c>
      <c r="D634" t="inlineStr">
        <is>
          <t>VÄSTERNORRLANDS LÄN</t>
        </is>
      </c>
      <c r="E634" t="inlineStr">
        <is>
          <t>TIMRÅ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24739-2024</t>
        </is>
      </c>
      <c r="B635" s="1" t="n">
        <v>45460</v>
      </c>
      <c r="C635" s="1" t="n">
        <v>46087</v>
      </c>
      <c r="D635" t="inlineStr">
        <is>
          <t>VÄSTERNORRLANDS LÄN</t>
        </is>
      </c>
      <c r="E635" t="inlineStr">
        <is>
          <t>TIMRÅ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39693-2023</t>
        </is>
      </c>
      <c r="B636" s="1" t="n">
        <v>45166</v>
      </c>
      <c r="C636" s="1" t="n">
        <v>46087</v>
      </c>
      <c r="D636" t="inlineStr">
        <is>
          <t>VÄSTERNORRLANDS LÄN</t>
        </is>
      </c>
      <c r="E636" t="inlineStr">
        <is>
          <t>TIMRÅ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45886-2024</t>
        </is>
      </c>
      <c r="B637" s="1" t="n">
        <v>45580</v>
      </c>
      <c r="C637" s="1" t="n">
        <v>46087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48704-2024</t>
        </is>
      </c>
      <c r="B638" s="1" t="n">
        <v>45593.53160879629</v>
      </c>
      <c r="C638" s="1" t="n">
        <v>46087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40664-2024</t>
        </is>
      </c>
      <c r="B639" s="1" t="n">
        <v>45558</v>
      </c>
      <c r="C639" s="1" t="n">
        <v>46087</v>
      </c>
      <c r="D639" t="inlineStr">
        <is>
          <t>VÄSTERNORRLANDS LÄN</t>
        </is>
      </c>
      <c r="E639" t="inlineStr">
        <is>
          <t>TIMRÅ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35854-2025</t>
        </is>
      </c>
      <c r="B640" s="1" t="n">
        <v>45861</v>
      </c>
      <c r="C640" s="1" t="n">
        <v>46087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55729-2024</t>
        </is>
      </c>
      <c r="B641" s="1" t="n">
        <v>45622</v>
      </c>
      <c r="C641" s="1" t="n">
        <v>46087</v>
      </c>
      <c r="D641" t="inlineStr">
        <is>
          <t>VÄSTERNORRLANDS LÄN</t>
        </is>
      </c>
      <c r="E641" t="inlineStr">
        <is>
          <t>TIMRÅ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74150-2021</t>
        </is>
      </c>
      <c r="B642" s="1" t="n">
        <v>44557</v>
      </c>
      <c r="C642" s="1" t="n">
        <v>46087</v>
      </c>
      <c r="D642" t="inlineStr">
        <is>
          <t>VÄSTERNORRLANDS LÄN</t>
        </is>
      </c>
      <c r="E642" t="inlineStr">
        <is>
          <t>TIMRÅ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43994-2023</t>
        </is>
      </c>
      <c r="B643" s="1" t="n">
        <v>45187</v>
      </c>
      <c r="C643" s="1" t="n">
        <v>46087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37684-2025</t>
        </is>
      </c>
      <c r="B644" s="1" t="n">
        <v>45880.55261574074</v>
      </c>
      <c r="C644" s="1" t="n">
        <v>46087</v>
      </c>
      <c r="D644" t="inlineStr">
        <is>
          <t>VÄSTERNORRLANDS LÄN</t>
        </is>
      </c>
      <c r="E644" t="inlineStr">
        <is>
          <t>TIMRÅ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2226-2022</t>
        </is>
      </c>
      <c r="B645" s="1" t="n">
        <v>44578</v>
      </c>
      <c r="C645" s="1" t="n">
        <v>46087</v>
      </c>
      <c r="D645" t="inlineStr">
        <is>
          <t>VÄSTERNORRLANDS LÄN</t>
        </is>
      </c>
      <c r="E645" t="inlineStr">
        <is>
          <t>TIMRÅ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37695-2025</t>
        </is>
      </c>
      <c r="B646" s="1" t="n">
        <v>45880.57357638889</v>
      </c>
      <c r="C646" s="1" t="n">
        <v>46087</v>
      </c>
      <c r="D646" t="inlineStr">
        <is>
          <t>VÄSTERNORRLANDS LÄN</t>
        </is>
      </c>
      <c r="E646" t="inlineStr">
        <is>
          <t>TIMRÅ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37470-2025</t>
        </is>
      </c>
      <c r="B647" s="1" t="n">
        <v>45877.58502314815</v>
      </c>
      <c r="C647" s="1" t="n">
        <v>46087</v>
      </c>
      <c r="D647" t="inlineStr">
        <is>
          <t>VÄSTERNORRLANDS LÄN</t>
        </is>
      </c>
      <c r="E647" t="inlineStr">
        <is>
          <t>TIMRÅ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35939-2023</t>
        </is>
      </c>
      <c r="B648" s="1" t="n">
        <v>45148</v>
      </c>
      <c r="C648" s="1" t="n">
        <v>46087</v>
      </c>
      <c r="D648" t="inlineStr">
        <is>
          <t>VÄSTERNORRLANDS LÄN</t>
        </is>
      </c>
      <c r="E648" t="inlineStr">
        <is>
          <t>TIMRÅ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36204-2025</t>
        </is>
      </c>
      <c r="B649" s="1" t="n">
        <v>45867</v>
      </c>
      <c r="C649" s="1" t="n">
        <v>46087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HYPERLINK("https://klasma.github.io/Logging_2262/knärot/A 36204-2025 karta knärot.png", "A 36204-2025")</f>
        <v/>
      </c>
      <c r="V649">
        <f>HYPERLINK("https://klasma.github.io/Logging_2262/klagomål/A 36204-2025 FSC-klagomål.docx", "A 36204-2025")</f>
        <v/>
      </c>
      <c r="W649">
        <f>HYPERLINK("https://klasma.github.io/Logging_2262/klagomålsmail/A 36204-2025 FSC-klagomål mail.docx", "A 36204-2025")</f>
        <v/>
      </c>
      <c r="X649">
        <f>HYPERLINK("https://klasma.github.io/Logging_2262/tillsyn/A 36204-2025 tillsynsbegäran.docx", "A 36204-2025")</f>
        <v/>
      </c>
      <c r="Y649">
        <f>HYPERLINK("https://klasma.github.io/Logging_2262/tillsynsmail/A 36204-2025 tillsynsbegäran mail.docx", "A 36204-2025")</f>
        <v/>
      </c>
    </row>
    <row r="650" ht="15" customHeight="1">
      <c r="A650" t="inlineStr">
        <is>
          <t>A 38110-2025</t>
        </is>
      </c>
      <c r="B650" s="1" t="n">
        <v>45882</v>
      </c>
      <c r="C650" s="1" t="n">
        <v>46087</v>
      </c>
      <c r="D650" t="inlineStr">
        <is>
          <t>VÄSTERNORRLANDS LÄN</t>
        </is>
      </c>
      <c r="E650" t="inlineStr">
        <is>
          <t>TIMRÅ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45720-2024</t>
        </is>
      </c>
      <c r="B651" s="1" t="n">
        <v>45579.59424768519</v>
      </c>
      <c r="C651" s="1" t="n">
        <v>46087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54322-2024</t>
        </is>
      </c>
      <c r="B652" s="1" t="n">
        <v>45617</v>
      </c>
      <c r="C652" s="1" t="n">
        <v>46087</v>
      </c>
      <c r="D652" t="inlineStr">
        <is>
          <t>VÄSTERNORRLANDS LÄN</t>
        </is>
      </c>
      <c r="E652" t="inlineStr">
        <is>
          <t>TIMRÅ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43006-2024</t>
        </is>
      </c>
      <c r="B653" s="1" t="n">
        <v>45567.38202546296</v>
      </c>
      <c r="C653" s="1" t="n">
        <v>46087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20837-2023</t>
        </is>
      </c>
      <c r="B654" s="1" t="n">
        <v>45058.68621527778</v>
      </c>
      <c r="C654" s="1" t="n">
        <v>46087</v>
      </c>
      <c r="D654" t="inlineStr">
        <is>
          <t>VÄSTERNORRLANDS LÄN</t>
        </is>
      </c>
      <c r="E654" t="inlineStr">
        <is>
          <t>TIMRÅ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13341-2024</t>
        </is>
      </c>
      <c r="B655" s="1" t="n">
        <v>45386.94486111111</v>
      </c>
      <c r="C655" s="1" t="n">
        <v>46087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61484-2024</t>
        </is>
      </c>
      <c r="B656" s="1" t="n">
        <v>45646.53160879629</v>
      </c>
      <c r="C656" s="1" t="n">
        <v>46087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57316-2024</t>
        </is>
      </c>
      <c r="B657" s="1" t="n">
        <v>45629.61498842593</v>
      </c>
      <c r="C657" s="1" t="n">
        <v>46087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7966-2022</t>
        </is>
      </c>
      <c r="B658" s="1" t="n">
        <v>44608</v>
      </c>
      <c r="C658" s="1" t="n">
        <v>46087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9202-2022</t>
        </is>
      </c>
      <c r="B659" s="1" t="n">
        <v>44615</v>
      </c>
      <c r="C659" s="1" t="n">
        <v>46087</v>
      </c>
      <c r="D659" t="inlineStr">
        <is>
          <t>VÄSTERNORRLANDS LÄN</t>
        </is>
      </c>
      <c r="E659" t="inlineStr">
        <is>
          <t>TIMRÅ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9203-2022</t>
        </is>
      </c>
      <c r="B660" s="1" t="n">
        <v>44615</v>
      </c>
      <c r="C660" s="1" t="n">
        <v>46087</v>
      </c>
      <c r="D660" t="inlineStr">
        <is>
          <t>VÄSTERNORRLANDS LÄN</t>
        </is>
      </c>
      <c r="E660" t="inlineStr">
        <is>
          <t>TIMRÅ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39048-2023</t>
        </is>
      </c>
      <c r="B661" s="1" t="n">
        <v>45163.92715277777</v>
      </c>
      <c r="C661" s="1" t="n">
        <v>46087</v>
      </c>
      <c r="D661" t="inlineStr">
        <is>
          <t>VÄSTERNORRLANDS LÄN</t>
        </is>
      </c>
      <c r="E661" t="inlineStr">
        <is>
          <t>TIMRÅ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31562-2023</t>
        </is>
      </c>
      <c r="B662" s="1" t="n">
        <v>45117</v>
      </c>
      <c r="C662" s="1" t="n">
        <v>46087</v>
      </c>
      <c r="D662" t="inlineStr">
        <is>
          <t>VÄSTERNORRLANDS LÄN</t>
        </is>
      </c>
      <c r="E662" t="inlineStr">
        <is>
          <t>TIMRÅ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30680-2024</t>
        </is>
      </c>
      <c r="B663" s="1" t="n">
        <v>45495</v>
      </c>
      <c r="C663" s="1" t="n">
        <v>46087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55441-2023</t>
        </is>
      </c>
      <c r="B664" s="1" t="n">
        <v>45231</v>
      </c>
      <c r="C664" s="1" t="n">
        <v>46087</v>
      </c>
      <c r="D664" t="inlineStr">
        <is>
          <t>VÄSTERNORRLANDS LÄN</t>
        </is>
      </c>
      <c r="E664" t="inlineStr">
        <is>
          <t>TIMRÅ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48785-2023</t>
        </is>
      </c>
      <c r="B665" s="1" t="n">
        <v>45208</v>
      </c>
      <c r="C665" s="1" t="n">
        <v>46087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25644-2022</t>
        </is>
      </c>
      <c r="B666" s="1" t="n">
        <v>44732</v>
      </c>
      <c r="C666" s="1" t="n">
        <v>46087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30835-2023</t>
        </is>
      </c>
      <c r="B667" s="1" t="n">
        <v>45112.94381944444</v>
      </c>
      <c r="C667" s="1" t="n">
        <v>46087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21443-2024</t>
        </is>
      </c>
      <c r="B668" s="1" t="n">
        <v>45441</v>
      </c>
      <c r="C668" s="1" t="n">
        <v>46087</v>
      </c>
      <c r="D668" t="inlineStr">
        <is>
          <t>VÄSTERNORRLANDS LÄN</t>
        </is>
      </c>
      <c r="E668" t="inlineStr">
        <is>
          <t>TIMRÅ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20527-2024</t>
        </is>
      </c>
      <c r="B669" s="1" t="n">
        <v>45435.94592592592</v>
      </c>
      <c r="C669" s="1" t="n">
        <v>46087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6055-2025</t>
        </is>
      </c>
      <c r="B670" s="1" t="n">
        <v>45695.71903935185</v>
      </c>
      <c r="C670" s="1" t="n">
        <v>46087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45774-2023</t>
        </is>
      </c>
      <c r="B671" s="1" t="n">
        <v>45189</v>
      </c>
      <c r="C671" s="1" t="n">
        <v>46087</v>
      </c>
      <c r="D671" t="inlineStr">
        <is>
          <t>VÄSTERNORRLANDS LÄN</t>
        </is>
      </c>
      <c r="E671" t="inlineStr">
        <is>
          <t>TIMRÅ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59942-2022</t>
        </is>
      </c>
      <c r="B672" s="1" t="n">
        <v>44901</v>
      </c>
      <c r="C672" s="1" t="n">
        <v>46087</v>
      </c>
      <c r="D672" t="inlineStr">
        <is>
          <t>VÄSTERNORRLANDS LÄN</t>
        </is>
      </c>
      <c r="E672" t="inlineStr">
        <is>
          <t>TIMRÅ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16519-2022</t>
        </is>
      </c>
      <c r="B673" s="1" t="n">
        <v>44671.926875</v>
      </c>
      <c r="C673" s="1" t="n">
        <v>46087</v>
      </c>
      <c r="D673" t="inlineStr">
        <is>
          <t>VÄSTERNORRLANDS LÄN</t>
        </is>
      </c>
      <c r="E673" t="inlineStr">
        <is>
          <t>TIMRÅ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23676-2022</t>
        </is>
      </c>
      <c r="B674" s="1" t="n">
        <v>44721</v>
      </c>
      <c r="C674" s="1" t="n">
        <v>46087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57072-2023</t>
        </is>
      </c>
      <c r="B675" s="1" t="n">
        <v>45244.96715277778</v>
      </c>
      <c r="C675" s="1" t="n">
        <v>46087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16084-2025</t>
        </is>
      </c>
      <c r="B676" s="1" t="n">
        <v>45749</v>
      </c>
      <c r="C676" s="1" t="n">
        <v>46087</v>
      </c>
      <c r="D676" t="inlineStr">
        <is>
          <t>VÄSTERNORRLANDS LÄN</t>
        </is>
      </c>
      <c r="E676" t="inlineStr">
        <is>
          <t>TIMRÅ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1825-2025</t>
        </is>
      </c>
      <c r="B677" s="1" t="n">
        <v>45671.53853009259</v>
      </c>
      <c r="C677" s="1" t="n">
        <v>46087</v>
      </c>
      <c r="D677" t="inlineStr">
        <is>
          <t>VÄSTERNORRLANDS LÄN</t>
        </is>
      </c>
      <c r="E677" t="inlineStr">
        <is>
          <t>TIMRÅ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44404-2023</t>
        </is>
      </c>
      <c r="B678" s="1" t="n">
        <v>45188</v>
      </c>
      <c r="C678" s="1" t="n">
        <v>46087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10852-2024</t>
        </is>
      </c>
      <c r="B679" s="1" t="n">
        <v>45370</v>
      </c>
      <c r="C679" s="1" t="n">
        <v>46087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5649-2022</t>
        </is>
      </c>
      <c r="B680" s="1" t="n">
        <v>44595.92520833333</v>
      </c>
      <c r="C680" s="1" t="n">
        <v>46087</v>
      </c>
      <c r="D680" t="inlineStr">
        <is>
          <t>VÄSTERNORRLANDS LÄN</t>
        </is>
      </c>
      <c r="E680" t="inlineStr">
        <is>
          <t>TIMRÅ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41457-2022</t>
        </is>
      </c>
      <c r="B681" s="1" t="n">
        <v>44826</v>
      </c>
      <c r="C681" s="1" t="n">
        <v>46087</v>
      </c>
      <c r="D681" t="inlineStr">
        <is>
          <t>VÄSTERNORRLANDS LÄN</t>
        </is>
      </c>
      <c r="E681" t="inlineStr">
        <is>
          <t>TIMRÅ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41465-2022</t>
        </is>
      </c>
      <c r="B682" s="1" t="n">
        <v>44826.94804398148</v>
      </c>
      <c r="C682" s="1" t="n">
        <v>46087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61606-2023</t>
        </is>
      </c>
      <c r="B683" s="1" t="n">
        <v>45261</v>
      </c>
      <c r="C683" s="1" t="n">
        <v>46087</v>
      </c>
      <c r="D683" t="inlineStr">
        <is>
          <t>VÄSTERNORRLANDS LÄN</t>
        </is>
      </c>
      <c r="E683" t="inlineStr">
        <is>
          <t>TIMRÅ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30612-2024</t>
        </is>
      </c>
      <c r="B684" s="1" t="n">
        <v>45495</v>
      </c>
      <c r="C684" s="1" t="n">
        <v>46087</v>
      </c>
      <c r="D684" t="inlineStr">
        <is>
          <t>VÄSTERNORRLANDS LÄN</t>
        </is>
      </c>
      <c r="E684" t="inlineStr">
        <is>
          <t>TIMRÅ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37676-2024</t>
        </is>
      </c>
      <c r="B685" s="1" t="n">
        <v>45541</v>
      </c>
      <c r="C685" s="1" t="n">
        <v>46087</v>
      </c>
      <c r="D685" t="inlineStr">
        <is>
          <t>VÄSTERNORRLANDS LÄN</t>
        </is>
      </c>
      <c r="E685" t="inlineStr">
        <is>
          <t>TIMRÅ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56765-2023</t>
        </is>
      </c>
      <c r="B686" s="1" t="n">
        <v>45244</v>
      </c>
      <c r="C686" s="1" t="n">
        <v>46087</v>
      </c>
      <c r="D686" t="inlineStr">
        <is>
          <t>VÄSTERNORRLANDS LÄN</t>
        </is>
      </c>
      <c r="E686" t="inlineStr">
        <is>
          <t>TIMRÅ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1817-2025</t>
        </is>
      </c>
      <c r="B687" s="1" t="n">
        <v>45671.51324074074</v>
      </c>
      <c r="C687" s="1" t="n">
        <v>46087</v>
      </c>
      <c r="D687" t="inlineStr">
        <is>
          <t>VÄSTERNORRLANDS LÄN</t>
        </is>
      </c>
      <c r="E687" t="inlineStr">
        <is>
          <t>TIMRÅ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12786-2025</t>
        </is>
      </c>
      <c r="B688" s="1" t="n">
        <v>45733.60231481482</v>
      </c>
      <c r="C688" s="1" t="n">
        <v>46087</v>
      </c>
      <c r="D688" t="inlineStr">
        <is>
          <t>VÄSTERNORRLANDS LÄN</t>
        </is>
      </c>
      <c r="E688" t="inlineStr">
        <is>
          <t>TIMRÅ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55588-2024</t>
        </is>
      </c>
      <c r="B689" s="1" t="n">
        <v>45622</v>
      </c>
      <c r="C689" s="1" t="n">
        <v>46087</v>
      </c>
      <c r="D689" t="inlineStr">
        <is>
          <t>VÄSTERNORRLANDS LÄN</t>
        </is>
      </c>
      <c r="E689" t="inlineStr">
        <is>
          <t>TIMRÅ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33749-2024</t>
        </is>
      </c>
      <c r="B690" s="1" t="n">
        <v>45520</v>
      </c>
      <c r="C690" s="1" t="n">
        <v>46087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11269-2022</t>
        </is>
      </c>
      <c r="B691" s="1" t="n">
        <v>44629.71497685185</v>
      </c>
      <c r="C691" s="1" t="n">
        <v>46087</v>
      </c>
      <c r="D691" t="inlineStr">
        <is>
          <t>VÄSTERNORRLANDS LÄN</t>
        </is>
      </c>
      <c r="E691" t="inlineStr">
        <is>
          <t>TIMRÅ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580-2022</t>
        </is>
      </c>
      <c r="B692" s="1" t="n">
        <v>44566</v>
      </c>
      <c r="C692" s="1" t="n">
        <v>46087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28373-2023</t>
        </is>
      </c>
      <c r="B693" s="1" t="n">
        <v>45099.95390046296</v>
      </c>
      <c r="C693" s="1" t="n">
        <v>46087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34035-2021</t>
        </is>
      </c>
      <c r="B694" s="1" t="n">
        <v>44378</v>
      </c>
      <c r="C694" s="1" t="n">
        <v>46087</v>
      </c>
      <c r="D694" t="inlineStr">
        <is>
          <t>VÄSTERNORRLANDS LÄN</t>
        </is>
      </c>
      <c r="E694" t="inlineStr">
        <is>
          <t>TIMRÅ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18684-2023</t>
        </is>
      </c>
      <c r="B695" s="1" t="n">
        <v>45042</v>
      </c>
      <c r="C695" s="1" t="n">
        <v>46087</v>
      </c>
      <c r="D695" t="inlineStr">
        <is>
          <t>VÄSTERNORRLANDS LÄN</t>
        </is>
      </c>
      <c r="E695" t="inlineStr">
        <is>
          <t>TIMRÅ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61166-2024</t>
        </is>
      </c>
      <c r="B696" s="1" t="n">
        <v>45645.59753472222</v>
      </c>
      <c r="C696" s="1" t="n">
        <v>46087</v>
      </c>
      <c r="D696" t="inlineStr">
        <is>
          <t>VÄSTERNORRLANDS LÄN</t>
        </is>
      </c>
      <c r="E696" t="inlineStr">
        <is>
          <t>TIMRÅ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69266-2021</t>
        </is>
      </c>
      <c r="B697" s="1" t="n">
        <v>44530</v>
      </c>
      <c r="C697" s="1" t="n">
        <v>46087</v>
      </c>
      <c r="D697" t="inlineStr">
        <is>
          <t>VÄSTERNORRLANDS LÄN</t>
        </is>
      </c>
      <c r="E697" t="inlineStr">
        <is>
          <t>TIMRÅ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14680-2022</t>
        </is>
      </c>
      <c r="B698" s="1" t="n">
        <v>44655</v>
      </c>
      <c r="C698" s="1" t="n">
        <v>46087</v>
      </c>
      <c r="D698" t="inlineStr">
        <is>
          <t>VÄSTERNORRLANDS LÄN</t>
        </is>
      </c>
      <c r="E698" t="inlineStr">
        <is>
          <t>TIMRÅ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45723-2023</t>
        </is>
      </c>
      <c r="B699" s="1" t="n">
        <v>45195</v>
      </c>
      <c r="C699" s="1" t="n">
        <v>46087</v>
      </c>
      <c r="D699" t="inlineStr">
        <is>
          <t>VÄSTERNORRLANDS LÄN</t>
        </is>
      </c>
      <c r="E699" t="inlineStr">
        <is>
          <t>TIMRÅ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58895-2023</t>
        </is>
      </c>
      <c r="B700" s="1" t="n">
        <v>45252</v>
      </c>
      <c r="C700" s="1" t="n">
        <v>46087</v>
      </c>
      <c r="D700" t="inlineStr">
        <is>
          <t>VÄSTERNORRLANDS LÄN</t>
        </is>
      </c>
      <c r="E700" t="inlineStr">
        <is>
          <t>TIMRÅ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42094-2024</t>
        </is>
      </c>
      <c r="B701" s="1" t="n">
        <v>45562</v>
      </c>
      <c r="C701" s="1" t="n">
        <v>46087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18415-2025</t>
        </is>
      </c>
      <c r="B702" s="1" t="n">
        <v>45762.61503472222</v>
      </c>
      <c r="C702" s="1" t="n">
        <v>46087</v>
      </c>
      <c r="D702" t="inlineStr">
        <is>
          <t>VÄSTERNORRLANDS LÄN</t>
        </is>
      </c>
      <c r="E702" t="inlineStr">
        <is>
          <t>TIMRÅ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45627-2024</t>
        </is>
      </c>
      <c r="B703" s="1" t="n">
        <v>45579</v>
      </c>
      <c r="C703" s="1" t="n">
        <v>46087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43959-2023</t>
        </is>
      </c>
      <c r="B704" s="1" t="n">
        <v>45187.9603587963</v>
      </c>
      <c r="C704" s="1" t="n">
        <v>46087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4124-2023</t>
        </is>
      </c>
      <c r="B705" s="1" t="n">
        <v>44952</v>
      </c>
      <c r="C705" s="1" t="n">
        <v>46087</v>
      </c>
      <c r="D705" t="inlineStr">
        <is>
          <t>VÄSTERNORRLANDS LÄN</t>
        </is>
      </c>
      <c r="E705" t="inlineStr">
        <is>
          <t>TIMRÅ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18375-2025</t>
        </is>
      </c>
      <c r="B706" s="1" t="n">
        <v>45762.57328703703</v>
      </c>
      <c r="C706" s="1" t="n">
        <v>46087</v>
      </c>
      <c r="D706" t="inlineStr">
        <is>
          <t>VÄSTERNORRLANDS LÄN</t>
        </is>
      </c>
      <c r="E706" t="inlineStr">
        <is>
          <t>TIMRÅ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52346-2024</t>
        </is>
      </c>
      <c r="B707" s="1" t="n">
        <v>45609.34423611111</v>
      </c>
      <c r="C707" s="1" t="n">
        <v>46087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HYPERLINK("https://klasma.github.io/Logging_2262/knärot/A 52346-2024 karta knärot.png", "A 52346-2024")</f>
        <v/>
      </c>
      <c r="V707">
        <f>HYPERLINK("https://klasma.github.io/Logging_2262/klagomål/A 52346-2024 FSC-klagomål.docx", "A 52346-2024")</f>
        <v/>
      </c>
      <c r="W707">
        <f>HYPERLINK("https://klasma.github.io/Logging_2262/klagomålsmail/A 52346-2024 FSC-klagomål mail.docx", "A 52346-2024")</f>
        <v/>
      </c>
      <c r="X707">
        <f>HYPERLINK("https://klasma.github.io/Logging_2262/tillsyn/A 52346-2024 tillsynsbegäran.docx", "A 52346-2024")</f>
        <v/>
      </c>
      <c r="Y707">
        <f>HYPERLINK("https://klasma.github.io/Logging_2262/tillsynsmail/A 52346-2024 tillsynsbegäran mail.docx", "A 52346-2024")</f>
        <v/>
      </c>
    </row>
    <row r="708" ht="15" customHeight="1">
      <c r="A708" t="inlineStr">
        <is>
          <t>A 44378-2023</t>
        </is>
      </c>
      <c r="B708" s="1" t="n">
        <v>45188.92491898148</v>
      </c>
      <c r="C708" s="1" t="n">
        <v>46087</v>
      </c>
      <c r="D708" t="inlineStr">
        <is>
          <t>VÄSTERNORRLANDS LÄN</t>
        </is>
      </c>
      <c r="E708" t="inlineStr">
        <is>
          <t>TIMRÅ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1416-2023</t>
        </is>
      </c>
      <c r="B709" s="1" t="n">
        <v>44936.92666666667</v>
      </c>
      <c r="C709" s="1" t="n">
        <v>46087</v>
      </c>
      <c r="D709" t="inlineStr">
        <is>
          <t>VÄSTERNORRLANDS LÄN</t>
        </is>
      </c>
      <c r="E709" t="inlineStr">
        <is>
          <t>TIMRÅ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2403-2025</t>
        </is>
      </c>
      <c r="B710" s="1" t="n">
        <v>45672</v>
      </c>
      <c r="C710" s="1" t="n">
        <v>46087</v>
      </c>
      <c r="D710" t="inlineStr">
        <is>
          <t>VÄSTERNORRLANDS LÄN</t>
        </is>
      </c>
      <c r="E710" t="inlineStr">
        <is>
          <t>TIMRÅ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55602-2024</t>
        </is>
      </c>
      <c r="B711" s="1" t="n">
        <v>45622</v>
      </c>
      <c r="C711" s="1" t="n">
        <v>46087</v>
      </c>
      <c r="D711" t="inlineStr">
        <is>
          <t>VÄSTERNORRLANDS LÄN</t>
        </is>
      </c>
      <c r="E711" t="inlineStr">
        <is>
          <t>TIMRÅ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16863-2024</t>
        </is>
      </c>
      <c r="B712" s="1" t="n">
        <v>45411</v>
      </c>
      <c r="C712" s="1" t="n">
        <v>46087</v>
      </c>
      <c r="D712" t="inlineStr">
        <is>
          <t>VÄSTERNORRLANDS LÄN</t>
        </is>
      </c>
      <c r="E712" t="inlineStr">
        <is>
          <t>TIMRÅ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53293-2024</t>
        </is>
      </c>
      <c r="B713" s="1" t="n">
        <v>45614.38722222222</v>
      </c>
      <c r="C713" s="1" t="n">
        <v>46087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53298-2024</t>
        </is>
      </c>
      <c r="B714" s="1" t="n">
        <v>45614.38810185185</v>
      </c>
      <c r="C714" s="1" t="n">
        <v>46087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53299-2024</t>
        </is>
      </c>
      <c r="B715" s="1" t="n">
        <v>45614.38815972222</v>
      </c>
      <c r="C715" s="1" t="n">
        <v>46087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54547-2024</t>
        </is>
      </c>
      <c r="B716" s="1" t="n">
        <v>45617.61572916667</v>
      </c>
      <c r="C716" s="1" t="n">
        <v>46087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24988-2022</t>
        </is>
      </c>
      <c r="B717" s="1" t="n">
        <v>44728</v>
      </c>
      <c r="C717" s="1" t="n">
        <v>46087</v>
      </c>
      <c r="D717" t="inlineStr">
        <is>
          <t>VÄSTERNORRLANDS LÄN</t>
        </is>
      </c>
      <c r="E717" t="inlineStr">
        <is>
          <t>TIMRÅ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44405-2023</t>
        </is>
      </c>
      <c r="B718" s="1" t="n">
        <v>45188</v>
      </c>
      <c r="C718" s="1" t="n">
        <v>46087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14578-2024</t>
        </is>
      </c>
      <c r="B719" s="1" t="n">
        <v>45394.95059027777</v>
      </c>
      <c r="C719" s="1" t="n">
        <v>46087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48031-2024</t>
        </is>
      </c>
      <c r="B720" s="1" t="n">
        <v>45589.48760416666</v>
      </c>
      <c r="C720" s="1" t="n">
        <v>46087</v>
      </c>
      <c r="D720" t="inlineStr">
        <is>
          <t>VÄSTERNORRLANDS LÄN</t>
        </is>
      </c>
      <c r="E720" t="inlineStr">
        <is>
          <t>TIMRÅ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27623-2024</t>
        </is>
      </c>
      <c r="B721" s="1" t="n">
        <v>45474</v>
      </c>
      <c r="C721" s="1" t="n">
        <v>46087</v>
      </c>
      <c r="D721" t="inlineStr">
        <is>
          <t>VÄSTERNORRLANDS LÄN</t>
        </is>
      </c>
      <c r="E721" t="inlineStr">
        <is>
          <t>TIMRÅ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19244-2023</t>
        </is>
      </c>
      <c r="B722" s="1" t="n">
        <v>45048</v>
      </c>
      <c r="C722" s="1" t="n">
        <v>46087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24304-2022</t>
        </is>
      </c>
      <c r="B723" s="1" t="n">
        <v>44725</v>
      </c>
      <c r="C723" s="1" t="n">
        <v>46087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45608-2024</t>
        </is>
      </c>
      <c r="B724" s="1" t="n">
        <v>45579.4483912037</v>
      </c>
      <c r="C724" s="1" t="n">
        <v>46087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45629-2024</t>
        </is>
      </c>
      <c r="B725" s="1" t="n">
        <v>45579.46957175926</v>
      </c>
      <c r="C725" s="1" t="n">
        <v>46087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57762-2023</t>
        </is>
      </c>
      <c r="B726" s="1" t="n">
        <v>45246</v>
      </c>
      <c r="C726" s="1" t="n">
        <v>46087</v>
      </c>
      <c r="D726" t="inlineStr">
        <is>
          <t>VÄSTERNORRLANDS LÄN</t>
        </is>
      </c>
      <c r="E726" t="inlineStr">
        <is>
          <t>TIMRÅ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44991-2023</t>
        </is>
      </c>
      <c r="B727" s="1" t="n">
        <v>45190</v>
      </c>
      <c r="C727" s="1" t="n">
        <v>46087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33667-2023</t>
        </is>
      </c>
      <c r="B728" s="1" t="n">
        <v>45119</v>
      </c>
      <c r="C728" s="1" t="n">
        <v>46087</v>
      </c>
      <c r="D728" t="inlineStr">
        <is>
          <t>VÄSTERNORRLANDS LÄN</t>
        </is>
      </c>
      <c r="E728" t="inlineStr">
        <is>
          <t>TIMRÅ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13254-2023</t>
        </is>
      </c>
      <c r="B729" s="1" t="n">
        <v>45002</v>
      </c>
      <c r="C729" s="1" t="n">
        <v>46087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20835-2023</t>
        </is>
      </c>
      <c r="B730" s="1" t="n">
        <v>45058</v>
      </c>
      <c r="C730" s="1" t="n">
        <v>46087</v>
      </c>
      <c r="D730" t="inlineStr">
        <is>
          <t>VÄSTERNORRLANDS LÄN</t>
        </is>
      </c>
      <c r="E730" t="inlineStr">
        <is>
          <t>TIMRÅ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20839-2023</t>
        </is>
      </c>
      <c r="B731" s="1" t="n">
        <v>45058.68923611111</v>
      </c>
      <c r="C731" s="1" t="n">
        <v>46087</v>
      </c>
      <c r="D731" t="inlineStr">
        <is>
          <t>VÄSTERNORRLANDS LÄN</t>
        </is>
      </c>
      <c r="E731" t="inlineStr">
        <is>
          <t>TIMRÅ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47150-2023</t>
        </is>
      </c>
      <c r="B732" s="1" t="n">
        <v>45201</v>
      </c>
      <c r="C732" s="1" t="n">
        <v>46087</v>
      </c>
      <c r="D732" t="inlineStr">
        <is>
          <t>VÄSTERNORRLANDS LÄN</t>
        </is>
      </c>
      <c r="E732" t="inlineStr">
        <is>
          <t>TIMRÅ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20840-2023</t>
        </is>
      </c>
      <c r="B733" s="1" t="n">
        <v>45058</v>
      </c>
      <c r="C733" s="1" t="n">
        <v>46087</v>
      </c>
      <c r="D733" t="inlineStr">
        <is>
          <t>VÄSTERNORRLANDS LÄN</t>
        </is>
      </c>
      <c r="E733" t="inlineStr">
        <is>
          <t>TIMRÅ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524-2023</t>
        </is>
      </c>
      <c r="B734" s="1" t="n">
        <v>44924</v>
      </c>
      <c r="C734" s="1" t="n">
        <v>46087</v>
      </c>
      <c r="D734" t="inlineStr">
        <is>
          <t>VÄSTERNORRLANDS LÄN</t>
        </is>
      </c>
      <c r="E734" t="inlineStr">
        <is>
          <t>TIMRÅ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9717-2025</t>
        </is>
      </c>
      <c r="B735" s="1" t="n">
        <v>45716</v>
      </c>
      <c r="C735" s="1" t="n">
        <v>46087</v>
      </c>
      <c r="D735" t="inlineStr">
        <is>
          <t>VÄSTERNORRLANDS LÄN</t>
        </is>
      </c>
      <c r="E735" t="inlineStr">
        <is>
          <t>TIMRÅ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56443-2024</t>
        </is>
      </c>
      <c r="B736" s="1" t="n">
        <v>45625</v>
      </c>
      <c r="C736" s="1" t="n">
        <v>46087</v>
      </c>
      <c r="D736" t="inlineStr">
        <is>
          <t>VÄSTERNORRLANDS LÄN</t>
        </is>
      </c>
      <c r="E736" t="inlineStr">
        <is>
          <t>TIMRÅ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39691-2022</t>
        </is>
      </c>
      <c r="B737" s="1" t="n">
        <v>44818.9474537037</v>
      </c>
      <c r="C737" s="1" t="n">
        <v>46087</v>
      </c>
      <c r="D737" t="inlineStr">
        <is>
          <t>VÄSTERNORRLANDS LÄN</t>
        </is>
      </c>
      <c r="E737" t="inlineStr">
        <is>
          <t>TIMRÅ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55080-2024</t>
        </is>
      </c>
      <c r="B738" s="1" t="n">
        <v>45621.4275462963</v>
      </c>
      <c r="C738" s="1" t="n">
        <v>46087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38996-2024</t>
        </is>
      </c>
      <c r="B739" s="1" t="n">
        <v>45548.41377314815</v>
      </c>
      <c r="C739" s="1" t="n">
        <v>46087</v>
      </c>
      <c r="D739" t="inlineStr">
        <is>
          <t>VÄSTERNORRLANDS LÄN</t>
        </is>
      </c>
      <c r="E739" t="inlineStr">
        <is>
          <t>TIMRÅ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57063-2024</t>
        </is>
      </c>
      <c r="B740" s="1" t="n">
        <v>45629.35313657407</v>
      </c>
      <c r="C740" s="1" t="n">
        <v>46087</v>
      </c>
      <c r="D740" t="inlineStr">
        <is>
          <t>VÄSTERNORRLANDS LÄN</t>
        </is>
      </c>
      <c r="E740" t="inlineStr">
        <is>
          <t>TIMRÅ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16315-2024</t>
        </is>
      </c>
      <c r="B741" s="1" t="n">
        <v>45407</v>
      </c>
      <c r="C741" s="1" t="n">
        <v>46087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Kommuner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20843-2023</t>
        </is>
      </c>
      <c r="B742" s="1" t="n">
        <v>45058</v>
      </c>
      <c r="C742" s="1" t="n">
        <v>46087</v>
      </c>
      <c r="D742" t="inlineStr">
        <is>
          <t>VÄSTERNORRLANDS LÄN</t>
        </is>
      </c>
      <c r="E742" t="inlineStr">
        <is>
          <t>TIMRÅ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20844-2023</t>
        </is>
      </c>
      <c r="B743" s="1" t="n">
        <v>45058</v>
      </c>
      <c r="C743" s="1" t="n">
        <v>46087</v>
      </c>
      <c r="D743" t="inlineStr">
        <is>
          <t>VÄSTERNORRLANDS LÄN</t>
        </is>
      </c>
      <c r="E743" t="inlineStr">
        <is>
          <t>TIMRÅ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2026-03-06T11:20:02Z</dcterms:created>
  <dcterms:modified xmlns:dcterms="http://purl.org/dc/terms/" xmlns:xsi="http://www.w3.org/2001/XMLSchema-instance" xsi:type="dcterms:W3CDTF">2026-03-06T11:20:02Z</dcterms:modified>
</cp:coreProperties>
</file>