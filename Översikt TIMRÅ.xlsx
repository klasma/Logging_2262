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45670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45670</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45670</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45670</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45670</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45670</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45670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45670</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45670</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45670</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45670</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45670</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45670</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45670</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45670</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45670</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45670</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45670</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45670</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45670</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45670</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45670</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45670</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45670</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45670</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45670</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45670</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45670</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45670</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45670</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45670</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45670</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45670</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45670</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45670</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45670</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45670</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18510-2021</t>
        </is>
      </c>
      <c r="B39" s="1" t="n">
        <v>44306</v>
      </c>
      <c r="C39" s="1" t="n">
        <v>45670</v>
      </c>
      <c r="D39" t="inlineStr">
        <is>
          <t>VÄSTERNORRLANDS LÄN</t>
        </is>
      </c>
      <c r="E39" t="inlineStr">
        <is>
          <t>TIMRÅ</t>
        </is>
      </c>
      <c r="G39" t="n">
        <v>28</v>
      </c>
      <c r="H39" t="n">
        <v>1</v>
      </c>
      <c r="I39" t="n">
        <v>1</v>
      </c>
      <c r="J39" t="n">
        <v>1</v>
      </c>
      <c r="K39" t="n">
        <v>0</v>
      </c>
      <c r="L39" t="n">
        <v>0</v>
      </c>
      <c r="M39" t="n">
        <v>0</v>
      </c>
      <c r="N39" t="n">
        <v>0</v>
      </c>
      <c r="O39" t="n">
        <v>1</v>
      </c>
      <c r="P39" t="n">
        <v>0</v>
      </c>
      <c r="Q39" t="n">
        <v>2</v>
      </c>
      <c r="R39" s="2" t="inlineStr">
        <is>
          <t>Sötgräs
Strutbräken</t>
        </is>
      </c>
      <c r="S39">
        <f>HYPERLINK("https://klasma.github.io/Logging_2262/artfynd/A 18510-2021 artfynd.xlsx", "A 18510-2021")</f>
        <v/>
      </c>
      <c r="T39">
        <f>HYPERLINK("https://klasma.github.io/Logging_2262/kartor/A 18510-2021 karta.png", "A 18510-2021")</f>
        <v/>
      </c>
      <c r="V39">
        <f>HYPERLINK("https://klasma.github.io/Logging_2262/klagomål/A 18510-2021 FSC-klagomål.docx", "A 18510-2021")</f>
        <v/>
      </c>
      <c r="W39">
        <f>HYPERLINK("https://klasma.github.io/Logging_2262/klagomålsmail/A 18510-2021 FSC-klagomål mail.docx", "A 18510-2021")</f>
        <v/>
      </c>
      <c r="X39">
        <f>HYPERLINK("https://klasma.github.io/Logging_2262/tillsyn/A 18510-2021 tillsynsbegäran.docx", "A 18510-2021")</f>
        <v/>
      </c>
      <c r="Y39">
        <f>HYPERLINK("https://klasma.github.io/Logging_2262/tillsynsmail/A 18510-2021 tillsynsbegäran mail.docx", "A 18510-2021")</f>
        <v/>
      </c>
    </row>
    <row r="40" ht="15" customHeight="1">
      <c r="A40" t="inlineStr">
        <is>
          <t>A 23222-2022</t>
        </is>
      </c>
      <c r="B40" s="1" t="n">
        <v>44719</v>
      </c>
      <c r="C40" s="1" t="n">
        <v>45670</v>
      </c>
      <c r="D40" t="inlineStr">
        <is>
          <t>VÄSTERNORRLANDS LÄN</t>
        </is>
      </c>
      <c r="E40" t="inlineStr">
        <is>
          <t>TIMRÅ</t>
        </is>
      </c>
      <c r="F40" t="inlineStr">
        <is>
          <t>SCA</t>
        </is>
      </c>
      <c r="G40" t="n">
        <v>4</v>
      </c>
      <c r="H40" t="n">
        <v>0</v>
      </c>
      <c r="I40" t="n">
        <v>0</v>
      </c>
      <c r="J40" t="n">
        <v>2</v>
      </c>
      <c r="K40" t="n">
        <v>0</v>
      </c>
      <c r="L40" t="n">
        <v>0</v>
      </c>
      <c r="M40" t="n">
        <v>0</v>
      </c>
      <c r="N40" t="n">
        <v>0</v>
      </c>
      <c r="O40" t="n">
        <v>2</v>
      </c>
      <c r="P40" t="n">
        <v>0</v>
      </c>
      <c r="Q40" t="n">
        <v>2</v>
      </c>
      <c r="R40" s="2" t="inlineStr">
        <is>
          <t>Gammelgransskål
Garnlav</t>
        </is>
      </c>
      <c r="S40">
        <f>HYPERLINK("https://klasma.github.io/Logging_2262/artfynd/A 23222-2022 artfynd.xlsx", "A 23222-2022")</f>
        <v/>
      </c>
      <c r="T40">
        <f>HYPERLINK("https://klasma.github.io/Logging_2262/kartor/A 23222-2022 karta.png", "A 23222-2022")</f>
        <v/>
      </c>
      <c r="V40">
        <f>HYPERLINK("https://klasma.github.io/Logging_2262/klagomål/A 23222-2022 FSC-klagomål.docx", "A 23222-2022")</f>
        <v/>
      </c>
      <c r="W40">
        <f>HYPERLINK("https://klasma.github.io/Logging_2262/klagomålsmail/A 23222-2022 FSC-klagomål mail.docx", "A 23222-2022")</f>
        <v/>
      </c>
      <c r="X40">
        <f>HYPERLINK("https://klasma.github.io/Logging_2262/tillsyn/A 23222-2022 tillsynsbegäran.docx", "A 23222-2022")</f>
        <v/>
      </c>
      <c r="Y40">
        <f>HYPERLINK("https://klasma.github.io/Logging_2262/tillsynsmail/A 23222-2022 tillsynsbegäran mail.docx", "A 23222-2022")</f>
        <v/>
      </c>
    </row>
    <row r="41" ht="15" customHeight="1">
      <c r="A41" t="inlineStr">
        <is>
          <t>A 30246-2022</t>
        </is>
      </c>
      <c r="B41" s="1" t="n">
        <v>44758</v>
      </c>
      <c r="C41" s="1" t="n">
        <v>45670</v>
      </c>
      <c r="D41" t="inlineStr">
        <is>
          <t>VÄSTERNORRLANDS LÄN</t>
        </is>
      </c>
      <c r="E41" t="inlineStr">
        <is>
          <t>TIMRÅ</t>
        </is>
      </c>
      <c r="F41" t="inlineStr">
        <is>
          <t>SCA</t>
        </is>
      </c>
      <c r="G41" t="n">
        <v>0.8</v>
      </c>
      <c r="H41" t="n">
        <v>1</v>
      </c>
      <c r="I41" t="n">
        <v>0</v>
      </c>
      <c r="J41" t="n">
        <v>1</v>
      </c>
      <c r="K41" t="n">
        <v>0</v>
      </c>
      <c r="L41" t="n">
        <v>0</v>
      </c>
      <c r="M41" t="n">
        <v>0</v>
      </c>
      <c r="N41" t="n">
        <v>0</v>
      </c>
      <c r="O41" t="n">
        <v>1</v>
      </c>
      <c r="P41" t="n">
        <v>0</v>
      </c>
      <c r="Q41" t="n">
        <v>2</v>
      </c>
      <c r="R41" s="2" t="inlineStr">
        <is>
          <t>Garnlav
Vanlig padda</t>
        </is>
      </c>
      <c r="S41">
        <f>HYPERLINK("https://klasma.github.io/Logging_2262/artfynd/A 30246-2022 artfynd.xlsx", "A 30246-2022")</f>
        <v/>
      </c>
      <c r="T41">
        <f>HYPERLINK("https://klasma.github.io/Logging_2262/kartor/A 30246-2022 karta.png", "A 30246-2022")</f>
        <v/>
      </c>
      <c r="V41">
        <f>HYPERLINK("https://klasma.github.io/Logging_2262/klagomål/A 30246-2022 FSC-klagomål.docx", "A 30246-2022")</f>
        <v/>
      </c>
      <c r="W41">
        <f>HYPERLINK("https://klasma.github.io/Logging_2262/klagomålsmail/A 30246-2022 FSC-klagomål mail.docx", "A 30246-2022")</f>
        <v/>
      </c>
      <c r="X41">
        <f>HYPERLINK("https://klasma.github.io/Logging_2262/tillsyn/A 30246-2022 tillsynsbegäran.docx", "A 30246-2022")</f>
        <v/>
      </c>
      <c r="Y41">
        <f>HYPERLINK("https://klasma.github.io/Logging_2262/tillsynsmail/A 30246-2022 tillsynsbegäran mail.docx", "A 30246-2022")</f>
        <v/>
      </c>
    </row>
    <row r="42" ht="15" customHeight="1">
      <c r="A42" t="inlineStr">
        <is>
          <t>A 42283-2022</t>
        </is>
      </c>
      <c r="B42" s="1" t="n">
        <v>44830</v>
      </c>
      <c r="C42" s="1" t="n">
        <v>45670</v>
      </c>
      <c r="D42" t="inlineStr">
        <is>
          <t>VÄSTERNORRLANDS LÄN</t>
        </is>
      </c>
      <c r="E42" t="inlineStr">
        <is>
          <t>TIMRÅ</t>
        </is>
      </c>
      <c r="F42" t="inlineStr">
        <is>
          <t>SCA</t>
        </is>
      </c>
      <c r="G42" t="n">
        <v>5.2</v>
      </c>
      <c r="H42" t="n">
        <v>0</v>
      </c>
      <c r="I42" t="n">
        <v>0</v>
      </c>
      <c r="J42" t="n">
        <v>2</v>
      </c>
      <c r="K42" t="n">
        <v>0</v>
      </c>
      <c r="L42" t="n">
        <v>0</v>
      </c>
      <c r="M42" t="n">
        <v>0</v>
      </c>
      <c r="N42" t="n">
        <v>0</v>
      </c>
      <c r="O42" t="n">
        <v>2</v>
      </c>
      <c r="P42" t="n">
        <v>0</v>
      </c>
      <c r="Q42" t="n">
        <v>2</v>
      </c>
      <c r="R42" s="2" t="inlineStr">
        <is>
          <t>Garnlav
Lunglav</t>
        </is>
      </c>
      <c r="S42">
        <f>HYPERLINK("https://klasma.github.io/Logging_2262/artfynd/A 42283-2022 artfynd.xlsx", "A 42283-2022")</f>
        <v/>
      </c>
      <c r="T42">
        <f>HYPERLINK("https://klasma.github.io/Logging_2262/kartor/A 42283-2022 karta.png", "A 42283-2022")</f>
        <v/>
      </c>
      <c r="V42">
        <f>HYPERLINK("https://klasma.github.io/Logging_2262/klagomål/A 42283-2022 FSC-klagomål.docx", "A 42283-2022")</f>
        <v/>
      </c>
      <c r="W42">
        <f>HYPERLINK("https://klasma.github.io/Logging_2262/klagomålsmail/A 42283-2022 FSC-klagomål mail.docx", "A 42283-2022")</f>
        <v/>
      </c>
      <c r="X42">
        <f>HYPERLINK("https://klasma.github.io/Logging_2262/tillsyn/A 42283-2022 tillsynsbegäran.docx", "A 42283-2022")</f>
        <v/>
      </c>
      <c r="Y42">
        <f>HYPERLINK("https://klasma.github.io/Logging_2262/tillsynsmail/A 42283-2022 tillsynsbegäran mail.docx", "A 42283-2022")</f>
        <v/>
      </c>
    </row>
    <row r="43" ht="15" customHeight="1">
      <c r="A43" t="inlineStr">
        <is>
          <t>A 42284-2022</t>
        </is>
      </c>
      <c r="B43" s="1" t="n">
        <v>44830</v>
      </c>
      <c r="C43" s="1" t="n">
        <v>45670</v>
      </c>
      <c r="D43" t="inlineStr">
        <is>
          <t>VÄSTERNORRLANDS LÄN</t>
        </is>
      </c>
      <c r="E43" t="inlineStr">
        <is>
          <t>TIMRÅ</t>
        </is>
      </c>
      <c r="F43" t="inlineStr">
        <is>
          <t>SCA</t>
        </is>
      </c>
      <c r="G43" t="n">
        <v>7.4</v>
      </c>
      <c r="H43" t="n">
        <v>0</v>
      </c>
      <c r="I43" t="n">
        <v>0</v>
      </c>
      <c r="J43" t="n">
        <v>2</v>
      </c>
      <c r="K43" t="n">
        <v>0</v>
      </c>
      <c r="L43" t="n">
        <v>0</v>
      </c>
      <c r="M43" t="n">
        <v>0</v>
      </c>
      <c r="N43" t="n">
        <v>0</v>
      </c>
      <c r="O43" t="n">
        <v>2</v>
      </c>
      <c r="P43" t="n">
        <v>0</v>
      </c>
      <c r="Q43" t="n">
        <v>2</v>
      </c>
      <c r="R43" s="2" t="inlineStr">
        <is>
          <t>Garnlav
Violettgrå tagellav</t>
        </is>
      </c>
      <c r="S43">
        <f>HYPERLINK("https://klasma.github.io/Logging_2262/artfynd/A 42284-2022 artfynd.xlsx", "A 42284-2022")</f>
        <v/>
      </c>
      <c r="T43">
        <f>HYPERLINK("https://klasma.github.io/Logging_2262/kartor/A 42284-2022 karta.png", "A 42284-2022")</f>
        <v/>
      </c>
      <c r="V43">
        <f>HYPERLINK("https://klasma.github.io/Logging_2262/klagomål/A 42284-2022 FSC-klagomål.docx", "A 42284-2022")</f>
        <v/>
      </c>
      <c r="W43">
        <f>HYPERLINK("https://klasma.github.io/Logging_2262/klagomålsmail/A 42284-2022 FSC-klagomål mail.docx", "A 42284-2022")</f>
        <v/>
      </c>
      <c r="X43">
        <f>HYPERLINK("https://klasma.github.io/Logging_2262/tillsyn/A 42284-2022 tillsynsbegäran.docx", "A 42284-2022")</f>
        <v/>
      </c>
      <c r="Y43">
        <f>HYPERLINK("https://klasma.github.io/Logging_2262/tillsynsmail/A 42284-2022 tillsynsbegäran mail.docx", "A 42284-2022")</f>
        <v/>
      </c>
    </row>
    <row r="44" ht="15" customHeight="1">
      <c r="A44" t="inlineStr">
        <is>
          <t>A 42285-2022</t>
        </is>
      </c>
      <c r="B44" s="1" t="n">
        <v>44830</v>
      </c>
      <c r="C44" s="1" t="n">
        <v>45670</v>
      </c>
      <c r="D44" t="inlineStr">
        <is>
          <t>VÄSTERNORRLANDS LÄN</t>
        </is>
      </c>
      <c r="E44" t="inlineStr">
        <is>
          <t>TIMRÅ</t>
        </is>
      </c>
      <c r="F44" t="inlineStr">
        <is>
          <t>SCA</t>
        </is>
      </c>
      <c r="G44" t="n">
        <v>2.9</v>
      </c>
      <c r="H44" t="n">
        <v>0</v>
      </c>
      <c r="I44" t="n">
        <v>2</v>
      </c>
      <c r="J44" t="n">
        <v>0</v>
      </c>
      <c r="K44" t="n">
        <v>0</v>
      </c>
      <c r="L44" t="n">
        <v>0</v>
      </c>
      <c r="M44" t="n">
        <v>0</v>
      </c>
      <c r="N44" t="n">
        <v>0</v>
      </c>
      <c r="O44" t="n">
        <v>0</v>
      </c>
      <c r="P44" t="n">
        <v>0</v>
      </c>
      <c r="Q44" t="n">
        <v>2</v>
      </c>
      <c r="R44" s="2" t="inlineStr">
        <is>
          <t>Korallblylav
Skinnlav</t>
        </is>
      </c>
      <c r="S44">
        <f>HYPERLINK("https://klasma.github.io/Logging_2262/artfynd/A 42285-2022 artfynd.xlsx", "A 42285-2022")</f>
        <v/>
      </c>
      <c r="T44">
        <f>HYPERLINK("https://klasma.github.io/Logging_2262/kartor/A 42285-2022 karta.png", "A 42285-2022")</f>
        <v/>
      </c>
      <c r="V44">
        <f>HYPERLINK("https://klasma.github.io/Logging_2262/klagomål/A 42285-2022 FSC-klagomål.docx", "A 42285-2022")</f>
        <v/>
      </c>
      <c r="W44">
        <f>HYPERLINK("https://klasma.github.io/Logging_2262/klagomålsmail/A 42285-2022 FSC-klagomål mail.docx", "A 42285-2022")</f>
        <v/>
      </c>
      <c r="X44">
        <f>HYPERLINK("https://klasma.github.io/Logging_2262/tillsyn/A 42285-2022 tillsynsbegäran.docx", "A 42285-2022")</f>
        <v/>
      </c>
      <c r="Y44">
        <f>HYPERLINK("https://klasma.github.io/Logging_2262/tillsynsmail/A 42285-2022 tillsynsbegäran mail.docx", "A 42285-2022")</f>
        <v/>
      </c>
    </row>
    <row r="45" ht="15" customHeight="1">
      <c r="A45" t="inlineStr">
        <is>
          <t>A 42889-2022</t>
        </is>
      </c>
      <c r="B45" s="1" t="n">
        <v>44832</v>
      </c>
      <c r="C45" s="1" t="n">
        <v>45670</v>
      </c>
      <c r="D45" t="inlineStr">
        <is>
          <t>VÄSTERNORRLANDS LÄN</t>
        </is>
      </c>
      <c r="E45" t="inlineStr">
        <is>
          <t>TIMRÅ</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HYPERLINK("https://klasma.github.io/Logging_2262/artfynd/A 42889-2022 artfynd.xlsx", "A 42889-2022")</f>
        <v/>
      </c>
      <c r="T45">
        <f>HYPERLINK("https://klasma.github.io/Logging_2262/kartor/A 42889-2022 karta.png", "A 42889-2022")</f>
        <v/>
      </c>
      <c r="V45">
        <f>HYPERLINK("https://klasma.github.io/Logging_2262/klagomål/A 42889-2022 FSC-klagomål.docx", "A 42889-2022")</f>
        <v/>
      </c>
      <c r="W45">
        <f>HYPERLINK("https://klasma.github.io/Logging_2262/klagomålsmail/A 42889-2022 FSC-klagomål mail.docx", "A 42889-2022")</f>
        <v/>
      </c>
      <c r="X45">
        <f>HYPERLINK("https://klasma.github.io/Logging_2262/tillsyn/A 42889-2022 tillsynsbegäran.docx", "A 42889-2022")</f>
        <v/>
      </c>
      <c r="Y45">
        <f>HYPERLINK("https://klasma.github.io/Logging_2262/tillsynsmail/A 42889-2022 tillsynsbegäran mail.docx", "A 42889-2022")</f>
        <v/>
      </c>
      <c r="Z45">
        <f>HYPERLINK("https://klasma.github.io/Logging_2262/fåglar/A 42889-2022 prioriterade fågelarter.docx", "A 42889-2022")</f>
        <v/>
      </c>
    </row>
    <row r="46" ht="15" customHeight="1">
      <c r="A46" t="inlineStr">
        <is>
          <t>A 49202-2022</t>
        </is>
      </c>
      <c r="B46" s="1" t="n">
        <v>44860</v>
      </c>
      <c r="C46" s="1" t="n">
        <v>45670</v>
      </c>
      <c r="D46" t="inlineStr">
        <is>
          <t>VÄSTERNORRLANDS LÄN</t>
        </is>
      </c>
      <c r="E46" t="inlineStr">
        <is>
          <t>TIMRÅ</t>
        </is>
      </c>
      <c r="F46" t="inlineStr">
        <is>
          <t>SCA</t>
        </is>
      </c>
      <c r="G46" t="n">
        <v>2.2</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49202-2022 artfynd.xlsx", "A 49202-2022")</f>
        <v/>
      </c>
      <c r="T46">
        <f>HYPERLINK("https://klasma.github.io/Logging_2262/kartor/A 49202-2022 karta.png", "A 49202-2022")</f>
        <v/>
      </c>
      <c r="V46">
        <f>HYPERLINK("https://klasma.github.io/Logging_2262/klagomål/A 49202-2022 FSC-klagomål.docx", "A 49202-2022")</f>
        <v/>
      </c>
      <c r="W46">
        <f>HYPERLINK("https://klasma.github.io/Logging_2262/klagomålsmail/A 49202-2022 FSC-klagomål mail.docx", "A 49202-2022")</f>
        <v/>
      </c>
      <c r="X46">
        <f>HYPERLINK("https://klasma.github.io/Logging_2262/tillsyn/A 49202-2022 tillsynsbegäran.docx", "A 49202-2022")</f>
        <v/>
      </c>
      <c r="Y46">
        <f>HYPERLINK("https://klasma.github.io/Logging_2262/tillsynsmail/A 49202-2022 tillsynsbegäran mail.docx", "A 49202-2022")</f>
        <v/>
      </c>
    </row>
    <row r="47" ht="15" customHeight="1">
      <c r="A47" t="inlineStr">
        <is>
          <t>A 29600-2023</t>
        </is>
      </c>
      <c r="B47" s="1" t="n">
        <v>45106</v>
      </c>
      <c r="C47" s="1" t="n">
        <v>45670</v>
      </c>
      <c r="D47" t="inlineStr">
        <is>
          <t>VÄSTERNORRLANDS LÄN</t>
        </is>
      </c>
      <c r="E47" t="inlineStr">
        <is>
          <t>TIMRÅ</t>
        </is>
      </c>
      <c r="F47" t="inlineStr">
        <is>
          <t>Kyrkan</t>
        </is>
      </c>
      <c r="G47" t="n">
        <v>5</v>
      </c>
      <c r="H47" t="n">
        <v>0</v>
      </c>
      <c r="I47" t="n">
        <v>2</v>
      </c>
      <c r="J47" t="n">
        <v>0</v>
      </c>
      <c r="K47" t="n">
        <v>0</v>
      </c>
      <c r="L47" t="n">
        <v>0</v>
      </c>
      <c r="M47" t="n">
        <v>0</v>
      </c>
      <c r="N47" t="n">
        <v>0</v>
      </c>
      <c r="O47" t="n">
        <v>0</v>
      </c>
      <c r="P47" t="n">
        <v>0</v>
      </c>
      <c r="Q47" t="n">
        <v>2</v>
      </c>
      <c r="R47" s="2" t="inlineStr">
        <is>
          <t>Dvärghäxört
Svart trolldruva</t>
        </is>
      </c>
      <c r="S47">
        <f>HYPERLINK("https://klasma.github.io/Logging_2262/artfynd/A 29600-2023 artfynd.xlsx", "A 29600-2023")</f>
        <v/>
      </c>
      <c r="T47">
        <f>HYPERLINK("https://klasma.github.io/Logging_2262/kartor/A 29600-2023 karta.png", "A 29600-2023")</f>
        <v/>
      </c>
      <c r="V47">
        <f>HYPERLINK("https://klasma.github.io/Logging_2262/klagomål/A 29600-2023 FSC-klagomål.docx", "A 29600-2023")</f>
        <v/>
      </c>
      <c r="W47">
        <f>HYPERLINK("https://klasma.github.io/Logging_2262/klagomålsmail/A 29600-2023 FSC-klagomål mail.docx", "A 29600-2023")</f>
        <v/>
      </c>
      <c r="X47">
        <f>HYPERLINK("https://klasma.github.io/Logging_2262/tillsyn/A 29600-2023 tillsynsbegäran.docx", "A 29600-2023")</f>
        <v/>
      </c>
      <c r="Y47">
        <f>HYPERLINK("https://klasma.github.io/Logging_2262/tillsynsmail/A 29600-2023 tillsynsbegäran mail.docx", "A 29600-2023")</f>
        <v/>
      </c>
    </row>
    <row r="48" ht="15" customHeight="1">
      <c r="A48" t="inlineStr">
        <is>
          <t>A 35003-2023</t>
        </is>
      </c>
      <c r="B48" s="1" t="n">
        <v>45142</v>
      </c>
      <c r="C48" s="1" t="n">
        <v>45670</v>
      </c>
      <c r="D48" t="inlineStr">
        <is>
          <t>VÄSTERNORRLANDS LÄN</t>
        </is>
      </c>
      <c r="E48" t="inlineStr">
        <is>
          <t>TIMRÅ</t>
        </is>
      </c>
      <c r="F48" t="inlineStr">
        <is>
          <t>SCA</t>
        </is>
      </c>
      <c r="G48" t="n">
        <v>1.9</v>
      </c>
      <c r="H48" t="n">
        <v>0</v>
      </c>
      <c r="I48" t="n">
        <v>0</v>
      </c>
      <c r="J48" t="n">
        <v>2</v>
      </c>
      <c r="K48" t="n">
        <v>0</v>
      </c>
      <c r="L48" t="n">
        <v>0</v>
      </c>
      <c r="M48" t="n">
        <v>0</v>
      </c>
      <c r="N48" t="n">
        <v>0</v>
      </c>
      <c r="O48" t="n">
        <v>2</v>
      </c>
      <c r="P48" t="n">
        <v>0</v>
      </c>
      <c r="Q48" t="n">
        <v>2</v>
      </c>
      <c r="R48" s="2" t="inlineStr">
        <is>
          <t>Lunglav
Ullticka</t>
        </is>
      </c>
      <c r="S48">
        <f>HYPERLINK("https://klasma.github.io/Logging_2262/artfynd/A 35003-2023 artfynd.xlsx", "A 35003-2023")</f>
        <v/>
      </c>
      <c r="T48">
        <f>HYPERLINK("https://klasma.github.io/Logging_2262/kartor/A 35003-2023 karta.png", "A 35003-2023")</f>
        <v/>
      </c>
      <c r="V48">
        <f>HYPERLINK("https://klasma.github.io/Logging_2262/klagomål/A 35003-2023 FSC-klagomål.docx", "A 35003-2023")</f>
        <v/>
      </c>
      <c r="W48">
        <f>HYPERLINK("https://klasma.github.io/Logging_2262/klagomålsmail/A 35003-2023 FSC-klagomål mail.docx", "A 35003-2023")</f>
        <v/>
      </c>
      <c r="X48">
        <f>HYPERLINK("https://klasma.github.io/Logging_2262/tillsyn/A 35003-2023 tillsynsbegäran.docx", "A 35003-2023")</f>
        <v/>
      </c>
      <c r="Y48">
        <f>HYPERLINK("https://klasma.github.io/Logging_2262/tillsynsmail/A 35003-2023 tillsynsbegäran mail.docx", "A 35003-2023")</f>
        <v/>
      </c>
    </row>
    <row r="49" ht="15" customHeight="1">
      <c r="A49" t="inlineStr">
        <is>
          <t>A 43413-2023</t>
        </is>
      </c>
      <c r="B49" s="1" t="n">
        <v>45183</v>
      </c>
      <c r="C49" s="1" t="n">
        <v>45670</v>
      </c>
      <c r="D49" t="inlineStr">
        <is>
          <t>VÄSTERNORRLANDS LÄN</t>
        </is>
      </c>
      <c r="E49" t="inlineStr">
        <is>
          <t>TIMRÅ</t>
        </is>
      </c>
      <c r="F49" t="inlineStr">
        <is>
          <t>SCA</t>
        </is>
      </c>
      <c r="G49" t="n">
        <v>4.1</v>
      </c>
      <c r="H49" t="n">
        <v>0</v>
      </c>
      <c r="I49" t="n">
        <v>0</v>
      </c>
      <c r="J49" t="n">
        <v>2</v>
      </c>
      <c r="K49" t="n">
        <v>0</v>
      </c>
      <c r="L49" t="n">
        <v>0</v>
      </c>
      <c r="M49" t="n">
        <v>0</v>
      </c>
      <c r="N49" t="n">
        <v>0</v>
      </c>
      <c r="O49" t="n">
        <v>2</v>
      </c>
      <c r="P49" t="n">
        <v>0</v>
      </c>
      <c r="Q49" t="n">
        <v>2</v>
      </c>
      <c r="R49" s="2" t="inlineStr">
        <is>
          <t>Garnlav
Harticka</t>
        </is>
      </c>
      <c r="S49">
        <f>HYPERLINK("https://klasma.github.io/Logging_2262/artfynd/A 43413-2023 artfynd.xlsx", "A 43413-2023")</f>
        <v/>
      </c>
      <c r="T49">
        <f>HYPERLINK("https://klasma.github.io/Logging_2262/kartor/A 43413-2023 karta.png", "A 43413-2023")</f>
        <v/>
      </c>
      <c r="V49">
        <f>HYPERLINK("https://klasma.github.io/Logging_2262/klagomål/A 43413-2023 FSC-klagomål.docx", "A 43413-2023")</f>
        <v/>
      </c>
      <c r="W49">
        <f>HYPERLINK("https://klasma.github.io/Logging_2262/klagomålsmail/A 43413-2023 FSC-klagomål mail.docx", "A 43413-2023")</f>
        <v/>
      </c>
      <c r="X49">
        <f>HYPERLINK("https://klasma.github.io/Logging_2262/tillsyn/A 43413-2023 tillsynsbegäran.docx", "A 43413-2023")</f>
        <v/>
      </c>
      <c r="Y49">
        <f>HYPERLINK("https://klasma.github.io/Logging_2262/tillsynsmail/A 43413-2023 tillsynsbegäran mail.docx", "A 43413-2023")</f>
        <v/>
      </c>
    </row>
    <row r="50" ht="15" customHeight="1">
      <c r="A50" t="inlineStr">
        <is>
          <t>A 45343-2023</t>
        </is>
      </c>
      <c r="B50" s="1" t="n">
        <v>45191</v>
      </c>
      <c r="C50" s="1" t="n">
        <v>45670</v>
      </c>
      <c r="D50" t="inlineStr">
        <is>
          <t>VÄSTERNORRLANDS LÄN</t>
        </is>
      </c>
      <c r="E50" t="inlineStr">
        <is>
          <t>TIMRÅ</t>
        </is>
      </c>
      <c r="F50" t="inlineStr">
        <is>
          <t>SCA</t>
        </is>
      </c>
      <c r="G50" t="n">
        <v>9.5</v>
      </c>
      <c r="H50" t="n">
        <v>1</v>
      </c>
      <c r="I50" t="n">
        <v>1</v>
      </c>
      <c r="J50" t="n">
        <v>1</v>
      </c>
      <c r="K50" t="n">
        <v>0</v>
      </c>
      <c r="L50" t="n">
        <v>0</v>
      </c>
      <c r="M50" t="n">
        <v>0</v>
      </c>
      <c r="N50" t="n">
        <v>0</v>
      </c>
      <c r="O50" t="n">
        <v>1</v>
      </c>
      <c r="P50" t="n">
        <v>0</v>
      </c>
      <c r="Q50" t="n">
        <v>2</v>
      </c>
      <c r="R50" s="2" t="inlineStr">
        <is>
          <t>Garnlav
Plattlummer</t>
        </is>
      </c>
      <c r="S50">
        <f>HYPERLINK("https://klasma.github.io/Logging_2262/artfynd/A 45343-2023 artfynd.xlsx", "A 45343-2023")</f>
        <v/>
      </c>
      <c r="T50">
        <f>HYPERLINK("https://klasma.github.io/Logging_2262/kartor/A 45343-2023 karta.png", "A 45343-2023")</f>
        <v/>
      </c>
      <c r="V50">
        <f>HYPERLINK("https://klasma.github.io/Logging_2262/klagomål/A 45343-2023 FSC-klagomål.docx", "A 45343-2023")</f>
        <v/>
      </c>
      <c r="W50">
        <f>HYPERLINK("https://klasma.github.io/Logging_2262/klagomålsmail/A 45343-2023 FSC-klagomål mail.docx", "A 45343-2023")</f>
        <v/>
      </c>
      <c r="X50">
        <f>HYPERLINK("https://klasma.github.io/Logging_2262/tillsyn/A 45343-2023 tillsynsbegäran.docx", "A 45343-2023")</f>
        <v/>
      </c>
      <c r="Y50">
        <f>HYPERLINK("https://klasma.github.io/Logging_2262/tillsynsmail/A 45343-2023 tillsynsbegäran mail.docx", "A 45343-2023")</f>
        <v/>
      </c>
    </row>
    <row r="51" ht="15" customHeight="1">
      <c r="A51" t="inlineStr">
        <is>
          <t>A 45737-2023</t>
        </is>
      </c>
      <c r="B51" s="1" t="n">
        <v>45195</v>
      </c>
      <c r="C51" s="1" t="n">
        <v>45670</v>
      </c>
      <c r="D51" t="inlineStr">
        <is>
          <t>VÄSTERNORRLANDS LÄN</t>
        </is>
      </c>
      <c r="E51" t="inlineStr">
        <is>
          <t>TIMRÅ</t>
        </is>
      </c>
      <c r="G51" t="n">
        <v>1.6</v>
      </c>
      <c r="H51" t="n">
        <v>0</v>
      </c>
      <c r="I51" t="n">
        <v>2</v>
      </c>
      <c r="J51" t="n">
        <v>0</v>
      </c>
      <c r="K51" t="n">
        <v>0</v>
      </c>
      <c r="L51" t="n">
        <v>0</v>
      </c>
      <c r="M51" t="n">
        <v>0</v>
      </c>
      <c r="N51" t="n">
        <v>0</v>
      </c>
      <c r="O51" t="n">
        <v>0</v>
      </c>
      <c r="P51" t="n">
        <v>0</v>
      </c>
      <c r="Q51" t="n">
        <v>2</v>
      </c>
      <c r="R51" s="2" t="inlineStr">
        <is>
          <t>Strutbräken
Svart trolldruva</t>
        </is>
      </c>
      <c r="S51">
        <f>HYPERLINK("https://klasma.github.io/Logging_2262/artfynd/A 45737-2023 artfynd.xlsx", "A 45737-2023")</f>
        <v/>
      </c>
      <c r="T51">
        <f>HYPERLINK("https://klasma.github.io/Logging_2262/kartor/A 45737-2023 karta.png", "A 45737-2023")</f>
        <v/>
      </c>
      <c r="V51">
        <f>HYPERLINK("https://klasma.github.io/Logging_2262/klagomål/A 45737-2023 FSC-klagomål.docx", "A 45737-2023")</f>
        <v/>
      </c>
      <c r="W51">
        <f>HYPERLINK("https://klasma.github.io/Logging_2262/klagomålsmail/A 45737-2023 FSC-klagomål mail.docx", "A 45737-2023")</f>
        <v/>
      </c>
      <c r="X51">
        <f>HYPERLINK("https://klasma.github.io/Logging_2262/tillsyn/A 45737-2023 tillsynsbegäran.docx", "A 45737-2023")</f>
        <v/>
      </c>
      <c r="Y51">
        <f>HYPERLINK("https://klasma.github.io/Logging_2262/tillsynsmail/A 45737-2023 tillsynsbegäran mail.docx", "A 45737-2023")</f>
        <v/>
      </c>
    </row>
    <row r="52" ht="15" customHeight="1">
      <c r="A52" t="inlineStr">
        <is>
          <t>A 8694-2024</t>
        </is>
      </c>
      <c r="B52" s="1" t="n">
        <v>45352</v>
      </c>
      <c r="C52" s="1" t="n">
        <v>45670</v>
      </c>
      <c r="D52" t="inlineStr">
        <is>
          <t>VÄSTERNORRLANDS LÄN</t>
        </is>
      </c>
      <c r="E52" t="inlineStr">
        <is>
          <t>TIMRÅ</t>
        </is>
      </c>
      <c r="G52" t="n">
        <v>3.8</v>
      </c>
      <c r="H52" t="n">
        <v>0</v>
      </c>
      <c r="I52" t="n">
        <v>1</v>
      </c>
      <c r="J52" t="n">
        <v>1</v>
      </c>
      <c r="K52" t="n">
        <v>0</v>
      </c>
      <c r="L52" t="n">
        <v>0</v>
      </c>
      <c r="M52" t="n">
        <v>0</v>
      </c>
      <c r="N52" t="n">
        <v>0</v>
      </c>
      <c r="O52" t="n">
        <v>1</v>
      </c>
      <c r="P52" t="n">
        <v>0</v>
      </c>
      <c r="Q52" t="n">
        <v>2</v>
      </c>
      <c r="R52" s="2" t="inlineStr">
        <is>
          <t>Veckticka
Stor aspticka</t>
        </is>
      </c>
      <c r="S52">
        <f>HYPERLINK("https://klasma.github.io/Logging_2262/artfynd/A 8694-2024 artfynd.xlsx", "A 8694-2024")</f>
        <v/>
      </c>
      <c r="T52">
        <f>HYPERLINK("https://klasma.github.io/Logging_2262/kartor/A 8694-2024 karta.png", "A 8694-2024")</f>
        <v/>
      </c>
      <c r="V52">
        <f>HYPERLINK("https://klasma.github.io/Logging_2262/klagomål/A 8694-2024 FSC-klagomål.docx", "A 8694-2024")</f>
        <v/>
      </c>
      <c r="W52">
        <f>HYPERLINK("https://klasma.github.io/Logging_2262/klagomålsmail/A 8694-2024 FSC-klagomål mail.docx", "A 8694-2024")</f>
        <v/>
      </c>
      <c r="X52">
        <f>HYPERLINK("https://klasma.github.io/Logging_2262/tillsyn/A 8694-2024 tillsynsbegäran.docx", "A 8694-2024")</f>
        <v/>
      </c>
      <c r="Y52">
        <f>HYPERLINK("https://klasma.github.io/Logging_2262/tillsynsmail/A 8694-2024 tillsynsbegäran mail.docx", "A 8694-2024")</f>
        <v/>
      </c>
    </row>
    <row r="53" ht="15" customHeight="1">
      <c r="A53" t="inlineStr">
        <is>
          <t>A 16254-2024</t>
        </is>
      </c>
      <c r="B53" s="1" t="n">
        <v>45407</v>
      </c>
      <c r="C53" s="1" t="n">
        <v>45670</v>
      </c>
      <c r="D53" t="inlineStr">
        <is>
          <t>VÄSTERNORRLANDS LÄN</t>
        </is>
      </c>
      <c r="E53" t="inlineStr">
        <is>
          <t>TIMRÅ</t>
        </is>
      </c>
      <c r="F53" t="inlineStr">
        <is>
          <t>SCA</t>
        </is>
      </c>
      <c r="G53" t="n">
        <v>44.8</v>
      </c>
      <c r="H53" t="n">
        <v>2</v>
      </c>
      <c r="I53" t="n">
        <v>0</v>
      </c>
      <c r="J53" t="n">
        <v>0</v>
      </c>
      <c r="K53" t="n">
        <v>0</v>
      </c>
      <c r="L53" t="n">
        <v>0</v>
      </c>
      <c r="M53" t="n">
        <v>0</v>
      </c>
      <c r="N53" t="n">
        <v>0</v>
      </c>
      <c r="O53" t="n">
        <v>0</v>
      </c>
      <c r="P53" t="n">
        <v>0</v>
      </c>
      <c r="Q53" t="n">
        <v>2</v>
      </c>
      <c r="R53" s="2" t="inlineStr">
        <is>
          <t>Tjäder
Blåsippa</t>
        </is>
      </c>
      <c r="S53">
        <f>HYPERLINK("https://klasma.github.io/Logging_2262/artfynd/A 16254-2024 artfynd.xlsx", "A 16254-2024")</f>
        <v/>
      </c>
      <c r="T53">
        <f>HYPERLINK("https://klasma.github.io/Logging_2262/kartor/A 16254-2024 karta.png", "A 16254-2024")</f>
        <v/>
      </c>
      <c r="U53">
        <f>HYPERLINK("https://klasma.github.io/Logging_2262/knärot/A 16254-2024 karta knärot.png", "A 16254-2024")</f>
        <v/>
      </c>
      <c r="V53">
        <f>HYPERLINK("https://klasma.github.io/Logging_2262/klagomål/A 16254-2024 FSC-klagomål.docx", "A 16254-2024")</f>
        <v/>
      </c>
      <c r="W53">
        <f>HYPERLINK("https://klasma.github.io/Logging_2262/klagomålsmail/A 16254-2024 FSC-klagomål mail.docx", "A 16254-2024")</f>
        <v/>
      </c>
      <c r="X53">
        <f>HYPERLINK("https://klasma.github.io/Logging_2262/tillsyn/A 16254-2024 tillsynsbegäran.docx", "A 16254-2024")</f>
        <v/>
      </c>
      <c r="Y53">
        <f>HYPERLINK("https://klasma.github.io/Logging_2262/tillsynsmail/A 16254-2024 tillsynsbegäran mail.docx", "A 16254-2024")</f>
        <v/>
      </c>
      <c r="Z53">
        <f>HYPERLINK("https://klasma.github.io/Logging_2262/fåglar/A 16254-2024 prioriterade fågelarter.docx", "A 16254-2024")</f>
        <v/>
      </c>
    </row>
    <row r="54" ht="15" customHeight="1">
      <c r="A54" t="inlineStr">
        <is>
          <t>A 16244-2024</t>
        </is>
      </c>
      <c r="B54" s="1" t="n">
        <v>45407</v>
      </c>
      <c r="C54" s="1" t="n">
        <v>45670</v>
      </c>
      <c r="D54" t="inlineStr">
        <is>
          <t>VÄSTERNORRLANDS LÄN</t>
        </is>
      </c>
      <c r="E54" t="inlineStr">
        <is>
          <t>TIMRÅ</t>
        </is>
      </c>
      <c r="F54" t="inlineStr">
        <is>
          <t>SCA</t>
        </is>
      </c>
      <c r="G54" t="n">
        <v>22.8</v>
      </c>
      <c r="H54" t="n">
        <v>2</v>
      </c>
      <c r="I54" t="n">
        <v>0</v>
      </c>
      <c r="J54" t="n">
        <v>0</v>
      </c>
      <c r="K54" t="n">
        <v>0</v>
      </c>
      <c r="L54" t="n">
        <v>0</v>
      </c>
      <c r="M54" t="n">
        <v>0</v>
      </c>
      <c r="N54" t="n">
        <v>0</v>
      </c>
      <c r="O54" t="n">
        <v>0</v>
      </c>
      <c r="P54" t="n">
        <v>0</v>
      </c>
      <c r="Q54" t="n">
        <v>2</v>
      </c>
      <c r="R54" s="2" t="inlineStr">
        <is>
          <t>Orre
Tjäder</t>
        </is>
      </c>
      <c r="S54">
        <f>HYPERLINK("https://klasma.github.io/Logging_2262/artfynd/A 16244-2024 artfynd.xlsx", "A 16244-2024")</f>
        <v/>
      </c>
      <c r="T54">
        <f>HYPERLINK("https://klasma.github.io/Logging_2262/kartor/A 16244-2024 karta.png", "A 16244-2024")</f>
        <v/>
      </c>
      <c r="V54">
        <f>HYPERLINK("https://klasma.github.io/Logging_2262/klagomål/A 16244-2024 FSC-klagomål.docx", "A 16244-2024")</f>
        <v/>
      </c>
      <c r="W54">
        <f>HYPERLINK("https://klasma.github.io/Logging_2262/klagomålsmail/A 16244-2024 FSC-klagomål mail.docx", "A 16244-2024")</f>
        <v/>
      </c>
      <c r="X54">
        <f>HYPERLINK("https://klasma.github.io/Logging_2262/tillsyn/A 16244-2024 tillsynsbegäran.docx", "A 16244-2024")</f>
        <v/>
      </c>
      <c r="Y54">
        <f>HYPERLINK("https://klasma.github.io/Logging_2262/tillsynsmail/A 16244-2024 tillsynsbegäran mail.docx", "A 16244-2024")</f>
        <v/>
      </c>
      <c r="Z54">
        <f>HYPERLINK("https://klasma.github.io/Logging_2262/fåglar/A 16244-2024 prioriterade fågelarter.docx", "A 16244-2024")</f>
        <v/>
      </c>
    </row>
    <row r="55" ht="15" customHeight="1">
      <c r="A55" t="inlineStr">
        <is>
          <t>A 19449-2024</t>
        </is>
      </c>
      <c r="B55" s="1" t="n">
        <v>45429</v>
      </c>
      <c r="C55" s="1" t="n">
        <v>45670</v>
      </c>
      <c r="D55" t="inlineStr">
        <is>
          <t>VÄSTERNORRLANDS LÄN</t>
        </is>
      </c>
      <c r="E55" t="inlineStr">
        <is>
          <t>TIMRÅ</t>
        </is>
      </c>
      <c r="G55" t="n">
        <v>2.5</v>
      </c>
      <c r="H55" t="n">
        <v>2</v>
      </c>
      <c r="I55" t="n">
        <v>0</v>
      </c>
      <c r="J55" t="n">
        <v>1</v>
      </c>
      <c r="K55" t="n">
        <v>0</v>
      </c>
      <c r="L55" t="n">
        <v>0</v>
      </c>
      <c r="M55" t="n">
        <v>0</v>
      </c>
      <c r="N55" t="n">
        <v>0</v>
      </c>
      <c r="O55" t="n">
        <v>1</v>
      </c>
      <c r="P55" t="n">
        <v>0</v>
      </c>
      <c r="Q55" t="n">
        <v>2</v>
      </c>
      <c r="R55" s="2" t="inlineStr">
        <is>
          <t>Hornuggla
Gråspett</t>
        </is>
      </c>
      <c r="S55">
        <f>HYPERLINK("https://klasma.github.io/Logging_2262/artfynd/A 19449-2024 artfynd.xlsx", "A 19449-2024")</f>
        <v/>
      </c>
      <c r="T55">
        <f>HYPERLINK("https://klasma.github.io/Logging_2262/kartor/A 19449-2024 karta.png", "A 19449-2024")</f>
        <v/>
      </c>
      <c r="V55">
        <f>HYPERLINK("https://klasma.github.io/Logging_2262/klagomål/A 19449-2024 FSC-klagomål.docx", "A 19449-2024")</f>
        <v/>
      </c>
      <c r="W55">
        <f>HYPERLINK("https://klasma.github.io/Logging_2262/klagomålsmail/A 19449-2024 FSC-klagomål mail.docx", "A 19449-2024")</f>
        <v/>
      </c>
      <c r="X55">
        <f>HYPERLINK("https://klasma.github.io/Logging_2262/tillsyn/A 19449-2024 tillsynsbegäran.docx", "A 19449-2024")</f>
        <v/>
      </c>
      <c r="Y55">
        <f>HYPERLINK("https://klasma.github.io/Logging_2262/tillsynsmail/A 19449-2024 tillsynsbegäran mail.docx", "A 19449-2024")</f>
        <v/>
      </c>
      <c r="Z55">
        <f>HYPERLINK("https://klasma.github.io/Logging_2262/fåglar/A 19449-2024 prioriterade fågelarter.docx", "A 19449-2024")</f>
        <v/>
      </c>
    </row>
    <row r="56" ht="15" customHeight="1">
      <c r="A56" t="inlineStr">
        <is>
          <t>A 39800-2024</t>
        </is>
      </c>
      <c r="B56" s="1" t="n">
        <v>45553</v>
      </c>
      <c r="C56" s="1" t="n">
        <v>45670</v>
      </c>
      <c r="D56" t="inlineStr">
        <is>
          <t>VÄSTERNORRLANDS LÄN</t>
        </is>
      </c>
      <c r="E56" t="inlineStr">
        <is>
          <t>TIMRÅ</t>
        </is>
      </c>
      <c r="F56" t="inlineStr">
        <is>
          <t>SCA</t>
        </is>
      </c>
      <c r="G56" t="n">
        <v>2.9</v>
      </c>
      <c r="H56" t="n">
        <v>0</v>
      </c>
      <c r="I56" t="n">
        <v>1</v>
      </c>
      <c r="J56" t="n">
        <v>1</v>
      </c>
      <c r="K56" t="n">
        <v>0</v>
      </c>
      <c r="L56" t="n">
        <v>0</v>
      </c>
      <c r="M56" t="n">
        <v>0</v>
      </c>
      <c r="N56" t="n">
        <v>0</v>
      </c>
      <c r="O56" t="n">
        <v>1</v>
      </c>
      <c r="P56" t="n">
        <v>0</v>
      </c>
      <c r="Q56" t="n">
        <v>2</v>
      </c>
      <c r="R56" s="2" t="inlineStr">
        <is>
          <t>Garnlav
Vedticka</t>
        </is>
      </c>
      <c r="S56">
        <f>HYPERLINK("https://klasma.github.io/Logging_2262/artfynd/A 39800-2024 artfynd.xlsx", "A 39800-2024")</f>
        <v/>
      </c>
      <c r="T56">
        <f>HYPERLINK("https://klasma.github.io/Logging_2262/kartor/A 39800-2024 karta.png", "A 39800-2024")</f>
        <v/>
      </c>
      <c r="V56">
        <f>HYPERLINK("https://klasma.github.io/Logging_2262/klagomål/A 39800-2024 FSC-klagomål.docx", "A 39800-2024")</f>
        <v/>
      </c>
      <c r="W56">
        <f>HYPERLINK("https://klasma.github.io/Logging_2262/klagomålsmail/A 39800-2024 FSC-klagomål mail.docx", "A 39800-2024")</f>
        <v/>
      </c>
      <c r="X56">
        <f>HYPERLINK("https://klasma.github.io/Logging_2262/tillsyn/A 39800-2024 tillsynsbegäran.docx", "A 39800-2024")</f>
        <v/>
      </c>
      <c r="Y56">
        <f>HYPERLINK("https://klasma.github.io/Logging_2262/tillsynsmail/A 39800-2024 tillsynsbegäran mail.docx", "A 39800-2024")</f>
        <v/>
      </c>
    </row>
    <row r="57" ht="15" customHeight="1">
      <c r="A57" t="inlineStr">
        <is>
          <t>A 41784-2024</t>
        </is>
      </c>
      <c r="B57" s="1" t="n">
        <v>45561</v>
      </c>
      <c r="C57" s="1" t="n">
        <v>45670</v>
      </c>
      <c r="D57" t="inlineStr">
        <is>
          <t>VÄSTERNORRLANDS LÄN</t>
        </is>
      </c>
      <c r="E57" t="inlineStr">
        <is>
          <t>TIMRÅ</t>
        </is>
      </c>
      <c r="F57" t="inlineStr">
        <is>
          <t>SCA</t>
        </is>
      </c>
      <c r="G57" t="n">
        <v>10.7</v>
      </c>
      <c r="H57" t="n">
        <v>1</v>
      </c>
      <c r="I57" t="n">
        <v>0</v>
      </c>
      <c r="J57" t="n">
        <v>1</v>
      </c>
      <c r="K57" t="n">
        <v>1</v>
      </c>
      <c r="L57" t="n">
        <v>0</v>
      </c>
      <c r="M57" t="n">
        <v>0</v>
      </c>
      <c r="N57" t="n">
        <v>0</v>
      </c>
      <c r="O57" t="n">
        <v>2</v>
      </c>
      <c r="P57" t="n">
        <v>1</v>
      </c>
      <c r="Q57" t="n">
        <v>2</v>
      </c>
      <c r="R57" s="2" t="inlineStr">
        <is>
          <t>Knärot
Koralltaggsvamp</t>
        </is>
      </c>
      <c r="S57">
        <f>HYPERLINK("https://klasma.github.io/Logging_2262/artfynd/A 41784-2024 artfynd.xlsx", "A 41784-2024")</f>
        <v/>
      </c>
      <c r="T57">
        <f>HYPERLINK("https://klasma.github.io/Logging_2262/kartor/A 41784-2024 karta.png", "A 41784-2024")</f>
        <v/>
      </c>
      <c r="U57">
        <f>HYPERLINK("https://klasma.github.io/Logging_2262/knärot/A 41784-2024 karta knärot.png", "A 41784-2024")</f>
        <v/>
      </c>
      <c r="V57">
        <f>HYPERLINK("https://klasma.github.io/Logging_2262/klagomål/A 41784-2024 FSC-klagomål.docx", "A 41784-2024")</f>
        <v/>
      </c>
      <c r="W57">
        <f>HYPERLINK("https://klasma.github.io/Logging_2262/klagomålsmail/A 41784-2024 FSC-klagomål mail.docx", "A 41784-2024")</f>
        <v/>
      </c>
      <c r="X57">
        <f>HYPERLINK("https://klasma.github.io/Logging_2262/tillsyn/A 41784-2024 tillsynsbegäran.docx", "A 41784-2024")</f>
        <v/>
      </c>
      <c r="Y57">
        <f>HYPERLINK("https://klasma.github.io/Logging_2262/tillsynsmail/A 41784-2024 tillsynsbegäran mail.docx", "A 41784-2024")</f>
        <v/>
      </c>
    </row>
    <row r="58" ht="15" customHeight="1">
      <c r="A58" t="inlineStr">
        <is>
          <t>A 53287-2024</t>
        </is>
      </c>
      <c r="B58" s="1" t="n">
        <v>45614</v>
      </c>
      <c r="C58" s="1" t="n">
        <v>45670</v>
      </c>
      <c r="D58" t="inlineStr">
        <is>
          <t>VÄSTERNORRLANDS LÄN</t>
        </is>
      </c>
      <c r="E58" t="inlineStr">
        <is>
          <t>TIMRÅ</t>
        </is>
      </c>
      <c r="F58" t="inlineStr">
        <is>
          <t>SCA</t>
        </is>
      </c>
      <c r="G58" t="n">
        <v>2</v>
      </c>
      <c r="H58" t="n">
        <v>0</v>
      </c>
      <c r="I58" t="n">
        <v>2</v>
      </c>
      <c r="J58" t="n">
        <v>0</v>
      </c>
      <c r="K58" t="n">
        <v>0</v>
      </c>
      <c r="L58" t="n">
        <v>0</v>
      </c>
      <c r="M58" t="n">
        <v>0</v>
      </c>
      <c r="N58" t="n">
        <v>0</v>
      </c>
      <c r="O58" t="n">
        <v>0</v>
      </c>
      <c r="P58" t="n">
        <v>0</v>
      </c>
      <c r="Q58" t="n">
        <v>2</v>
      </c>
      <c r="R58" s="2" t="inlineStr">
        <is>
          <t>Korallblylav
Slanklav</t>
        </is>
      </c>
      <c r="S58">
        <f>HYPERLINK("https://klasma.github.io/Logging_2262/artfynd/A 53287-2024 artfynd.xlsx", "A 53287-2024")</f>
        <v/>
      </c>
      <c r="T58">
        <f>HYPERLINK("https://klasma.github.io/Logging_2262/kartor/A 53287-2024 karta.png", "A 53287-2024")</f>
        <v/>
      </c>
      <c r="V58">
        <f>HYPERLINK("https://klasma.github.io/Logging_2262/klagomål/A 53287-2024 FSC-klagomål.docx", "A 53287-2024")</f>
        <v/>
      </c>
      <c r="W58">
        <f>HYPERLINK("https://klasma.github.io/Logging_2262/klagomålsmail/A 53287-2024 FSC-klagomål mail.docx", "A 53287-2024")</f>
        <v/>
      </c>
      <c r="X58">
        <f>HYPERLINK("https://klasma.github.io/Logging_2262/tillsyn/A 53287-2024 tillsynsbegäran.docx", "A 53287-2024")</f>
        <v/>
      </c>
      <c r="Y58">
        <f>HYPERLINK("https://klasma.github.io/Logging_2262/tillsynsmail/A 53287-2024 tillsynsbegäran mail.docx", "A 53287-2024")</f>
        <v/>
      </c>
    </row>
    <row r="59" ht="15" customHeight="1">
      <c r="A59" t="inlineStr">
        <is>
          <t>A 55709-2024</t>
        </is>
      </c>
      <c r="B59" s="1" t="n">
        <v>45622</v>
      </c>
      <c r="C59" s="1" t="n">
        <v>45670</v>
      </c>
      <c r="D59" t="inlineStr">
        <is>
          <t>VÄSTERNORRLANDS LÄN</t>
        </is>
      </c>
      <c r="E59" t="inlineStr">
        <is>
          <t>TIMRÅ</t>
        </is>
      </c>
      <c r="F59" t="inlineStr">
        <is>
          <t>SCA</t>
        </is>
      </c>
      <c r="G59" t="n">
        <v>1.8</v>
      </c>
      <c r="H59" t="n">
        <v>0</v>
      </c>
      <c r="I59" t="n">
        <v>1</v>
      </c>
      <c r="J59" t="n">
        <v>1</v>
      </c>
      <c r="K59" t="n">
        <v>0</v>
      </c>
      <c r="L59" t="n">
        <v>0</v>
      </c>
      <c r="M59" t="n">
        <v>0</v>
      </c>
      <c r="N59" t="n">
        <v>0</v>
      </c>
      <c r="O59" t="n">
        <v>1</v>
      </c>
      <c r="P59" t="n">
        <v>0</v>
      </c>
      <c r="Q59" t="n">
        <v>2</v>
      </c>
      <c r="R59" s="2" t="inlineStr">
        <is>
          <t>Lunglav
Skinnlav</t>
        </is>
      </c>
      <c r="S59">
        <f>HYPERLINK("https://klasma.github.io/Logging_2262/artfynd/A 55709-2024 artfynd.xlsx", "A 55709-2024")</f>
        <v/>
      </c>
      <c r="T59">
        <f>HYPERLINK("https://klasma.github.io/Logging_2262/kartor/A 55709-2024 karta.png", "A 55709-2024")</f>
        <v/>
      </c>
      <c r="V59">
        <f>HYPERLINK("https://klasma.github.io/Logging_2262/klagomål/A 55709-2024 FSC-klagomål.docx", "A 55709-2024")</f>
        <v/>
      </c>
      <c r="W59">
        <f>HYPERLINK("https://klasma.github.io/Logging_2262/klagomålsmail/A 55709-2024 FSC-klagomål mail.docx", "A 55709-2024")</f>
        <v/>
      </c>
      <c r="X59">
        <f>HYPERLINK("https://klasma.github.io/Logging_2262/tillsyn/A 55709-2024 tillsynsbegäran.docx", "A 55709-2024")</f>
        <v/>
      </c>
      <c r="Y59">
        <f>HYPERLINK("https://klasma.github.io/Logging_2262/tillsynsmail/A 55709-2024 tillsynsbegäran mail.docx", "A 55709-2024")</f>
        <v/>
      </c>
    </row>
    <row r="60" ht="15" customHeight="1">
      <c r="A60" t="inlineStr">
        <is>
          <t>A 60670-2024</t>
        </is>
      </c>
      <c r="B60" s="1" t="n">
        <v>45642</v>
      </c>
      <c r="C60" s="1" t="n">
        <v>45670</v>
      </c>
      <c r="D60" t="inlineStr">
        <is>
          <t>VÄSTERNORRLANDS LÄN</t>
        </is>
      </c>
      <c r="E60" t="inlineStr">
        <is>
          <t>TIMRÅ</t>
        </is>
      </c>
      <c r="G60" t="n">
        <v>2.9</v>
      </c>
      <c r="H60" t="n">
        <v>1</v>
      </c>
      <c r="I60" t="n">
        <v>1</v>
      </c>
      <c r="J60" t="n">
        <v>0</v>
      </c>
      <c r="K60" t="n">
        <v>0</v>
      </c>
      <c r="L60" t="n">
        <v>0</v>
      </c>
      <c r="M60" t="n">
        <v>0</v>
      </c>
      <c r="N60" t="n">
        <v>0</v>
      </c>
      <c r="O60" t="n">
        <v>0</v>
      </c>
      <c r="P60" t="n">
        <v>0</v>
      </c>
      <c r="Q60" t="n">
        <v>2</v>
      </c>
      <c r="R60" s="2" t="inlineStr">
        <is>
          <t>Dvärghäxört
Fläcknycklar</t>
        </is>
      </c>
      <c r="S60">
        <f>HYPERLINK("https://klasma.github.io/Logging_2262/artfynd/A 60670-2024 artfynd.xlsx", "A 60670-2024")</f>
        <v/>
      </c>
      <c r="T60">
        <f>HYPERLINK("https://klasma.github.io/Logging_2262/kartor/A 60670-2024 karta.png", "A 60670-2024")</f>
        <v/>
      </c>
      <c r="V60">
        <f>HYPERLINK("https://klasma.github.io/Logging_2262/klagomål/A 60670-2024 FSC-klagomål.docx", "A 60670-2024")</f>
        <v/>
      </c>
      <c r="W60">
        <f>HYPERLINK("https://klasma.github.io/Logging_2262/klagomålsmail/A 60670-2024 FSC-klagomål mail.docx", "A 60670-2024")</f>
        <v/>
      </c>
      <c r="X60">
        <f>HYPERLINK("https://klasma.github.io/Logging_2262/tillsyn/A 60670-2024 tillsynsbegäran.docx", "A 60670-2024")</f>
        <v/>
      </c>
      <c r="Y60">
        <f>HYPERLINK("https://klasma.github.io/Logging_2262/tillsynsmail/A 60670-2024 tillsynsbegäran mail.docx", "A 60670-2024")</f>
        <v/>
      </c>
    </row>
    <row r="61" ht="15" customHeight="1">
      <c r="A61" t="inlineStr">
        <is>
          <t>A 66710-2019</t>
        </is>
      </c>
      <c r="B61" s="1" t="n">
        <v>43809</v>
      </c>
      <c r="C61" s="1" t="n">
        <v>45670</v>
      </c>
      <c r="D61" t="inlineStr">
        <is>
          <t>VÄSTERNORRLANDS LÄN</t>
        </is>
      </c>
      <c r="E61" t="inlineStr">
        <is>
          <t>TIMRÅ</t>
        </is>
      </c>
      <c r="G61" t="n">
        <v>2.9</v>
      </c>
      <c r="H61" t="n">
        <v>0</v>
      </c>
      <c r="I61" t="n">
        <v>0</v>
      </c>
      <c r="J61" t="n">
        <v>1</v>
      </c>
      <c r="K61" t="n">
        <v>0</v>
      </c>
      <c r="L61" t="n">
        <v>0</v>
      </c>
      <c r="M61" t="n">
        <v>0</v>
      </c>
      <c r="N61" t="n">
        <v>0</v>
      </c>
      <c r="O61" t="n">
        <v>1</v>
      </c>
      <c r="P61" t="n">
        <v>0</v>
      </c>
      <c r="Q61" t="n">
        <v>1</v>
      </c>
      <c r="R61" s="2" t="inlineStr">
        <is>
          <t>Ullticka</t>
        </is>
      </c>
      <c r="S61">
        <f>HYPERLINK("https://klasma.github.io/Logging_2262/artfynd/A 66710-2019 artfynd.xlsx", "A 66710-2019")</f>
        <v/>
      </c>
      <c r="T61">
        <f>HYPERLINK("https://klasma.github.io/Logging_2262/kartor/A 66710-2019 karta.png", "A 66710-2019")</f>
        <v/>
      </c>
      <c r="V61">
        <f>HYPERLINK("https://klasma.github.io/Logging_2262/klagomål/A 66710-2019 FSC-klagomål.docx", "A 66710-2019")</f>
        <v/>
      </c>
      <c r="W61">
        <f>HYPERLINK("https://klasma.github.io/Logging_2262/klagomålsmail/A 66710-2019 FSC-klagomål mail.docx", "A 66710-2019")</f>
        <v/>
      </c>
      <c r="X61">
        <f>HYPERLINK("https://klasma.github.io/Logging_2262/tillsyn/A 66710-2019 tillsynsbegäran.docx", "A 66710-2019")</f>
        <v/>
      </c>
      <c r="Y61">
        <f>HYPERLINK("https://klasma.github.io/Logging_2262/tillsynsmail/A 66710-2019 tillsynsbegäran mail.docx", "A 66710-2019")</f>
        <v/>
      </c>
    </row>
    <row r="62" ht="15" customHeight="1">
      <c r="A62" t="inlineStr">
        <is>
          <t>A 24277-2020</t>
        </is>
      </c>
      <c r="B62" s="1" t="n">
        <v>43971</v>
      </c>
      <c r="C62" s="1" t="n">
        <v>45670</v>
      </c>
      <c r="D62" t="inlineStr">
        <is>
          <t>VÄSTERNORRLANDS LÄN</t>
        </is>
      </c>
      <c r="E62" t="inlineStr">
        <is>
          <t>TIMRÅ</t>
        </is>
      </c>
      <c r="G62" t="n">
        <v>6</v>
      </c>
      <c r="H62" t="n">
        <v>1</v>
      </c>
      <c r="I62" t="n">
        <v>0</v>
      </c>
      <c r="J62" t="n">
        <v>0</v>
      </c>
      <c r="K62" t="n">
        <v>1</v>
      </c>
      <c r="L62" t="n">
        <v>0</v>
      </c>
      <c r="M62" t="n">
        <v>0</v>
      </c>
      <c r="N62" t="n">
        <v>0</v>
      </c>
      <c r="O62" t="n">
        <v>1</v>
      </c>
      <c r="P62" t="n">
        <v>1</v>
      </c>
      <c r="Q62" t="n">
        <v>1</v>
      </c>
      <c r="R62" s="2" t="inlineStr">
        <is>
          <t>Bergviol</t>
        </is>
      </c>
      <c r="S62">
        <f>HYPERLINK("https://klasma.github.io/Logging_2262/artfynd/A 24277-2020 artfynd.xlsx", "A 24277-2020")</f>
        <v/>
      </c>
      <c r="T62">
        <f>HYPERLINK("https://klasma.github.io/Logging_2262/kartor/A 24277-2020 karta.png", "A 24277-2020")</f>
        <v/>
      </c>
      <c r="V62">
        <f>HYPERLINK("https://klasma.github.io/Logging_2262/klagomål/A 24277-2020 FSC-klagomål.docx", "A 24277-2020")</f>
        <v/>
      </c>
      <c r="W62">
        <f>HYPERLINK("https://klasma.github.io/Logging_2262/klagomålsmail/A 24277-2020 FSC-klagomål mail.docx", "A 24277-2020")</f>
        <v/>
      </c>
      <c r="X62">
        <f>HYPERLINK("https://klasma.github.io/Logging_2262/tillsyn/A 24277-2020 tillsynsbegäran.docx", "A 24277-2020")</f>
        <v/>
      </c>
      <c r="Y62">
        <f>HYPERLINK("https://klasma.github.io/Logging_2262/tillsynsmail/A 24277-2020 tillsynsbegäran mail.docx", "A 24277-2020")</f>
        <v/>
      </c>
    </row>
    <row r="63" ht="15" customHeight="1">
      <c r="A63" t="inlineStr">
        <is>
          <t>A 27879-2020</t>
        </is>
      </c>
      <c r="B63" s="1" t="n">
        <v>43994</v>
      </c>
      <c r="C63" s="1" t="n">
        <v>45670</v>
      </c>
      <c r="D63" t="inlineStr">
        <is>
          <t>VÄSTERNORRLANDS LÄN</t>
        </is>
      </c>
      <c r="E63" t="inlineStr">
        <is>
          <t>TIMRÅ</t>
        </is>
      </c>
      <c r="G63" t="n">
        <v>5.5</v>
      </c>
      <c r="H63" t="n">
        <v>1</v>
      </c>
      <c r="I63" t="n">
        <v>0</v>
      </c>
      <c r="J63" t="n">
        <v>0</v>
      </c>
      <c r="K63" t="n">
        <v>0</v>
      </c>
      <c r="L63" t="n">
        <v>0</v>
      </c>
      <c r="M63" t="n">
        <v>0</v>
      </c>
      <c r="N63" t="n">
        <v>0</v>
      </c>
      <c r="O63" t="n">
        <v>0</v>
      </c>
      <c r="P63" t="n">
        <v>0</v>
      </c>
      <c r="Q63" t="n">
        <v>1</v>
      </c>
      <c r="R63" s="2" t="inlineStr">
        <is>
          <t>Mindre vattensalamander</t>
        </is>
      </c>
      <c r="S63">
        <f>HYPERLINK("https://klasma.github.io/Logging_2262/artfynd/A 27879-2020 artfynd.xlsx", "A 27879-2020")</f>
        <v/>
      </c>
      <c r="T63">
        <f>HYPERLINK("https://klasma.github.io/Logging_2262/kartor/A 27879-2020 karta.png", "A 27879-2020")</f>
        <v/>
      </c>
      <c r="V63">
        <f>HYPERLINK("https://klasma.github.io/Logging_2262/klagomål/A 27879-2020 FSC-klagomål.docx", "A 27879-2020")</f>
        <v/>
      </c>
      <c r="W63">
        <f>HYPERLINK("https://klasma.github.io/Logging_2262/klagomålsmail/A 27879-2020 FSC-klagomål mail.docx", "A 27879-2020")</f>
        <v/>
      </c>
      <c r="X63">
        <f>HYPERLINK("https://klasma.github.io/Logging_2262/tillsyn/A 27879-2020 tillsynsbegäran.docx", "A 27879-2020")</f>
        <v/>
      </c>
      <c r="Y63">
        <f>HYPERLINK("https://klasma.github.io/Logging_2262/tillsynsmail/A 27879-2020 tillsynsbegäran mail.docx", "A 27879-2020")</f>
        <v/>
      </c>
    </row>
    <row r="64" ht="15" customHeight="1">
      <c r="A64" t="inlineStr">
        <is>
          <t>A 40407-2020</t>
        </is>
      </c>
      <c r="B64" s="1" t="n">
        <v>44068</v>
      </c>
      <c r="C64" s="1" t="n">
        <v>45670</v>
      </c>
      <c r="D64" t="inlineStr">
        <is>
          <t>VÄSTERNORRLANDS LÄN</t>
        </is>
      </c>
      <c r="E64" t="inlineStr">
        <is>
          <t>TIMRÅ</t>
        </is>
      </c>
      <c r="G64" t="n">
        <v>3.6</v>
      </c>
      <c r="H64" t="n">
        <v>0</v>
      </c>
      <c r="I64" t="n">
        <v>0</v>
      </c>
      <c r="J64" t="n">
        <v>1</v>
      </c>
      <c r="K64" t="n">
        <v>0</v>
      </c>
      <c r="L64" t="n">
        <v>0</v>
      </c>
      <c r="M64" t="n">
        <v>0</v>
      </c>
      <c r="N64" t="n">
        <v>0</v>
      </c>
      <c r="O64" t="n">
        <v>1</v>
      </c>
      <c r="P64" t="n">
        <v>0</v>
      </c>
      <c r="Q64" t="n">
        <v>1</v>
      </c>
      <c r="R64" s="2" t="inlineStr">
        <is>
          <t>Ullticka</t>
        </is>
      </c>
      <c r="S64">
        <f>HYPERLINK("https://klasma.github.io/Logging_2262/artfynd/A 40407-2020 artfynd.xlsx", "A 40407-2020")</f>
        <v/>
      </c>
      <c r="T64">
        <f>HYPERLINK("https://klasma.github.io/Logging_2262/kartor/A 40407-2020 karta.png", "A 40407-2020")</f>
        <v/>
      </c>
      <c r="V64">
        <f>HYPERLINK("https://klasma.github.io/Logging_2262/klagomål/A 40407-2020 FSC-klagomål.docx", "A 40407-2020")</f>
        <v/>
      </c>
      <c r="W64">
        <f>HYPERLINK("https://klasma.github.io/Logging_2262/klagomålsmail/A 40407-2020 FSC-klagomål mail.docx", "A 40407-2020")</f>
        <v/>
      </c>
      <c r="X64">
        <f>HYPERLINK("https://klasma.github.io/Logging_2262/tillsyn/A 40407-2020 tillsynsbegäran.docx", "A 40407-2020")</f>
        <v/>
      </c>
      <c r="Y64">
        <f>HYPERLINK("https://klasma.github.io/Logging_2262/tillsynsmail/A 40407-2020 tillsynsbegäran mail.docx", "A 40407-2020")</f>
        <v/>
      </c>
    </row>
    <row r="65" ht="15" customHeight="1">
      <c r="A65" t="inlineStr">
        <is>
          <t>A 69202-2020</t>
        </is>
      </c>
      <c r="B65" s="1" t="n">
        <v>44191</v>
      </c>
      <c r="C65" s="1" t="n">
        <v>45670</v>
      </c>
      <c r="D65" t="inlineStr">
        <is>
          <t>VÄSTERNORRLANDS LÄN</t>
        </is>
      </c>
      <c r="E65" t="inlineStr">
        <is>
          <t>TIMRÅ</t>
        </is>
      </c>
      <c r="F65" t="inlineStr">
        <is>
          <t>SCA</t>
        </is>
      </c>
      <c r="G65" t="n">
        <v>12</v>
      </c>
      <c r="H65" t="n">
        <v>0</v>
      </c>
      <c r="I65" t="n">
        <v>0</v>
      </c>
      <c r="J65" t="n">
        <v>1</v>
      </c>
      <c r="K65" t="n">
        <v>0</v>
      </c>
      <c r="L65" t="n">
        <v>0</v>
      </c>
      <c r="M65" t="n">
        <v>0</v>
      </c>
      <c r="N65" t="n">
        <v>0</v>
      </c>
      <c r="O65" t="n">
        <v>1</v>
      </c>
      <c r="P65" t="n">
        <v>0</v>
      </c>
      <c r="Q65" t="n">
        <v>1</v>
      </c>
      <c r="R65" s="2" t="inlineStr">
        <is>
          <t>Garnlav</t>
        </is>
      </c>
      <c r="S65">
        <f>HYPERLINK("https://klasma.github.io/Logging_2262/artfynd/A 69202-2020 artfynd.xlsx", "A 69202-2020")</f>
        <v/>
      </c>
      <c r="T65">
        <f>HYPERLINK("https://klasma.github.io/Logging_2262/kartor/A 69202-2020 karta.png", "A 69202-2020")</f>
        <v/>
      </c>
      <c r="V65">
        <f>HYPERLINK("https://klasma.github.io/Logging_2262/klagomål/A 69202-2020 FSC-klagomål.docx", "A 69202-2020")</f>
        <v/>
      </c>
      <c r="W65">
        <f>HYPERLINK("https://klasma.github.io/Logging_2262/klagomålsmail/A 69202-2020 FSC-klagomål mail.docx", "A 69202-2020")</f>
        <v/>
      </c>
      <c r="X65">
        <f>HYPERLINK("https://klasma.github.io/Logging_2262/tillsyn/A 69202-2020 tillsynsbegäran.docx", "A 69202-2020")</f>
        <v/>
      </c>
      <c r="Y65">
        <f>HYPERLINK("https://klasma.github.io/Logging_2262/tillsynsmail/A 69202-2020 tillsynsbegäran mail.docx", "A 69202-2020")</f>
        <v/>
      </c>
    </row>
    <row r="66" ht="15" customHeight="1">
      <c r="A66" t="inlineStr">
        <is>
          <t>A 18969-2021</t>
        </is>
      </c>
      <c r="B66" s="1" t="n">
        <v>44308</v>
      </c>
      <c r="C66" s="1" t="n">
        <v>45670</v>
      </c>
      <c r="D66" t="inlineStr">
        <is>
          <t>VÄSTERNORRLANDS LÄN</t>
        </is>
      </c>
      <c r="E66" t="inlineStr">
        <is>
          <t>TIMRÅ</t>
        </is>
      </c>
      <c r="G66" t="n">
        <v>7.4</v>
      </c>
      <c r="H66" t="n">
        <v>0</v>
      </c>
      <c r="I66" t="n">
        <v>1</v>
      </c>
      <c r="J66" t="n">
        <v>0</v>
      </c>
      <c r="K66" t="n">
        <v>0</v>
      </c>
      <c r="L66" t="n">
        <v>0</v>
      </c>
      <c r="M66" t="n">
        <v>0</v>
      </c>
      <c r="N66" t="n">
        <v>0</v>
      </c>
      <c r="O66" t="n">
        <v>0</v>
      </c>
      <c r="P66" t="n">
        <v>0</v>
      </c>
      <c r="Q66" t="n">
        <v>1</v>
      </c>
      <c r="R66" s="2" t="inlineStr">
        <is>
          <t>Strutbräken</t>
        </is>
      </c>
      <c r="S66">
        <f>HYPERLINK("https://klasma.github.io/Logging_2262/artfynd/A 18969-2021 artfynd.xlsx", "A 18969-2021")</f>
        <v/>
      </c>
      <c r="T66">
        <f>HYPERLINK("https://klasma.github.io/Logging_2262/kartor/A 18969-2021 karta.png", "A 18969-2021")</f>
        <v/>
      </c>
      <c r="V66">
        <f>HYPERLINK("https://klasma.github.io/Logging_2262/klagomål/A 18969-2021 FSC-klagomål.docx", "A 18969-2021")</f>
        <v/>
      </c>
      <c r="W66">
        <f>HYPERLINK("https://klasma.github.io/Logging_2262/klagomålsmail/A 18969-2021 FSC-klagomål mail.docx", "A 18969-2021")</f>
        <v/>
      </c>
      <c r="X66">
        <f>HYPERLINK("https://klasma.github.io/Logging_2262/tillsyn/A 18969-2021 tillsynsbegäran.docx", "A 18969-2021")</f>
        <v/>
      </c>
      <c r="Y66">
        <f>HYPERLINK("https://klasma.github.io/Logging_2262/tillsynsmail/A 18969-2021 tillsynsbegäran mail.docx", "A 18969-2021")</f>
        <v/>
      </c>
    </row>
    <row r="67" ht="15" customHeight="1">
      <c r="A67" t="inlineStr">
        <is>
          <t>A 20679-2021</t>
        </is>
      </c>
      <c r="B67" s="1" t="n">
        <v>44316</v>
      </c>
      <c r="C67" s="1" t="n">
        <v>45670</v>
      </c>
      <c r="D67" t="inlineStr">
        <is>
          <t>VÄSTERNORRLANDS LÄN</t>
        </is>
      </c>
      <c r="E67" t="inlineStr">
        <is>
          <t>TIMRÅ</t>
        </is>
      </c>
      <c r="G67" t="n">
        <v>12.6</v>
      </c>
      <c r="H67" t="n">
        <v>1</v>
      </c>
      <c r="I67" t="n">
        <v>0</v>
      </c>
      <c r="J67" t="n">
        <v>1</v>
      </c>
      <c r="K67" t="n">
        <v>0</v>
      </c>
      <c r="L67" t="n">
        <v>0</v>
      </c>
      <c r="M67" t="n">
        <v>0</v>
      </c>
      <c r="N67" t="n">
        <v>0</v>
      </c>
      <c r="O67" t="n">
        <v>1</v>
      </c>
      <c r="P67" t="n">
        <v>0</v>
      </c>
      <c r="Q67" t="n">
        <v>1</v>
      </c>
      <c r="R67" s="2" t="inlineStr">
        <is>
          <t>Havsörn</t>
        </is>
      </c>
      <c r="S67">
        <f>HYPERLINK("https://klasma.github.io/Logging_2262/artfynd/A 20679-2021 artfynd.xlsx", "A 20679-2021")</f>
        <v/>
      </c>
      <c r="T67">
        <f>HYPERLINK("https://klasma.github.io/Logging_2262/kartor/A 20679-2021 karta.png", "A 20679-2021")</f>
        <v/>
      </c>
      <c r="V67">
        <f>HYPERLINK("https://klasma.github.io/Logging_2262/klagomål/A 20679-2021 FSC-klagomål.docx", "A 20679-2021")</f>
        <v/>
      </c>
      <c r="W67">
        <f>HYPERLINK("https://klasma.github.io/Logging_2262/klagomålsmail/A 20679-2021 FSC-klagomål mail.docx", "A 20679-2021")</f>
        <v/>
      </c>
      <c r="X67">
        <f>HYPERLINK("https://klasma.github.io/Logging_2262/tillsyn/A 20679-2021 tillsynsbegäran.docx", "A 20679-2021")</f>
        <v/>
      </c>
      <c r="Y67">
        <f>HYPERLINK("https://klasma.github.io/Logging_2262/tillsynsmail/A 20679-2021 tillsynsbegäran mail.docx", "A 20679-2021")</f>
        <v/>
      </c>
      <c r="Z67">
        <f>HYPERLINK("https://klasma.github.io/Logging_2262/fåglar/A 20679-2021 prioriterade fågelarter.docx", "A 20679-2021")</f>
        <v/>
      </c>
    </row>
    <row r="68" ht="15" customHeight="1">
      <c r="A68" t="inlineStr">
        <is>
          <t>A 12753-2022</t>
        </is>
      </c>
      <c r="B68" s="1" t="n">
        <v>44641</v>
      </c>
      <c r="C68" s="1" t="n">
        <v>45670</v>
      </c>
      <c r="D68" t="inlineStr">
        <is>
          <t>VÄSTERNORRLANDS LÄN</t>
        </is>
      </c>
      <c r="E68" t="inlineStr">
        <is>
          <t>TIMRÅ</t>
        </is>
      </c>
      <c r="G68" t="n">
        <v>1.6</v>
      </c>
      <c r="H68" t="n">
        <v>0</v>
      </c>
      <c r="I68" t="n">
        <v>1</v>
      </c>
      <c r="J68" t="n">
        <v>0</v>
      </c>
      <c r="K68" t="n">
        <v>0</v>
      </c>
      <c r="L68" t="n">
        <v>0</v>
      </c>
      <c r="M68" t="n">
        <v>0</v>
      </c>
      <c r="N68" t="n">
        <v>0</v>
      </c>
      <c r="O68" t="n">
        <v>0</v>
      </c>
      <c r="P68" t="n">
        <v>0</v>
      </c>
      <c r="Q68" t="n">
        <v>1</v>
      </c>
      <c r="R68" s="2" t="inlineStr">
        <is>
          <t>Strutbräken</t>
        </is>
      </c>
      <c r="S68">
        <f>HYPERLINK("https://klasma.github.io/Logging_2262/artfynd/A 12753-2022 artfynd.xlsx", "A 12753-2022")</f>
        <v/>
      </c>
      <c r="T68">
        <f>HYPERLINK("https://klasma.github.io/Logging_2262/kartor/A 12753-2022 karta.png", "A 12753-2022")</f>
        <v/>
      </c>
      <c r="V68">
        <f>HYPERLINK("https://klasma.github.io/Logging_2262/klagomål/A 12753-2022 FSC-klagomål.docx", "A 12753-2022")</f>
        <v/>
      </c>
      <c r="W68">
        <f>HYPERLINK("https://klasma.github.io/Logging_2262/klagomålsmail/A 12753-2022 FSC-klagomål mail.docx", "A 12753-2022")</f>
        <v/>
      </c>
      <c r="X68">
        <f>HYPERLINK("https://klasma.github.io/Logging_2262/tillsyn/A 12753-2022 tillsynsbegäran.docx", "A 12753-2022")</f>
        <v/>
      </c>
      <c r="Y68">
        <f>HYPERLINK("https://klasma.github.io/Logging_2262/tillsynsmail/A 12753-2022 tillsynsbegäran mail.docx", "A 12753-2022")</f>
        <v/>
      </c>
    </row>
    <row r="69" ht="15" customHeight="1">
      <c r="A69" t="inlineStr">
        <is>
          <t>A 12785-2022</t>
        </is>
      </c>
      <c r="B69" s="1" t="n">
        <v>44641</v>
      </c>
      <c r="C69" s="1" t="n">
        <v>45670</v>
      </c>
      <c r="D69" t="inlineStr">
        <is>
          <t>VÄSTERNORRLANDS LÄN</t>
        </is>
      </c>
      <c r="E69" t="inlineStr">
        <is>
          <t>TIMRÅ</t>
        </is>
      </c>
      <c r="G69" t="n">
        <v>2.2</v>
      </c>
      <c r="H69" t="n">
        <v>0</v>
      </c>
      <c r="I69" t="n">
        <v>1</v>
      </c>
      <c r="J69" t="n">
        <v>0</v>
      </c>
      <c r="K69" t="n">
        <v>0</v>
      </c>
      <c r="L69" t="n">
        <v>0</v>
      </c>
      <c r="M69" t="n">
        <v>0</v>
      </c>
      <c r="N69" t="n">
        <v>0</v>
      </c>
      <c r="O69" t="n">
        <v>0</v>
      </c>
      <c r="P69" t="n">
        <v>0</v>
      </c>
      <c r="Q69" t="n">
        <v>1</v>
      </c>
      <c r="R69" s="2" t="inlineStr">
        <is>
          <t>Ögonpyrola</t>
        </is>
      </c>
      <c r="S69">
        <f>HYPERLINK("https://klasma.github.io/Logging_2262/artfynd/A 12785-2022 artfynd.xlsx", "A 12785-2022")</f>
        <v/>
      </c>
      <c r="T69">
        <f>HYPERLINK("https://klasma.github.io/Logging_2262/kartor/A 12785-2022 karta.png", "A 12785-2022")</f>
        <v/>
      </c>
      <c r="V69">
        <f>HYPERLINK("https://klasma.github.io/Logging_2262/klagomål/A 12785-2022 FSC-klagomål.docx", "A 12785-2022")</f>
        <v/>
      </c>
      <c r="W69">
        <f>HYPERLINK("https://klasma.github.io/Logging_2262/klagomålsmail/A 12785-2022 FSC-klagomål mail.docx", "A 12785-2022")</f>
        <v/>
      </c>
      <c r="X69">
        <f>HYPERLINK("https://klasma.github.io/Logging_2262/tillsyn/A 12785-2022 tillsynsbegäran.docx", "A 12785-2022")</f>
        <v/>
      </c>
      <c r="Y69">
        <f>HYPERLINK("https://klasma.github.io/Logging_2262/tillsynsmail/A 12785-2022 tillsynsbegäran mail.docx", "A 12785-2022")</f>
        <v/>
      </c>
    </row>
    <row r="70" ht="15" customHeight="1">
      <c r="A70" t="inlineStr">
        <is>
          <t>A 57242-2022</t>
        </is>
      </c>
      <c r="B70" s="1" t="n">
        <v>44889</v>
      </c>
      <c r="C70" s="1" t="n">
        <v>45670</v>
      </c>
      <c r="D70" t="inlineStr">
        <is>
          <t>VÄSTERNORRLANDS LÄN</t>
        </is>
      </c>
      <c r="E70" t="inlineStr">
        <is>
          <t>TIMRÅ</t>
        </is>
      </c>
      <c r="G70" t="n">
        <v>18.8</v>
      </c>
      <c r="H70" t="n">
        <v>0</v>
      </c>
      <c r="I70" t="n">
        <v>0</v>
      </c>
      <c r="J70" t="n">
        <v>0</v>
      </c>
      <c r="K70" t="n">
        <v>0</v>
      </c>
      <c r="L70" t="n">
        <v>1</v>
      </c>
      <c r="M70" t="n">
        <v>0</v>
      </c>
      <c r="N70" t="n">
        <v>0</v>
      </c>
      <c r="O70" t="n">
        <v>1</v>
      </c>
      <c r="P70" t="n">
        <v>1</v>
      </c>
      <c r="Q70" t="n">
        <v>1</v>
      </c>
      <c r="R70" s="2" t="inlineStr">
        <is>
          <t>Flodpärlmussla</t>
        </is>
      </c>
      <c r="S70">
        <f>HYPERLINK("https://klasma.github.io/Logging_2262/artfynd/A 57242-2022 artfynd.xlsx", "A 57242-2022")</f>
        <v/>
      </c>
      <c r="T70">
        <f>HYPERLINK("https://klasma.github.io/Logging_2262/kartor/A 57242-2022 karta.png", "A 57242-2022")</f>
        <v/>
      </c>
      <c r="V70">
        <f>HYPERLINK("https://klasma.github.io/Logging_2262/klagomål/A 57242-2022 FSC-klagomål.docx", "A 57242-2022")</f>
        <v/>
      </c>
      <c r="W70">
        <f>HYPERLINK("https://klasma.github.io/Logging_2262/klagomålsmail/A 57242-2022 FSC-klagomål mail.docx", "A 57242-2022")</f>
        <v/>
      </c>
      <c r="X70">
        <f>HYPERLINK("https://klasma.github.io/Logging_2262/tillsyn/A 57242-2022 tillsynsbegäran.docx", "A 57242-2022")</f>
        <v/>
      </c>
      <c r="Y70">
        <f>HYPERLINK("https://klasma.github.io/Logging_2262/tillsynsmail/A 57242-2022 tillsynsbegäran mail.docx", "A 57242-2022")</f>
        <v/>
      </c>
    </row>
    <row r="71" ht="15" customHeight="1">
      <c r="A71" t="inlineStr">
        <is>
          <t>A 10313-2023</t>
        </is>
      </c>
      <c r="B71" s="1" t="n">
        <v>44986</v>
      </c>
      <c r="C71" s="1" t="n">
        <v>45670</v>
      </c>
      <c r="D71" t="inlineStr">
        <is>
          <t>VÄSTERNORRLANDS LÄN</t>
        </is>
      </c>
      <c r="E71" t="inlineStr">
        <is>
          <t>TIMRÅ</t>
        </is>
      </c>
      <c r="F71" t="inlineStr">
        <is>
          <t>SCA</t>
        </is>
      </c>
      <c r="G71" t="n">
        <v>39.3</v>
      </c>
      <c r="H71" t="n">
        <v>1</v>
      </c>
      <c r="I71" t="n">
        <v>0</v>
      </c>
      <c r="J71" t="n">
        <v>1</v>
      </c>
      <c r="K71" t="n">
        <v>0</v>
      </c>
      <c r="L71" t="n">
        <v>0</v>
      </c>
      <c r="M71" t="n">
        <v>0</v>
      </c>
      <c r="N71" t="n">
        <v>0</v>
      </c>
      <c r="O71" t="n">
        <v>1</v>
      </c>
      <c r="P71" t="n">
        <v>0</v>
      </c>
      <c r="Q71" t="n">
        <v>1</v>
      </c>
      <c r="R71" s="2" t="inlineStr">
        <is>
          <t>Slaguggla</t>
        </is>
      </c>
      <c r="S71">
        <f>HYPERLINK("https://klasma.github.io/Logging_2262/artfynd/A 10313-2023 artfynd.xlsx", "A 10313-2023")</f>
        <v/>
      </c>
      <c r="T71">
        <f>HYPERLINK("https://klasma.github.io/Logging_2262/kartor/A 10313-2023 karta.png", "A 10313-2023")</f>
        <v/>
      </c>
      <c r="V71">
        <f>HYPERLINK("https://klasma.github.io/Logging_2262/klagomål/A 10313-2023 FSC-klagomål.docx", "A 10313-2023")</f>
        <v/>
      </c>
      <c r="W71">
        <f>HYPERLINK("https://klasma.github.io/Logging_2262/klagomålsmail/A 10313-2023 FSC-klagomål mail.docx", "A 10313-2023")</f>
        <v/>
      </c>
      <c r="X71">
        <f>HYPERLINK("https://klasma.github.io/Logging_2262/tillsyn/A 10313-2023 tillsynsbegäran.docx", "A 10313-2023")</f>
        <v/>
      </c>
      <c r="Y71">
        <f>HYPERLINK("https://klasma.github.io/Logging_2262/tillsynsmail/A 10313-2023 tillsynsbegäran mail.docx", "A 10313-2023")</f>
        <v/>
      </c>
      <c r="Z71">
        <f>HYPERLINK("https://klasma.github.io/Logging_2262/fåglar/A 10313-2023 prioriterade fågelarter.docx", "A 10313-2023")</f>
        <v/>
      </c>
    </row>
    <row r="72" ht="15" customHeight="1">
      <c r="A72" t="inlineStr">
        <is>
          <t>A 33330-2023</t>
        </is>
      </c>
      <c r="B72" s="1" t="n">
        <v>45127</v>
      </c>
      <c r="C72" s="1" t="n">
        <v>45670</v>
      </c>
      <c r="D72" t="inlineStr">
        <is>
          <t>VÄSTERNORRLANDS LÄN</t>
        </is>
      </c>
      <c r="E72" t="inlineStr">
        <is>
          <t>TIMRÅ</t>
        </is>
      </c>
      <c r="F72" t="inlineStr">
        <is>
          <t>SCA</t>
        </is>
      </c>
      <c r="G72" t="n">
        <v>4</v>
      </c>
      <c r="H72" t="n">
        <v>0</v>
      </c>
      <c r="I72" t="n">
        <v>0</v>
      </c>
      <c r="J72" t="n">
        <v>1</v>
      </c>
      <c r="K72" t="n">
        <v>0</v>
      </c>
      <c r="L72" t="n">
        <v>0</v>
      </c>
      <c r="M72" t="n">
        <v>0</v>
      </c>
      <c r="N72" t="n">
        <v>0</v>
      </c>
      <c r="O72" t="n">
        <v>1</v>
      </c>
      <c r="P72" t="n">
        <v>0</v>
      </c>
      <c r="Q72" t="n">
        <v>1</v>
      </c>
      <c r="R72" s="2" t="inlineStr">
        <is>
          <t>Lunglav</t>
        </is>
      </c>
      <c r="S72">
        <f>HYPERLINK("https://klasma.github.io/Logging_2262/artfynd/A 33330-2023 artfynd.xlsx", "A 33330-2023")</f>
        <v/>
      </c>
      <c r="T72">
        <f>HYPERLINK("https://klasma.github.io/Logging_2262/kartor/A 33330-2023 karta.png", "A 33330-2023")</f>
        <v/>
      </c>
      <c r="V72">
        <f>HYPERLINK("https://klasma.github.io/Logging_2262/klagomål/A 33330-2023 FSC-klagomål.docx", "A 33330-2023")</f>
        <v/>
      </c>
      <c r="W72">
        <f>HYPERLINK("https://klasma.github.io/Logging_2262/klagomålsmail/A 33330-2023 FSC-klagomål mail.docx", "A 33330-2023")</f>
        <v/>
      </c>
      <c r="X72">
        <f>HYPERLINK("https://klasma.github.io/Logging_2262/tillsyn/A 33330-2023 tillsynsbegäran.docx", "A 33330-2023")</f>
        <v/>
      </c>
      <c r="Y72">
        <f>HYPERLINK("https://klasma.github.io/Logging_2262/tillsynsmail/A 33330-2023 tillsynsbegäran mail.docx", "A 33330-2023")</f>
        <v/>
      </c>
    </row>
    <row r="73" ht="15" customHeight="1">
      <c r="A73" t="inlineStr">
        <is>
          <t>A 33503-2023</t>
        </is>
      </c>
      <c r="B73" s="1" t="n">
        <v>45131</v>
      </c>
      <c r="C73" s="1" t="n">
        <v>45670</v>
      </c>
      <c r="D73" t="inlineStr">
        <is>
          <t>VÄSTERNORRLANDS LÄN</t>
        </is>
      </c>
      <c r="E73" t="inlineStr">
        <is>
          <t>TIMRÅ</t>
        </is>
      </c>
      <c r="G73" t="n">
        <v>28.3</v>
      </c>
      <c r="H73" t="n">
        <v>1</v>
      </c>
      <c r="I73" t="n">
        <v>0</v>
      </c>
      <c r="J73" t="n">
        <v>1</v>
      </c>
      <c r="K73" t="n">
        <v>0</v>
      </c>
      <c r="L73" t="n">
        <v>0</v>
      </c>
      <c r="M73" t="n">
        <v>0</v>
      </c>
      <c r="N73" t="n">
        <v>0</v>
      </c>
      <c r="O73" t="n">
        <v>1</v>
      </c>
      <c r="P73" t="n">
        <v>0</v>
      </c>
      <c r="Q73" t="n">
        <v>1</v>
      </c>
      <c r="R73" s="2" t="inlineStr">
        <is>
          <t>Utter</t>
        </is>
      </c>
      <c r="S73">
        <f>HYPERLINK("https://klasma.github.io/Logging_2262/artfynd/A 33503-2023 artfynd.xlsx", "A 33503-2023")</f>
        <v/>
      </c>
      <c r="T73">
        <f>HYPERLINK("https://klasma.github.io/Logging_2262/kartor/A 33503-2023 karta.png", "A 33503-2023")</f>
        <v/>
      </c>
      <c r="V73">
        <f>HYPERLINK("https://klasma.github.io/Logging_2262/klagomål/A 33503-2023 FSC-klagomål.docx", "A 33503-2023")</f>
        <v/>
      </c>
      <c r="W73">
        <f>HYPERLINK("https://klasma.github.io/Logging_2262/klagomålsmail/A 33503-2023 FSC-klagomål mail.docx", "A 33503-2023")</f>
        <v/>
      </c>
      <c r="X73">
        <f>HYPERLINK("https://klasma.github.io/Logging_2262/tillsyn/A 33503-2023 tillsynsbegäran.docx", "A 33503-2023")</f>
        <v/>
      </c>
      <c r="Y73">
        <f>HYPERLINK("https://klasma.github.io/Logging_2262/tillsynsmail/A 33503-2023 tillsynsbegäran mail.docx", "A 33503-2023")</f>
        <v/>
      </c>
    </row>
    <row r="74" ht="15" customHeight="1">
      <c r="A74" t="inlineStr">
        <is>
          <t>A 35510-2023</t>
        </is>
      </c>
      <c r="B74" s="1" t="n">
        <v>45147</v>
      </c>
      <c r="C74" s="1" t="n">
        <v>45670</v>
      </c>
      <c r="D74" t="inlineStr">
        <is>
          <t>VÄSTERNORRLANDS LÄN</t>
        </is>
      </c>
      <c r="E74" t="inlineStr">
        <is>
          <t>TIMRÅ</t>
        </is>
      </c>
      <c r="F74" t="inlineStr">
        <is>
          <t>SCA</t>
        </is>
      </c>
      <c r="G74" t="n">
        <v>3.5</v>
      </c>
      <c r="H74" t="n">
        <v>1</v>
      </c>
      <c r="I74" t="n">
        <v>0</v>
      </c>
      <c r="J74" t="n">
        <v>0</v>
      </c>
      <c r="K74" t="n">
        <v>0</v>
      </c>
      <c r="L74" t="n">
        <v>0</v>
      </c>
      <c r="M74" t="n">
        <v>0</v>
      </c>
      <c r="N74" t="n">
        <v>0</v>
      </c>
      <c r="O74" t="n">
        <v>0</v>
      </c>
      <c r="P74" t="n">
        <v>0</v>
      </c>
      <c r="Q74" t="n">
        <v>1</v>
      </c>
      <c r="R74" s="2" t="inlineStr">
        <is>
          <t>Revlummer</t>
        </is>
      </c>
      <c r="S74">
        <f>HYPERLINK("https://klasma.github.io/Logging_2262/artfynd/A 35510-2023 artfynd.xlsx", "A 35510-2023")</f>
        <v/>
      </c>
      <c r="T74">
        <f>HYPERLINK("https://klasma.github.io/Logging_2262/kartor/A 35510-2023 karta.png", "A 35510-2023")</f>
        <v/>
      </c>
      <c r="V74">
        <f>HYPERLINK("https://klasma.github.io/Logging_2262/klagomål/A 35510-2023 FSC-klagomål.docx", "A 35510-2023")</f>
        <v/>
      </c>
      <c r="W74">
        <f>HYPERLINK("https://klasma.github.io/Logging_2262/klagomålsmail/A 35510-2023 FSC-klagomål mail.docx", "A 35510-2023")</f>
        <v/>
      </c>
      <c r="X74">
        <f>HYPERLINK("https://klasma.github.io/Logging_2262/tillsyn/A 35510-2023 tillsynsbegäran.docx", "A 35510-2023")</f>
        <v/>
      </c>
      <c r="Y74">
        <f>HYPERLINK("https://klasma.github.io/Logging_2262/tillsynsmail/A 35510-2023 tillsynsbegäran mail.docx", "A 35510-2023")</f>
        <v/>
      </c>
    </row>
    <row r="75" ht="15" customHeight="1">
      <c r="A75" t="inlineStr">
        <is>
          <t>A 39141-2023</t>
        </is>
      </c>
      <c r="B75" s="1" t="n">
        <v>45165</v>
      </c>
      <c r="C75" s="1" t="n">
        <v>45670</v>
      </c>
      <c r="D75" t="inlineStr">
        <is>
          <t>VÄSTERNORRLANDS LÄN</t>
        </is>
      </c>
      <c r="E75" t="inlineStr">
        <is>
          <t>TIMRÅ</t>
        </is>
      </c>
      <c r="F75" t="inlineStr">
        <is>
          <t>SCA</t>
        </is>
      </c>
      <c r="G75" t="n">
        <v>11.3</v>
      </c>
      <c r="H75" t="n">
        <v>1</v>
      </c>
      <c r="I75" t="n">
        <v>1</v>
      </c>
      <c r="J75" t="n">
        <v>0</v>
      </c>
      <c r="K75" t="n">
        <v>0</v>
      </c>
      <c r="L75" t="n">
        <v>0</v>
      </c>
      <c r="M75" t="n">
        <v>0</v>
      </c>
      <c r="N75" t="n">
        <v>0</v>
      </c>
      <c r="O75" t="n">
        <v>0</v>
      </c>
      <c r="P75" t="n">
        <v>0</v>
      </c>
      <c r="Q75" t="n">
        <v>1</v>
      </c>
      <c r="R75" s="2" t="inlineStr">
        <is>
          <t>Plattlummer</t>
        </is>
      </c>
      <c r="S75">
        <f>HYPERLINK("https://klasma.github.io/Logging_2262/artfynd/A 39141-2023 artfynd.xlsx", "A 39141-2023")</f>
        <v/>
      </c>
      <c r="T75">
        <f>HYPERLINK("https://klasma.github.io/Logging_2262/kartor/A 39141-2023 karta.png", "A 39141-2023")</f>
        <v/>
      </c>
      <c r="V75">
        <f>HYPERLINK("https://klasma.github.io/Logging_2262/klagomål/A 39141-2023 FSC-klagomål.docx", "A 39141-2023")</f>
        <v/>
      </c>
      <c r="W75">
        <f>HYPERLINK("https://klasma.github.io/Logging_2262/klagomålsmail/A 39141-2023 FSC-klagomål mail.docx", "A 39141-2023")</f>
        <v/>
      </c>
      <c r="X75">
        <f>HYPERLINK("https://klasma.github.io/Logging_2262/tillsyn/A 39141-2023 tillsynsbegäran.docx", "A 39141-2023")</f>
        <v/>
      </c>
      <c r="Y75">
        <f>HYPERLINK("https://klasma.github.io/Logging_2262/tillsynsmail/A 39141-2023 tillsynsbegäran mail.docx", "A 39141-2023")</f>
        <v/>
      </c>
    </row>
    <row r="76" ht="15" customHeight="1">
      <c r="A76" t="inlineStr">
        <is>
          <t>A 47793-2023</t>
        </is>
      </c>
      <c r="B76" s="1" t="n">
        <v>45203</v>
      </c>
      <c r="C76" s="1" t="n">
        <v>45670</v>
      </c>
      <c r="D76" t="inlineStr">
        <is>
          <t>VÄSTERNORRLANDS LÄN</t>
        </is>
      </c>
      <c r="E76" t="inlineStr">
        <is>
          <t>TIMRÅ</t>
        </is>
      </c>
      <c r="F76" t="inlineStr">
        <is>
          <t>SCA</t>
        </is>
      </c>
      <c r="G76" t="n">
        <v>9.699999999999999</v>
      </c>
      <c r="H76" t="n">
        <v>1</v>
      </c>
      <c r="I76" t="n">
        <v>0</v>
      </c>
      <c r="J76" t="n">
        <v>0</v>
      </c>
      <c r="K76" t="n">
        <v>0</v>
      </c>
      <c r="L76" t="n">
        <v>0</v>
      </c>
      <c r="M76" t="n">
        <v>0</v>
      </c>
      <c r="N76" t="n">
        <v>0</v>
      </c>
      <c r="O76" t="n">
        <v>0</v>
      </c>
      <c r="P76" t="n">
        <v>0</v>
      </c>
      <c r="Q76" t="n">
        <v>1</v>
      </c>
      <c r="R76" s="2" t="inlineStr">
        <is>
          <t>Revlummer</t>
        </is>
      </c>
      <c r="S76">
        <f>HYPERLINK("https://klasma.github.io/Logging_2262/artfynd/A 47793-2023 artfynd.xlsx", "A 47793-2023")</f>
        <v/>
      </c>
      <c r="T76">
        <f>HYPERLINK("https://klasma.github.io/Logging_2262/kartor/A 47793-2023 karta.png", "A 47793-2023")</f>
        <v/>
      </c>
      <c r="V76">
        <f>HYPERLINK("https://klasma.github.io/Logging_2262/klagomål/A 47793-2023 FSC-klagomål.docx", "A 47793-2023")</f>
        <v/>
      </c>
      <c r="W76">
        <f>HYPERLINK("https://klasma.github.io/Logging_2262/klagomålsmail/A 47793-2023 FSC-klagomål mail.docx", "A 47793-2023")</f>
        <v/>
      </c>
      <c r="X76">
        <f>HYPERLINK("https://klasma.github.io/Logging_2262/tillsyn/A 47793-2023 tillsynsbegäran.docx", "A 47793-2023")</f>
        <v/>
      </c>
      <c r="Y76">
        <f>HYPERLINK("https://klasma.github.io/Logging_2262/tillsynsmail/A 47793-2023 tillsynsbegäran mail.docx", "A 47793-2023")</f>
        <v/>
      </c>
    </row>
    <row r="77" ht="15" customHeight="1">
      <c r="A77" t="inlineStr">
        <is>
          <t>A 47792-2023</t>
        </is>
      </c>
      <c r="B77" s="1" t="n">
        <v>45203</v>
      </c>
      <c r="C77" s="1" t="n">
        <v>45670</v>
      </c>
      <c r="D77" t="inlineStr">
        <is>
          <t>VÄSTERNORRLANDS LÄN</t>
        </is>
      </c>
      <c r="E77" t="inlineStr">
        <is>
          <t>TIMRÅ</t>
        </is>
      </c>
      <c r="F77" t="inlineStr">
        <is>
          <t>SCA</t>
        </is>
      </c>
      <c r="G77" t="n">
        <v>4.1</v>
      </c>
      <c r="H77" t="n">
        <v>0</v>
      </c>
      <c r="I77" t="n">
        <v>1</v>
      </c>
      <c r="J77" t="n">
        <v>0</v>
      </c>
      <c r="K77" t="n">
        <v>0</v>
      </c>
      <c r="L77" t="n">
        <v>0</v>
      </c>
      <c r="M77" t="n">
        <v>0</v>
      </c>
      <c r="N77" t="n">
        <v>0</v>
      </c>
      <c r="O77" t="n">
        <v>0</v>
      </c>
      <c r="P77" t="n">
        <v>0</v>
      </c>
      <c r="Q77" t="n">
        <v>1</v>
      </c>
      <c r="R77" s="2" t="inlineStr">
        <is>
          <t>Gräsull</t>
        </is>
      </c>
      <c r="S77">
        <f>HYPERLINK("https://klasma.github.io/Logging_2262/artfynd/A 47792-2023 artfynd.xlsx", "A 47792-2023")</f>
        <v/>
      </c>
      <c r="T77">
        <f>HYPERLINK("https://klasma.github.io/Logging_2262/kartor/A 47792-2023 karta.png", "A 47792-2023")</f>
        <v/>
      </c>
      <c r="V77">
        <f>HYPERLINK("https://klasma.github.io/Logging_2262/klagomål/A 47792-2023 FSC-klagomål.docx", "A 47792-2023")</f>
        <v/>
      </c>
      <c r="W77">
        <f>HYPERLINK("https://klasma.github.io/Logging_2262/klagomålsmail/A 47792-2023 FSC-klagomål mail.docx", "A 47792-2023")</f>
        <v/>
      </c>
      <c r="X77">
        <f>HYPERLINK("https://klasma.github.io/Logging_2262/tillsyn/A 47792-2023 tillsynsbegäran.docx", "A 47792-2023")</f>
        <v/>
      </c>
      <c r="Y77">
        <f>HYPERLINK("https://klasma.github.io/Logging_2262/tillsynsmail/A 47792-2023 tillsynsbegäran mail.docx", "A 47792-2023")</f>
        <v/>
      </c>
    </row>
    <row r="78" ht="15" customHeight="1">
      <c r="A78" t="inlineStr">
        <is>
          <t>A 49329-2023</t>
        </is>
      </c>
      <c r="B78" s="1" t="n">
        <v>45210</v>
      </c>
      <c r="C78" s="1" t="n">
        <v>45670</v>
      </c>
      <c r="D78" t="inlineStr">
        <is>
          <t>VÄSTERNORRLANDS LÄN</t>
        </is>
      </c>
      <c r="E78" t="inlineStr">
        <is>
          <t>TIMRÅ</t>
        </is>
      </c>
      <c r="F78" t="inlineStr">
        <is>
          <t>SCA</t>
        </is>
      </c>
      <c r="G78" t="n">
        <v>12.9</v>
      </c>
      <c r="H78" t="n">
        <v>0</v>
      </c>
      <c r="I78" t="n">
        <v>0</v>
      </c>
      <c r="J78" t="n">
        <v>1</v>
      </c>
      <c r="K78" t="n">
        <v>0</v>
      </c>
      <c r="L78" t="n">
        <v>0</v>
      </c>
      <c r="M78" t="n">
        <v>0</v>
      </c>
      <c r="N78" t="n">
        <v>0</v>
      </c>
      <c r="O78" t="n">
        <v>1</v>
      </c>
      <c r="P78" t="n">
        <v>0</v>
      </c>
      <c r="Q78" t="n">
        <v>1</v>
      </c>
      <c r="R78" s="2" t="inlineStr">
        <is>
          <t>Ullticka</t>
        </is>
      </c>
      <c r="S78">
        <f>HYPERLINK("https://klasma.github.io/Logging_2262/artfynd/A 49329-2023 artfynd.xlsx", "A 49329-2023")</f>
        <v/>
      </c>
      <c r="T78">
        <f>HYPERLINK("https://klasma.github.io/Logging_2262/kartor/A 49329-2023 karta.png", "A 49329-2023")</f>
        <v/>
      </c>
      <c r="V78">
        <f>HYPERLINK("https://klasma.github.io/Logging_2262/klagomål/A 49329-2023 FSC-klagomål.docx", "A 49329-2023")</f>
        <v/>
      </c>
      <c r="W78">
        <f>HYPERLINK("https://klasma.github.io/Logging_2262/klagomålsmail/A 49329-2023 FSC-klagomål mail.docx", "A 49329-2023")</f>
        <v/>
      </c>
      <c r="X78">
        <f>HYPERLINK("https://klasma.github.io/Logging_2262/tillsyn/A 49329-2023 tillsynsbegäran.docx", "A 49329-2023")</f>
        <v/>
      </c>
      <c r="Y78">
        <f>HYPERLINK("https://klasma.github.io/Logging_2262/tillsynsmail/A 49329-2023 tillsynsbegäran mail.docx", "A 49329-2023")</f>
        <v/>
      </c>
    </row>
    <row r="79" ht="15" customHeight="1">
      <c r="A79" t="inlineStr">
        <is>
          <t>A 56372-2023</t>
        </is>
      </c>
      <c r="B79" s="1" t="n">
        <v>45243</v>
      </c>
      <c r="C79" s="1" t="n">
        <v>45670</v>
      </c>
      <c r="D79" t="inlineStr">
        <is>
          <t>VÄSTERNORRLANDS LÄN</t>
        </is>
      </c>
      <c r="E79" t="inlineStr">
        <is>
          <t>TIMRÅ</t>
        </is>
      </c>
      <c r="G79" t="n">
        <v>6.9</v>
      </c>
      <c r="H79" t="n">
        <v>1</v>
      </c>
      <c r="I79" t="n">
        <v>0</v>
      </c>
      <c r="J79" t="n">
        <v>0</v>
      </c>
      <c r="K79" t="n">
        <v>1</v>
      </c>
      <c r="L79" t="n">
        <v>0</v>
      </c>
      <c r="M79" t="n">
        <v>0</v>
      </c>
      <c r="N79" t="n">
        <v>0</v>
      </c>
      <c r="O79" t="n">
        <v>1</v>
      </c>
      <c r="P79" t="n">
        <v>1</v>
      </c>
      <c r="Q79" t="n">
        <v>1</v>
      </c>
      <c r="R79" s="2" t="inlineStr">
        <is>
          <t>Knärot</t>
        </is>
      </c>
      <c r="S79">
        <f>HYPERLINK("https://klasma.github.io/Logging_2262/artfynd/A 56372-2023 artfynd.xlsx", "A 56372-2023")</f>
        <v/>
      </c>
      <c r="T79">
        <f>HYPERLINK("https://klasma.github.io/Logging_2262/kartor/A 56372-2023 karta.png", "A 56372-2023")</f>
        <v/>
      </c>
      <c r="U79">
        <f>HYPERLINK("https://klasma.github.io/Logging_2262/knärot/A 56372-2023 karta knärot.png", "A 56372-2023")</f>
        <v/>
      </c>
      <c r="V79">
        <f>HYPERLINK("https://klasma.github.io/Logging_2262/klagomål/A 56372-2023 FSC-klagomål.docx", "A 56372-2023")</f>
        <v/>
      </c>
      <c r="W79">
        <f>HYPERLINK("https://klasma.github.io/Logging_2262/klagomålsmail/A 56372-2023 FSC-klagomål mail.docx", "A 56372-2023")</f>
        <v/>
      </c>
      <c r="X79">
        <f>HYPERLINK("https://klasma.github.io/Logging_2262/tillsyn/A 56372-2023 tillsynsbegäran.docx", "A 56372-2023")</f>
        <v/>
      </c>
      <c r="Y79">
        <f>HYPERLINK("https://klasma.github.io/Logging_2262/tillsynsmail/A 56372-2023 tillsynsbegäran mail.docx", "A 56372-2023")</f>
        <v/>
      </c>
    </row>
    <row r="80" ht="15" customHeight="1">
      <c r="A80" t="inlineStr">
        <is>
          <t>A 58464-2023</t>
        </is>
      </c>
      <c r="B80" s="1" t="n">
        <v>45250</v>
      </c>
      <c r="C80" s="1" t="n">
        <v>45670</v>
      </c>
      <c r="D80" t="inlineStr">
        <is>
          <t>VÄSTERNORRLANDS LÄN</t>
        </is>
      </c>
      <c r="E80" t="inlineStr">
        <is>
          <t>TIMRÅ</t>
        </is>
      </c>
      <c r="F80" t="inlineStr">
        <is>
          <t>SCA</t>
        </is>
      </c>
      <c r="G80" t="n">
        <v>6.5</v>
      </c>
      <c r="H80" t="n">
        <v>0</v>
      </c>
      <c r="I80" t="n">
        <v>0</v>
      </c>
      <c r="J80" t="n">
        <v>1</v>
      </c>
      <c r="K80" t="n">
        <v>0</v>
      </c>
      <c r="L80" t="n">
        <v>0</v>
      </c>
      <c r="M80" t="n">
        <v>0</v>
      </c>
      <c r="N80" t="n">
        <v>0</v>
      </c>
      <c r="O80" t="n">
        <v>1</v>
      </c>
      <c r="P80" t="n">
        <v>0</v>
      </c>
      <c r="Q80" t="n">
        <v>1</v>
      </c>
      <c r="R80" s="2" t="inlineStr">
        <is>
          <t>Granticka</t>
        </is>
      </c>
      <c r="S80">
        <f>HYPERLINK("https://klasma.github.io/Logging_2262/artfynd/A 58464-2023 artfynd.xlsx", "A 58464-2023")</f>
        <v/>
      </c>
      <c r="T80">
        <f>HYPERLINK("https://klasma.github.io/Logging_2262/kartor/A 58464-2023 karta.png", "A 58464-2023")</f>
        <v/>
      </c>
      <c r="V80">
        <f>HYPERLINK("https://klasma.github.io/Logging_2262/klagomål/A 58464-2023 FSC-klagomål.docx", "A 58464-2023")</f>
        <v/>
      </c>
      <c r="W80">
        <f>HYPERLINK("https://klasma.github.io/Logging_2262/klagomålsmail/A 58464-2023 FSC-klagomål mail.docx", "A 58464-2023")</f>
        <v/>
      </c>
      <c r="X80">
        <f>HYPERLINK("https://klasma.github.io/Logging_2262/tillsyn/A 58464-2023 tillsynsbegäran.docx", "A 58464-2023")</f>
        <v/>
      </c>
      <c r="Y80">
        <f>HYPERLINK("https://klasma.github.io/Logging_2262/tillsynsmail/A 58464-2023 tillsynsbegäran mail.docx", "A 58464-2023")</f>
        <v/>
      </c>
    </row>
    <row r="81" ht="15" customHeight="1">
      <c r="A81" t="inlineStr">
        <is>
          <t>A 1152-2024</t>
        </is>
      </c>
      <c r="B81" s="1" t="n">
        <v>45302</v>
      </c>
      <c r="C81" s="1" t="n">
        <v>45670</v>
      </c>
      <c r="D81" t="inlineStr">
        <is>
          <t>VÄSTERNORRLANDS LÄN</t>
        </is>
      </c>
      <c r="E81" t="inlineStr">
        <is>
          <t>TIMRÅ</t>
        </is>
      </c>
      <c r="G81" t="n">
        <v>5.8</v>
      </c>
      <c r="H81" t="n">
        <v>0</v>
      </c>
      <c r="I81" t="n">
        <v>1</v>
      </c>
      <c r="J81" t="n">
        <v>0</v>
      </c>
      <c r="K81" t="n">
        <v>0</v>
      </c>
      <c r="L81" t="n">
        <v>0</v>
      </c>
      <c r="M81" t="n">
        <v>0</v>
      </c>
      <c r="N81" t="n">
        <v>0</v>
      </c>
      <c r="O81" t="n">
        <v>0</v>
      </c>
      <c r="P81" t="n">
        <v>0</v>
      </c>
      <c r="Q81" t="n">
        <v>1</v>
      </c>
      <c r="R81" s="2" t="inlineStr">
        <is>
          <t>Tibast</t>
        </is>
      </c>
      <c r="S81">
        <f>HYPERLINK("https://klasma.github.io/Logging_2262/artfynd/A 1152-2024 artfynd.xlsx", "A 1152-2024")</f>
        <v/>
      </c>
      <c r="T81">
        <f>HYPERLINK("https://klasma.github.io/Logging_2262/kartor/A 1152-2024 karta.png", "A 1152-2024")</f>
        <v/>
      </c>
      <c r="V81">
        <f>HYPERLINK("https://klasma.github.io/Logging_2262/klagomål/A 1152-2024 FSC-klagomål.docx", "A 1152-2024")</f>
        <v/>
      </c>
      <c r="W81">
        <f>HYPERLINK("https://klasma.github.io/Logging_2262/klagomålsmail/A 1152-2024 FSC-klagomål mail.docx", "A 1152-2024")</f>
        <v/>
      </c>
      <c r="X81">
        <f>HYPERLINK("https://klasma.github.io/Logging_2262/tillsyn/A 1152-2024 tillsynsbegäran.docx", "A 1152-2024")</f>
        <v/>
      </c>
      <c r="Y81">
        <f>HYPERLINK("https://klasma.github.io/Logging_2262/tillsynsmail/A 1152-2024 tillsynsbegäran mail.docx", "A 1152-2024")</f>
        <v/>
      </c>
    </row>
    <row r="82" ht="15" customHeight="1">
      <c r="A82" t="inlineStr">
        <is>
          <t>A 7904-2024</t>
        </is>
      </c>
      <c r="B82" s="1" t="n">
        <v>45349</v>
      </c>
      <c r="C82" s="1" t="n">
        <v>45670</v>
      </c>
      <c r="D82" t="inlineStr">
        <is>
          <t>VÄSTERNORRLANDS LÄN</t>
        </is>
      </c>
      <c r="E82" t="inlineStr">
        <is>
          <t>TIMRÅ</t>
        </is>
      </c>
      <c r="G82" t="n">
        <v>7.3</v>
      </c>
      <c r="H82" t="n">
        <v>1</v>
      </c>
      <c r="I82" t="n">
        <v>0</v>
      </c>
      <c r="J82" t="n">
        <v>0</v>
      </c>
      <c r="K82" t="n">
        <v>1</v>
      </c>
      <c r="L82" t="n">
        <v>0</v>
      </c>
      <c r="M82" t="n">
        <v>0</v>
      </c>
      <c r="N82" t="n">
        <v>0</v>
      </c>
      <c r="O82" t="n">
        <v>1</v>
      </c>
      <c r="P82" t="n">
        <v>1</v>
      </c>
      <c r="Q82" t="n">
        <v>1</v>
      </c>
      <c r="R82" s="2" t="inlineStr">
        <is>
          <t>Bergviol</t>
        </is>
      </c>
      <c r="S82">
        <f>HYPERLINK("https://klasma.github.io/Logging_2262/artfynd/A 7904-2024 artfynd.xlsx", "A 7904-2024")</f>
        <v/>
      </c>
      <c r="T82">
        <f>HYPERLINK("https://klasma.github.io/Logging_2262/kartor/A 7904-2024 karta.png", "A 7904-2024")</f>
        <v/>
      </c>
      <c r="V82">
        <f>HYPERLINK("https://klasma.github.io/Logging_2262/klagomål/A 7904-2024 FSC-klagomål.docx", "A 7904-2024")</f>
        <v/>
      </c>
      <c r="W82">
        <f>HYPERLINK("https://klasma.github.io/Logging_2262/klagomålsmail/A 7904-2024 FSC-klagomål mail.docx", "A 7904-2024")</f>
        <v/>
      </c>
      <c r="X82">
        <f>HYPERLINK("https://klasma.github.io/Logging_2262/tillsyn/A 7904-2024 tillsynsbegäran.docx", "A 7904-2024")</f>
        <v/>
      </c>
      <c r="Y82">
        <f>HYPERLINK("https://klasma.github.io/Logging_2262/tillsynsmail/A 7904-2024 tillsynsbegäran mail.docx", "A 7904-2024")</f>
        <v/>
      </c>
    </row>
    <row r="83" ht="15" customHeight="1">
      <c r="A83" t="inlineStr">
        <is>
          <t>A 8998-2024</t>
        </is>
      </c>
      <c r="B83" s="1" t="n">
        <v>45356</v>
      </c>
      <c r="C83" s="1" t="n">
        <v>45670</v>
      </c>
      <c r="D83" t="inlineStr">
        <is>
          <t>VÄSTERNORRLANDS LÄN</t>
        </is>
      </c>
      <c r="E83" t="inlineStr">
        <is>
          <t>TIMRÅ</t>
        </is>
      </c>
      <c r="G83" t="n">
        <v>2.1</v>
      </c>
      <c r="H83" t="n">
        <v>0</v>
      </c>
      <c r="I83" t="n">
        <v>1</v>
      </c>
      <c r="J83" t="n">
        <v>0</v>
      </c>
      <c r="K83" t="n">
        <v>0</v>
      </c>
      <c r="L83" t="n">
        <v>0</v>
      </c>
      <c r="M83" t="n">
        <v>0</v>
      </c>
      <c r="N83" t="n">
        <v>0</v>
      </c>
      <c r="O83" t="n">
        <v>0</v>
      </c>
      <c r="P83" t="n">
        <v>0</v>
      </c>
      <c r="Q83" t="n">
        <v>1</v>
      </c>
      <c r="R83" s="2" t="inlineStr">
        <is>
          <t>Strutbräken</t>
        </is>
      </c>
      <c r="S83">
        <f>HYPERLINK("https://klasma.github.io/Logging_2262/artfynd/A 8998-2024 artfynd.xlsx", "A 8998-2024")</f>
        <v/>
      </c>
      <c r="T83">
        <f>HYPERLINK("https://klasma.github.io/Logging_2262/kartor/A 8998-2024 karta.png", "A 8998-2024")</f>
        <v/>
      </c>
      <c r="V83">
        <f>HYPERLINK("https://klasma.github.io/Logging_2262/klagomål/A 8998-2024 FSC-klagomål.docx", "A 8998-2024")</f>
        <v/>
      </c>
      <c r="W83">
        <f>HYPERLINK("https://klasma.github.io/Logging_2262/klagomålsmail/A 8998-2024 FSC-klagomål mail.docx", "A 8998-2024")</f>
        <v/>
      </c>
      <c r="X83">
        <f>HYPERLINK("https://klasma.github.io/Logging_2262/tillsyn/A 8998-2024 tillsynsbegäran.docx", "A 8998-2024")</f>
        <v/>
      </c>
      <c r="Y83">
        <f>HYPERLINK("https://klasma.github.io/Logging_2262/tillsynsmail/A 8998-2024 tillsynsbegäran mail.docx", "A 8998-2024")</f>
        <v/>
      </c>
    </row>
    <row r="84" ht="15" customHeight="1">
      <c r="A84" t="inlineStr">
        <is>
          <t>A 14168-2024</t>
        </is>
      </c>
      <c r="B84" s="1" t="n">
        <v>45392</v>
      </c>
      <c r="C84" s="1" t="n">
        <v>45670</v>
      </c>
      <c r="D84" t="inlineStr">
        <is>
          <t>VÄSTERNORRLANDS LÄN</t>
        </is>
      </c>
      <c r="E84" t="inlineStr">
        <is>
          <t>TIMRÅ</t>
        </is>
      </c>
      <c r="F84" t="inlineStr">
        <is>
          <t>SCA</t>
        </is>
      </c>
      <c r="G84" t="n">
        <v>6.3</v>
      </c>
      <c r="H84" t="n">
        <v>0</v>
      </c>
      <c r="I84" t="n">
        <v>1</v>
      </c>
      <c r="J84" t="n">
        <v>0</v>
      </c>
      <c r="K84" t="n">
        <v>0</v>
      </c>
      <c r="L84" t="n">
        <v>0</v>
      </c>
      <c r="M84" t="n">
        <v>0</v>
      </c>
      <c r="N84" t="n">
        <v>0</v>
      </c>
      <c r="O84" t="n">
        <v>0</v>
      </c>
      <c r="P84" t="n">
        <v>0</v>
      </c>
      <c r="Q84" t="n">
        <v>1</v>
      </c>
      <c r="R84" s="2" t="inlineStr">
        <is>
          <t>Vedticka</t>
        </is>
      </c>
      <c r="S84">
        <f>HYPERLINK("https://klasma.github.io/Logging_2262/artfynd/A 14168-2024 artfynd.xlsx", "A 14168-2024")</f>
        <v/>
      </c>
      <c r="T84">
        <f>HYPERLINK("https://klasma.github.io/Logging_2262/kartor/A 14168-2024 karta.png", "A 14168-2024")</f>
        <v/>
      </c>
      <c r="V84">
        <f>HYPERLINK("https://klasma.github.io/Logging_2262/klagomål/A 14168-2024 FSC-klagomål.docx", "A 14168-2024")</f>
        <v/>
      </c>
      <c r="W84">
        <f>HYPERLINK("https://klasma.github.io/Logging_2262/klagomålsmail/A 14168-2024 FSC-klagomål mail.docx", "A 14168-2024")</f>
        <v/>
      </c>
      <c r="X84">
        <f>HYPERLINK("https://klasma.github.io/Logging_2262/tillsyn/A 14168-2024 tillsynsbegäran.docx", "A 14168-2024")</f>
        <v/>
      </c>
      <c r="Y84">
        <f>HYPERLINK("https://klasma.github.io/Logging_2262/tillsynsmail/A 14168-2024 tillsynsbegäran mail.docx", "A 14168-2024")</f>
        <v/>
      </c>
    </row>
    <row r="85" ht="15" customHeight="1">
      <c r="A85" t="inlineStr">
        <is>
          <t>A 15477-2024</t>
        </is>
      </c>
      <c r="B85" s="1" t="n">
        <v>45401</v>
      </c>
      <c r="C85" s="1" t="n">
        <v>45670</v>
      </c>
      <c r="D85" t="inlineStr">
        <is>
          <t>VÄSTERNORRLANDS LÄN</t>
        </is>
      </c>
      <c r="E85" t="inlineStr">
        <is>
          <t>TIMRÅ</t>
        </is>
      </c>
      <c r="G85" t="n">
        <v>2.1</v>
      </c>
      <c r="H85" t="n">
        <v>0</v>
      </c>
      <c r="I85" t="n">
        <v>0</v>
      </c>
      <c r="J85" t="n">
        <v>1</v>
      </c>
      <c r="K85" t="n">
        <v>0</v>
      </c>
      <c r="L85" t="n">
        <v>0</v>
      </c>
      <c r="M85" t="n">
        <v>0</v>
      </c>
      <c r="N85" t="n">
        <v>0</v>
      </c>
      <c r="O85" t="n">
        <v>1</v>
      </c>
      <c r="P85" t="n">
        <v>0</v>
      </c>
      <c r="Q85" t="n">
        <v>1</v>
      </c>
      <c r="R85" s="2" t="inlineStr">
        <is>
          <t>Tallticka</t>
        </is>
      </c>
      <c r="S85">
        <f>HYPERLINK("https://klasma.github.io/Logging_2262/artfynd/A 15477-2024 artfynd.xlsx", "A 15477-2024")</f>
        <v/>
      </c>
      <c r="T85">
        <f>HYPERLINK("https://klasma.github.io/Logging_2262/kartor/A 15477-2024 karta.png", "A 15477-2024")</f>
        <v/>
      </c>
      <c r="V85">
        <f>HYPERLINK("https://klasma.github.io/Logging_2262/klagomål/A 15477-2024 FSC-klagomål.docx", "A 15477-2024")</f>
        <v/>
      </c>
      <c r="W85">
        <f>HYPERLINK("https://klasma.github.io/Logging_2262/klagomålsmail/A 15477-2024 FSC-klagomål mail.docx", "A 15477-2024")</f>
        <v/>
      </c>
      <c r="X85">
        <f>HYPERLINK("https://klasma.github.io/Logging_2262/tillsyn/A 15477-2024 tillsynsbegäran.docx", "A 15477-2024")</f>
        <v/>
      </c>
      <c r="Y85">
        <f>HYPERLINK("https://klasma.github.io/Logging_2262/tillsynsmail/A 15477-2024 tillsynsbegäran mail.docx", "A 15477-2024")</f>
        <v/>
      </c>
    </row>
    <row r="86" ht="15" customHeight="1">
      <c r="A86" t="inlineStr">
        <is>
          <t>A 20350-2024</t>
        </is>
      </c>
      <c r="B86" s="1" t="n">
        <v>45435</v>
      </c>
      <c r="C86" s="1" t="n">
        <v>45670</v>
      </c>
      <c r="D86" t="inlineStr">
        <is>
          <t>VÄSTERNORRLANDS LÄN</t>
        </is>
      </c>
      <c r="E86" t="inlineStr">
        <is>
          <t>TIMRÅ</t>
        </is>
      </c>
      <c r="F86" t="inlineStr">
        <is>
          <t>SCA</t>
        </is>
      </c>
      <c r="G86" t="n">
        <v>6.9</v>
      </c>
      <c r="H86" t="n">
        <v>0</v>
      </c>
      <c r="I86" t="n">
        <v>0</v>
      </c>
      <c r="J86" t="n">
        <v>1</v>
      </c>
      <c r="K86" t="n">
        <v>0</v>
      </c>
      <c r="L86" t="n">
        <v>0</v>
      </c>
      <c r="M86" t="n">
        <v>0</v>
      </c>
      <c r="N86" t="n">
        <v>0</v>
      </c>
      <c r="O86" t="n">
        <v>1</v>
      </c>
      <c r="P86" t="n">
        <v>0</v>
      </c>
      <c r="Q86" t="n">
        <v>1</v>
      </c>
      <c r="R86" s="2" t="inlineStr">
        <is>
          <t>Garnlav</t>
        </is>
      </c>
      <c r="S86">
        <f>HYPERLINK("https://klasma.github.io/Logging_2262/artfynd/A 20350-2024 artfynd.xlsx", "A 20350-2024")</f>
        <v/>
      </c>
      <c r="T86">
        <f>HYPERLINK("https://klasma.github.io/Logging_2262/kartor/A 20350-2024 karta.png", "A 20350-2024")</f>
        <v/>
      </c>
      <c r="V86">
        <f>HYPERLINK("https://klasma.github.io/Logging_2262/klagomål/A 20350-2024 FSC-klagomål.docx", "A 20350-2024")</f>
        <v/>
      </c>
      <c r="W86">
        <f>HYPERLINK("https://klasma.github.io/Logging_2262/klagomålsmail/A 20350-2024 FSC-klagomål mail.docx", "A 20350-2024")</f>
        <v/>
      </c>
      <c r="X86">
        <f>HYPERLINK("https://klasma.github.io/Logging_2262/tillsyn/A 20350-2024 tillsynsbegäran.docx", "A 20350-2024")</f>
        <v/>
      </c>
      <c r="Y86">
        <f>HYPERLINK("https://klasma.github.io/Logging_2262/tillsynsmail/A 20350-2024 tillsynsbegäran mail.docx", "A 20350-2024")</f>
        <v/>
      </c>
    </row>
    <row r="87" ht="15" customHeight="1">
      <c r="A87" t="inlineStr">
        <is>
          <t>A 20785-2024</t>
        </is>
      </c>
      <c r="B87" s="1" t="n">
        <v>45437</v>
      </c>
      <c r="C87" s="1" t="n">
        <v>45670</v>
      </c>
      <c r="D87" t="inlineStr">
        <is>
          <t>VÄSTERNORRLANDS LÄN</t>
        </is>
      </c>
      <c r="E87" t="inlineStr">
        <is>
          <t>TIMRÅ</t>
        </is>
      </c>
      <c r="F87" t="inlineStr">
        <is>
          <t>SCA</t>
        </is>
      </c>
      <c r="G87" t="n">
        <v>3.4</v>
      </c>
      <c r="H87" t="n">
        <v>0</v>
      </c>
      <c r="I87" t="n">
        <v>0</v>
      </c>
      <c r="J87" t="n">
        <v>1</v>
      </c>
      <c r="K87" t="n">
        <v>0</v>
      </c>
      <c r="L87" t="n">
        <v>0</v>
      </c>
      <c r="M87" t="n">
        <v>0</v>
      </c>
      <c r="N87" t="n">
        <v>0</v>
      </c>
      <c r="O87" t="n">
        <v>1</v>
      </c>
      <c r="P87" t="n">
        <v>0</v>
      </c>
      <c r="Q87" t="n">
        <v>1</v>
      </c>
      <c r="R87" s="2" t="inlineStr">
        <is>
          <t>Rosenticka</t>
        </is>
      </c>
      <c r="S87">
        <f>HYPERLINK("https://klasma.github.io/Logging_2262/artfynd/A 20785-2024 artfynd.xlsx", "A 20785-2024")</f>
        <v/>
      </c>
      <c r="T87">
        <f>HYPERLINK("https://klasma.github.io/Logging_2262/kartor/A 20785-2024 karta.png", "A 20785-2024")</f>
        <v/>
      </c>
      <c r="V87">
        <f>HYPERLINK("https://klasma.github.io/Logging_2262/klagomål/A 20785-2024 FSC-klagomål.docx", "A 20785-2024")</f>
        <v/>
      </c>
      <c r="W87">
        <f>HYPERLINK("https://klasma.github.io/Logging_2262/klagomålsmail/A 20785-2024 FSC-klagomål mail.docx", "A 20785-2024")</f>
        <v/>
      </c>
      <c r="X87">
        <f>HYPERLINK("https://klasma.github.io/Logging_2262/tillsyn/A 20785-2024 tillsynsbegäran.docx", "A 20785-2024")</f>
        <v/>
      </c>
      <c r="Y87">
        <f>HYPERLINK("https://klasma.github.io/Logging_2262/tillsynsmail/A 20785-2024 tillsynsbegäran mail.docx", "A 20785-2024")</f>
        <v/>
      </c>
    </row>
    <row r="88" ht="15" customHeight="1">
      <c r="A88" t="inlineStr">
        <is>
          <t>A 21845-2024</t>
        </is>
      </c>
      <c r="B88" s="1" t="n">
        <v>45442</v>
      </c>
      <c r="C88" s="1" t="n">
        <v>45670</v>
      </c>
      <c r="D88" t="inlineStr">
        <is>
          <t>VÄSTERNORRLANDS LÄN</t>
        </is>
      </c>
      <c r="E88" t="inlineStr">
        <is>
          <t>TIMRÅ</t>
        </is>
      </c>
      <c r="F88" t="inlineStr">
        <is>
          <t>SCA</t>
        </is>
      </c>
      <c r="G88" t="n">
        <v>14.7</v>
      </c>
      <c r="H88" t="n">
        <v>0</v>
      </c>
      <c r="I88" t="n">
        <v>0</v>
      </c>
      <c r="J88" t="n">
        <v>1</v>
      </c>
      <c r="K88" t="n">
        <v>0</v>
      </c>
      <c r="L88" t="n">
        <v>0</v>
      </c>
      <c r="M88" t="n">
        <v>0</v>
      </c>
      <c r="N88" t="n">
        <v>0</v>
      </c>
      <c r="O88" t="n">
        <v>1</v>
      </c>
      <c r="P88" t="n">
        <v>0</v>
      </c>
      <c r="Q88" t="n">
        <v>1</v>
      </c>
      <c r="R88" s="2" t="inlineStr">
        <is>
          <t>Lunglav</t>
        </is>
      </c>
      <c r="S88">
        <f>HYPERLINK("https://klasma.github.io/Logging_2262/artfynd/A 21845-2024 artfynd.xlsx", "A 21845-2024")</f>
        <v/>
      </c>
      <c r="T88">
        <f>HYPERLINK("https://klasma.github.io/Logging_2262/kartor/A 21845-2024 karta.png", "A 21845-2024")</f>
        <v/>
      </c>
      <c r="V88">
        <f>HYPERLINK("https://klasma.github.io/Logging_2262/klagomål/A 21845-2024 FSC-klagomål.docx", "A 21845-2024")</f>
        <v/>
      </c>
      <c r="W88">
        <f>HYPERLINK("https://klasma.github.io/Logging_2262/klagomålsmail/A 21845-2024 FSC-klagomål mail.docx", "A 21845-2024")</f>
        <v/>
      </c>
      <c r="X88">
        <f>HYPERLINK("https://klasma.github.io/Logging_2262/tillsyn/A 21845-2024 tillsynsbegäran.docx", "A 21845-2024")</f>
        <v/>
      </c>
      <c r="Y88">
        <f>HYPERLINK("https://klasma.github.io/Logging_2262/tillsynsmail/A 21845-2024 tillsynsbegäran mail.docx", "A 21845-2024")</f>
        <v/>
      </c>
    </row>
    <row r="89" ht="15" customHeight="1">
      <c r="A89" t="inlineStr">
        <is>
          <t>A 39150-2024</t>
        </is>
      </c>
      <c r="B89" s="1" t="n">
        <v>45548</v>
      </c>
      <c r="C89" s="1" t="n">
        <v>45670</v>
      </c>
      <c r="D89" t="inlineStr">
        <is>
          <t>VÄSTERNORRLANDS LÄN</t>
        </is>
      </c>
      <c r="E89" t="inlineStr">
        <is>
          <t>TIMRÅ</t>
        </is>
      </c>
      <c r="G89" t="n">
        <v>4.4</v>
      </c>
      <c r="H89" t="n">
        <v>0</v>
      </c>
      <c r="I89" t="n">
        <v>1</v>
      </c>
      <c r="J89" t="n">
        <v>0</v>
      </c>
      <c r="K89" t="n">
        <v>0</v>
      </c>
      <c r="L89" t="n">
        <v>0</v>
      </c>
      <c r="M89" t="n">
        <v>0</v>
      </c>
      <c r="N89" t="n">
        <v>0</v>
      </c>
      <c r="O89" t="n">
        <v>0</v>
      </c>
      <c r="P89" t="n">
        <v>0</v>
      </c>
      <c r="Q89" t="n">
        <v>1</v>
      </c>
      <c r="R89" s="2" t="inlineStr">
        <is>
          <t>Ögonpyrola</t>
        </is>
      </c>
      <c r="S89">
        <f>HYPERLINK("https://klasma.github.io/Logging_2262/artfynd/A 39150-2024 artfynd.xlsx", "A 39150-2024")</f>
        <v/>
      </c>
      <c r="T89">
        <f>HYPERLINK("https://klasma.github.io/Logging_2262/kartor/A 39150-2024 karta.png", "A 39150-2024")</f>
        <v/>
      </c>
      <c r="V89">
        <f>HYPERLINK("https://klasma.github.io/Logging_2262/klagomål/A 39150-2024 FSC-klagomål.docx", "A 39150-2024")</f>
        <v/>
      </c>
      <c r="W89">
        <f>HYPERLINK("https://klasma.github.io/Logging_2262/klagomålsmail/A 39150-2024 FSC-klagomål mail.docx", "A 39150-2024")</f>
        <v/>
      </c>
      <c r="X89">
        <f>HYPERLINK("https://klasma.github.io/Logging_2262/tillsyn/A 39150-2024 tillsynsbegäran.docx", "A 39150-2024")</f>
        <v/>
      </c>
      <c r="Y89">
        <f>HYPERLINK("https://klasma.github.io/Logging_2262/tillsynsmail/A 39150-2024 tillsynsbegäran mail.docx", "A 39150-2024")</f>
        <v/>
      </c>
    </row>
    <row r="90" ht="15" customHeight="1">
      <c r="A90" t="inlineStr">
        <is>
          <t>A 40659-2024</t>
        </is>
      </c>
      <c r="B90" s="1" t="n">
        <v>45558</v>
      </c>
      <c r="C90" s="1" t="n">
        <v>45670</v>
      </c>
      <c r="D90" t="inlineStr">
        <is>
          <t>VÄSTERNORRLANDS LÄN</t>
        </is>
      </c>
      <c r="E90" t="inlineStr">
        <is>
          <t>TIMRÅ</t>
        </is>
      </c>
      <c r="F90" t="inlineStr">
        <is>
          <t>SCA</t>
        </is>
      </c>
      <c r="G90" t="n">
        <v>0.7</v>
      </c>
      <c r="H90" t="n">
        <v>0</v>
      </c>
      <c r="I90" t="n">
        <v>0</v>
      </c>
      <c r="J90" t="n">
        <v>1</v>
      </c>
      <c r="K90" t="n">
        <v>0</v>
      </c>
      <c r="L90" t="n">
        <v>0</v>
      </c>
      <c r="M90" t="n">
        <v>0</v>
      </c>
      <c r="N90" t="n">
        <v>0</v>
      </c>
      <c r="O90" t="n">
        <v>1</v>
      </c>
      <c r="P90" t="n">
        <v>0</v>
      </c>
      <c r="Q90" t="n">
        <v>1</v>
      </c>
      <c r="R90" s="2" t="inlineStr">
        <is>
          <t>Rosenticka</t>
        </is>
      </c>
      <c r="S90">
        <f>HYPERLINK("https://klasma.github.io/Logging_2262/artfynd/A 40659-2024 artfynd.xlsx", "A 40659-2024")</f>
        <v/>
      </c>
      <c r="T90">
        <f>HYPERLINK("https://klasma.github.io/Logging_2262/kartor/A 40659-2024 karta.png", "A 40659-2024")</f>
        <v/>
      </c>
      <c r="V90">
        <f>HYPERLINK("https://klasma.github.io/Logging_2262/klagomål/A 40659-2024 FSC-klagomål.docx", "A 40659-2024")</f>
        <v/>
      </c>
      <c r="W90">
        <f>HYPERLINK("https://klasma.github.io/Logging_2262/klagomålsmail/A 40659-2024 FSC-klagomål mail.docx", "A 40659-2024")</f>
        <v/>
      </c>
      <c r="X90">
        <f>HYPERLINK("https://klasma.github.io/Logging_2262/tillsyn/A 40659-2024 tillsynsbegäran.docx", "A 40659-2024")</f>
        <v/>
      </c>
      <c r="Y90">
        <f>HYPERLINK("https://klasma.github.io/Logging_2262/tillsynsmail/A 40659-2024 tillsynsbegäran mail.docx", "A 40659-2024")</f>
        <v/>
      </c>
    </row>
    <row r="91" ht="15" customHeight="1">
      <c r="A91" t="inlineStr">
        <is>
          <t>A 45721-2024</t>
        </is>
      </c>
      <c r="B91" s="1" t="n">
        <v>45579</v>
      </c>
      <c r="C91" s="1" t="n">
        <v>45670</v>
      </c>
      <c r="D91" t="inlineStr">
        <is>
          <t>VÄSTERNORRLANDS LÄN</t>
        </is>
      </c>
      <c r="E91" t="inlineStr">
        <is>
          <t>TIMRÅ</t>
        </is>
      </c>
      <c r="F91" t="inlineStr">
        <is>
          <t>SCA</t>
        </is>
      </c>
      <c r="G91" t="n">
        <v>6</v>
      </c>
      <c r="H91" t="n">
        <v>0</v>
      </c>
      <c r="I91" t="n">
        <v>0</v>
      </c>
      <c r="J91" t="n">
        <v>1</v>
      </c>
      <c r="K91" t="n">
        <v>0</v>
      </c>
      <c r="L91" t="n">
        <v>0</v>
      </c>
      <c r="M91" t="n">
        <v>0</v>
      </c>
      <c r="N91" t="n">
        <v>0</v>
      </c>
      <c r="O91" t="n">
        <v>1</v>
      </c>
      <c r="P91" t="n">
        <v>0</v>
      </c>
      <c r="Q91" t="n">
        <v>1</v>
      </c>
      <c r="R91" s="2" t="inlineStr">
        <is>
          <t>Gammelgransskål</t>
        </is>
      </c>
      <c r="S91">
        <f>HYPERLINK("https://klasma.github.io/Logging_2262/artfynd/A 45721-2024 artfynd.xlsx", "A 45721-2024")</f>
        <v/>
      </c>
      <c r="T91">
        <f>HYPERLINK("https://klasma.github.io/Logging_2262/kartor/A 45721-2024 karta.png", "A 45721-2024")</f>
        <v/>
      </c>
      <c r="V91">
        <f>HYPERLINK("https://klasma.github.io/Logging_2262/klagomål/A 45721-2024 FSC-klagomål.docx", "A 45721-2024")</f>
        <v/>
      </c>
      <c r="W91">
        <f>HYPERLINK("https://klasma.github.io/Logging_2262/klagomålsmail/A 45721-2024 FSC-klagomål mail.docx", "A 45721-2024")</f>
        <v/>
      </c>
      <c r="X91">
        <f>HYPERLINK("https://klasma.github.io/Logging_2262/tillsyn/A 45721-2024 tillsynsbegäran.docx", "A 45721-2024")</f>
        <v/>
      </c>
      <c r="Y91">
        <f>HYPERLINK("https://klasma.github.io/Logging_2262/tillsynsmail/A 45721-2024 tillsynsbegäran mail.docx", "A 45721-2024")</f>
        <v/>
      </c>
    </row>
    <row r="92" ht="15" customHeight="1">
      <c r="A92" t="inlineStr">
        <is>
          <t>A 53295-2024</t>
        </is>
      </c>
      <c r="B92" s="1" t="n">
        <v>45614</v>
      </c>
      <c r="C92" s="1" t="n">
        <v>45670</v>
      </c>
      <c r="D92" t="inlineStr">
        <is>
          <t>VÄSTERNORRLANDS LÄN</t>
        </is>
      </c>
      <c r="E92" t="inlineStr">
        <is>
          <t>TIMRÅ</t>
        </is>
      </c>
      <c r="F92" t="inlineStr">
        <is>
          <t>SCA</t>
        </is>
      </c>
      <c r="G92" t="n">
        <v>1.9</v>
      </c>
      <c r="H92" t="n">
        <v>0</v>
      </c>
      <c r="I92" t="n">
        <v>0</v>
      </c>
      <c r="J92" t="n">
        <v>1</v>
      </c>
      <c r="K92" t="n">
        <v>0</v>
      </c>
      <c r="L92" t="n">
        <v>0</v>
      </c>
      <c r="M92" t="n">
        <v>0</v>
      </c>
      <c r="N92" t="n">
        <v>0</v>
      </c>
      <c r="O92" t="n">
        <v>1</v>
      </c>
      <c r="P92" t="n">
        <v>0</v>
      </c>
      <c r="Q92" t="n">
        <v>1</v>
      </c>
      <c r="R92" s="2" t="inlineStr">
        <is>
          <t>Vedskivlav</t>
        </is>
      </c>
      <c r="S92">
        <f>HYPERLINK("https://klasma.github.io/Logging_2262/artfynd/A 53295-2024 artfynd.xlsx", "A 53295-2024")</f>
        <v/>
      </c>
      <c r="T92">
        <f>HYPERLINK("https://klasma.github.io/Logging_2262/kartor/A 53295-2024 karta.png", "A 53295-2024")</f>
        <v/>
      </c>
      <c r="V92">
        <f>HYPERLINK("https://klasma.github.io/Logging_2262/klagomål/A 53295-2024 FSC-klagomål.docx", "A 53295-2024")</f>
        <v/>
      </c>
      <c r="W92">
        <f>HYPERLINK("https://klasma.github.io/Logging_2262/klagomålsmail/A 53295-2024 FSC-klagomål mail.docx", "A 53295-2024")</f>
        <v/>
      </c>
      <c r="X92">
        <f>HYPERLINK("https://klasma.github.io/Logging_2262/tillsyn/A 53295-2024 tillsynsbegäran.docx", "A 53295-2024")</f>
        <v/>
      </c>
      <c r="Y92">
        <f>HYPERLINK("https://klasma.github.io/Logging_2262/tillsynsmail/A 53295-2024 tillsynsbegäran mail.docx", "A 53295-2024")</f>
        <v/>
      </c>
    </row>
    <row r="93" ht="15" customHeight="1">
      <c r="A93" t="inlineStr">
        <is>
          <t>A 53300-2024</t>
        </is>
      </c>
      <c r="B93" s="1" t="n">
        <v>45614</v>
      </c>
      <c r="C93" s="1" t="n">
        <v>45670</v>
      </c>
      <c r="D93" t="inlineStr">
        <is>
          <t>VÄSTERNORRLANDS LÄN</t>
        </is>
      </c>
      <c r="E93" t="inlineStr">
        <is>
          <t>TIMRÅ</t>
        </is>
      </c>
      <c r="F93" t="inlineStr">
        <is>
          <t>SCA</t>
        </is>
      </c>
      <c r="G93" t="n">
        <v>1</v>
      </c>
      <c r="H93" t="n">
        <v>0</v>
      </c>
      <c r="I93" t="n">
        <v>0</v>
      </c>
      <c r="J93" t="n">
        <v>1</v>
      </c>
      <c r="K93" t="n">
        <v>0</v>
      </c>
      <c r="L93" t="n">
        <v>0</v>
      </c>
      <c r="M93" t="n">
        <v>0</v>
      </c>
      <c r="N93" t="n">
        <v>0</v>
      </c>
      <c r="O93" t="n">
        <v>1</v>
      </c>
      <c r="P93" t="n">
        <v>0</v>
      </c>
      <c r="Q93" t="n">
        <v>1</v>
      </c>
      <c r="R93" s="2" t="inlineStr">
        <is>
          <t>Garnlav</t>
        </is>
      </c>
      <c r="S93">
        <f>HYPERLINK("https://klasma.github.io/Logging_2262/artfynd/A 53300-2024 artfynd.xlsx", "A 53300-2024")</f>
        <v/>
      </c>
      <c r="T93">
        <f>HYPERLINK("https://klasma.github.io/Logging_2262/kartor/A 53300-2024 karta.png", "A 53300-2024")</f>
        <v/>
      </c>
      <c r="V93">
        <f>HYPERLINK("https://klasma.github.io/Logging_2262/klagomål/A 53300-2024 FSC-klagomål.docx", "A 53300-2024")</f>
        <v/>
      </c>
      <c r="W93">
        <f>HYPERLINK("https://klasma.github.io/Logging_2262/klagomålsmail/A 53300-2024 FSC-klagomål mail.docx", "A 53300-2024")</f>
        <v/>
      </c>
      <c r="X93">
        <f>HYPERLINK("https://klasma.github.io/Logging_2262/tillsyn/A 53300-2024 tillsynsbegäran.docx", "A 53300-2024")</f>
        <v/>
      </c>
      <c r="Y93">
        <f>HYPERLINK("https://klasma.github.io/Logging_2262/tillsynsmail/A 53300-2024 tillsynsbegäran mail.docx", "A 53300-2024")</f>
        <v/>
      </c>
    </row>
    <row r="94" ht="15" customHeight="1">
      <c r="A94" t="inlineStr">
        <is>
          <t>A 56287-2024</t>
        </is>
      </c>
      <c r="B94" s="1" t="n">
        <v>45624</v>
      </c>
      <c r="C94" s="1" t="n">
        <v>45670</v>
      </c>
      <c r="D94" t="inlineStr">
        <is>
          <t>VÄSTERNORRLANDS LÄN</t>
        </is>
      </c>
      <c r="E94" t="inlineStr">
        <is>
          <t>TIMRÅ</t>
        </is>
      </c>
      <c r="F94" t="inlineStr">
        <is>
          <t>SCA</t>
        </is>
      </c>
      <c r="G94" t="n">
        <v>10.2</v>
      </c>
      <c r="H94" t="n">
        <v>0</v>
      </c>
      <c r="I94" t="n">
        <v>0</v>
      </c>
      <c r="J94" t="n">
        <v>1</v>
      </c>
      <c r="K94" t="n">
        <v>0</v>
      </c>
      <c r="L94" t="n">
        <v>0</v>
      </c>
      <c r="M94" t="n">
        <v>0</v>
      </c>
      <c r="N94" t="n">
        <v>0</v>
      </c>
      <c r="O94" t="n">
        <v>1</v>
      </c>
      <c r="P94" t="n">
        <v>0</v>
      </c>
      <c r="Q94" t="n">
        <v>1</v>
      </c>
      <c r="R94" s="2" t="inlineStr">
        <is>
          <t>Garnlav</t>
        </is>
      </c>
      <c r="S94">
        <f>HYPERLINK("https://klasma.github.io/Logging_2262/artfynd/A 56287-2024 artfynd.xlsx", "A 56287-2024")</f>
        <v/>
      </c>
      <c r="T94">
        <f>HYPERLINK("https://klasma.github.io/Logging_2262/kartor/A 56287-2024 karta.png", "A 56287-2024")</f>
        <v/>
      </c>
      <c r="V94">
        <f>HYPERLINK("https://klasma.github.io/Logging_2262/klagomål/A 56287-2024 FSC-klagomål.docx", "A 56287-2024")</f>
        <v/>
      </c>
      <c r="W94">
        <f>HYPERLINK("https://klasma.github.io/Logging_2262/klagomålsmail/A 56287-2024 FSC-klagomål mail.docx", "A 56287-2024")</f>
        <v/>
      </c>
      <c r="X94">
        <f>HYPERLINK("https://klasma.github.io/Logging_2262/tillsyn/A 56287-2024 tillsynsbegäran.docx", "A 56287-2024")</f>
        <v/>
      </c>
      <c r="Y94">
        <f>HYPERLINK("https://klasma.github.io/Logging_2262/tillsynsmail/A 56287-2024 tillsynsbegäran mail.docx", "A 56287-2024")</f>
        <v/>
      </c>
    </row>
    <row r="95" ht="15" customHeight="1">
      <c r="A95" t="inlineStr">
        <is>
          <t>A 62081-2024</t>
        </is>
      </c>
      <c r="B95" s="1" t="n">
        <v>45656</v>
      </c>
      <c r="C95" s="1" t="n">
        <v>45670</v>
      </c>
      <c r="D95" t="inlineStr">
        <is>
          <t>VÄSTERNORRLANDS LÄN</t>
        </is>
      </c>
      <c r="E95" t="inlineStr">
        <is>
          <t>TIMRÅ</t>
        </is>
      </c>
      <c r="F95" t="inlineStr">
        <is>
          <t>SCA</t>
        </is>
      </c>
      <c r="G95" t="n">
        <v>6.3</v>
      </c>
      <c r="H95" t="n">
        <v>1</v>
      </c>
      <c r="I95" t="n">
        <v>0</v>
      </c>
      <c r="J95" t="n">
        <v>0</v>
      </c>
      <c r="K95" t="n">
        <v>1</v>
      </c>
      <c r="L95" t="n">
        <v>0</v>
      </c>
      <c r="M95" t="n">
        <v>0</v>
      </c>
      <c r="N95" t="n">
        <v>0</v>
      </c>
      <c r="O95" t="n">
        <v>1</v>
      </c>
      <c r="P95" t="n">
        <v>1</v>
      </c>
      <c r="Q95" t="n">
        <v>1</v>
      </c>
      <c r="R95" s="2" t="inlineStr">
        <is>
          <t>Knärot</t>
        </is>
      </c>
      <c r="S95">
        <f>HYPERLINK("https://klasma.github.io/Logging_2262/artfynd/A 62081-2024 artfynd.xlsx", "A 62081-2024")</f>
        <v/>
      </c>
      <c r="T95">
        <f>HYPERLINK("https://klasma.github.io/Logging_2262/kartor/A 62081-2024 karta.png", "A 62081-2024")</f>
        <v/>
      </c>
      <c r="U95">
        <f>HYPERLINK("https://klasma.github.io/Logging_2262/knärot/A 62081-2024 karta knärot.png", "A 62081-2024")</f>
        <v/>
      </c>
      <c r="V95">
        <f>HYPERLINK("https://klasma.github.io/Logging_2262/klagomål/A 62081-2024 FSC-klagomål.docx", "A 62081-2024")</f>
        <v/>
      </c>
      <c r="W95">
        <f>HYPERLINK("https://klasma.github.io/Logging_2262/klagomålsmail/A 62081-2024 FSC-klagomål mail.docx", "A 62081-2024")</f>
        <v/>
      </c>
      <c r="X95">
        <f>HYPERLINK("https://klasma.github.io/Logging_2262/tillsyn/A 62081-2024 tillsynsbegäran.docx", "A 62081-2024")</f>
        <v/>
      </c>
      <c r="Y95">
        <f>HYPERLINK("https://klasma.github.io/Logging_2262/tillsynsmail/A 62081-2024 tillsynsbegäran mail.docx", "A 62081-2024")</f>
        <v/>
      </c>
    </row>
    <row r="96" ht="15" customHeight="1">
      <c r="A96" t="inlineStr">
        <is>
          <t>A 17858-2019</t>
        </is>
      </c>
      <c r="B96" s="1" t="n">
        <v>43556</v>
      </c>
      <c r="C96" s="1" t="n">
        <v>45670</v>
      </c>
      <c r="D96" t="inlineStr">
        <is>
          <t>VÄSTERNORRLANDS LÄN</t>
        </is>
      </c>
      <c r="E96" t="inlineStr">
        <is>
          <t>TIMRÅ</t>
        </is>
      </c>
      <c r="F96" t="inlineStr">
        <is>
          <t>SCA</t>
        </is>
      </c>
      <c r="G96" t="n">
        <v>5.2</v>
      </c>
      <c r="H96" t="n">
        <v>0</v>
      </c>
      <c r="I96" t="n">
        <v>0</v>
      </c>
      <c r="J96" t="n">
        <v>0</v>
      </c>
      <c r="K96" t="n">
        <v>0</v>
      </c>
      <c r="L96" t="n">
        <v>0</v>
      </c>
      <c r="M96" t="n">
        <v>0</v>
      </c>
      <c r="N96" t="n">
        <v>0</v>
      </c>
      <c r="O96" t="n">
        <v>0</v>
      </c>
      <c r="P96" t="n">
        <v>0</v>
      </c>
      <c r="Q96" t="n">
        <v>0</v>
      </c>
      <c r="R96" s="2" t="inlineStr"/>
    </row>
    <row r="97" ht="15" customHeight="1">
      <c r="A97" t="inlineStr">
        <is>
          <t>A 18703-2019</t>
        </is>
      </c>
      <c r="B97" s="1" t="n">
        <v>43559</v>
      </c>
      <c r="C97" s="1" t="n">
        <v>45670</v>
      </c>
      <c r="D97" t="inlineStr">
        <is>
          <t>VÄSTERNORRLANDS LÄN</t>
        </is>
      </c>
      <c r="E97" t="inlineStr">
        <is>
          <t>TIMRÅ</t>
        </is>
      </c>
      <c r="G97" t="n">
        <v>5</v>
      </c>
      <c r="H97" t="n">
        <v>0</v>
      </c>
      <c r="I97" t="n">
        <v>0</v>
      </c>
      <c r="J97" t="n">
        <v>0</v>
      </c>
      <c r="K97" t="n">
        <v>0</v>
      </c>
      <c r="L97" t="n">
        <v>0</v>
      </c>
      <c r="M97" t="n">
        <v>0</v>
      </c>
      <c r="N97" t="n">
        <v>0</v>
      </c>
      <c r="O97" t="n">
        <v>0</v>
      </c>
      <c r="P97" t="n">
        <v>0</v>
      </c>
      <c r="Q97" t="n">
        <v>0</v>
      </c>
      <c r="R97" s="2" t="inlineStr"/>
    </row>
    <row r="98" ht="15" customHeight="1">
      <c r="A98" t="inlineStr">
        <is>
          <t>A 20205-2019</t>
        </is>
      </c>
      <c r="B98" s="1" t="n">
        <v>43570</v>
      </c>
      <c r="C98" s="1" t="n">
        <v>45670</v>
      </c>
      <c r="D98" t="inlineStr">
        <is>
          <t>VÄSTERNORRLANDS LÄN</t>
        </is>
      </c>
      <c r="E98" t="inlineStr">
        <is>
          <t>TIMRÅ</t>
        </is>
      </c>
      <c r="F98" t="inlineStr">
        <is>
          <t>SCA</t>
        </is>
      </c>
      <c r="G98" t="n">
        <v>29.1</v>
      </c>
      <c r="H98" t="n">
        <v>0</v>
      </c>
      <c r="I98" t="n">
        <v>0</v>
      </c>
      <c r="J98" t="n">
        <v>0</v>
      </c>
      <c r="K98" t="n">
        <v>0</v>
      </c>
      <c r="L98" t="n">
        <v>0</v>
      </c>
      <c r="M98" t="n">
        <v>0</v>
      </c>
      <c r="N98" t="n">
        <v>0</v>
      </c>
      <c r="O98" t="n">
        <v>0</v>
      </c>
      <c r="P98" t="n">
        <v>0</v>
      </c>
      <c r="Q98" t="n">
        <v>0</v>
      </c>
      <c r="R98" s="2" t="inlineStr"/>
    </row>
    <row r="99" ht="15" customHeight="1">
      <c r="A99" t="inlineStr">
        <is>
          <t>A 20591-2019</t>
        </is>
      </c>
      <c r="B99" s="1" t="n">
        <v>43572</v>
      </c>
      <c r="C99" s="1" t="n">
        <v>45670</v>
      </c>
      <c r="D99" t="inlineStr">
        <is>
          <t>VÄSTERNORRLANDS LÄN</t>
        </is>
      </c>
      <c r="E99" t="inlineStr">
        <is>
          <t>TIMRÅ</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22036-2019</t>
        </is>
      </c>
      <c r="B100" s="1" t="n">
        <v>43584</v>
      </c>
      <c r="C100" s="1" t="n">
        <v>45670</v>
      </c>
      <c r="D100" t="inlineStr">
        <is>
          <t>VÄSTERNORRLANDS LÄN</t>
        </is>
      </c>
      <c r="E100" t="inlineStr">
        <is>
          <t>TIMRÅ</t>
        </is>
      </c>
      <c r="G100" t="n">
        <v>0.4</v>
      </c>
      <c r="H100" t="n">
        <v>0</v>
      </c>
      <c r="I100" t="n">
        <v>0</v>
      </c>
      <c r="J100" t="n">
        <v>0</v>
      </c>
      <c r="K100" t="n">
        <v>0</v>
      </c>
      <c r="L100" t="n">
        <v>0</v>
      </c>
      <c r="M100" t="n">
        <v>0</v>
      </c>
      <c r="N100" t="n">
        <v>0</v>
      </c>
      <c r="O100" t="n">
        <v>0</v>
      </c>
      <c r="P100" t="n">
        <v>0</v>
      </c>
      <c r="Q100" t="n">
        <v>0</v>
      </c>
      <c r="R100" s="2" t="inlineStr"/>
    </row>
    <row r="101" ht="15" customHeight="1">
      <c r="A101" t="inlineStr">
        <is>
          <t>A 22345-2019</t>
        </is>
      </c>
      <c r="B101" s="1" t="n">
        <v>43587</v>
      </c>
      <c r="C101" s="1" t="n">
        <v>45670</v>
      </c>
      <c r="D101" t="inlineStr">
        <is>
          <t>VÄSTERNORRLANDS LÄN</t>
        </is>
      </c>
      <c r="E101" t="inlineStr">
        <is>
          <t>TIMRÅ</t>
        </is>
      </c>
      <c r="G101" t="n">
        <v>0.3</v>
      </c>
      <c r="H101" t="n">
        <v>0</v>
      </c>
      <c r="I101" t="n">
        <v>0</v>
      </c>
      <c r="J101" t="n">
        <v>0</v>
      </c>
      <c r="K101" t="n">
        <v>0</v>
      </c>
      <c r="L101" t="n">
        <v>0</v>
      </c>
      <c r="M101" t="n">
        <v>0</v>
      </c>
      <c r="N101" t="n">
        <v>0</v>
      </c>
      <c r="O101" t="n">
        <v>0</v>
      </c>
      <c r="P101" t="n">
        <v>0</v>
      </c>
      <c r="Q101" t="n">
        <v>0</v>
      </c>
      <c r="R101" s="2" t="inlineStr"/>
    </row>
    <row r="102" ht="15" customHeight="1">
      <c r="A102" t="inlineStr">
        <is>
          <t>A 23074-2019</t>
        </is>
      </c>
      <c r="B102" s="1" t="n">
        <v>43591</v>
      </c>
      <c r="C102" s="1" t="n">
        <v>45670</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24767-2019</t>
        </is>
      </c>
      <c r="B103" s="1" t="n">
        <v>43601</v>
      </c>
      <c r="C103" s="1" t="n">
        <v>45670</v>
      </c>
      <c r="D103" t="inlineStr">
        <is>
          <t>VÄSTERNORRLANDS LÄN</t>
        </is>
      </c>
      <c r="E103" t="inlineStr">
        <is>
          <t>TIMRÅ</t>
        </is>
      </c>
      <c r="G103" t="n">
        <v>6.1</v>
      </c>
      <c r="H103" t="n">
        <v>0</v>
      </c>
      <c r="I103" t="n">
        <v>0</v>
      </c>
      <c r="J103" t="n">
        <v>0</v>
      </c>
      <c r="K103" t="n">
        <v>0</v>
      </c>
      <c r="L103" t="n">
        <v>0</v>
      </c>
      <c r="M103" t="n">
        <v>0</v>
      </c>
      <c r="N103" t="n">
        <v>0</v>
      </c>
      <c r="O103" t="n">
        <v>0</v>
      </c>
      <c r="P103" t="n">
        <v>0</v>
      </c>
      <c r="Q103" t="n">
        <v>0</v>
      </c>
      <c r="R103" s="2" t="inlineStr"/>
    </row>
    <row r="104" ht="15" customHeight="1">
      <c r="A104" t="inlineStr">
        <is>
          <t>A 29163-2019</t>
        </is>
      </c>
      <c r="B104" s="1" t="n">
        <v>43628</v>
      </c>
      <c r="C104" s="1" t="n">
        <v>45670</v>
      </c>
      <c r="D104" t="inlineStr">
        <is>
          <t>VÄSTERNORRLANDS LÄN</t>
        </is>
      </c>
      <c r="E104" t="inlineStr">
        <is>
          <t>TIMRÅ</t>
        </is>
      </c>
      <c r="G104" t="n">
        <v>4.6</v>
      </c>
      <c r="H104" t="n">
        <v>0</v>
      </c>
      <c r="I104" t="n">
        <v>0</v>
      </c>
      <c r="J104" t="n">
        <v>0</v>
      </c>
      <c r="K104" t="n">
        <v>0</v>
      </c>
      <c r="L104" t="n">
        <v>0</v>
      </c>
      <c r="M104" t="n">
        <v>0</v>
      </c>
      <c r="N104" t="n">
        <v>0</v>
      </c>
      <c r="O104" t="n">
        <v>0</v>
      </c>
      <c r="P104" t="n">
        <v>0</v>
      </c>
      <c r="Q104" t="n">
        <v>0</v>
      </c>
      <c r="R104" s="2" t="inlineStr"/>
    </row>
    <row r="105" ht="15" customHeight="1">
      <c r="A105" t="inlineStr">
        <is>
          <t>A 29485-2019</t>
        </is>
      </c>
      <c r="B105" s="1" t="n">
        <v>43629</v>
      </c>
      <c r="C105" s="1" t="n">
        <v>45670</v>
      </c>
      <c r="D105" t="inlineStr">
        <is>
          <t>VÄSTERNORRLANDS LÄN</t>
        </is>
      </c>
      <c r="E105" t="inlineStr">
        <is>
          <t>TIMRÅ</t>
        </is>
      </c>
      <c r="G105" t="n">
        <v>3.4</v>
      </c>
      <c r="H105" t="n">
        <v>0</v>
      </c>
      <c r="I105" t="n">
        <v>0</v>
      </c>
      <c r="J105" t="n">
        <v>0</v>
      </c>
      <c r="K105" t="n">
        <v>0</v>
      </c>
      <c r="L105" t="n">
        <v>0</v>
      </c>
      <c r="M105" t="n">
        <v>0</v>
      </c>
      <c r="N105" t="n">
        <v>0</v>
      </c>
      <c r="O105" t="n">
        <v>0</v>
      </c>
      <c r="P105" t="n">
        <v>0</v>
      </c>
      <c r="Q105" t="n">
        <v>0</v>
      </c>
      <c r="R105" s="2" t="inlineStr"/>
    </row>
    <row r="106" ht="15" customHeight="1">
      <c r="A106" t="inlineStr">
        <is>
          <t>A 29751-2019</t>
        </is>
      </c>
      <c r="B106" s="1" t="n">
        <v>43630</v>
      </c>
      <c r="C106" s="1" t="n">
        <v>45670</v>
      </c>
      <c r="D106" t="inlineStr">
        <is>
          <t>VÄSTERNORRLANDS LÄN</t>
        </is>
      </c>
      <c r="E106" t="inlineStr">
        <is>
          <t>TIMRÅ</t>
        </is>
      </c>
      <c r="G106" t="n">
        <v>3.7</v>
      </c>
      <c r="H106" t="n">
        <v>0</v>
      </c>
      <c r="I106" t="n">
        <v>0</v>
      </c>
      <c r="J106" t="n">
        <v>0</v>
      </c>
      <c r="K106" t="n">
        <v>0</v>
      </c>
      <c r="L106" t="n">
        <v>0</v>
      </c>
      <c r="M106" t="n">
        <v>0</v>
      </c>
      <c r="N106" t="n">
        <v>0</v>
      </c>
      <c r="O106" t="n">
        <v>0</v>
      </c>
      <c r="P106" t="n">
        <v>0</v>
      </c>
      <c r="Q106" t="n">
        <v>0</v>
      </c>
      <c r="R106" s="2" t="inlineStr"/>
    </row>
    <row r="107" ht="15" customHeight="1">
      <c r="A107" t="inlineStr">
        <is>
          <t>A 32982-2019</t>
        </is>
      </c>
      <c r="B107" s="1" t="n">
        <v>43648</v>
      </c>
      <c r="C107" s="1" t="n">
        <v>45670</v>
      </c>
      <c r="D107" t="inlineStr">
        <is>
          <t>VÄSTERNORRLANDS LÄN</t>
        </is>
      </c>
      <c r="E107" t="inlineStr">
        <is>
          <t>TIMRÅ</t>
        </is>
      </c>
      <c r="F107" t="inlineStr">
        <is>
          <t>SCA</t>
        </is>
      </c>
      <c r="G107" t="n">
        <v>1.5</v>
      </c>
      <c r="H107" t="n">
        <v>0</v>
      </c>
      <c r="I107" t="n">
        <v>0</v>
      </c>
      <c r="J107" t="n">
        <v>0</v>
      </c>
      <c r="K107" t="n">
        <v>0</v>
      </c>
      <c r="L107" t="n">
        <v>0</v>
      </c>
      <c r="M107" t="n">
        <v>0</v>
      </c>
      <c r="N107" t="n">
        <v>0</v>
      </c>
      <c r="O107" t="n">
        <v>0</v>
      </c>
      <c r="P107" t="n">
        <v>0</v>
      </c>
      <c r="Q107" t="n">
        <v>0</v>
      </c>
      <c r="R107" s="2" t="inlineStr"/>
    </row>
    <row r="108" ht="15" customHeight="1">
      <c r="A108" t="inlineStr">
        <is>
          <t>A 33835-2019</t>
        </is>
      </c>
      <c r="B108" s="1" t="n">
        <v>43651</v>
      </c>
      <c r="C108" s="1" t="n">
        <v>45670</v>
      </c>
      <c r="D108" t="inlineStr">
        <is>
          <t>VÄSTERNORRLANDS LÄN</t>
        </is>
      </c>
      <c r="E108" t="inlineStr">
        <is>
          <t>TIMRÅ</t>
        </is>
      </c>
      <c r="G108" t="n">
        <v>6.2</v>
      </c>
      <c r="H108" t="n">
        <v>0</v>
      </c>
      <c r="I108" t="n">
        <v>0</v>
      </c>
      <c r="J108" t="n">
        <v>0</v>
      </c>
      <c r="K108" t="n">
        <v>0</v>
      </c>
      <c r="L108" t="n">
        <v>0</v>
      </c>
      <c r="M108" t="n">
        <v>0</v>
      </c>
      <c r="N108" t="n">
        <v>0</v>
      </c>
      <c r="O108" t="n">
        <v>0</v>
      </c>
      <c r="P108" t="n">
        <v>0</v>
      </c>
      <c r="Q108" t="n">
        <v>0</v>
      </c>
      <c r="R108" s="2" t="inlineStr"/>
    </row>
    <row r="109" ht="15" customHeight="1">
      <c r="A109" t="inlineStr">
        <is>
          <t>A 33834-2019</t>
        </is>
      </c>
      <c r="B109" s="1" t="n">
        <v>43651</v>
      </c>
      <c r="C109" s="1" t="n">
        <v>45670</v>
      </c>
      <c r="D109" t="inlineStr">
        <is>
          <t>VÄSTERNORRLANDS LÄN</t>
        </is>
      </c>
      <c r="E109" t="inlineStr">
        <is>
          <t>TIMRÅ</t>
        </is>
      </c>
      <c r="G109" t="n">
        <v>4.5</v>
      </c>
      <c r="H109" t="n">
        <v>0</v>
      </c>
      <c r="I109" t="n">
        <v>0</v>
      </c>
      <c r="J109" t="n">
        <v>0</v>
      </c>
      <c r="K109" t="n">
        <v>0</v>
      </c>
      <c r="L109" t="n">
        <v>0</v>
      </c>
      <c r="M109" t="n">
        <v>0</v>
      </c>
      <c r="N109" t="n">
        <v>0</v>
      </c>
      <c r="O109" t="n">
        <v>0</v>
      </c>
      <c r="P109" t="n">
        <v>0</v>
      </c>
      <c r="Q109" t="n">
        <v>0</v>
      </c>
      <c r="R109" s="2" t="inlineStr"/>
    </row>
    <row r="110" ht="15" customHeight="1">
      <c r="A110" t="inlineStr">
        <is>
          <t>A 34106-2019</t>
        </is>
      </c>
      <c r="B110" s="1" t="n">
        <v>43654</v>
      </c>
      <c r="C110" s="1" t="n">
        <v>45670</v>
      </c>
      <c r="D110" t="inlineStr">
        <is>
          <t>VÄSTERNORRLANDS LÄN</t>
        </is>
      </c>
      <c r="E110" t="inlineStr">
        <is>
          <t>TIMRÅ</t>
        </is>
      </c>
      <c r="G110" t="n">
        <v>1</v>
      </c>
      <c r="H110" t="n">
        <v>0</v>
      </c>
      <c r="I110" t="n">
        <v>0</v>
      </c>
      <c r="J110" t="n">
        <v>0</v>
      </c>
      <c r="K110" t="n">
        <v>0</v>
      </c>
      <c r="L110" t="n">
        <v>0</v>
      </c>
      <c r="M110" t="n">
        <v>0</v>
      </c>
      <c r="N110" t="n">
        <v>0</v>
      </c>
      <c r="O110" t="n">
        <v>0</v>
      </c>
      <c r="P110" t="n">
        <v>0</v>
      </c>
      <c r="Q110" t="n">
        <v>0</v>
      </c>
      <c r="R110" s="2" t="inlineStr"/>
    </row>
    <row r="111" ht="15" customHeight="1">
      <c r="A111" t="inlineStr">
        <is>
          <t>A 35877-2019</t>
        </is>
      </c>
      <c r="B111" s="1" t="n">
        <v>43665</v>
      </c>
      <c r="C111" s="1" t="n">
        <v>45670</v>
      </c>
      <c r="D111" t="inlineStr">
        <is>
          <t>VÄSTERNORRLANDS LÄN</t>
        </is>
      </c>
      <c r="E111" t="inlineStr">
        <is>
          <t>TIMRÅ</t>
        </is>
      </c>
      <c r="G111" t="n">
        <v>3.7</v>
      </c>
      <c r="H111" t="n">
        <v>0</v>
      </c>
      <c r="I111" t="n">
        <v>0</v>
      </c>
      <c r="J111" t="n">
        <v>0</v>
      </c>
      <c r="K111" t="n">
        <v>0</v>
      </c>
      <c r="L111" t="n">
        <v>0</v>
      </c>
      <c r="M111" t="n">
        <v>0</v>
      </c>
      <c r="N111" t="n">
        <v>0</v>
      </c>
      <c r="O111" t="n">
        <v>0</v>
      </c>
      <c r="P111" t="n">
        <v>0</v>
      </c>
      <c r="Q111" t="n">
        <v>0</v>
      </c>
      <c r="R111" s="2" t="inlineStr"/>
    </row>
    <row r="112" ht="15" customHeight="1">
      <c r="A112" t="inlineStr">
        <is>
          <t>A 36176-2019</t>
        </is>
      </c>
      <c r="B112" s="1" t="n">
        <v>43668</v>
      </c>
      <c r="C112" s="1" t="n">
        <v>45670</v>
      </c>
      <c r="D112" t="inlineStr">
        <is>
          <t>VÄSTERNORRLANDS LÄN</t>
        </is>
      </c>
      <c r="E112" t="inlineStr">
        <is>
          <t>TIMRÅ</t>
        </is>
      </c>
      <c r="G112" t="n">
        <v>1.3</v>
      </c>
      <c r="H112" t="n">
        <v>0</v>
      </c>
      <c r="I112" t="n">
        <v>0</v>
      </c>
      <c r="J112" t="n">
        <v>0</v>
      </c>
      <c r="K112" t="n">
        <v>0</v>
      </c>
      <c r="L112" t="n">
        <v>0</v>
      </c>
      <c r="M112" t="n">
        <v>0</v>
      </c>
      <c r="N112" t="n">
        <v>0</v>
      </c>
      <c r="O112" t="n">
        <v>0</v>
      </c>
      <c r="P112" t="n">
        <v>0</v>
      </c>
      <c r="Q112" t="n">
        <v>0</v>
      </c>
      <c r="R112" s="2" t="inlineStr"/>
    </row>
    <row r="113" ht="15" customHeight="1">
      <c r="A113" t="inlineStr">
        <is>
          <t>A 36806-2019</t>
        </is>
      </c>
      <c r="B113" s="1" t="n">
        <v>43672</v>
      </c>
      <c r="C113" s="1" t="n">
        <v>45670</v>
      </c>
      <c r="D113" t="inlineStr">
        <is>
          <t>VÄSTERNORRLANDS LÄN</t>
        </is>
      </c>
      <c r="E113" t="inlineStr">
        <is>
          <t>TIMRÅ</t>
        </is>
      </c>
      <c r="G113" t="n">
        <v>3.8</v>
      </c>
      <c r="H113" t="n">
        <v>0</v>
      </c>
      <c r="I113" t="n">
        <v>0</v>
      </c>
      <c r="J113" t="n">
        <v>0</v>
      </c>
      <c r="K113" t="n">
        <v>0</v>
      </c>
      <c r="L113" t="n">
        <v>0</v>
      </c>
      <c r="M113" t="n">
        <v>0</v>
      </c>
      <c r="N113" t="n">
        <v>0</v>
      </c>
      <c r="O113" t="n">
        <v>0</v>
      </c>
      <c r="P113" t="n">
        <v>0</v>
      </c>
      <c r="Q113" t="n">
        <v>0</v>
      </c>
      <c r="R113" s="2" t="inlineStr"/>
    </row>
    <row r="114" ht="15" customHeight="1">
      <c r="A114" t="inlineStr">
        <is>
          <t>A 40956-2019</t>
        </is>
      </c>
      <c r="B114" s="1" t="n">
        <v>43697</v>
      </c>
      <c r="C114" s="1" t="n">
        <v>45670</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43975-2019</t>
        </is>
      </c>
      <c r="B115" s="1" t="n">
        <v>43708</v>
      </c>
      <c r="C115" s="1" t="n">
        <v>45670</v>
      </c>
      <c r="D115" t="inlineStr">
        <is>
          <t>VÄSTERNORRLANDS LÄN</t>
        </is>
      </c>
      <c r="E115" t="inlineStr">
        <is>
          <t>TIMRÅ</t>
        </is>
      </c>
      <c r="G115" t="n">
        <v>1.4</v>
      </c>
      <c r="H115" t="n">
        <v>0</v>
      </c>
      <c r="I115" t="n">
        <v>0</v>
      </c>
      <c r="J115" t="n">
        <v>0</v>
      </c>
      <c r="K115" t="n">
        <v>0</v>
      </c>
      <c r="L115" t="n">
        <v>0</v>
      </c>
      <c r="M115" t="n">
        <v>0</v>
      </c>
      <c r="N115" t="n">
        <v>0</v>
      </c>
      <c r="O115" t="n">
        <v>0</v>
      </c>
      <c r="P115" t="n">
        <v>0</v>
      </c>
      <c r="Q115" t="n">
        <v>0</v>
      </c>
      <c r="R115" s="2" t="inlineStr"/>
    </row>
    <row r="116" ht="15" customHeight="1">
      <c r="A116" t="inlineStr">
        <is>
          <t>A 44673-2019</t>
        </is>
      </c>
      <c r="B116" s="1" t="n">
        <v>43712</v>
      </c>
      <c r="C116" s="1" t="n">
        <v>45670</v>
      </c>
      <c r="D116" t="inlineStr">
        <is>
          <t>VÄSTERNORRLANDS LÄN</t>
        </is>
      </c>
      <c r="E116" t="inlineStr">
        <is>
          <t>TIMRÅ</t>
        </is>
      </c>
      <c r="G116" t="n">
        <v>1.8</v>
      </c>
      <c r="H116" t="n">
        <v>0</v>
      </c>
      <c r="I116" t="n">
        <v>0</v>
      </c>
      <c r="J116" t="n">
        <v>0</v>
      </c>
      <c r="K116" t="n">
        <v>0</v>
      </c>
      <c r="L116" t="n">
        <v>0</v>
      </c>
      <c r="M116" t="n">
        <v>0</v>
      </c>
      <c r="N116" t="n">
        <v>0</v>
      </c>
      <c r="O116" t="n">
        <v>0</v>
      </c>
      <c r="P116" t="n">
        <v>0</v>
      </c>
      <c r="Q116" t="n">
        <v>0</v>
      </c>
      <c r="R116" s="2" t="inlineStr"/>
    </row>
    <row r="117" ht="15" customHeight="1">
      <c r="A117" t="inlineStr">
        <is>
          <t>A 47656-2019</t>
        </is>
      </c>
      <c r="B117" s="1" t="n">
        <v>43724</v>
      </c>
      <c r="C117" s="1" t="n">
        <v>45670</v>
      </c>
      <c r="D117" t="inlineStr">
        <is>
          <t>VÄSTERNORRLANDS LÄN</t>
        </is>
      </c>
      <c r="E117" t="inlineStr">
        <is>
          <t>TIMRÅ</t>
        </is>
      </c>
      <c r="G117" t="n">
        <v>8</v>
      </c>
      <c r="H117" t="n">
        <v>0</v>
      </c>
      <c r="I117" t="n">
        <v>0</v>
      </c>
      <c r="J117" t="n">
        <v>0</v>
      </c>
      <c r="K117" t="n">
        <v>0</v>
      </c>
      <c r="L117" t="n">
        <v>0</v>
      </c>
      <c r="M117" t="n">
        <v>0</v>
      </c>
      <c r="N117" t="n">
        <v>0</v>
      </c>
      <c r="O117" t="n">
        <v>0</v>
      </c>
      <c r="P117" t="n">
        <v>0</v>
      </c>
      <c r="Q117" t="n">
        <v>0</v>
      </c>
      <c r="R117" s="2" t="inlineStr"/>
    </row>
    <row r="118" ht="15" customHeight="1">
      <c r="A118" t="inlineStr">
        <is>
          <t>A 48964-2019</t>
        </is>
      </c>
      <c r="B118" s="1" t="n">
        <v>43728</v>
      </c>
      <c r="C118" s="1" t="n">
        <v>45670</v>
      </c>
      <c r="D118" t="inlineStr">
        <is>
          <t>VÄSTERNORRLANDS LÄN</t>
        </is>
      </c>
      <c r="E118" t="inlineStr">
        <is>
          <t>TIMRÅ</t>
        </is>
      </c>
      <c r="G118" t="n">
        <v>7.8</v>
      </c>
      <c r="H118" t="n">
        <v>0</v>
      </c>
      <c r="I118" t="n">
        <v>0</v>
      </c>
      <c r="J118" t="n">
        <v>0</v>
      </c>
      <c r="K118" t="n">
        <v>0</v>
      </c>
      <c r="L118" t="n">
        <v>0</v>
      </c>
      <c r="M118" t="n">
        <v>0</v>
      </c>
      <c r="N118" t="n">
        <v>0</v>
      </c>
      <c r="O118" t="n">
        <v>0</v>
      </c>
      <c r="P118" t="n">
        <v>0</v>
      </c>
      <c r="Q118" t="n">
        <v>0</v>
      </c>
      <c r="R118" s="2" t="inlineStr"/>
    </row>
    <row r="119" ht="15" customHeight="1">
      <c r="A119" t="inlineStr">
        <is>
          <t>A 50604-2019</t>
        </is>
      </c>
      <c r="B119" s="1" t="n">
        <v>43735</v>
      </c>
      <c r="C119" s="1" t="n">
        <v>45670</v>
      </c>
      <c r="D119" t="inlineStr">
        <is>
          <t>VÄSTERNORRLANDS LÄN</t>
        </is>
      </c>
      <c r="E119" t="inlineStr">
        <is>
          <t>TIMRÅ</t>
        </is>
      </c>
      <c r="G119" t="n">
        <v>7.7</v>
      </c>
      <c r="H119" t="n">
        <v>0</v>
      </c>
      <c r="I119" t="n">
        <v>0</v>
      </c>
      <c r="J119" t="n">
        <v>0</v>
      </c>
      <c r="K119" t="n">
        <v>0</v>
      </c>
      <c r="L119" t="n">
        <v>0</v>
      </c>
      <c r="M119" t="n">
        <v>0</v>
      </c>
      <c r="N119" t="n">
        <v>0</v>
      </c>
      <c r="O119" t="n">
        <v>0</v>
      </c>
      <c r="P119" t="n">
        <v>0</v>
      </c>
      <c r="Q119" t="n">
        <v>0</v>
      </c>
      <c r="R119" s="2" t="inlineStr"/>
    </row>
    <row r="120" ht="15" customHeight="1">
      <c r="A120" t="inlineStr">
        <is>
          <t>A 51297-2019</t>
        </is>
      </c>
      <c r="B120" s="1" t="n">
        <v>43739</v>
      </c>
      <c r="C120" s="1" t="n">
        <v>45670</v>
      </c>
      <c r="D120" t="inlineStr">
        <is>
          <t>VÄSTERNORRLANDS LÄN</t>
        </is>
      </c>
      <c r="E120" t="inlineStr">
        <is>
          <t>TIMRÅ</t>
        </is>
      </c>
      <c r="G120" t="n">
        <v>2</v>
      </c>
      <c r="H120" t="n">
        <v>0</v>
      </c>
      <c r="I120" t="n">
        <v>0</v>
      </c>
      <c r="J120" t="n">
        <v>0</v>
      </c>
      <c r="K120" t="n">
        <v>0</v>
      </c>
      <c r="L120" t="n">
        <v>0</v>
      </c>
      <c r="M120" t="n">
        <v>0</v>
      </c>
      <c r="N120" t="n">
        <v>0</v>
      </c>
      <c r="O120" t="n">
        <v>0</v>
      </c>
      <c r="P120" t="n">
        <v>0</v>
      </c>
      <c r="Q120" t="n">
        <v>0</v>
      </c>
      <c r="R120" s="2" t="inlineStr"/>
    </row>
    <row r="121" ht="15" customHeight="1">
      <c r="A121" t="inlineStr">
        <is>
          <t>A 52869-2019</t>
        </is>
      </c>
      <c r="B121" s="1" t="n">
        <v>43739</v>
      </c>
      <c r="C121" s="1" t="n">
        <v>45670</v>
      </c>
      <c r="D121" t="inlineStr">
        <is>
          <t>VÄSTERNORRLANDS LÄN</t>
        </is>
      </c>
      <c r="E121" t="inlineStr">
        <is>
          <t>TIMRÅ</t>
        </is>
      </c>
      <c r="G121" t="n">
        <v>4</v>
      </c>
      <c r="H121" t="n">
        <v>0</v>
      </c>
      <c r="I121" t="n">
        <v>0</v>
      </c>
      <c r="J121" t="n">
        <v>0</v>
      </c>
      <c r="K121" t="n">
        <v>0</v>
      </c>
      <c r="L121" t="n">
        <v>0</v>
      </c>
      <c r="M121" t="n">
        <v>0</v>
      </c>
      <c r="N121" t="n">
        <v>0</v>
      </c>
      <c r="O121" t="n">
        <v>0</v>
      </c>
      <c r="P121" t="n">
        <v>0</v>
      </c>
      <c r="Q121" t="n">
        <v>0</v>
      </c>
      <c r="R121" s="2" t="inlineStr"/>
    </row>
    <row r="122" ht="15" customHeight="1">
      <c r="A122" t="inlineStr">
        <is>
          <t>A 51907-2019</t>
        </is>
      </c>
      <c r="B122" s="1" t="n">
        <v>43741</v>
      </c>
      <c r="C122" s="1" t="n">
        <v>45670</v>
      </c>
      <c r="D122" t="inlineStr">
        <is>
          <t>VÄSTERNORRLANDS LÄN</t>
        </is>
      </c>
      <c r="E122" t="inlineStr">
        <is>
          <t>TIMRÅ</t>
        </is>
      </c>
      <c r="G122" t="n">
        <v>9.699999999999999</v>
      </c>
      <c r="H122" t="n">
        <v>0</v>
      </c>
      <c r="I122" t="n">
        <v>0</v>
      </c>
      <c r="J122" t="n">
        <v>0</v>
      </c>
      <c r="K122" t="n">
        <v>0</v>
      </c>
      <c r="L122" t="n">
        <v>0</v>
      </c>
      <c r="M122" t="n">
        <v>0</v>
      </c>
      <c r="N122" t="n">
        <v>0</v>
      </c>
      <c r="O122" t="n">
        <v>0</v>
      </c>
      <c r="P122" t="n">
        <v>0</v>
      </c>
      <c r="Q122" t="n">
        <v>0</v>
      </c>
      <c r="R122" s="2" t="inlineStr"/>
    </row>
    <row r="123" ht="15" customHeight="1">
      <c r="A123" t="inlineStr">
        <is>
          <t>A 53162-2019</t>
        </is>
      </c>
      <c r="B123" s="1" t="n">
        <v>43747</v>
      </c>
      <c r="C123" s="1" t="n">
        <v>45670</v>
      </c>
      <c r="D123" t="inlineStr">
        <is>
          <t>VÄSTERNORRLANDS LÄN</t>
        </is>
      </c>
      <c r="E123" t="inlineStr">
        <is>
          <t>TIMRÅ</t>
        </is>
      </c>
      <c r="G123" t="n">
        <v>3.4</v>
      </c>
      <c r="H123" t="n">
        <v>0</v>
      </c>
      <c r="I123" t="n">
        <v>0</v>
      </c>
      <c r="J123" t="n">
        <v>0</v>
      </c>
      <c r="K123" t="n">
        <v>0</v>
      </c>
      <c r="L123" t="n">
        <v>0</v>
      </c>
      <c r="M123" t="n">
        <v>0</v>
      </c>
      <c r="N123" t="n">
        <v>0</v>
      </c>
      <c r="O123" t="n">
        <v>0</v>
      </c>
      <c r="P123" t="n">
        <v>0</v>
      </c>
      <c r="Q123" t="n">
        <v>0</v>
      </c>
      <c r="R123" s="2" t="inlineStr"/>
    </row>
    <row r="124" ht="15" customHeight="1">
      <c r="A124" t="inlineStr">
        <is>
          <t>A 54072-2019</t>
        </is>
      </c>
      <c r="B124" s="1" t="n">
        <v>43752</v>
      </c>
      <c r="C124" s="1" t="n">
        <v>45670</v>
      </c>
      <c r="D124" t="inlineStr">
        <is>
          <t>VÄSTERNORRLANDS LÄN</t>
        </is>
      </c>
      <c r="E124" t="inlineStr">
        <is>
          <t>TIMRÅ</t>
        </is>
      </c>
      <c r="G124" t="n">
        <v>12.8</v>
      </c>
      <c r="H124" t="n">
        <v>0</v>
      </c>
      <c r="I124" t="n">
        <v>0</v>
      </c>
      <c r="J124" t="n">
        <v>0</v>
      </c>
      <c r="K124" t="n">
        <v>0</v>
      </c>
      <c r="L124" t="n">
        <v>0</v>
      </c>
      <c r="M124" t="n">
        <v>0</v>
      </c>
      <c r="N124" t="n">
        <v>0</v>
      </c>
      <c r="O124" t="n">
        <v>0</v>
      </c>
      <c r="P124" t="n">
        <v>0</v>
      </c>
      <c r="Q124" t="n">
        <v>0</v>
      </c>
      <c r="R124" s="2" t="inlineStr"/>
    </row>
    <row r="125" ht="15" customHeight="1">
      <c r="A125" t="inlineStr">
        <is>
          <t>A 54365-2019</t>
        </is>
      </c>
      <c r="B125" s="1" t="n">
        <v>43753</v>
      </c>
      <c r="C125" s="1" t="n">
        <v>45670</v>
      </c>
      <c r="D125" t="inlineStr">
        <is>
          <t>VÄSTERNORRLANDS LÄN</t>
        </is>
      </c>
      <c r="E125" t="inlineStr">
        <is>
          <t>TIMRÅ</t>
        </is>
      </c>
      <c r="G125" t="n">
        <v>0.6</v>
      </c>
      <c r="H125" t="n">
        <v>0</v>
      </c>
      <c r="I125" t="n">
        <v>0</v>
      </c>
      <c r="J125" t="n">
        <v>0</v>
      </c>
      <c r="K125" t="n">
        <v>0</v>
      </c>
      <c r="L125" t="n">
        <v>0</v>
      </c>
      <c r="M125" t="n">
        <v>0</v>
      </c>
      <c r="N125" t="n">
        <v>0</v>
      </c>
      <c r="O125" t="n">
        <v>0</v>
      </c>
      <c r="P125" t="n">
        <v>0</v>
      </c>
      <c r="Q125" t="n">
        <v>0</v>
      </c>
      <c r="R125" s="2" t="inlineStr"/>
    </row>
    <row r="126" ht="15" customHeight="1">
      <c r="A126" t="inlineStr">
        <is>
          <t>A 56316-2019</t>
        </is>
      </c>
      <c r="B126" s="1" t="n">
        <v>43756</v>
      </c>
      <c r="C126" s="1" t="n">
        <v>45670</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55809-2019</t>
        </is>
      </c>
      <c r="B127" s="1" t="n">
        <v>43759</v>
      </c>
      <c r="C127" s="1" t="n">
        <v>45670</v>
      </c>
      <c r="D127" t="inlineStr">
        <is>
          <t>VÄSTERNORRLANDS LÄN</t>
        </is>
      </c>
      <c r="E127" t="inlineStr">
        <is>
          <t>TIMRÅ</t>
        </is>
      </c>
      <c r="G127" t="n">
        <v>5.9</v>
      </c>
      <c r="H127" t="n">
        <v>0</v>
      </c>
      <c r="I127" t="n">
        <v>0</v>
      </c>
      <c r="J127" t="n">
        <v>0</v>
      </c>
      <c r="K127" t="n">
        <v>0</v>
      </c>
      <c r="L127" t="n">
        <v>0</v>
      </c>
      <c r="M127" t="n">
        <v>0</v>
      </c>
      <c r="N127" t="n">
        <v>0</v>
      </c>
      <c r="O127" t="n">
        <v>0</v>
      </c>
      <c r="P127" t="n">
        <v>0</v>
      </c>
      <c r="Q127" t="n">
        <v>0</v>
      </c>
      <c r="R127" s="2" t="inlineStr"/>
    </row>
    <row r="128" ht="15" customHeight="1">
      <c r="A128" t="inlineStr">
        <is>
          <t>A 56065-2019</t>
        </is>
      </c>
      <c r="B128" s="1" t="n">
        <v>43759</v>
      </c>
      <c r="C128" s="1" t="n">
        <v>45670</v>
      </c>
      <c r="D128" t="inlineStr">
        <is>
          <t>VÄSTERNORRLANDS LÄN</t>
        </is>
      </c>
      <c r="E128" t="inlineStr">
        <is>
          <t>TIMRÅ</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56178-2019</t>
        </is>
      </c>
      <c r="B129" s="1" t="n">
        <v>43761</v>
      </c>
      <c r="C129" s="1" t="n">
        <v>45670</v>
      </c>
      <c r="D129" t="inlineStr">
        <is>
          <t>VÄSTERNORRLANDS LÄN</t>
        </is>
      </c>
      <c r="E129" t="inlineStr">
        <is>
          <t>TIMRÅ</t>
        </is>
      </c>
      <c r="G129" t="n">
        <v>0.8</v>
      </c>
      <c r="H129" t="n">
        <v>0</v>
      </c>
      <c r="I129" t="n">
        <v>0</v>
      </c>
      <c r="J129" t="n">
        <v>0</v>
      </c>
      <c r="K129" t="n">
        <v>0</v>
      </c>
      <c r="L129" t="n">
        <v>0</v>
      </c>
      <c r="M129" t="n">
        <v>0</v>
      </c>
      <c r="N129" t="n">
        <v>0</v>
      </c>
      <c r="O129" t="n">
        <v>0</v>
      </c>
      <c r="P129" t="n">
        <v>0</v>
      </c>
      <c r="Q129" t="n">
        <v>0</v>
      </c>
      <c r="R129" s="2" t="inlineStr"/>
    </row>
    <row r="130" ht="15" customHeight="1">
      <c r="A130" t="inlineStr">
        <is>
          <t>A 58711-2019</t>
        </is>
      </c>
      <c r="B130" s="1" t="n">
        <v>43768</v>
      </c>
      <c r="C130" s="1" t="n">
        <v>45670</v>
      </c>
      <c r="D130" t="inlineStr">
        <is>
          <t>VÄSTERNORRLANDS LÄN</t>
        </is>
      </c>
      <c r="E130" t="inlineStr">
        <is>
          <t>TIMRÅ</t>
        </is>
      </c>
      <c r="G130" t="n">
        <v>3.6</v>
      </c>
      <c r="H130" t="n">
        <v>0</v>
      </c>
      <c r="I130" t="n">
        <v>0</v>
      </c>
      <c r="J130" t="n">
        <v>0</v>
      </c>
      <c r="K130" t="n">
        <v>0</v>
      </c>
      <c r="L130" t="n">
        <v>0</v>
      </c>
      <c r="M130" t="n">
        <v>0</v>
      </c>
      <c r="N130" t="n">
        <v>0</v>
      </c>
      <c r="O130" t="n">
        <v>0</v>
      </c>
      <c r="P130" t="n">
        <v>0</v>
      </c>
      <c r="Q130" t="n">
        <v>0</v>
      </c>
      <c r="R130" s="2" t="inlineStr"/>
    </row>
    <row r="131" ht="15" customHeight="1">
      <c r="A131" t="inlineStr">
        <is>
          <t>A 58867-2019</t>
        </is>
      </c>
      <c r="B131" s="1" t="n">
        <v>43774</v>
      </c>
      <c r="C131" s="1" t="n">
        <v>45670</v>
      </c>
      <c r="D131" t="inlineStr">
        <is>
          <t>VÄSTERNORRLANDS LÄN</t>
        </is>
      </c>
      <c r="E131" t="inlineStr">
        <is>
          <t>TIMRÅ</t>
        </is>
      </c>
      <c r="G131" t="n">
        <v>1.7</v>
      </c>
      <c r="H131" t="n">
        <v>0</v>
      </c>
      <c r="I131" t="n">
        <v>0</v>
      </c>
      <c r="J131" t="n">
        <v>0</v>
      </c>
      <c r="K131" t="n">
        <v>0</v>
      </c>
      <c r="L131" t="n">
        <v>0</v>
      </c>
      <c r="M131" t="n">
        <v>0</v>
      </c>
      <c r="N131" t="n">
        <v>0</v>
      </c>
      <c r="O131" t="n">
        <v>0</v>
      </c>
      <c r="P131" t="n">
        <v>0</v>
      </c>
      <c r="Q131" t="n">
        <v>0</v>
      </c>
      <c r="R131" s="2" t="inlineStr"/>
    </row>
    <row r="132" ht="15" customHeight="1">
      <c r="A132" t="inlineStr">
        <is>
          <t>A 60849-2019</t>
        </is>
      </c>
      <c r="B132" s="1" t="n">
        <v>43781</v>
      </c>
      <c r="C132" s="1" t="n">
        <v>45670</v>
      </c>
      <c r="D132" t="inlineStr">
        <is>
          <t>VÄSTERNORRLANDS LÄN</t>
        </is>
      </c>
      <c r="E132" t="inlineStr">
        <is>
          <t>TIMRÅ</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62282-2019</t>
        </is>
      </c>
      <c r="B133" s="1" t="n">
        <v>43782</v>
      </c>
      <c r="C133" s="1" t="n">
        <v>45670</v>
      </c>
      <c r="D133" t="inlineStr">
        <is>
          <t>VÄSTERNORRLANDS LÄN</t>
        </is>
      </c>
      <c r="E133" t="inlineStr">
        <is>
          <t>TIMRÅ</t>
        </is>
      </c>
      <c r="G133" t="n">
        <v>1.1</v>
      </c>
      <c r="H133" t="n">
        <v>0</v>
      </c>
      <c r="I133" t="n">
        <v>0</v>
      </c>
      <c r="J133" t="n">
        <v>0</v>
      </c>
      <c r="K133" t="n">
        <v>0</v>
      </c>
      <c r="L133" t="n">
        <v>0</v>
      </c>
      <c r="M133" t="n">
        <v>0</v>
      </c>
      <c r="N133" t="n">
        <v>0</v>
      </c>
      <c r="O133" t="n">
        <v>0</v>
      </c>
      <c r="P133" t="n">
        <v>0</v>
      </c>
      <c r="Q133" t="n">
        <v>0</v>
      </c>
      <c r="R133" s="2" t="inlineStr"/>
    </row>
    <row r="134" ht="15" customHeight="1">
      <c r="A134" t="inlineStr">
        <is>
          <t>A 63685-2019</t>
        </is>
      </c>
      <c r="B134" s="1" t="n">
        <v>43788</v>
      </c>
      <c r="C134" s="1" t="n">
        <v>45670</v>
      </c>
      <c r="D134" t="inlineStr">
        <is>
          <t>VÄSTERNORRLANDS LÄN</t>
        </is>
      </c>
      <c r="E134" t="inlineStr">
        <is>
          <t>TIMRÅ</t>
        </is>
      </c>
      <c r="G134" t="n">
        <v>1.9</v>
      </c>
      <c r="H134" t="n">
        <v>0</v>
      </c>
      <c r="I134" t="n">
        <v>0</v>
      </c>
      <c r="J134" t="n">
        <v>0</v>
      </c>
      <c r="K134" t="n">
        <v>0</v>
      </c>
      <c r="L134" t="n">
        <v>0</v>
      </c>
      <c r="M134" t="n">
        <v>0</v>
      </c>
      <c r="N134" t="n">
        <v>0</v>
      </c>
      <c r="O134" t="n">
        <v>0</v>
      </c>
      <c r="P134" t="n">
        <v>0</v>
      </c>
      <c r="Q134" t="n">
        <v>0</v>
      </c>
      <c r="R134" s="2" t="inlineStr"/>
    </row>
    <row r="135" ht="15" customHeight="1">
      <c r="A135" t="inlineStr">
        <is>
          <t>A 63836-2019</t>
        </is>
      </c>
      <c r="B135" s="1" t="n">
        <v>43795</v>
      </c>
      <c r="C135" s="1" t="n">
        <v>45670</v>
      </c>
      <c r="D135" t="inlineStr">
        <is>
          <t>VÄSTERNORRLANDS LÄN</t>
        </is>
      </c>
      <c r="E135" t="inlineStr">
        <is>
          <t>TIMRÅ</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65954-2019</t>
        </is>
      </c>
      <c r="B136" s="1" t="n">
        <v>43801</v>
      </c>
      <c r="C136" s="1" t="n">
        <v>45670</v>
      </c>
      <c r="D136" t="inlineStr">
        <is>
          <t>VÄSTERNORRLANDS LÄN</t>
        </is>
      </c>
      <c r="E136" t="inlineStr">
        <is>
          <t>TIMRÅ</t>
        </is>
      </c>
      <c r="G136" t="n">
        <v>9.1</v>
      </c>
      <c r="H136" t="n">
        <v>0</v>
      </c>
      <c r="I136" t="n">
        <v>0</v>
      </c>
      <c r="J136" t="n">
        <v>0</v>
      </c>
      <c r="K136" t="n">
        <v>0</v>
      </c>
      <c r="L136" t="n">
        <v>0</v>
      </c>
      <c r="M136" t="n">
        <v>0</v>
      </c>
      <c r="N136" t="n">
        <v>0</v>
      </c>
      <c r="O136" t="n">
        <v>0</v>
      </c>
      <c r="P136" t="n">
        <v>0</v>
      </c>
      <c r="Q136" t="n">
        <v>0</v>
      </c>
      <c r="R136" s="2" t="inlineStr"/>
    </row>
    <row r="137" ht="15" customHeight="1">
      <c r="A137" t="inlineStr">
        <is>
          <t>A 65367-2019</t>
        </is>
      </c>
      <c r="B137" s="1" t="n">
        <v>43803</v>
      </c>
      <c r="C137" s="1" t="n">
        <v>45670</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66385-2019</t>
        </is>
      </c>
      <c r="B138" s="1" t="n">
        <v>43808</v>
      </c>
      <c r="C138" s="1" t="n">
        <v>45670</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66415-2019</t>
        </is>
      </c>
      <c r="B139" s="1" t="n">
        <v>43808</v>
      </c>
      <c r="C139" s="1" t="n">
        <v>45670</v>
      </c>
      <c r="D139" t="inlineStr">
        <is>
          <t>VÄSTERNORRLANDS LÄN</t>
        </is>
      </c>
      <c r="E139" t="inlineStr">
        <is>
          <t>TIMRÅ</t>
        </is>
      </c>
      <c r="G139" t="n">
        <v>2.8</v>
      </c>
      <c r="H139" t="n">
        <v>0</v>
      </c>
      <c r="I139" t="n">
        <v>0</v>
      </c>
      <c r="J139" t="n">
        <v>0</v>
      </c>
      <c r="K139" t="n">
        <v>0</v>
      </c>
      <c r="L139" t="n">
        <v>0</v>
      </c>
      <c r="M139" t="n">
        <v>0</v>
      </c>
      <c r="N139" t="n">
        <v>0</v>
      </c>
      <c r="O139" t="n">
        <v>0</v>
      </c>
      <c r="P139" t="n">
        <v>0</v>
      </c>
      <c r="Q139" t="n">
        <v>0</v>
      </c>
      <c r="R139" s="2" t="inlineStr"/>
    </row>
    <row r="140" ht="15" customHeight="1">
      <c r="A140" t="inlineStr">
        <is>
          <t>A 66387-2019</t>
        </is>
      </c>
      <c r="B140" s="1" t="n">
        <v>43808</v>
      </c>
      <c r="C140" s="1" t="n">
        <v>45670</v>
      </c>
      <c r="D140" t="inlineStr">
        <is>
          <t>VÄSTERNORRLANDS LÄN</t>
        </is>
      </c>
      <c r="E140" t="inlineStr">
        <is>
          <t>TIMRÅ</t>
        </is>
      </c>
      <c r="G140" t="n">
        <v>0.5</v>
      </c>
      <c r="H140" t="n">
        <v>0</v>
      </c>
      <c r="I140" t="n">
        <v>0</v>
      </c>
      <c r="J140" t="n">
        <v>0</v>
      </c>
      <c r="K140" t="n">
        <v>0</v>
      </c>
      <c r="L140" t="n">
        <v>0</v>
      </c>
      <c r="M140" t="n">
        <v>0</v>
      </c>
      <c r="N140" t="n">
        <v>0</v>
      </c>
      <c r="O140" t="n">
        <v>0</v>
      </c>
      <c r="P140" t="n">
        <v>0</v>
      </c>
      <c r="Q140" t="n">
        <v>0</v>
      </c>
      <c r="R140" s="2" t="inlineStr"/>
    </row>
    <row r="141" ht="15" customHeight="1">
      <c r="A141" t="inlineStr">
        <is>
          <t>A 67825-2019</t>
        </is>
      </c>
      <c r="B141" s="1" t="n">
        <v>43815</v>
      </c>
      <c r="C141" s="1" t="n">
        <v>45670</v>
      </c>
      <c r="D141" t="inlineStr">
        <is>
          <t>VÄSTERNORRLANDS LÄN</t>
        </is>
      </c>
      <c r="E141" t="inlineStr">
        <is>
          <t>TIMRÅ</t>
        </is>
      </c>
      <c r="G141" t="n">
        <v>2.6</v>
      </c>
      <c r="H141" t="n">
        <v>0</v>
      </c>
      <c r="I141" t="n">
        <v>0</v>
      </c>
      <c r="J141" t="n">
        <v>0</v>
      </c>
      <c r="K141" t="n">
        <v>0</v>
      </c>
      <c r="L141" t="n">
        <v>0</v>
      </c>
      <c r="M141" t="n">
        <v>0</v>
      </c>
      <c r="N141" t="n">
        <v>0</v>
      </c>
      <c r="O141" t="n">
        <v>0</v>
      </c>
      <c r="P141" t="n">
        <v>0</v>
      </c>
      <c r="Q141" t="n">
        <v>0</v>
      </c>
      <c r="R141" s="2" t="inlineStr"/>
    </row>
    <row r="142" ht="15" customHeight="1">
      <c r="A142" t="inlineStr">
        <is>
          <t>A 1298-2020</t>
        </is>
      </c>
      <c r="B142" s="1" t="n">
        <v>43842</v>
      </c>
      <c r="C142" s="1" t="n">
        <v>45670</v>
      </c>
      <c r="D142" t="inlineStr">
        <is>
          <t>VÄSTERNORRLANDS LÄN</t>
        </is>
      </c>
      <c r="E142" t="inlineStr">
        <is>
          <t>TIMRÅ</t>
        </is>
      </c>
      <c r="G142" t="n">
        <v>10.8</v>
      </c>
      <c r="H142" t="n">
        <v>0</v>
      </c>
      <c r="I142" t="n">
        <v>0</v>
      </c>
      <c r="J142" t="n">
        <v>0</v>
      </c>
      <c r="K142" t="n">
        <v>0</v>
      </c>
      <c r="L142" t="n">
        <v>0</v>
      </c>
      <c r="M142" t="n">
        <v>0</v>
      </c>
      <c r="N142" t="n">
        <v>0</v>
      </c>
      <c r="O142" t="n">
        <v>0</v>
      </c>
      <c r="P142" t="n">
        <v>0</v>
      </c>
      <c r="Q142" t="n">
        <v>0</v>
      </c>
      <c r="R142" s="2" t="inlineStr"/>
    </row>
    <row r="143" ht="15" customHeight="1">
      <c r="A143" t="inlineStr">
        <is>
          <t>A 3007-2020</t>
        </is>
      </c>
      <c r="B143" s="1" t="n">
        <v>43850</v>
      </c>
      <c r="C143" s="1" t="n">
        <v>45670</v>
      </c>
      <c r="D143" t="inlineStr">
        <is>
          <t>VÄSTERNORRLANDS LÄN</t>
        </is>
      </c>
      <c r="E143" t="inlineStr">
        <is>
          <t>TIMRÅ</t>
        </is>
      </c>
      <c r="G143" t="n">
        <v>1</v>
      </c>
      <c r="H143" t="n">
        <v>0</v>
      </c>
      <c r="I143" t="n">
        <v>0</v>
      </c>
      <c r="J143" t="n">
        <v>0</v>
      </c>
      <c r="K143" t="n">
        <v>0</v>
      </c>
      <c r="L143" t="n">
        <v>0</v>
      </c>
      <c r="M143" t="n">
        <v>0</v>
      </c>
      <c r="N143" t="n">
        <v>0</v>
      </c>
      <c r="O143" t="n">
        <v>0</v>
      </c>
      <c r="P143" t="n">
        <v>0</v>
      </c>
      <c r="Q143" t="n">
        <v>0</v>
      </c>
      <c r="R143" s="2" t="inlineStr"/>
    </row>
    <row r="144" ht="15" customHeight="1">
      <c r="A144" t="inlineStr">
        <is>
          <t>A 3006-2020</t>
        </is>
      </c>
      <c r="B144" s="1" t="n">
        <v>43850</v>
      </c>
      <c r="C144" s="1" t="n">
        <v>45670</v>
      </c>
      <c r="D144" t="inlineStr">
        <is>
          <t>VÄSTERNORRLANDS LÄN</t>
        </is>
      </c>
      <c r="E144" t="inlineStr">
        <is>
          <t>TIMRÅ</t>
        </is>
      </c>
      <c r="G144" t="n">
        <v>1.3</v>
      </c>
      <c r="H144" t="n">
        <v>0</v>
      </c>
      <c r="I144" t="n">
        <v>0</v>
      </c>
      <c r="J144" t="n">
        <v>0</v>
      </c>
      <c r="K144" t="n">
        <v>0</v>
      </c>
      <c r="L144" t="n">
        <v>0</v>
      </c>
      <c r="M144" t="n">
        <v>0</v>
      </c>
      <c r="N144" t="n">
        <v>0</v>
      </c>
      <c r="O144" t="n">
        <v>0</v>
      </c>
      <c r="P144" t="n">
        <v>0</v>
      </c>
      <c r="Q144" t="n">
        <v>0</v>
      </c>
      <c r="R144" s="2" t="inlineStr"/>
    </row>
    <row r="145" ht="15" customHeight="1">
      <c r="A145" t="inlineStr">
        <is>
          <t>A 3010-2020</t>
        </is>
      </c>
      <c r="B145" s="1" t="n">
        <v>43850</v>
      </c>
      <c r="C145" s="1" t="n">
        <v>45670</v>
      </c>
      <c r="D145" t="inlineStr">
        <is>
          <t>VÄSTERNORRLANDS LÄN</t>
        </is>
      </c>
      <c r="E145" t="inlineStr">
        <is>
          <t>TIMRÅ</t>
        </is>
      </c>
      <c r="G145" t="n">
        <v>1.4</v>
      </c>
      <c r="H145" t="n">
        <v>0</v>
      </c>
      <c r="I145" t="n">
        <v>0</v>
      </c>
      <c r="J145" t="n">
        <v>0</v>
      </c>
      <c r="K145" t="n">
        <v>0</v>
      </c>
      <c r="L145" t="n">
        <v>0</v>
      </c>
      <c r="M145" t="n">
        <v>0</v>
      </c>
      <c r="N145" t="n">
        <v>0</v>
      </c>
      <c r="O145" t="n">
        <v>0</v>
      </c>
      <c r="P145" t="n">
        <v>0</v>
      </c>
      <c r="Q145" t="n">
        <v>0</v>
      </c>
      <c r="R145" s="2" t="inlineStr"/>
    </row>
    <row r="146" ht="15" customHeight="1">
      <c r="A146" t="inlineStr">
        <is>
          <t>A 3030-2020</t>
        </is>
      </c>
      <c r="B146" s="1" t="n">
        <v>43851</v>
      </c>
      <c r="C146" s="1" t="n">
        <v>45670</v>
      </c>
      <c r="D146" t="inlineStr">
        <is>
          <t>VÄSTERNORRLANDS LÄN</t>
        </is>
      </c>
      <c r="E146" t="inlineStr">
        <is>
          <t>TIMRÅ</t>
        </is>
      </c>
      <c r="F146" t="inlineStr">
        <is>
          <t>Kyrkan</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3285-2020</t>
        </is>
      </c>
      <c r="B147" s="1" t="n">
        <v>43852</v>
      </c>
      <c r="C147" s="1" t="n">
        <v>45670</v>
      </c>
      <c r="D147" t="inlineStr">
        <is>
          <t>VÄSTERNORRLANDS LÄN</t>
        </is>
      </c>
      <c r="E147" t="inlineStr">
        <is>
          <t>TIMRÅ</t>
        </is>
      </c>
      <c r="G147" t="n">
        <v>0.6</v>
      </c>
      <c r="H147" t="n">
        <v>0</v>
      </c>
      <c r="I147" t="n">
        <v>0</v>
      </c>
      <c r="J147" t="n">
        <v>0</v>
      </c>
      <c r="K147" t="n">
        <v>0</v>
      </c>
      <c r="L147" t="n">
        <v>0</v>
      </c>
      <c r="M147" t="n">
        <v>0</v>
      </c>
      <c r="N147" t="n">
        <v>0</v>
      </c>
      <c r="O147" t="n">
        <v>0</v>
      </c>
      <c r="P147" t="n">
        <v>0</v>
      </c>
      <c r="Q147" t="n">
        <v>0</v>
      </c>
      <c r="R147" s="2" t="inlineStr"/>
    </row>
    <row r="148" ht="15" customHeight="1">
      <c r="A148" t="inlineStr">
        <is>
          <t>A 3283-2020</t>
        </is>
      </c>
      <c r="B148" s="1" t="n">
        <v>43852</v>
      </c>
      <c r="C148" s="1" t="n">
        <v>45670</v>
      </c>
      <c r="D148" t="inlineStr">
        <is>
          <t>VÄSTERNORRLANDS LÄN</t>
        </is>
      </c>
      <c r="E148" t="inlineStr">
        <is>
          <t>TIMRÅ</t>
        </is>
      </c>
      <c r="G148" t="n">
        <v>3</v>
      </c>
      <c r="H148" t="n">
        <v>0</v>
      </c>
      <c r="I148" t="n">
        <v>0</v>
      </c>
      <c r="J148" t="n">
        <v>0</v>
      </c>
      <c r="K148" t="n">
        <v>0</v>
      </c>
      <c r="L148" t="n">
        <v>0</v>
      </c>
      <c r="M148" t="n">
        <v>0</v>
      </c>
      <c r="N148" t="n">
        <v>0</v>
      </c>
      <c r="O148" t="n">
        <v>0</v>
      </c>
      <c r="P148" t="n">
        <v>0</v>
      </c>
      <c r="Q148" t="n">
        <v>0</v>
      </c>
      <c r="R148" s="2" t="inlineStr"/>
    </row>
    <row r="149" ht="15" customHeight="1">
      <c r="A149" t="inlineStr">
        <is>
          <t>A 7134-2020</t>
        </is>
      </c>
      <c r="B149" s="1" t="n">
        <v>43868</v>
      </c>
      <c r="C149" s="1" t="n">
        <v>45670</v>
      </c>
      <c r="D149" t="inlineStr">
        <is>
          <t>VÄSTERNORRLANDS LÄN</t>
        </is>
      </c>
      <c r="E149" t="inlineStr">
        <is>
          <t>TIMRÅ</t>
        </is>
      </c>
      <c r="F149" t="inlineStr">
        <is>
          <t>SCA</t>
        </is>
      </c>
      <c r="G149" t="n">
        <v>25.8</v>
      </c>
      <c r="H149" t="n">
        <v>0</v>
      </c>
      <c r="I149" t="n">
        <v>0</v>
      </c>
      <c r="J149" t="n">
        <v>0</v>
      </c>
      <c r="K149" t="n">
        <v>0</v>
      </c>
      <c r="L149" t="n">
        <v>0</v>
      </c>
      <c r="M149" t="n">
        <v>0</v>
      </c>
      <c r="N149" t="n">
        <v>0</v>
      </c>
      <c r="O149" t="n">
        <v>0</v>
      </c>
      <c r="P149" t="n">
        <v>0</v>
      </c>
      <c r="Q149" t="n">
        <v>0</v>
      </c>
      <c r="R149" s="2" t="inlineStr"/>
    </row>
    <row r="150" ht="15" customHeight="1">
      <c r="A150" t="inlineStr">
        <is>
          <t>A 8279-2020</t>
        </is>
      </c>
      <c r="B150" s="1" t="n">
        <v>43874</v>
      </c>
      <c r="C150" s="1" t="n">
        <v>45670</v>
      </c>
      <c r="D150" t="inlineStr">
        <is>
          <t>VÄSTERNORRLANDS LÄN</t>
        </is>
      </c>
      <c r="E150" t="inlineStr">
        <is>
          <t>TIMRÅ</t>
        </is>
      </c>
      <c r="G150" t="n">
        <v>10.9</v>
      </c>
      <c r="H150" t="n">
        <v>0</v>
      </c>
      <c r="I150" t="n">
        <v>0</v>
      </c>
      <c r="J150" t="n">
        <v>0</v>
      </c>
      <c r="K150" t="n">
        <v>0</v>
      </c>
      <c r="L150" t="n">
        <v>0</v>
      </c>
      <c r="M150" t="n">
        <v>0</v>
      </c>
      <c r="N150" t="n">
        <v>0</v>
      </c>
      <c r="O150" t="n">
        <v>0</v>
      </c>
      <c r="P150" t="n">
        <v>0</v>
      </c>
      <c r="Q150" t="n">
        <v>0</v>
      </c>
      <c r="R150" s="2" t="inlineStr"/>
    </row>
    <row r="151" ht="15" customHeight="1">
      <c r="A151" t="inlineStr">
        <is>
          <t>A 9029-2020</t>
        </is>
      </c>
      <c r="B151" s="1" t="n">
        <v>43879</v>
      </c>
      <c r="C151" s="1" t="n">
        <v>45670</v>
      </c>
      <c r="D151" t="inlineStr">
        <is>
          <t>VÄSTERNORRLANDS LÄN</t>
        </is>
      </c>
      <c r="E151" t="inlineStr">
        <is>
          <t>TIMRÅ</t>
        </is>
      </c>
      <c r="G151" t="n">
        <v>6.3</v>
      </c>
      <c r="H151" t="n">
        <v>0</v>
      </c>
      <c r="I151" t="n">
        <v>0</v>
      </c>
      <c r="J151" t="n">
        <v>0</v>
      </c>
      <c r="K151" t="n">
        <v>0</v>
      </c>
      <c r="L151" t="n">
        <v>0</v>
      </c>
      <c r="M151" t="n">
        <v>0</v>
      </c>
      <c r="N151" t="n">
        <v>0</v>
      </c>
      <c r="O151" t="n">
        <v>0</v>
      </c>
      <c r="P151" t="n">
        <v>0</v>
      </c>
      <c r="Q151" t="n">
        <v>0</v>
      </c>
      <c r="R151" s="2" t="inlineStr"/>
    </row>
    <row r="152" ht="15" customHeight="1">
      <c r="A152" t="inlineStr">
        <is>
          <t>A 9097-2020</t>
        </is>
      </c>
      <c r="B152" s="1" t="n">
        <v>43879</v>
      </c>
      <c r="C152" s="1" t="n">
        <v>45670</v>
      </c>
      <c r="D152" t="inlineStr">
        <is>
          <t>VÄSTERNORRLANDS LÄN</t>
        </is>
      </c>
      <c r="E152" t="inlineStr">
        <is>
          <t>TIMRÅ</t>
        </is>
      </c>
      <c r="G152" t="n">
        <v>7.4</v>
      </c>
      <c r="H152" t="n">
        <v>0</v>
      </c>
      <c r="I152" t="n">
        <v>0</v>
      </c>
      <c r="J152" t="n">
        <v>0</v>
      </c>
      <c r="K152" t="n">
        <v>0</v>
      </c>
      <c r="L152" t="n">
        <v>0</v>
      </c>
      <c r="M152" t="n">
        <v>0</v>
      </c>
      <c r="N152" t="n">
        <v>0</v>
      </c>
      <c r="O152" t="n">
        <v>0</v>
      </c>
      <c r="P152" t="n">
        <v>0</v>
      </c>
      <c r="Q152" t="n">
        <v>0</v>
      </c>
      <c r="R152" s="2" t="inlineStr"/>
    </row>
    <row r="153" ht="15" customHeight="1">
      <c r="A153" t="inlineStr">
        <is>
          <t>A 10377-2020</t>
        </is>
      </c>
      <c r="B153" s="1" t="n">
        <v>43885</v>
      </c>
      <c r="C153" s="1" t="n">
        <v>45670</v>
      </c>
      <c r="D153" t="inlineStr">
        <is>
          <t>VÄSTERNORRLANDS LÄN</t>
        </is>
      </c>
      <c r="E153" t="inlineStr">
        <is>
          <t>TIMRÅ</t>
        </is>
      </c>
      <c r="G153" t="n">
        <v>1.6</v>
      </c>
      <c r="H153" t="n">
        <v>0</v>
      </c>
      <c r="I153" t="n">
        <v>0</v>
      </c>
      <c r="J153" t="n">
        <v>0</v>
      </c>
      <c r="K153" t="n">
        <v>0</v>
      </c>
      <c r="L153" t="n">
        <v>0</v>
      </c>
      <c r="M153" t="n">
        <v>0</v>
      </c>
      <c r="N153" t="n">
        <v>0</v>
      </c>
      <c r="O153" t="n">
        <v>0</v>
      </c>
      <c r="P153" t="n">
        <v>0</v>
      </c>
      <c r="Q153" t="n">
        <v>0</v>
      </c>
      <c r="R153" s="2" t="inlineStr"/>
    </row>
    <row r="154" ht="15" customHeight="1">
      <c r="A154" t="inlineStr">
        <is>
          <t>A 13782-2020</t>
        </is>
      </c>
      <c r="B154" s="1" t="n">
        <v>43903</v>
      </c>
      <c r="C154" s="1" t="n">
        <v>45670</v>
      </c>
      <c r="D154" t="inlineStr">
        <is>
          <t>VÄSTERNORRLANDS LÄN</t>
        </is>
      </c>
      <c r="E154" t="inlineStr">
        <is>
          <t>TIMRÅ</t>
        </is>
      </c>
      <c r="G154" t="n">
        <v>4.1</v>
      </c>
      <c r="H154" t="n">
        <v>0</v>
      </c>
      <c r="I154" t="n">
        <v>0</v>
      </c>
      <c r="J154" t="n">
        <v>0</v>
      </c>
      <c r="K154" t="n">
        <v>0</v>
      </c>
      <c r="L154" t="n">
        <v>0</v>
      </c>
      <c r="M154" t="n">
        <v>0</v>
      </c>
      <c r="N154" t="n">
        <v>0</v>
      </c>
      <c r="O154" t="n">
        <v>0</v>
      </c>
      <c r="P154" t="n">
        <v>0</v>
      </c>
      <c r="Q154" t="n">
        <v>0</v>
      </c>
      <c r="R154" s="2" t="inlineStr"/>
    </row>
    <row r="155" ht="15" customHeight="1">
      <c r="A155" t="inlineStr">
        <is>
          <t>A 15631-2020</t>
        </is>
      </c>
      <c r="B155" s="1" t="n">
        <v>43914</v>
      </c>
      <c r="C155" s="1" t="n">
        <v>45670</v>
      </c>
      <c r="D155" t="inlineStr">
        <is>
          <t>VÄSTERNORRLANDS LÄN</t>
        </is>
      </c>
      <c r="E155" t="inlineStr">
        <is>
          <t>TIMRÅ</t>
        </is>
      </c>
      <c r="G155" t="n">
        <v>1.1</v>
      </c>
      <c r="H155" t="n">
        <v>0</v>
      </c>
      <c r="I155" t="n">
        <v>0</v>
      </c>
      <c r="J155" t="n">
        <v>0</v>
      </c>
      <c r="K155" t="n">
        <v>0</v>
      </c>
      <c r="L155" t="n">
        <v>0</v>
      </c>
      <c r="M155" t="n">
        <v>0</v>
      </c>
      <c r="N155" t="n">
        <v>0</v>
      </c>
      <c r="O155" t="n">
        <v>0</v>
      </c>
      <c r="P155" t="n">
        <v>0</v>
      </c>
      <c r="Q155" t="n">
        <v>0</v>
      </c>
      <c r="R155" s="2" t="inlineStr"/>
    </row>
    <row r="156" ht="15" customHeight="1">
      <c r="A156" t="inlineStr">
        <is>
          <t>A 17822-2020</t>
        </is>
      </c>
      <c r="B156" s="1" t="n">
        <v>43924</v>
      </c>
      <c r="C156" s="1" t="n">
        <v>45670</v>
      </c>
      <c r="D156" t="inlineStr">
        <is>
          <t>VÄSTERNORRLANDS LÄN</t>
        </is>
      </c>
      <c r="E156" t="inlineStr">
        <is>
          <t>TIMRÅ</t>
        </is>
      </c>
      <c r="G156" t="n">
        <v>0.2</v>
      </c>
      <c r="H156" t="n">
        <v>0</v>
      </c>
      <c r="I156" t="n">
        <v>0</v>
      </c>
      <c r="J156" t="n">
        <v>0</v>
      </c>
      <c r="K156" t="n">
        <v>0</v>
      </c>
      <c r="L156" t="n">
        <v>0</v>
      </c>
      <c r="M156" t="n">
        <v>0</v>
      </c>
      <c r="N156" t="n">
        <v>0</v>
      </c>
      <c r="O156" t="n">
        <v>0</v>
      </c>
      <c r="P156" t="n">
        <v>0</v>
      </c>
      <c r="Q156" t="n">
        <v>0</v>
      </c>
      <c r="R156" s="2" t="inlineStr"/>
    </row>
    <row r="157" ht="15" customHeight="1">
      <c r="A157" t="inlineStr">
        <is>
          <t>A 18107-2020</t>
        </is>
      </c>
      <c r="B157" s="1" t="n">
        <v>43927</v>
      </c>
      <c r="C157" s="1" t="n">
        <v>45670</v>
      </c>
      <c r="D157" t="inlineStr">
        <is>
          <t>VÄSTERNORRLANDS LÄN</t>
        </is>
      </c>
      <c r="E157" t="inlineStr">
        <is>
          <t>TIMRÅ</t>
        </is>
      </c>
      <c r="G157" t="n">
        <v>0.9</v>
      </c>
      <c r="H157" t="n">
        <v>0</v>
      </c>
      <c r="I157" t="n">
        <v>0</v>
      </c>
      <c r="J157" t="n">
        <v>0</v>
      </c>
      <c r="K157" t="n">
        <v>0</v>
      </c>
      <c r="L157" t="n">
        <v>0</v>
      </c>
      <c r="M157" t="n">
        <v>0</v>
      </c>
      <c r="N157" t="n">
        <v>0</v>
      </c>
      <c r="O157" t="n">
        <v>0</v>
      </c>
      <c r="P157" t="n">
        <v>0</v>
      </c>
      <c r="Q157" t="n">
        <v>0</v>
      </c>
      <c r="R157" s="2" t="inlineStr"/>
    </row>
    <row r="158" ht="15" customHeight="1">
      <c r="A158" t="inlineStr">
        <is>
          <t>A 18211-2020</t>
        </is>
      </c>
      <c r="B158" s="1" t="n">
        <v>43927</v>
      </c>
      <c r="C158" s="1" t="n">
        <v>45670</v>
      </c>
      <c r="D158" t="inlineStr">
        <is>
          <t>VÄSTERNORRLANDS LÄN</t>
        </is>
      </c>
      <c r="E158" t="inlineStr">
        <is>
          <t>TIMRÅ</t>
        </is>
      </c>
      <c r="G158" t="n">
        <v>0.5</v>
      </c>
      <c r="H158" t="n">
        <v>0</v>
      </c>
      <c r="I158" t="n">
        <v>0</v>
      </c>
      <c r="J158" t="n">
        <v>0</v>
      </c>
      <c r="K158" t="n">
        <v>0</v>
      </c>
      <c r="L158" t="n">
        <v>0</v>
      </c>
      <c r="M158" t="n">
        <v>0</v>
      </c>
      <c r="N158" t="n">
        <v>0</v>
      </c>
      <c r="O158" t="n">
        <v>0</v>
      </c>
      <c r="P158" t="n">
        <v>0</v>
      </c>
      <c r="Q158" t="n">
        <v>0</v>
      </c>
      <c r="R158" s="2" t="inlineStr"/>
    </row>
    <row r="159" ht="15" customHeight="1">
      <c r="A159" t="inlineStr">
        <is>
          <t>A 18208-2020</t>
        </is>
      </c>
      <c r="B159" s="1" t="n">
        <v>43927</v>
      </c>
      <c r="C159" s="1" t="n">
        <v>45670</v>
      </c>
      <c r="D159" t="inlineStr">
        <is>
          <t>VÄSTERNORRLANDS LÄN</t>
        </is>
      </c>
      <c r="E159" t="inlineStr">
        <is>
          <t>TIMRÅ</t>
        </is>
      </c>
      <c r="G159" t="n">
        <v>8.9</v>
      </c>
      <c r="H159" t="n">
        <v>0</v>
      </c>
      <c r="I159" t="n">
        <v>0</v>
      </c>
      <c r="J159" t="n">
        <v>0</v>
      </c>
      <c r="K159" t="n">
        <v>0</v>
      </c>
      <c r="L159" t="n">
        <v>0</v>
      </c>
      <c r="M159" t="n">
        <v>0</v>
      </c>
      <c r="N159" t="n">
        <v>0</v>
      </c>
      <c r="O159" t="n">
        <v>0</v>
      </c>
      <c r="P159" t="n">
        <v>0</v>
      </c>
      <c r="Q159" t="n">
        <v>0</v>
      </c>
      <c r="R159" s="2" t="inlineStr"/>
    </row>
    <row r="160" ht="15" customHeight="1">
      <c r="A160" t="inlineStr">
        <is>
          <t>A 19769-2020</t>
        </is>
      </c>
      <c r="B160" s="1" t="n">
        <v>43937</v>
      </c>
      <c r="C160" s="1" t="n">
        <v>45670</v>
      </c>
      <c r="D160" t="inlineStr">
        <is>
          <t>VÄSTERNORRLANDS LÄN</t>
        </is>
      </c>
      <c r="E160" t="inlineStr">
        <is>
          <t>TIMRÅ</t>
        </is>
      </c>
      <c r="G160" t="n">
        <v>2.1</v>
      </c>
      <c r="H160" t="n">
        <v>0</v>
      </c>
      <c r="I160" t="n">
        <v>0</v>
      </c>
      <c r="J160" t="n">
        <v>0</v>
      </c>
      <c r="K160" t="n">
        <v>0</v>
      </c>
      <c r="L160" t="n">
        <v>0</v>
      </c>
      <c r="M160" t="n">
        <v>0</v>
      </c>
      <c r="N160" t="n">
        <v>0</v>
      </c>
      <c r="O160" t="n">
        <v>0</v>
      </c>
      <c r="P160" t="n">
        <v>0</v>
      </c>
      <c r="Q160" t="n">
        <v>0</v>
      </c>
      <c r="R160" s="2" t="inlineStr"/>
    </row>
    <row r="161" ht="15" customHeight="1">
      <c r="A161" t="inlineStr">
        <is>
          <t>A 19792-2020</t>
        </is>
      </c>
      <c r="B161" s="1" t="n">
        <v>43937</v>
      </c>
      <c r="C161" s="1" t="n">
        <v>45670</v>
      </c>
      <c r="D161" t="inlineStr">
        <is>
          <t>VÄSTERNORRLANDS LÄN</t>
        </is>
      </c>
      <c r="E161" t="inlineStr">
        <is>
          <t>TIMRÅ</t>
        </is>
      </c>
      <c r="G161" t="n">
        <v>1.2</v>
      </c>
      <c r="H161" t="n">
        <v>0</v>
      </c>
      <c r="I161" t="n">
        <v>0</v>
      </c>
      <c r="J161" t="n">
        <v>0</v>
      </c>
      <c r="K161" t="n">
        <v>0</v>
      </c>
      <c r="L161" t="n">
        <v>0</v>
      </c>
      <c r="M161" t="n">
        <v>0</v>
      </c>
      <c r="N161" t="n">
        <v>0</v>
      </c>
      <c r="O161" t="n">
        <v>0</v>
      </c>
      <c r="P161" t="n">
        <v>0</v>
      </c>
      <c r="Q161" t="n">
        <v>0</v>
      </c>
      <c r="R161" s="2" t="inlineStr"/>
    </row>
    <row r="162" ht="15" customHeight="1">
      <c r="A162" t="inlineStr">
        <is>
          <t>A 19311-2020</t>
        </is>
      </c>
      <c r="B162" s="1" t="n">
        <v>43937</v>
      </c>
      <c r="C162" s="1" t="n">
        <v>45670</v>
      </c>
      <c r="D162" t="inlineStr">
        <is>
          <t>VÄSTERNORRLANDS LÄN</t>
        </is>
      </c>
      <c r="E162" t="inlineStr">
        <is>
          <t>TIMRÅ</t>
        </is>
      </c>
      <c r="G162" t="n">
        <v>1.5</v>
      </c>
      <c r="H162" t="n">
        <v>0</v>
      </c>
      <c r="I162" t="n">
        <v>0</v>
      </c>
      <c r="J162" t="n">
        <v>0</v>
      </c>
      <c r="K162" t="n">
        <v>0</v>
      </c>
      <c r="L162" t="n">
        <v>0</v>
      </c>
      <c r="M162" t="n">
        <v>0</v>
      </c>
      <c r="N162" t="n">
        <v>0</v>
      </c>
      <c r="O162" t="n">
        <v>0</v>
      </c>
      <c r="P162" t="n">
        <v>0</v>
      </c>
      <c r="Q162" t="n">
        <v>0</v>
      </c>
      <c r="R162" s="2" t="inlineStr"/>
    </row>
    <row r="163" ht="15" customHeight="1">
      <c r="A163" t="inlineStr">
        <is>
          <t>A 19764-2020</t>
        </is>
      </c>
      <c r="B163" s="1" t="n">
        <v>43937</v>
      </c>
      <c r="C163" s="1" t="n">
        <v>45670</v>
      </c>
      <c r="D163" t="inlineStr">
        <is>
          <t>VÄSTERNORRLANDS LÄN</t>
        </is>
      </c>
      <c r="E163" t="inlineStr">
        <is>
          <t>TIMRÅ</t>
        </is>
      </c>
      <c r="G163" t="n">
        <v>3.1</v>
      </c>
      <c r="H163" t="n">
        <v>0</v>
      </c>
      <c r="I163" t="n">
        <v>0</v>
      </c>
      <c r="J163" t="n">
        <v>0</v>
      </c>
      <c r="K163" t="n">
        <v>0</v>
      </c>
      <c r="L163" t="n">
        <v>0</v>
      </c>
      <c r="M163" t="n">
        <v>0</v>
      </c>
      <c r="N163" t="n">
        <v>0</v>
      </c>
      <c r="O163" t="n">
        <v>0</v>
      </c>
      <c r="P163" t="n">
        <v>0</v>
      </c>
      <c r="Q163" t="n">
        <v>0</v>
      </c>
      <c r="R163" s="2" t="inlineStr"/>
    </row>
    <row r="164" ht="15" customHeight="1">
      <c r="A164" t="inlineStr">
        <is>
          <t>A 19785-2020</t>
        </is>
      </c>
      <c r="B164" s="1" t="n">
        <v>43937</v>
      </c>
      <c r="C164" s="1" t="n">
        <v>45670</v>
      </c>
      <c r="D164" t="inlineStr">
        <is>
          <t>VÄSTERNORRLANDS LÄN</t>
        </is>
      </c>
      <c r="E164" t="inlineStr">
        <is>
          <t>TIMRÅ</t>
        </is>
      </c>
      <c r="G164" t="n">
        <v>2</v>
      </c>
      <c r="H164" t="n">
        <v>0</v>
      </c>
      <c r="I164" t="n">
        <v>0</v>
      </c>
      <c r="J164" t="n">
        <v>0</v>
      </c>
      <c r="K164" t="n">
        <v>0</v>
      </c>
      <c r="L164" t="n">
        <v>0</v>
      </c>
      <c r="M164" t="n">
        <v>0</v>
      </c>
      <c r="N164" t="n">
        <v>0</v>
      </c>
      <c r="O164" t="n">
        <v>0</v>
      </c>
      <c r="P164" t="n">
        <v>0</v>
      </c>
      <c r="Q164" t="n">
        <v>0</v>
      </c>
      <c r="R164" s="2" t="inlineStr"/>
    </row>
    <row r="165" ht="15" customHeight="1">
      <c r="A165" t="inlineStr">
        <is>
          <t>A 19796-2020</t>
        </is>
      </c>
      <c r="B165" s="1" t="n">
        <v>43937</v>
      </c>
      <c r="C165" s="1" t="n">
        <v>45670</v>
      </c>
      <c r="D165" t="inlineStr">
        <is>
          <t>VÄSTERNORRLANDS LÄN</t>
        </is>
      </c>
      <c r="E165" t="inlineStr">
        <is>
          <t>TIMRÅ</t>
        </is>
      </c>
      <c r="G165" t="n">
        <v>1.4</v>
      </c>
      <c r="H165" t="n">
        <v>0</v>
      </c>
      <c r="I165" t="n">
        <v>0</v>
      </c>
      <c r="J165" t="n">
        <v>0</v>
      </c>
      <c r="K165" t="n">
        <v>0</v>
      </c>
      <c r="L165" t="n">
        <v>0</v>
      </c>
      <c r="M165" t="n">
        <v>0</v>
      </c>
      <c r="N165" t="n">
        <v>0</v>
      </c>
      <c r="O165" t="n">
        <v>0</v>
      </c>
      <c r="P165" t="n">
        <v>0</v>
      </c>
      <c r="Q165" t="n">
        <v>0</v>
      </c>
      <c r="R165" s="2" t="inlineStr"/>
    </row>
    <row r="166" ht="15" customHeight="1">
      <c r="A166" t="inlineStr">
        <is>
          <t>A 19809-2020</t>
        </is>
      </c>
      <c r="B166" s="1" t="n">
        <v>43937</v>
      </c>
      <c r="C166" s="1" t="n">
        <v>45670</v>
      </c>
      <c r="D166" t="inlineStr">
        <is>
          <t>VÄSTERNORRLANDS LÄN</t>
        </is>
      </c>
      <c r="E166" t="inlineStr">
        <is>
          <t>TIMRÅ</t>
        </is>
      </c>
      <c r="G166" t="n">
        <v>4.5</v>
      </c>
      <c r="H166" t="n">
        <v>0</v>
      </c>
      <c r="I166" t="n">
        <v>0</v>
      </c>
      <c r="J166" t="n">
        <v>0</v>
      </c>
      <c r="K166" t="n">
        <v>0</v>
      </c>
      <c r="L166" t="n">
        <v>0</v>
      </c>
      <c r="M166" t="n">
        <v>0</v>
      </c>
      <c r="N166" t="n">
        <v>0</v>
      </c>
      <c r="O166" t="n">
        <v>0</v>
      </c>
      <c r="P166" t="n">
        <v>0</v>
      </c>
      <c r="Q166" t="n">
        <v>0</v>
      </c>
      <c r="R166" s="2" t="inlineStr"/>
    </row>
    <row r="167" ht="15" customHeight="1">
      <c r="A167" t="inlineStr">
        <is>
          <t>A 19761-2020</t>
        </is>
      </c>
      <c r="B167" s="1" t="n">
        <v>43937</v>
      </c>
      <c r="C167" s="1" t="n">
        <v>45670</v>
      </c>
      <c r="D167" t="inlineStr">
        <is>
          <t>VÄSTERNORRLANDS LÄN</t>
        </is>
      </c>
      <c r="E167" t="inlineStr">
        <is>
          <t>TIMRÅ</t>
        </is>
      </c>
      <c r="G167" t="n">
        <v>0.4</v>
      </c>
      <c r="H167" t="n">
        <v>0</v>
      </c>
      <c r="I167" t="n">
        <v>0</v>
      </c>
      <c r="J167" t="n">
        <v>0</v>
      </c>
      <c r="K167" t="n">
        <v>0</v>
      </c>
      <c r="L167" t="n">
        <v>0</v>
      </c>
      <c r="M167" t="n">
        <v>0</v>
      </c>
      <c r="N167" t="n">
        <v>0</v>
      </c>
      <c r="O167" t="n">
        <v>0</v>
      </c>
      <c r="P167" t="n">
        <v>0</v>
      </c>
      <c r="Q167" t="n">
        <v>0</v>
      </c>
      <c r="R167" s="2" t="inlineStr"/>
    </row>
    <row r="168" ht="15" customHeight="1">
      <c r="A168" t="inlineStr">
        <is>
          <t>A 19774-2020</t>
        </is>
      </c>
      <c r="B168" s="1" t="n">
        <v>43937</v>
      </c>
      <c r="C168" s="1" t="n">
        <v>45670</v>
      </c>
      <c r="D168" t="inlineStr">
        <is>
          <t>VÄSTERNORRLANDS LÄN</t>
        </is>
      </c>
      <c r="E168" t="inlineStr">
        <is>
          <t>TIMRÅ</t>
        </is>
      </c>
      <c r="G168" t="n">
        <v>6.1</v>
      </c>
      <c r="H168" t="n">
        <v>0</v>
      </c>
      <c r="I168" t="n">
        <v>0</v>
      </c>
      <c r="J168" t="n">
        <v>0</v>
      </c>
      <c r="K168" t="n">
        <v>0</v>
      </c>
      <c r="L168" t="n">
        <v>0</v>
      </c>
      <c r="M168" t="n">
        <v>0</v>
      </c>
      <c r="N168" t="n">
        <v>0</v>
      </c>
      <c r="O168" t="n">
        <v>0</v>
      </c>
      <c r="P168" t="n">
        <v>0</v>
      </c>
      <c r="Q168" t="n">
        <v>0</v>
      </c>
      <c r="R168" s="2" t="inlineStr"/>
    </row>
    <row r="169" ht="15" customHeight="1">
      <c r="A169" t="inlineStr">
        <is>
          <t>A 19794-2020</t>
        </is>
      </c>
      <c r="B169" s="1" t="n">
        <v>43937</v>
      </c>
      <c r="C169" s="1" t="n">
        <v>45670</v>
      </c>
      <c r="D169" t="inlineStr">
        <is>
          <t>VÄSTERNORRLANDS LÄN</t>
        </is>
      </c>
      <c r="E169" t="inlineStr">
        <is>
          <t>TIMRÅ</t>
        </is>
      </c>
      <c r="G169" t="n">
        <v>3</v>
      </c>
      <c r="H169" t="n">
        <v>0</v>
      </c>
      <c r="I169" t="n">
        <v>0</v>
      </c>
      <c r="J169" t="n">
        <v>0</v>
      </c>
      <c r="K169" t="n">
        <v>0</v>
      </c>
      <c r="L169" t="n">
        <v>0</v>
      </c>
      <c r="M169" t="n">
        <v>0</v>
      </c>
      <c r="N169" t="n">
        <v>0</v>
      </c>
      <c r="O169" t="n">
        <v>0</v>
      </c>
      <c r="P169" t="n">
        <v>0</v>
      </c>
      <c r="Q169" t="n">
        <v>0</v>
      </c>
      <c r="R169" s="2" t="inlineStr"/>
    </row>
    <row r="170" ht="15" customHeight="1">
      <c r="A170" t="inlineStr">
        <is>
          <t>A 19807-2020</t>
        </is>
      </c>
      <c r="B170" s="1" t="n">
        <v>43937</v>
      </c>
      <c r="C170" s="1" t="n">
        <v>45670</v>
      </c>
      <c r="D170" t="inlineStr">
        <is>
          <t>VÄSTERNORRLANDS LÄN</t>
        </is>
      </c>
      <c r="E170" t="inlineStr">
        <is>
          <t>TIMRÅ</t>
        </is>
      </c>
      <c r="G170" t="n">
        <v>3.4</v>
      </c>
      <c r="H170" t="n">
        <v>0</v>
      </c>
      <c r="I170" t="n">
        <v>0</v>
      </c>
      <c r="J170" t="n">
        <v>0</v>
      </c>
      <c r="K170" t="n">
        <v>0</v>
      </c>
      <c r="L170" t="n">
        <v>0</v>
      </c>
      <c r="M170" t="n">
        <v>0</v>
      </c>
      <c r="N170" t="n">
        <v>0</v>
      </c>
      <c r="O170" t="n">
        <v>0</v>
      </c>
      <c r="P170" t="n">
        <v>0</v>
      </c>
      <c r="Q170" t="n">
        <v>0</v>
      </c>
      <c r="R170" s="2" t="inlineStr"/>
    </row>
    <row r="171" ht="15" customHeight="1">
      <c r="A171" t="inlineStr">
        <is>
          <t>A 19765-2020</t>
        </is>
      </c>
      <c r="B171" s="1" t="n">
        <v>43937</v>
      </c>
      <c r="C171" s="1" t="n">
        <v>45670</v>
      </c>
      <c r="D171" t="inlineStr">
        <is>
          <t>VÄSTERNORRLANDS LÄN</t>
        </is>
      </c>
      <c r="E171" t="inlineStr">
        <is>
          <t>TIMRÅ</t>
        </is>
      </c>
      <c r="G171" t="n">
        <v>1.2</v>
      </c>
      <c r="H171" t="n">
        <v>0</v>
      </c>
      <c r="I171" t="n">
        <v>0</v>
      </c>
      <c r="J171" t="n">
        <v>0</v>
      </c>
      <c r="K171" t="n">
        <v>0</v>
      </c>
      <c r="L171" t="n">
        <v>0</v>
      </c>
      <c r="M171" t="n">
        <v>0</v>
      </c>
      <c r="N171" t="n">
        <v>0</v>
      </c>
      <c r="O171" t="n">
        <v>0</v>
      </c>
      <c r="P171" t="n">
        <v>0</v>
      </c>
      <c r="Q171" t="n">
        <v>0</v>
      </c>
      <c r="R171" s="2" t="inlineStr"/>
    </row>
    <row r="172" ht="15" customHeight="1">
      <c r="A172" t="inlineStr">
        <is>
          <t>A 19789-2020</t>
        </is>
      </c>
      <c r="B172" s="1" t="n">
        <v>43937</v>
      </c>
      <c r="C172" s="1" t="n">
        <v>45670</v>
      </c>
      <c r="D172" t="inlineStr">
        <is>
          <t>VÄSTERNORRLANDS LÄN</t>
        </is>
      </c>
      <c r="E172" t="inlineStr">
        <is>
          <t>TIMRÅ</t>
        </is>
      </c>
      <c r="G172" t="n">
        <v>0.3</v>
      </c>
      <c r="H172" t="n">
        <v>0</v>
      </c>
      <c r="I172" t="n">
        <v>0</v>
      </c>
      <c r="J172" t="n">
        <v>0</v>
      </c>
      <c r="K172" t="n">
        <v>0</v>
      </c>
      <c r="L172" t="n">
        <v>0</v>
      </c>
      <c r="M172" t="n">
        <v>0</v>
      </c>
      <c r="N172" t="n">
        <v>0</v>
      </c>
      <c r="O172" t="n">
        <v>0</v>
      </c>
      <c r="P172" t="n">
        <v>0</v>
      </c>
      <c r="Q172" t="n">
        <v>0</v>
      </c>
      <c r="R172" s="2" t="inlineStr"/>
    </row>
    <row r="173" ht="15" customHeight="1">
      <c r="A173" t="inlineStr">
        <is>
          <t>A 21210-2020</t>
        </is>
      </c>
      <c r="B173" s="1" t="n">
        <v>43951</v>
      </c>
      <c r="C173" s="1" t="n">
        <v>45670</v>
      </c>
      <c r="D173" t="inlineStr">
        <is>
          <t>VÄSTERNORRLANDS LÄN</t>
        </is>
      </c>
      <c r="E173" t="inlineStr">
        <is>
          <t>TIMRÅ</t>
        </is>
      </c>
      <c r="G173" t="n">
        <v>1</v>
      </c>
      <c r="H173" t="n">
        <v>0</v>
      </c>
      <c r="I173" t="n">
        <v>0</v>
      </c>
      <c r="J173" t="n">
        <v>0</v>
      </c>
      <c r="K173" t="n">
        <v>0</v>
      </c>
      <c r="L173" t="n">
        <v>0</v>
      </c>
      <c r="M173" t="n">
        <v>0</v>
      </c>
      <c r="N173" t="n">
        <v>0</v>
      </c>
      <c r="O173" t="n">
        <v>0</v>
      </c>
      <c r="P173" t="n">
        <v>0</v>
      </c>
      <c r="Q173" t="n">
        <v>0</v>
      </c>
      <c r="R173" s="2" t="inlineStr"/>
    </row>
    <row r="174" ht="15" customHeight="1">
      <c r="A174" t="inlineStr">
        <is>
          <t>A 21874-2020</t>
        </is>
      </c>
      <c r="B174" s="1" t="n">
        <v>43955</v>
      </c>
      <c r="C174" s="1" t="n">
        <v>45670</v>
      </c>
      <c r="D174" t="inlineStr">
        <is>
          <t>VÄSTERNORRLANDS LÄN</t>
        </is>
      </c>
      <c r="E174" t="inlineStr">
        <is>
          <t>TIMRÅ</t>
        </is>
      </c>
      <c r="G174" t="n">
        <v>7.5</v>
      </c>
      <c r="H174" t="n">
        <v>0</v>
      </c>
      <c r="I174" t="n">
        <v>0</v>
      </c>
      <c r="J174" t="n">
        <v>0</v>
      </c>
      <c r="K174" t="n">
        <v>0</v>
      </c>
      <c r="L174" t="n">
        <v>0</v>
      </c>
      <c r="M174" t="n">
        <v>0</v>
      </c>
      <c r="N174" t="n">
        <v>0</v>
      </c>
      <c r="O174" t="n">
        <v>0</v>
      </c>
      <c r="P174" t="n">
        <v>0</v>
      </c>
      <c r="Q174" t="n">
        <v>0</v>
      </c>
      <c r="R174" s="2" t="inlineStr"/>
    </row>
    <row r="175" ht="15" customHeight="1">
      <c r="A175" t="inlineStr">
        <is>
          <t>A 21598-2020</t>
        </is>
      </c>
      <c r="B175" s="1" t="n">
        <v>43956</v>
      </c>
      <c r="C175" s="1" t="n">
        <v>45670</v>
      </c>
      <c r="D175" t="inlineStr">
        <is>
          <t>VÄSTERNORRLANDS LÄN</t>
        </is>
      </c>
      <c r="E175" t="inlineStr">
        <is>
          <t>TIMRÅ</t>
        </is>
      </c>
      <c r="G175" t="n">
        <v>5</v>
      </c>
      <c r="H175" t="n">
        <v>0</v>
      </c>
      <c r="I175" t="n">
        <v>0</v>
      </c>
      <c r="J175" t="n">
        <v>0</v>
      </c>
      <c r="K175" t="n">
        <v>0</v>
      </c>
      <c r="L175" t="n">
        <v>0</v>
      </c>
      <c r="M175" t="n">
        <v>0</v>
      </c>
      <c r="N175" t="n">
        <v>0</v>
      </c>
      <c r="O175" t="n">
        <v>0</v>
      </c>
      <c r="P175" t="n">
        <v>0</v>
      </c>
      <c r="Q175" t="n">
        <v>0</v>
      </c>
      <c r="R175" s="2" t="inlineStr"/>
    </row>
    <row r="176" ht="15" customHeight="1">
      <c r="A176" t="inlineStr">
        <is>
          <t>A 24263-2020</t>
        </is>
      </c>
      <c r="B176" s="1" t="n">
        <v>43971</v>
      </c>
      <c r="C176" s="1" t="n">
        <v>45670</v>
      </c>
      <c r="D176" t="inlineStr">
        <is>
          <t>VÄSTERNORRLANDS LÄN</t>
        </is>
      </c>
      <c r="E176" t="inlineStr">
        <is>
          <t>TIMRÅ</t>
        </is>
      </c>
      <c r="G176" t="n">
        <v>1.4</v>
      </c>
      <c r="H176" t="n">
        <v>0</v>
      </c>
      <c r="I176" t="n">
        <v>0</v>
      </c>
      <c r="J176" t="n">
        <v>0</v>
      </c>
      <c r="K176" t="n">
        <v>0</v>
      </c>
      <c r="L176" t="n">
        <v>0</v>
      </c>
      <c r="M176" t="n">
        <v>0</v>
      </c>
      <c r="N176" t="n">
        <v>0</v>
      </c>
      <c r="O176" t="n">
        <v>0</v>
      </c>
      <c r="P176" t="n">
        <v>0</v>
      </c>
      <c r="Q176" t="n">
        <v>0</v>
      </c>
      <c r="R176" s="2" t="inlineStr"/>
    </row>
    <row r="177" ht="15" customHeight="1">
      <c r="A177" t="inlineStr">
        <is>
          <t>A 29475-2020</t>
        </is>
      </c>
      <c r="B177" s="1" t="n">
        <v>44004</v>
      </c>
      <c r="C177" s="1" t="n">
        <v>45670</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33966-2020</t>
        </is>
      </c>
      <c r="B178" s="1" t="n">
        <v>44028</v>
      </c>
      <c r="C178" s="1" t="n">
        <v>45670</v>
      </c>
      <c r="D178" t="inlineStr">
        <is>
          <t>VÄSTERNORRLANDS LÄN</t>
        </is>
      </c>
      <c r="E178" t="inlineStr">
        <is>
          <t>TIMRÅ</t>
        </is>
      </c>
      <c r="G178" t="n">
        <v>4.9</v>
      </c>
      <c r="H178" t="n">
        <v>0</v>
      </c>
      <c r="I178" t="n">
        <v>0</v>
      </c>
      <c r="J178" t="n">
        <v>0</v>
      </c>
      <c r="K178" t="n">
        <v>0</v>
      </c>
      <c r="L178" t="n">
        <v>0</v>
      </c>
      <c r="M178" t="n">
        <v>0</v>
      </c>
      <c r="N178" t="n">
        <v>0</v>
      </c>
      <c r="O178" t="n">
        <v>0</v>
      </c>
      <c r="P178" t="n">
        <v>0</v>
      </c>
      <c r="Q178" t="n">
        <v>0</v>
      </c>
      <c r="R178" s="2" t="inlineStr"/>
    </row>
    <row r="179" ht="15" customHeight="1">
      <c r="A179" t="inlineStr">
        <is>
          <t>A 35531-2020</t>
        </is>
      </c>
      <c r="B179" s="1" t="n">
        <v>44043</v>
      </c>
      <c r="C179" s="1" t="n">
        <v>45670</v>
      </c>
      <c r="D179" t="inlineStr">
        <is>
          <t>VÄSTERNORRLANDS LÄN</t>
        </is>
      </c>
      <c r="E179" t="inlineStr">
        <is>
          <t>TIMRÅ</t>
        </is>
      </c>
      <c r="G179" t="n">
        <v>0.9</v>
      </c>
      <c r="H179" t="n">
        <v>0</v>
      </c>
      <c r="I179" t="n">
        <v>0</v>
      </c>
      <c r="J179" t="n">
        <v>0</v>
      </c>
      <c r="K179" t="n">
        <v>0</v>
      </c>
      <c r="L179" t="n">
        <v>0</v>
      </c>
      <c r="M179" t="n">
        <v>0</v>
      </c>
      <c r="N179" t="n">
        <v>0</v>
      </c>
      <c r="O179" t="n">
        <v>0</v>
      </c>
      <c r="P179" t="n">
        <v>0</v>
      </c>
      <c r="Q179" t="n">
        <v>0</v>
      </c>
      <c r="R179" s="2" t="inlineStr"/>
    </row>
    <row r="180" ht="15" customHeight="1">
      <c r="A180" t="inlineStr">
        <is>
          <t>A 40413-2020</t>
        </is>
      </c>
      <c r="B180" s="1" t="n">
        <v>44068</v>
      </c>
      <c r="C180" s="1" t="n">
        <v>45670</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40410-2020</t>
        </is>
      </c>
      <c r="B181" s="1" t="n">
        <v>44068</v>
      </c>
      <c r="C181" s="1" t="n">
        <v>45670</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40737-2020</t>
        </is>
      </c>
      <c r="B182" s="1" t="n">
        <v>44069</v>
      </c>
      <c r="C182" s="1" t="n">
        <v>45670</v>
      </c>
      <c r="D182" t="inlineStr">
        <is>
          <t>VÄSTERNORRLANDS LÄN</t>
        </is>
      </c>
      <c r="E182" t="inlineStr">
        <is>
          <t>TIMRÅ</t>
        </is>
      </c>
      <c r="G182" t="n">
        <v>3.1</v>
      </c>
      <c r="H182" t="n">
        <v>0</v>
      </c>
      <c r="I182" t="n">
        <v>0</v>
      </c>
      <c r="J182" t="n">
        <v>0</v>
      </c>
      <c r="K182" t="n">
        <v>0</v>
      </c>
      <c r="L182" t="n">
        <v>0</v>
      </c>
      <c r="M182" t="n">
        <v>0</v>
      </c>
      <c r="N182" t="n">
        <v>0</v>
      </c>
      <c r="O182" t="n">
        <v>0</v>
      </c>
      <c r="P182" t="n">
        <v>0</v>
      </c>
      <c r="Q182" t="n">
        <v>0</v>
      </c>
      <c r="R182" s="2" t="inlineStr"/>
    </row>
    <row r="183" ht="15" customHeight="1">
      <c r="A183" t="inlineStr">
        <is>
          <t>A 42443-2020</t>
        </is>
      </c>
      <c r="B183" s="1" t="n">
        <v>44074</v>
      </c>
      <c r="C183" s="1" t="n">
        <v>45670</v>
      </c>
      <c r="D183" t="inlineStr">
        <is>
          <t>VÄSTERNORRLANDS LÄN</t>
        </is>
      </c>
      <c r="E183" t="inlineStr">
        <is>
          <t>TIMRÅ</t>
        </is>
      </c>
      <c r="G183" t="n">
        <v>1.5</v>
      </c>
      <c r="H183" t="n">
        <v>0</v>
      </c>
      <c r="I183" t="n">
        <v>0</v>
      </c>
      <c r="J183" t="n">
        <v>0</v>
      </c>
      <c r="K183" t="n">
        <v>0</v>
      </c>
      <c r="L183" t="n">
        <v>0</v>
      </c>
      <c r="M183" t="n">
        <v>0</v>
      </c>
      <c r="N183" t="n">
        <v>0</v>
      </c>
      <c r="O183" t="n">
        <v>0</v>
      </c>
      <c r="P183" t="n">
        <v>0</v>
      </c>
      <c r="Q183" t="n">
        <v>0</v>
      </c>
      <c r="R183" s="2" t="inlineStr"/>
    </row>
    <row r="184" ht="15" customHeight="1">
      <c r="A184" t="inlineStr">
        <is>
          <t>A 44503-2020</t>
        </is>
      </c>
      <c r="B184" s="1" t="n">
        <v>44084</v>
      </c>
      <c r="C184" s="1" t="n">
        <v>45670</v>
      </c>
      <c r="D184" t="inlineStr">
        <is>
          <t>VÄSTERNORRLANDS LÄN</t>
        </is>
      </c>
      <c r="E184" t="inlineStr">
        <is>
          <t>TIMRÅ</t>
        </is>
      </c>
      <c r="F184" t="inlineStr">
        <is>
          <t>SCA</t>
        </is>
      </c>
      <c r="G184" t="n">
        <v>7.4</v>
      </c>
      <c r="H184" t="n">
        <v>0</v>
      </c>
      <c r="I184" t="n">
        <v>0</v>
      </c>
      <c r="J184" t="n">
        <v>0</v>
      </c>
      <c r="K184" t="n">
        <v>0</v>
      </c>
      <c r="L184" t="n">
        <v>0</v>
      </c>
      <c r="M184" t="n">
        <v>0</v>
      </c>
      <c r="N184" t="n">
        <v>0</v>
      </c>
      <c r="O184" t="n">
        <v>0</v>
      </c>
      <c r="P184" t="n">
        <v>0</v>
      </c>
      <c r="Q184" t="n">
        <v>0</v>
      </c>
      <c r="R184" s="2" t="inlineStr"/>
    </row>
    <row r="185" ht="15" customHeight="1">
      <c r="A185" t="inlineStr">
        <is>
          <t>A 48574-2020</t>
        </is>
      </c>
      <c r="B185" s="1" t="n">
        <v>44103</v>
      </c>
      <c r="C185" s="1" t="n">
        <v>45670</v>
      </c>
      <c r="D185" t="inlineStr">
        <is>
          <t>VÄSTERNORRLANDS LÄN</t>
        </is>
      </c>
      <c r="E185" t="inlineStr">
        <is>
          <t>TIMRÅ</t>
        </is>
      </c>
      <c r="G185" t="n">
        <v>1.1</v>
      </c>
      <c r="H185" t="n">
        <v>0</v>
      </c>
      <c r="I185" t="n">
        <v>0</v>
      </c>
      <c r="J185" t="n">
        <v>0</v>
      </c>
      <c r="K185" t="n">
        <v>0</v>
      </c>
      <c r="L185" t="n">
        <v>0</v>
      </c>
      <c r="M185" t="n">
        <v>0</v>
      </c>
      <c r="N185" t="n">
        <v>0</v>
      </c>
      <c r="O185" t="n">
        <v>0</v>
      </c>
      <c r="P185" t="n">
        <v>0</v>
      </c>
      <c r="Q185" t="n">
        <v>0</v>
      </c>
      <c r="R185" s="2" t="inlineStr"/>
    </row>
    <row r="186" ht="15" customHeight="1">
      <c r="A186" t="inlineStr">
        <is>
          <t>A 50162-2020</t>
        </is>
      </c>
      <c r="B186" s="1" t="n">
        <v>44104</v>
      </c>
      <c r="C186" s="1" t="n">
        <v>45670</v>
      </c>
      <c r="D186" t="inlineStr">
        <is>
          <t>VÄSTERNORRLANDS LÄN</t>
        </is>
      </c>
      <c r="E186" t="inlineStr">
        <is>
          <t>TIMRÅ</t>
        </is>
      </c>
      <c r="G186" t="n">
        <v>6</v>
      </c>
      <c r="H186" t="n">
        <v>0</v>
      </c>
      <c r="I186" t="n">
        <v>0</v>
      </c>
      <c r="J186" t="n">
        <v>0</v>
      </c>
      <c r="K186" t="n">
        <v>0</v>
      </c>
      <c r="L186" t="n">
        <v>0</v>
      </c>
      <c r="M186" t="n">
        <v>0</v>
      </c>
      <c r="N186" t="n">
        <v>0</v>
      </c>
      <c r="O186" t="n">
        <v>0</v>
      </c>
      <c r="P186" t="n">
        <v>0</v>
      </c>
      <c r="Q186" t="n">
        <v>0</v>
      </c>
      <c r="R186" s="2" t="inlineStr"/>
    </row>
    <row r="187" ht="15" customHeight="1">
      <c r="A187" t="inlineStr">
        <is>
          <t>A 51330-2020</t>
        </is>
      </c>
      <c r="B187" s="1" t="n">
        <v>44112</v>
      </c>
      <c r="C187" s="1" t="n">
        <v>45670</v>
      </c>
      <c r="D187" t="inlineStr">
        <is>
          <t>VÄSTERNORRLANDS LÄN</t>
        </is>
      </c>
      <c r="E187" t="inlineStr">
        <is>
          <t>TIMRÅ</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53254-2020</t>
        </is>
      </c>
      <c r="B188" s="1" t="n">
        <v>44123</v>
      </c>
      <c r="C188" s="1" t="n">
        <v>45670</v>
      </c>
      <c r="D188" t="inlineStr">
        <is>
          <t>VÄSTERNORRLANDS LÄN</t>
        </is>
      </c>
      <c r="E188" t="inlineStr">
        <is>
          <t>TIMRÅ</t>
        </is>
      </c>
      <c r="G188" t="n">
        <v>6.1</v>
      </c>
      <c r="H188" t="n">
        <v>0</v>
      </c>
      <c r="I188" t="n">
        <v>0</v>
      </c>
      <c r="J188" t="n">
        <v>0</v>
      </c>
      <c r="K188" t="n">
        <v>0</v>
      </c>
      <c r="L188" t="n">
        <v>0</v>
      </c>
      <c r="M188" t="n">
        <v>0</v>
      </c>
      <c r="N188" t="n">
        <v>0</v>
      </c>
      <c r="O188" t="n">
        <v>0</v>
      </c>
      <c r="P188" t="n">
        <v>0</v>
      </c>
      <c r="Q188" t="n">
        <v>0</v>
      </c>
      <c r="R188" s="2" t="inlineStr"/>
    </row>
    <row r="189" ht="15" customHeight="1">
      <c r="A189" t="inlineStr">
        <is>
          <t>A 54946-2020</t>
        </is>
      </c>
      <c r="B189" s="1" t="n">
        <v>44129</v>
      </c>
      <c r="C189" s="1" t="n">
        <v>45670</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57007-2020</t>
        </is>
      </c>
      <c r="B190" s="1" t="n">
        <v>44137</v>
      </c>
      <c r="C190" s="1" t="n">
        <v>45670</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61730-2020</t>
        </is>
      </c>
      <c r="B191" s="1" t="n">
        <v>44158</v>
      </c>
      <c r="C191" s="1" t="n">
        <v>45670</v>
      </c>
      <c r="D191" t="inlineStr">
        <is>
          <t>VÄSTERNORRLANDS LÄN</t>
        </is>
      </c>
      <c r="E191" t="inlineStr">
        <is>
          <t>TIMRÅ</t>
        </is>
      </c>
      <c r="G191" t="n">
        <v>2.8</v>
      </c>
      <c r="H191" t="n">
        <v>0</v>
      </c>
      <c r="I191" t="n">
        <v>0</v>
      </c>
      <c r="J191" t="n">
        <v>0</v>
      </c>
      <c r="K191" t="n">
        <v>0</v>
      </c>
      <c r="L191" t="n">
        <v>0</v>
      </c>
      <c r="M191" t="n">
        <v>0</v>
      </c>
      <c r="N191" t="n">
        <v>0</v>
      </c>
      <c r="O191" t="n">
        <v>0</v>
      </c>
      <c r="P191" t="n">
        <v>0</v>
      </c>
      <c r="Q191" t="n">
        <v>0</v>
      </c>
      <c r="R191" s="2" t="inlineStr"/>
    </row>
    <row r="192" ht="15" customHeight="1">
      <c r="A192" t="inlineStr">
        <is>
          <t>A 63960-2020</t>
        </is>
      </c>
      <c r="B192" s="1" t="n">
        <v>44165</v>
      </c>
      <c r="C192" s="1" t="n">
        <v>45670</v>
      </c>
      <c r="D192" t="inlineStr">
        <is>
          <t>VÄSTERNORRLANDS LÄN</t>
        </is>
      </c>
      <c r="E192" t="inlineStr">
        <is>
          <t>TIMRÅ</t>
        </is>
      </c>
      <c r="G192" t="n">
        <v>3.5</v>
      </c>
      <c r="H192" t="n">
        <v>0</v>
      </c>
      <c r="I192" t="n">
        <v>0</v>
      </c>
      <c r="J192" t="n">
        <v>0</v>
      </c>
      <c r="K192" t="n">
        <v>0</v>
      </c>
      <c r="L192" t="n">
        <v>0</v>
      </c>
      <c r="M192" t="n">
        <v>0</v>
      </c>
      <c r="N192" t="n">
        <v>0</v>
      </c>
      <c r="O192" t="n">
        <v>0</v>
      </c>
      <c r="P192" t="n">
        <v>0</v>
      </c>
      <c r="Q192" t="n">
        <v>0</v>
      </c>
      <c r="R192" s="2" t="inlineStr"/>
    </row>
    <row r="193" ht="15" customHeight="1">
      <c r="A193" t="inlineStr">
        <is>
          <t>A 63927-2020</t>
        </is>
      </c>
      <c r="B193" s="1" t="n">
        <v>44166</v>
      </c>
      <c r="C193" s="1" t="n">
        <v>45670</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64571-2020</t>
        </is>
      </c>
      <c r="B194" s="1" t="n">
        <v>44166</v>
      </c>
      <c r="C194" s="1" t="n">
        <v>45670</v>
      </c>
      <c r="D194" t="inlineStr">
        <is>
          <t>VÄSTERNORRLANDS LÄN</t>
        </is>
      </c>
      <c r="E194" t="inlineStr">
        <is>
          <t>TIMRÅ</t>
        </is>
      </c>
      <c r="G194" t="n">
        <v>0.8</v>
      </c>
      <c r="H194" t="n">
        <v>0</v>
      </c>
      <c r="I194" t="n">
        <v>0</v>
      </c>
      <c r="J194" t="n">
        <v>0</v>
      </c>
      <c r="K194" t="n">
        <v>0</v>
      </c>
      <c r="L194" t="n">
        <v>0</v>
      </c>
      <c r="M194" t="n">
        <v>0</v>
      </c>
      <c r="N194" t="n">
        <v>0</v>
      </c>
      <c r="O194" t="n">
        <v>0</v>
      </c>
      <c r="P194" t="n">
        <v>0</v>
      </c>
      <c r="Q194" t="n">
        <v>0</v>
      </c>
      <c r="R194" s="2" t="inlineStr"/>
    </row>
    <row r="195" ht="15" customHeight="1">
      <c r="A195" t="inlineStr">
        <is>
          <t>A 65001-2020</t>
        </is>
      </c>
      <c r="B195" s="1" t="n">
        <v>44167</v>
      </c>
      <c r="C195" s="1" t="n">
        <v>45670</v>
      </c>
      <c r="D195" t="inlineStr">
        <is>
          <t>VÄSTERNORRLANDS LÄN</t>
        </is>
      </c>
      <c r="E195" t="inlineStr">
        <is>
          <t>TIMRÅ</t>
        </is>
      </c>
      <c r="G195" t="n">
        <v>3.3</v>
      </c>
      <c r="H195" t="n">
        <v>0</v>
      </c>
      <c r="I195" t="n">
        <v>0</v>
      </c>
      <c r="J195" t="n">
        <v>0</v>
      </c>
      <c r="K195" t="n">
        <v>0</v>
      </c>
      <c r="L195" t="n">
        <v>0</v>
      </c>
      <c r="M195" t="n">
        <v>0</v>
      </c>
      <c r="N195" t="n">
        <v>0</v>
      </c>
      <c r="O195" t="n">
        <v>0</v>
      </c>
      <c r="P195" t="n">
        <v>0</v>
      </c>
      <c r="Q195" t="n">
        <v>0</v>
      </c>
      <c r="R195" s="2" t="inlineStr"/>
    </row>
    <row r="196" ht="15" customHeight="1">
      <c r="A196" t="inlineStr">
        <is>
          <t>A 66837-2020</t>
        </is>
      </c>
      <c r="B196" s="1" t="n">
        <v>44179</v>
      </c>
      <c r="C196" s="1" t="n">
        <v>45670</v>
      </c>
      <c r="D196" t="inlineStr">
        <is>
          <t>VÄSTERNORRLANDS LÄN</t>
        </is>
      </c>
      <c r="E196" t="inlineStr">
        <is>
          <t>TIMRÅ</t>
        </is>
      </c>
      <c r="F196" t="inlineStr">
        <is>
          <t>Kommuner</t>
        </is>
      </c>
      <c r="G196" t="n">
        <v>1.9</v>
      </c>
      <c r="H196" t="n">
        <v>0</v>
      </c>
      <c r="I196" t="n">
        <v>0</v>
      </c>
      <c r="J196" t="n">
        <v>0</v>
      </c>
      <c r="K196" t="n">
        <v>0</v>
      </c>
      <c r="L196" t="n">
        <v>0</v>
      </c>
      <c r="M196" t="n">
        <v>0</v>
      </c>
      <c r="N196" t="n">
        <v>0</v>
      </c>
      <c r="O196" t="n">
        <v>0</v>
      </c>
      <c r="P196" t="n">
        <v>0</v>
      </c>
      <c r="Q196" t="n">
        <v>0</v>
      </c>
      <c r="R196" s="2" t="inlineStr"/>
    </row>
    <row r="197" ht="15" customHeight="1">
      <c r="A197" t="inlineStr">
        <is>
          <t>A 67610-2020</t>
        </is>
      </c>
      <c r="B197" s="1" t="n">
        <v>44181</v>
      </c>
      <c r="C197" s="1" t="n">
        <v>45670</v>
      </c>
      <c r="D197" t="inlineStr">
        <is>
          <t>VÄSTERNORRLANDS LÄN</t>
        </is>
      </c>
      <c r="E197" t="inlineStr">
        <is>
          <t>TIMRÅ</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69203-2020</t>
        </is>
      </c>
      <c r="B198" s="1" t="n">
        <v>44191</v>
      </c>
      <c r="C198" s="1" t="n">
        <v>45670</v>
      </c>
      <c r="D198" t="inlineStr">
        <is>
          <t>VÄSTERNORRLANDS LÄN</t>
        </is>
      </c>
      <c r="E198" t="inlineStr">
        <is>
          <t>TIMRÅ</t>
        </is>
      </c>
      <c r="F198" t="inlineStr">
        <is>
          <t>SCA</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731-2021</t>
        </is>
      </c>
      <c r="B199" s="1" t="n">
        <v>44203</v>
      </c>
      <c r="C199" s="1" t="n">
        <v>45670</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1555-2021</t>
        </is>
      </c>
      <c r="B200" s="1" t="n">
        <v>44209</v>
      </c>
      <c r="C200" s="1" t="n">
        <v>45670</v>
      </c>
      <c r="D200" t="inlineStr">
        <is>
          <t>VÄSTERNORRLANDS LÄN</t>
        </is>
      </c>
      <c r="E200" t="inlineStr">
        <is>
          <t>TIMRÅ</t>
        </is>
      </c>
      <c r="G200" t="n">
        <v>2.9</v>
      </c>
      <c r="H200" t="n">
        <v>0</v>
      </c>
      <c r="I200" t="n">
        <v>0</v>
      </c>
      <c r="J200" t="n">
        <v>0</v>
      </c>
      <c r="K200" t="n">
        <v>0</v>
      </c>
      <c r="L200" t="n">
        <v>0</v>
      </c>
      <c r="M200" t="n">
        <v>0</v>
      </c>
      <c r="N200" t="n">
        <v>0</v>
      </c>
      <c r="O200" t="n">
        <v>0</v>
      </c>
      <c r="P200" t="n">
        <v>0</v>
      </c>
      <c r="Q200" t="n">
        <v>0</v>
      </c>
      <c r="R200" s="2" t="inlineStr"/>
    </row>
    <row r="201" ht="15" customHeight="1">
      <c r="A201" t="inlineStr">
        <is>
          <t>A 1559-2021</t>
        </is>
      </c>
      <c r="B201" s="1" t="n">
        <v>44209</v>
      </c>
      <c r="C201" s="1" t="n">
        <v>45670</v>
      </c>
      <c r="D201" t="inlineStr">
        <is>
          <t>VÄSTERNORRLANDS LÄN</t>
        </is>
      </c>
      <c r="E201" t="inlineStr">
        <is>
          <t>TIMRÅ</t>
        </is>
      </c>
      <c r="G201" t="n">
        <v>6.7</v>
      </c>
      <c r="H201" t="n">
        <v>0</v>
      </c>
      <c r="I201" t="n">
        <v>0</v>
      </c>
      <c r="J201" t="n">
        <v>0</v>
      </c>
      <c r="K201" t="n">
        <v>0</v>
      </c>
      <c r="L201" t="n">
        <v>0</v>
      </c>
      <c r="M201" t="n">
        <v>0</v>
      </c>
      <c r="N201" t="n">
        <v>0</v>
      </c>
      <c r="O201" t="n">
        <v>0</v>
      </c>
      <c r="P201" t="n">
        <v>0</v>
      </c>
      <c r="Q201" t="n">
        <v>0</v>
      </c>
      <c r="R201" s="2" t="inlineStr"/>
    </row>
    <row r="202" ht="15" customHeight="1">
      <c r="A202" t="inlineStr">
        <is>
          <t>A 2284-2021</t>
        </is>
      </c>
      <c r="B202" s="1" t="n">
        <v>44211</v>
      </c>
      <c r="C202" s="1" t="n">
        <v>45670</v>
      </c>
      <c r="D202" t="inlineStr">
        <is>
          <t>VÄSTERNORRLANDS LÄN</t>
        </is>
      </c>
      <c r="E202" t="inlineStr">
        <is>
          <t>TIMRÅ</t>
        </is>
      </c>
      <c r="G202" t="n">
        <v>2.2</v>
      </c>
      <c r="H202" t="n">
        <v>0</v>
      </c>
      <c r="I202" t="n">
        <v>0</v>
      </c>
      <c r="J202" t="n">
        <v>0</v>
      </c>
      <c r="K202" t="n">
        <v>0</v>
      </c>
      <c r="L202" t="n">
        <v>0</v>
      </c>
      <c r="M202" t="n">
        <v>0</v>
      </c>
      <c r="N202" t="n">
        <v>0</v>
      </c>
      <c r="O202" t="n">
        <v>0</v>
      </c>
      <c r="P202" t="n">
        <v>0</v>
      </c>
      <c r="Q202" t="n">
        <v>0</v>
      </c>
      <c r="R202" s="2" t="inlineStr"/>
    </row>
    <row r="203" ht="15" customHeight="1">
      <c r="A203" t="inlineStr">
        <is>
          <t>A 7367-2021</t>
        </is>
      </c>
      <c r="B203" s="1" t="n">
        <v>44237</v>
      </c>
      <c r="C203" s="1" t="n">
        <v>45670</v>
      </c>
      <c r="D203" t="inlineStr">
        <is>
          <t>VÄSTERNORRLANDS LÄN</t>
        </is>
      </c>
      <c r="E203" t="inlineStr">
        <is>
          <t>TIMRÅ</t>
        </is>
      </c>
      <c r="G203" t="n">
        <v>1.6</v>
      </c>
      <c r="H203" t="n">
        <v>0</v>
      </c>
      <c r="I203" t="n">
        <v>0</v>
      </c>
      <c r="J203" t="n">
        <v>0</v>
      </c>
      <c r="K203" t="n">
        <v>0</v>
      </c>
      <c r="L203" t="n">
        <v>0</v>
      </c>
      <c r="M203" t="n">
        <v>0</v>
      </c>
      <c r="N203" t="n">
        <v>0</v>
      </c>
      <c r="O203" t="n">
        <v>0</v>
      </c>
      <c r="P203" t="n">
        <v>0</v>
      </c>
      <c r="Q203" t="n">
        <v>0</v>
      </c>
      <c r="R203" s="2" t="inlineStr"/>
    </row>
    <row r="204" ht="15" customHeight="1">
      <c r="A204" t="inlineStr">
        <is>
          <t>A 9472-2021</t>
        </is>
      </c>
      <c r="B204" s="1" t="n">
        <v>44250</v>
      </c>
      <c r="C204" s="1" t="n">
        <v>45670</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9503-2021</t>
        </is>
      </c>
      <c r="B205" s="1" t="n">
        <v>44250</v>
      </c>
      <c r="C205" s="1" t="n">
        <v>45670</v>
      </c>
      <c r="D205" t="inlineStr">
        <is>
          <t>VÄSTERNORRLANDS LÄN</t>
        </is>
      </c>
      <c r="E205" t="inlineStr">
        <is>
          <t>TIMRÅ</t>
        </is>
      </c>
      <c r="G205" t="n">
        <v>1.2</v>
      </c>
      <c r="H205" t="n">
        <v>0</v>
      </c>
      <c r="I205" t="n">
        <v>0</v>
      </c>
      <c r="J205" t="n">
        <v>0</v>
      </c>
      <c r="K205" t="n">
        <v>0</v>
      </c>
      <c r="L205" t="n">
        <v>0</v>
      </c>
      <c r="M205" t="n">
        <v>0</v>
      </c>
      <c r="N205" t="n">
        <v>0</v>
      </c>
      <c r="O205" t="n">
        <v>0</v>
      </c>
      <c r="P205" t="n">
        <v>0</v>
      </c>
      <c r="Q205" t="n">
        <v>0</v>
      </c>
      <c r="R205" s="2" t="inlineStr"/>
    </row>
    <row r="206" ht="15" customHeight="1">
      <c r="A206" t="inlineStr">
        <is>
          <t>A 9480-2021</t>
        </is>
      </c>
      <c r="B206" s="1" t="n">
        <v>44250</v>
      </c>
      <c r="C206" s="1" t="n">
        <v>45670</v>
      </c>
      <c r="D206" t="inlineStr">
        <is>
          <t>VÄSTERNORRLANDS LÄN</t>
        </is>
      </c>
      <c r="E206" t="inlineStr">
        <is>
          <t>TIMRÅ</t>
        </is>
      </c>
      <c r="G206" t="n">
        <v>2.7</v>
      </c>
      <c r="H206" t="n">
        <v>0</v>
      </c>
      <c r="I206" t="n">
        <v>0</v>
      </c>
      <c r="J206" t="n">
        <v>0</v>
      </c>
      <c r="K206" t="n">
        <v>0</v>
      </c>
      <c r="L206" t="n">
        <v>0</v>
      </c>
      <c r="M206" t="n">
        <v>0</v>
      </c>
      <c r="N206" t="n">
        <v>0</v>
      </c>
      <c r="O206" t="n">
        <v>0</v>
      </c>
      <c r="P206" t="n">
        <v>0</v>
      </c>
      <c r="Q206" t="n">
        <v>0</v>
      </c>
      <c r="R206" s="2" t="inlineStr"/>
    </row>
    <row r="207" ht="15" customHeight="1">
      <c r="A207" t="inlineStr">
        <is>
          <t>A 20487-2021</t>
        </is>
      </c>
      <c r="B207" s="1" t="n">
        <v>44315</v>
      </c>
      <c r="C207" s="1" t="n">
        <v>45670</v>
      </c>
      <c r="D207" t="inlineStr">
        <is>
          <t>VÄSTERNORRLANDS LÄN</t>
        </is>
      </c>
      <c r="E207" t="inlineStr">
        <is>
          <t>TIMRÅ</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20732-2021</t>
        </is>
      </c>
      <c r="B208" s="1" t="n">
        <v>44316</v>
      </c>
      <c r="C208" s="1" t="n">
        <v>45670</v>
      </c>
      <c r="D208" t="inlineStr">
        <is>
          <t>VÄSTERNORRLANDS LÄN</t>
        </is>
      </c>
      <c r="E208" t="inlineStr">
        <is>
          <t>TIMRÅ</t>
        </is>
      </c>
      <c r="G208" t="n">
        <v>3.8</v>
      </c>
      <c r="H208" t="n">
        <v>0</v>
      </c>
      <c r="I208" t="n">
        <v>0</v>
      </c>
      <c r="J208" t="n">
        <v>0</v>
      </c>
      <c r="K208" t="n">
        <v>0</v>
      </c>
      <c r="L208" t="n">
        <v>0</v>
      </c>
      <c r="M208" t="n">
        <v>0</v>
      </c>
      <c r="N208" t="n">
        <v>0</v>
      </c>
      <c r="O208" t="n">
        <v>0</v>
      </c>
      <c r="P208" t="n">
        <v>0</v>
      </c>
      <c r="Q208" t="n">
        <v>0</v>
      </c>
      <c r="R208" s="2" t="inlineStr"/>
    </row>
    <row r="209" ht="15" customHeight="1">
      <c r="A209" t="inlineStr">
        <is>
          <t>A 23611-2021</t>
        </is>
      </c>
      <c r="B209" s="1" t="n">
        <v>44334</v>
      </c>
      <c r="C209" s="1" t="n">
        <v>45670</v>
      </c>
      <c r="D209" t="inlineStr">
        <is>
          <t>VÄSTERNORRLANDS LÄN</t>
        </is>
      </c>
      <c r="E209" t="inlineStr">
        <is>
          <t>TIMRÅ</t>
        </is>
      </c>
      <c r="G209" t="n">
        <v>13.7</v>
      </c>
      <c r="H209" t="n">
        <v>0</v>
      </c>
      <c r="I209" t="n">
        <v>0</v>
      </c>
      <c r="J209" t="n">
        <v>0</v>
      </c>
      <c r="K209" t="n">
        <v>0</v>
      </c>
      <c r="L209" t="n">
        <v>0</v>
      </c>
      <c r="M209" t="n">
        <v>0</v>
      </c>
      <c r="N209" t="n">
        <v>0</v>
      </c>
      <c r="O209" t="n">
        <v>0</v>
      </c>
      <c r="P209" t="n">
        <v>0</v>
      </c>
      <c r="Q209" t="n">
        <v>0</v>
      </c>
      <c r="R209" s="2" t="inlineStr"/>
    </row>
    <row r="210" ht="15" customHeight="1">
      <c r="A210" t="inlineStr">
        <is>
          <t>A 24513-2021</t>
        </is>
      </c>
      <c r="B210" s="1" t="n">
        <v>44338</v>
      </c>
      <c r="C210" s="1" t="n">
        <v>45670</v>
      </c>
      <c r="D210" t="inlineStr">
        <is>
          <t>VÄSTERNORRLANDS LÄN</t>
        </is>
      </c>
      <c r="E210" t="inlineStr">
        <is>
          <t>TIMRÅ</t>
        </is>
      </c>
      <c r="G210" t="n">
        <v>2.6</v>
      </c>
      <c r="H210" t="n">
        <v>0</v>
      </c>
      <c r="I210" t="n">
        <v>0</v>
      </c>
      <c r="J210" t="n">
        <v>0</v>
      </c>
      <c r="K210" t="n">
        <v>0</v>
      </c>
      <c r="L210" t="n">
        <v>0</v>
      </c>
      <c r="M210" t="n">
        <v>0</v>
      </c>
      <c r="N210" t="n">
        <v>0</v>
      </c>
      <c r="O210" t="n">
        <v>0</v>
      </c>
      <c r="P210" t="n">
        <v>0</v>
      </c>
      <c r="Q210" t="n">
        <v>0</v>
      </c>
      <c r="R210" s="2" t="inlineStr"/>
    </row>
    <row r="211" ht="15" customHeight="1">
      <c r="A211" t="inlineStr">
        <is>
          <t>A 26588-2021</t>
        </is>
      </c>
      <c r="B211" s="1" t="n">
        <v>44348</v>
      </c>
      <c r="C211" s="1" t="n">
        <v>45670</v>
      </c>
      <c r="D211" t="inlineStr">
        <is>
          <t>VÄSTERNORRLANDS LÄN</t>
        </is>
      </c>
      <c r="E211" t="inlineStr">
        <is>
          <t>TIMRÅ</t>
        </is>
      </c>
      <c r="F211" t="inlineStr">
        <is>
          <t>Kyrkan</t>
        </is>
      </c>
      <c r="G211" t="n">
        <v>1.1</v>
      </c>
      <c r="H211" t="n">
        <v>0</v>
      </c>
      <c r="I211" t="n">
        <v>0</v>
      </c>
      <c r="J211" t="n">
        <v>0</v>
      </c>
      <c r="K211" t="n">
        <v>0</v>
      </c>
      <c r="L211" t="n">
        <v>0</v>
      </c>
      <c r="M211" t="n">
        <v>0</v>
      </c>
      <c r="N211" t="n">
        <v>0</v>
      </c>
      <c r="O211" t="n">
        <v>0</v>
      </c>
      <c r="P211" t="n">
        <v>0</v>
      </c>
      <c r="Q211" t="n">
        <v>0</v>
      </c>
      <c r="R211" s="2" t="inlineStr"/>
    </row>
    <row r="212" ht="15" customHeight="1">
      <c r="A212" t="inlineStr">
        <is>
          <t>A 26921-2021</t>
        </is>
      </c>
      <c r="B212" s="1" t="n">
        <v>44349</v>
      </c>
      <c r="C212" s="1" t="n">
        <v>45670</v>
      </c>
      <c r="D212" t="inlineStr">
        <is>
          <t>VÄSTERNORRLANDS LÄN</t>
        </is>
      </c>
      <c r="E212" t="inlineStr">
        <is>
          <t>TIMRÅ</t>
        </is>
      </c>
      <c r="G212" t="n">
        <v>6.6</v>
      </c>
      <c r="H212" t="n">
        <v>0</v>
      </c>
      <c r="I212" t="n">
        <v>0</v>
      </c>
      <c r="J212" t="n">
        <v>0</v>
      </c>
      <c r="K212" t="n">
        <v>0</v>
      </c>
      <c r="L212" t="n">
        <v>0</v>
      </c>
      <c r="M212" t="n">
        <v>0</v>
      </c>
      <c r="N212" t="n">
        <v>0</v>
      </c>
      <c r="O212" t="n">
        <v>0</v>
      </c>
      <c r="P212" t="n">
        <v>0</v>
      </c>
      <c r="Q212" t="n">
        <v>0</v>
      </c>
      <c r="R212" s="2" t="inlineStr"/>
    </row>
    <row r="213" ht="15" customHeight="1">
      <c r="A213" t="inlineStr">
        <is>
          <t>A 26936-2021</t>
        </is>
      </c>
      <c r="B213" s="1" t="n">
        <v>44349</v>
      </c>
      <c r="C213" s="1" t="n">
        <v>45670</v>
      </c>
      <c r="D213" t="inlineStr">
        <is>
          <t>VÄSTERNORRLANDS LÄN</t>
        </is>
      </c>
      <c r="E213" t="inlineStr">
        <is>
          <t>TIMRÅ</t>
        </is>
      </c>
      <c r="G213" t="n">
        <v>4.1</v>
      </c>
      <c r="H213" t="n">
        <v>0</v>
      </c>
      <c r="I213" t="n">
        <v>0</v>
      </c>
      <c r="J213" t="n">
        <v>0</v>
      </c>
      <c r="K213" t="n">
        <v>0</v>
      </c>
      <c r="L213" t="n">
        <v>0</v>
      </c>
      <c r="M213" t="n">
        <v>0</v>
      </c>
      <c r="N213" t="n">
        <v>0</v>
      </c>
      <c r="O213" t="n">
        <v>0</v>
      </c>
      <c r="P213" t="n">
        <v>0</v>
      </c>
      <c r="Q213" t="n">
        <v>0</v>
      </c>
      <c r="R213" s="2" t="inlineStr"/>
    </row>
    <row r="214" ht="15" customHeight="1">
      <c r="A214" t="inlineStr">
        <is>
          <t>A 27243-2021</t>
        </is>
      </c>
      <c r="B214" s="1" t="n">
        <v>44350</v>
      </c>
      <c r="C214" s="1" t="n">
        <v>45670</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28695-2021</t>
        </is>
      </c>
      <c r="B215" s="1" t="n">
        <v>44357</v>
      </c>
      <c r="C215" s="1" t="n">
        <v>45670</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28706-2021</t>
        </is>
      </c>
      <c r="B216" s="1" t="n">
        <v>44357</v>
      </c>
      <c r="C216" s="1" t="n">
        <v>45670</v>
      </c>
      <c r="D216" t="inlineStr">
        <is>
          <t>VÄSTERNORRLANDS LÄN</t>
        </is>
      </c>
      <c r="E216" t="inlineStr">
        <is>
          <t>TIMRÅ</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28650-2021</t>
        </is>
      </c>
      <c r="B217" s="1" t="n">
        <v>44357</v>
      </c>
      <c r="C217" s="1" t="n">
        <v>45670</v>
      </c>
      <c r="D217" t="inlineStr">
        <is>
          <t>VÄSTERNORRLANDS LÄN</t>
        </is>
      </c>
      <c r="E217" t="inlineStr">
        <is>
          <t>TIMRÅ</t>
        </is>
      </c>
      <c r="G217" t="n">
        <v>1.7</v>
      </c>
      <c r="H217" t="n">
        <v>0</v>
      </c>
      <c r="I217" t="n">
        <v>0</v>
      </c>
      <c r="J217" t="n">
        <v>0</v>
      </c>
      <c r="K217" t="n">
        <v>0</v>
      </c>
      <c r="L217" t="n">
        <v>0</v>
      </c>
      <c r="M217" t="n">
        <v>0</v>
      </c>
      <c r="N217" t="n">
        <v>0</v>
      </c>
      <c r="O217" t="n">
        <v>0</v>
      </c>
      <c r="P217" t="n">
        <v>0</v>
      </c>
      <c r="Q217" t="n">
        <v>0</v>
      </c>
      <c r="R217" s="2" t="inlineStr"/>
    </row>
    <row r="218" ht="15" customHeight="1">
      <c r="A218" t="inlineStr">
        <is>
          <t>A 28702-2021</t>
        </is>
      </c>
      <c r="B218" s="1" t="n">
        <v>44357</v>
      </c>
      <c r="C218" s="1" t="n">
        <v>45670</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30098-2021</t>
        </is>
      </c>
      <c r="B219" s="1" t="n">
        <v>44363</v>
      </c>
      <c r="C219" s="1" t="n">
        <v>45670</v>
      </c>
      <c r="D219" t="inlineStr">
        <is>
          <t>VÄSTERNORRLANDS LÄN</t>
        </is>
      </c>
      <c r="E219" t="inlineStr">
        <is>
          <t>TIMRÅ</t>
        </is>
      </c>
      <c r="G219" t="n">
        <v>6.1</v>
      </c>
      <c r="H219" t="n">
        <v>0</v>
      </c>
      <c r="I219" t="n">
        <v>0</v>
      </c>
      <c r="J219" t="n">
        <v>0</v>
      </c>
      <c r="K219" t="n">
        <v>0</v>
      </c>
      <c r="L219" t="n">
        <v>0</v>
      </c>
      <c r="M219" t="n">
        <v>0</v>
      </c>
      <c r="N219" t="n">
        <v>0</v>
      </c>
      <c r="O219" t="n">
        <v>0</v>
      </c>
      <c r="P219" t="n">
        <v>0</v>
      </c>
      <c r="Q219" t="n">
        <v>0</v>
      </c>
      <c r="R219" s="2" t="inlineStr"/>
    </row>
    <row r="220" ht="15" customHeight="1">
      <c r="A220" t="inlineStr">
        <is>
          <t>A 30091-2021</t>
        </is>
      </c>
      <c r="B220" s="1" t="n">
        <v>44363</v>
      </c>
      <c r="C220" s="1" t="n">
        <v>45670</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30591-2021</t>
        </is>
      </c>
      <c r="B221" s="1" t="n">
        <v>44364</v>
      </c>
      <c r="C221" s="1" t="n">
        <v>45670</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32287-2021</t>
        </is>
      </c>
      <c r="B222" s="1" t="n">
        <v>44371</v>
      </c>
      <c r="C222" s="1" t="n">
        <v>45670</v>
      </c>
      <c r="D222" t="inlineStr">
        <is>
          <t>VÄSTERNORRLANDS LÄN</t>
        </is>
      </c>
      <c r="E222" t="inlineStr">
        <is>
          <t>TIMRÅ</t>
        </is>
      </c>
      <c r="F222" t="inlineStr">
        <is>
          <t>Kyrkan</t>
        </is>
      </c>
      <c r="G222" t="n">
        <v>5</v>
      </c>
      <c r="H222" t="n">
        <v>0</v>
      </c>
      <c r="I222" t="n">
        <v>0</v>
      </c>
      <c r="J222" t="n">
        <v>0</v>
      </c>
      <c r="K222" t="n">
        <v>0</v>
      </c>
      <c r="L222" t="n">
        <v>0</v>
      </c>
      <c r="M222" t="n">
        <v>0</v>
      </c>
      <c r="N222" t="n">
        <v>0</v>
      </c>
      <c r="O222" t="n">
        <v>0</v>
      </c>
      <c r="P222" t="n">
        <v>0</v>
      </c>
      <c r="Q222" t="n">
        <v>0</v>
      </c>
      <c r="R222" s="2" t="inlineStr"/>
    </row>
    <row r="223" ht="15" customHeight="1">
      <c r="A223" t="inlineStr">
        <is>
          <t>A 32210-2021</t>
        </is>
      </c>
      <c r="B223" s="1" t="n">
        <v>44371</v>
      </c>
      <c r="C223" s="1" t="n">
        <v>45670</v>
      </c>
      <c r="D223" t="inlineStr">
        <is>
          <t>VÄSTERNORRLANDS LÄN</t>
        </is>
      </c>
      <c r="E223" t="inlineStr">
        <is>
          <t>TIMRÅ</t>
        </is>
      </c>
      <c r="G223" t="n">
        <v>4.9</v>
      </c>
      <c r="H223" t="n">
        <v>0</v>
      </c>
      <c r="I223" t="n">
        <v>0</v>
      </c>
      <c r="J223" t="n">
        <v>0</v>
      </c>
      <c r="K223" t="n">
        <v>0</v>
      </c>
      <c r="L223" t="n">
        <v>0</v>
      </c>
      <c r="M223" t="n">
        <v>0</v>
      </c>
      <c r="N223" t="n">
        <v>0</v>
      </c>
      <c r="O223" t="n">
        <v>0</v>
      </c>
      <c r="P223" t="n">
        <v>0</v>
      </c>
      <c r="Q223" t="n">
        <v>0</v>
      </c>
      <c r="R223" s="2" t="inlineStr"/>
    </row>
    <row r="224" ht="15" customHeight="1">
      <c r="A224" t="inlineStr">
        <is>
          <t>A 32484-2021</t>
        </is>
      </c>
      <c r="B224" s="1" t="n">
        <v>44371</v>
      </c>
      <c r="C224" s="1" t="n">
        <v>45670</v>
      </c>
      <c r="D224" t="inlineStr">
        <is>
          <t>VÄSTERNORRLANDS LÄN</t>
        </is>
      </c>
      <c r="E224" t="inlineStr">
        <is>
          <t>TIMRÅ</t>
        </is>
      </c>
      <c r="F224" t="inlineStr">
        <is>
          <t>SCA</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32487-2021</t>
        </is>
      </c>
      <c r="B225" s="1" t="n">
        <v>44371</v>
      </c>
      <c r="C225" s="1" t="n">
        <v>45670</v>
      </c>
      <c r="D225" t="inlineStr">
        <is>
          <t>VÄSTERNORRLANDS LÄN</t>
        </is>
      </c>
      <c r="E225" t="inlineStr">
        <is>
          <t>TIMRÅ</t>
        </is>
      </c>
      <c r="F225" t="inlineStr">
        <is>
          <t>Kyrkan</t>
        </is>
      </c>
      <c r="G225" t="n">
        <v>21</v>
      </c>
      <c r="H225" t="n">
        <v>0</v>
      </c>
      <c r="I225" t="n">
        <v>0</v>
      </c>
      <c r="J225" t="n">
        <v>0</v>
      </c>
      <c r="K225" t="n">
        <v>0</v>
      </c>
      <c r="L225" t="n">
        <v>0</v>
      </c>
      <c r="M225" t="n">
        <v>0</v>
      </c>
      <c r="N225" t="n">
        <v>0</v>
      </c>
      <c r="O225" t="n">
        <v>0</v>
      </c>
      <c r="P225" t="n">
        <v>0</v>
      </c>
      <c r="Q225" t="n">
        <v>0</v>
      </c>
      <c r="R225" s="2" t="inlineStr"/>
    </row>
    <row r="226" ht="15" customHeight="1">
      <c r="A226" t="inlineStr">
        <is>
          <t>A 32483-2021</t>
        </is>
      </c>
      <c r="B226" s="1" t="n">
        <v>44371</v>
      </c>
      <c r="C226" s="1" t="n">
        <v>45670</v>
      </c>
      <c r="D226" t="inlineStr">
        <is>
          <t>VÄSTERNORRLANDS LÄN</t>
        </is>
      </c>
      <c r="E226" t="inlineStr">
        <is>
          <t>TIMRÅ</t>
        </is>
      </c>
      <c r="F226" t="inlineStr">
        <is>
          <t>Kyrkan</t>
        </is>
      </c>
      <c r="G226" t="n">
        <v>6.3</v>
      </c>
      <c r="H226" t="n">
        <v>0</v>
      </c>
      <c r="I226" t="n">
        <v>0</v>
      </c>
      <c r="J226" t="n">
        <v>0</v>
      </c>
      <c r="K226" t="n">
        <v>0</v>
      </c>
      <c r="L226" t="n">
        <v>0</v>
      </c>
      <c r="M226" t="n">
        <v>0</v>
      </c>
      <c r="N226" t="n">
        <v>0</v>
      </c>
      <c r="O226" t="n">
        <v>0</v>
      </c>
      <c r="P226" t="n">
        <v>0</v>
      </c>
      <c r="Q226" t="n">
        <v>0</v>
      </c>
      <c r="R226" s="2" t="inlineStr"/>
    </row>
    <row r="227" ht="15" customHeight="1">
      <c r="A227" t="inlineStr">
        <is>
          <t>A 34035-2021</t>
        </is>
      </c>
      <c r="B227" s="1" t="n">
        <v>44378</v>
      </c>
      <c r="C227" s="1" t="n">
        <v>45670</v>
      </c>
      <c r="D227" t="inlineStr">
        <is>
          <t>VÄSTERNORRLANDS LÄN</t>
        </is>
      </c>
      <c r="E227" t="inlineStr">
        <is>
          <t>TIMRÅ</t>
        </is>
      </c>
      <c r="G227" t="n">
        <v>4</v>
      </c>
      <c r="H227" t="n">
        <v>0</v>
      </c>
      <c r="I227" t="n">
        <v>0</v>
      </c>
      <c r="J227" t="n">
        <v>0</v>
      </c>
      <c r="K227" t="n">
        <v>0</v>
      </c>
      <c r="L227" t="n">
        <v>0</v>
      </c>
      <c r="M227" t="n">
        <v>0</v>
      </c>
      <c r="N227" t="n">
        <v>0</v>
      </c>
      <c r="O227" t="n">
        <v>0</v>
      </c>
      <c r="P227" t="n">
        <v>0</v>
      </c>
      <c r="Q227" t="n">
        <v>0</v>
      </c>
      <c r="R227" s="2" t="inlineStr"/>
    </row>
    <row r="228" ht="15" customHeight="1">
      <c r="A228" t="inlineStr">
        <is>
          <t>A 34767-2021</t>
        </is>
      </c>
      <c r="B228" s="1" t="n">
        <v>44382</v>
      </c>
      <c r="C228" s="1" t="n">
        <v>45670</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35262-2021</t>
        </is>
      </c>
      <c r="B229" s="1" t="n">
        <v>44384</v>
      </c>
      <c r="C229" s="1" t="n">
        <v>45670</v>
      </c>
      <c r="D229" t="inlineStr">
        <is>
          <t>VÄSTERNORRLANDS LÄN</t>
        </is>
      </c>
      <c r="E229" t="inlineStr">
        <is>
          <t>TIMRÅ</t>
        </is>
      </c>
      <c r="G229" t="n">
        <v>2.1</v>
      </c>
      <c r="H229" t="n">
        <v>0</v>
      </c>
      <c r="I229" t="n">
        <v>0</v>
      </c>
      <c r="J229" t="n">
        <v>0</v>
      </c>
      <c r="K229" t="n">
        <v>0</v>
      </c>
      <c r="L229" t="n">
        <v>0</v>
      </c>
      <c r="M229" t="n">
        <v>0</v>
      </c>
      <c r="N229" t="n">
        <v>0</v>
      </c>
      <c r="O229" t="n">
        <v>0</v>
      </c>
      <c r="P229" t="n">
        <v>0</v>
      </c>
      <c r="Q229" t="n">
        <v>0</v>
      </c>
      <c r="R229" s="2" t="inlineStr"/>
    </row>
    <row r="230" ht="15" customHeight="1">
      <c r="A230" t="inlineStr">
        <is>
          <t>A 35413-2021</t>
        </is>
      </c>
      <c r="B230" s="1" t="n">
        <v>44385</v>
      </c>
      <c r="C230" s="1" t="n">
        <v>45670</v>
      </c>
      <c r="D230" t="inlineStr">
        <is>
          <t>VÄSTERNORRLANDS LÄN</t>
        </is>
      </c>
      <c r="E230" t="inlineStr">
        <is>
          <t>TIMRÅ</t>
        </is>
      </c>
      <c r="G230" t="n">
        <v>1</v>
      </c>
      <c r="H230" t="n">
        <v>0</v>
      </c>
      <c r="I230" t="n">
        <v>0</v>
      </c>
      <c r="J230" t="n">
        <v>0</v>
      </c>
      <c r="K230" t="n">
        <v>0</v>
      </c>
      <c r="L230" t="n">
        <v>0</v>
      </c>
      <c r="M230" t="n">
        <v>0</v>
      </c>
      <c r="N230" t="n">
        <v>0</v>
      </c>
      <c r="O230" t="n">
        <v>0</v>
      </c>
      <c r="P230" t="n">
        <v>0</v>
      </c>
      <c r="Q230" t="n">
        <v>0</v>
      </c>
      <c r="R230" s="2" t="inlineStr"/>
    </row>
    <row r="231" ht="15" customHeight="1">
      <c r="A231" t="inlineStr">
        <is>
          <t>A 35417-2021</t>
        </is>
      </c>
      <c r="B231" s="1" t="n">
        <v>44385</v>
      </c>
      <c r="C231" s="1" t="n">
        <v>45670</v>
      </c>
      <c r="D231" t="inlineStr">
        <is>
          <t>VÄSTERNORRLANDS LÄN</t>
        </is>
      </c>
      <c r="E231" t="inlineStr">
        <is>
          <t>TIMRÅ</t>
        </is>
      </c>
      <c r="G231" t="n">
        <v>4.9</v>
      </c>
      <c r="H231" t="n">
        <v>0</v>
      </c>
      <c r="I231" t="n">
        <v>0</v>
      </c>
      <c r="J231" t="n">
        <v>0</v>
      </c>
      <c r="K231" t="n">
        <v>0</v>
      </c>
      <c r="L231" t="n">
        <v>0</v>
      </c>
      <c r="M231" t="n">
        <v>0</v>
      </c>
      <c r="N231" t="n">
        <v>0</v>
      </c>
      <c r="O231" t="n">
        <v>0</v>
      </c>
      <c r="P231" t="n">
        <v>0</v>
      </c>
      <c r="Q231" t="n">
        <v>0</v>
      </c>
      <c r="R231" s="2" t="inlineStr"/>
    </row>
    <row r="232" ht="15" customHeight="1">
      <c r="A232" t="inlineStr">
        <is>
          <t>A 36987-2021</t>
        </is>
      </c>
      <c r="B232" s="1" t="n">
        <v>44393</v>
      </c>
      <c r="C232" s="1" t="n">
        <v>45670</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37165-2021</t>
        </is>
      </c>
      <c r="B233" s="1" t="n">
        <v>44396</v>
      </c>
      <c r="C233" s="1" t="n">
        <v>45670</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39534-2021</t>
        </is>
      </c>
      <c r="B234" s="1" t="n">
        <v>44416</v>
      </c>
      <c r="C234" s="1" t="n">
        <v>45670</v>
      </c>
      <c r="D234" t="inlineStr">
        <is>
          <t>VÄSTERNORRLANDS LÄN</t>
        </is>
      </c>
      <c r="E234" t="inlineStr">
        <is>
          <t>TIMRÅ</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39821-2021</t>
        </is>
      </c>
      <c r="B235" s="1" t="n">
        <v>44417</v>
      </c>
      <c r="C235" s="1" t="n">
        <v>45670</v>
      </c>
      <c r="D235" t="inlineStr">
        <is>
          <t>VÄSTERNORRLANDS LÄN</t>
        </is>
      </c>
      <c r="E235" t="inlineStr">
        <is>
          <t>TIMRÅ</t>
        </is>
      </c>
      <c r="G235" t="n">
        <v>0.4</v>
      </c>
      <c r="H235" t="n">
        <v>0</v>
      </c>
      <c r="I235" t="n">
        <v>0</v>
      </c>
      <c r="J235" t="n">
        <v>0</v>
      </c>
      <c r="K235" t="n">
        <v>0</v>
      </c>
      <c r="L235" t="n">
        <v>0</v>
      </c>
      <c r="M235" t="n">
        <v>0</v>
      </c>
      <c r="N235" t="n">
        <v>0</v>
      </c>
      <c r="O235" t="n">
        <v>0</v>
      </c>
      <c r="P235" t="n">
        <v>0</v>
      </c>
      <c r="Q235" t="n">
        <v>0</v>
      </c>
      <c r="R235" s="2" t="inlineStr"/>
    </row>
    <row r="236" ht="15" customHeight="1">
      <c r="A236" t="inlineStr">
        <is>
          <t>A 40519-2021</t>
        </is>
      </c>
      <c r="B236" s="1" t="n">
        <v>44420</v>
      </c>
      <c r="C236" s="1" t="n">
        <v>45670</v>
      </c>
      <c r="D236" t="inlineStr">
        <is>
          <t>VÄSTERNORRLANDS LÄN</t>
        </is>
      </c>
      <c r="E236" t="inlineStr">
        <is>
          <t>TIMRÅ</t>
        </is>
      </c>
      <c r="G236" t="n">
        <v>1.7</v>
      </c>
      <c r="H236" t="n">
        <v>0</v>
      </c>
      <c r="I236" t="n">
        <v>0</v>
      </c>
      <c r="J236" t="n">
        <v>0</v>
      </c>
      <c r="K236" t="n">
        <v>0</v>
      </c>
      <c r="L236" t="n">
        <v>0</v>
      </c>
      <c r="M236" t="n">
        <v>0</v>
      </c>
      <c r="N236" t="n">
        <v>0</v>
      </c>
      <c r="O236" t="n">
        <v>0</v>
      </c>
      <c r="P236" t="n">
        <v>0</v>
      </c>
      <c r="Q236" t="n">
        <v>0</v>
      </c>
      <c r="R236" s="2" t="inlineStr"/>
    </row>
    <row r="237" ht="15" customHeight="1">
      <c r="A237" t="inlineStr">
        <is>
          <t>A 43848-2021</t>
        </is>
      </c>
      <c r="B237" s="1" t="n">
        <v>44434</v>
      </c>
      <c r="C237" s="1" t="n">
        <v>45670</v>
      </c>
      <c r="D237" t="inlineStr">
        <is>
          <t>VÄSTERNORRLANDS LÄN</t>
        </is>
      </c>
      <c r="E237" t="inlineStr">
        <is>
          <t>TIMRÅ</t>
        </is>
      </c>
      <c r="G237" t="n">
        <v>2.4</v>
      </c>
      <c r="H237" t="n">
        <v>0</v>
      </c>
      <c r="I237" t="n">
        <v>0</v>
      </c>
      <c r="J237" t="n">
        <v>0</v>
      </c>
      <c r="K237" t="n">
        <v>0</v>
      </c>
      <c r="L237" t="n">
        <v>0</v>
      </c>
      <c r="M237" t="n">
        <v>0</v>
      </c>
      <c r="N237" t="n">
        <v>0</v>
      </c>
      <c r="O237" t="n">
        <v>0</v>
      </c>
      <c r="P237" t="n">
        <v>0</v>
      </c>
      <c r="Q237" t="n">
        <v>0</v>
      </c>
      <c r="R237" s="2" t="inlineStr"/>
    </row>
    <row r="238" ht="15" customHeight="1">
      <c r="A238" t="inlineStr">
        <is>
          <t>A 45441-2021</t>
        </is>
      </c>
      <c r="B238" s="1" t="n">
        <v>44440</v>
      </c>
      <c r="C238" s="1" t="n">
        <v>45670</v>
      </c>
      <c r="D238" t="inlineStr">
        <is>
          <t>VÄSTERNORRLANDS LÄN</t>
        </is>
      </c>
      <c r="E238" t="inlineStr">
        <is>
          <t>TIMRÅ</t>
        </is>
      </c>
      <c r="G238" t="n">
        <v>2</v>
      </c>
      <c r="H238" t="n">
        <v>0</v>
      </c>
      <c r="I238" t="n">
        <v>0</v>
      </c>
      <c r="J238" t="n">
        <v>0</v>
      </c>
      <c r="K238" t="n">
        <v>0</v>
      </c>
      <c r="L238" t="n">
        <v>0</v>
      </c>
      <c r="M238" t="n">
        <v>0</v>
      </c>
      <c r="N238" t="n">
        <v>0</v>
      </c>
      <c r="O238" t="n">
        <v>0</v>
      </c>
      <c r="P238" t="n">
        <v>0</v>
      </c>
      <c r="Q238" t="n">
        <v>0</v>
      </c>
      <c r="R238" s="2" t="inlineStr"/>
    </row>
    <row r="239" ht="15" customHeight="1">
      <c r="A239" t="inlineStr">
        <is>
          <t>A 47203-2021</t>
        </is>
      </c>
      <c r="B239" s="1" t="n">
        <v>44447</v>
      </c>
      <c r="C239" s="1" t="n">
        <v>45670</v>
      </c>
      <c r="D239" t="inlineStr">
        <is>
          <t>VÄSTERNORRLANDS LÄN</t>
        </is>
      </c>
      <c r="E239" t="inlineStr">
        <is>
          <t>TIMRÅ</t>
        </is>
      </c>
      <c r="G239" t="n">
        <v>1.3</v>
      </c>
      <c r="H239" t="n">
        <v>0</v>
      </c>
      <c r="I239" t="n">
        <v>0</v>
      </c>
      <c r="J239" t="n">
        <v>0</v>
      </c>
      <c r="K239" t="n">
        <v>0</v>
      </c>
      <c r="L239" t="n">
        <v>0</v>
      </c>
      <c r="M239" t="n">
        <v>0</v>
      </c>
      <c r="N239" t="n">
        <v>0</v>
      </c>
      <c r="O239" t="n">
        <v>0</v>
      </c>
      <c r="P239" t="n">
        <v>0</v>
      </c>
      <c r="Q239" t="n">
        <v>0</v>
      </c>
      <c r="R239" s="2" t="inlineStr"/>
    </row>
    <row r="240" ht="15" customHeight="1">
      <c r="A240" t="inlineStr">
        <is>
          <t>A 47569-2021</t>
        </is>
      </c>
      <c r="B240" s="1" t="n">
        <v>44447</v>
      </c>
      <c r="C240" s="1" t="n">
        <v>45670</v>
      </c>
      <c r="D240" t="inlineStr">
        <is>
          <t>VÄSTERNORRLANDS LÄN</t>
        </is>
      </c>
      <c r="E240" t="inlineStr">
        <is>
          <t>TIMRÅ</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47570-2021</t>
        </is>
      </c>
      <c r="B241" s="1" t="n">
        <v>44448</v>
      </c>
      <c r="C241" s="1" t="n">
        <v>45670</v>
      </c>
      <c r="D241" t="inlineStr">
        <is>
          <t>VÄSTERNORRLANDS LÄN</t>
        </is>
      </c>
      <c r="E241" t="inlineStr">
        <is>
          <t>TIMRÅ</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49056-2021</t>
        </is>
      </c>
      <c r="B242" s="1" t="n">
        <v>44453</v>
      </c>
      <c r="C242" s="1" t="n">
        <v>45670</v>
      </c>
      <c r="D242" t="inlineStr">
        <is>
          <t>VÄSTERNORRLANDS LÄN</t>
        </is>
      </c>
      <c r="E242" t="inlineStr">
        <is>
          <t>TIMRÅ</t>
        </is>
      </c>
      <c r="G242" t="n">
        <v>3.4</v>
      </c>
      <c r="H242" t="n">
        <v>0</v>
      </c>
      <c r="I242" t="n">
        <v>0</v>
      </c>
      <c r="J242" t="n">
        <v>0</v>
      </c>
      <c r="K242" t="n">
        <v>0</v>
      </c>
      <c r="L242" t="n">
        <v>0</v>
      </c>
      <c r="M242" t="n">
        <v>0</v>
      </c>
      <c r="N242" t="n">
        <v>0</v>
      </c>
      <c r="O242" t="n">
        <v>0</v>
      </c>
      <c r="P242" t="n">
        <v>0</v>
      </c>
      <c r="Q242" t="n">
        <v>0</v>
      </c>
      <c r="R242" s="2" t="inlineStr"/>
    </row>
    <row r="243" ht="15" customHeight="1">
      <c r="A243" t="inlineStr">
        <is>
          <t>A 49486-2021</t>
        </is>
      </c>
      <c r="B243" s="1" t="n">
        <v>44455</v>
      </c>
      <c r="C243" s="1" t="n">
        <v>45670</v>
      </c>
      <c r="D243" t="inlineStr">
        <is>
          <t>VÄSTERNORRLANDS LÄN</t>
        </is>
      </c>
      <c r="E243" t="inlineStr">
        <is>
          <t>TIMRÅ</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53305-2021</t>
        </is>
      </c>
      <c r="B244" s="1" t="n">
        <v>44467</v>
      </c>
      <c r="C244" s="1" t="n">
        <v>45670</v>
      </c>
      <c r="D244" t="inlineStr">
        <is>
          <t>VÄSTERNORRLANDS LÄN</t>
        </is>
      </c>
      <c r="E244" t="inlineStr">
        <is>
          <t>TIMRÅ</t>
        </is>
      </c>
      <c r="G244" t="n">
        <v>1.7</v>
      </c>
      <c r="H244" t="n">
        <v>0</v>
      </c>
      <c r="I244" t="n">
        <v>0</v>
      </c>
      <c r="J244" t="n">
        <v>0</v>
      </c>
      <c r="K244" t="n">
        <v>0</v>
      </c>
      <c r="L244" t="n">
        <v>0</v>
      </c>
      <c r="M244" t="n">
        <v>0</v>
      </c>
      <c r="N244" t="n">
        <v>0</v>
      </c>
      <c r="O244" t="n">
        <v>0</v>
      </c>
      <c r="P244" t="n">
        <v>0</v>
      </c>
      <c r="Q244" t="n">
        <v>0</v>
      </c>
      <c r="R244" s="2" t="inlineStr"/>
    </row>
    <row r="245" ht="15" customHeight="1">
      <c r="A245" t="inlineStr">
        <is>
          <t>A 53699-2021</t>
        </is>
      </c>
      <c r="B245" s="1" t="n">
        <v>44469</v>
      </c>
      <c r="C245" s="1" t="n">
        <v>45670</v>
      </c>
      <c r="D245" t="inlineStr">
        <is>
          <t>VÄSTERNORRLANDS LÄN</t>
        </is>
      </c>
      <c r="E245" t="inlineStr">
        <is>
          <t>TIMRÅ</t>
        </is>
      </c>
      <c r="G245" t="n">
        <v>2.4</v>
      </c>
      <c r="H245" t="n">
        <v>0</v>
      </c>
      <c r="I245" t="n">
        <v>0</v>
      </c>
      <c r="J245" t="n">
        <v>0</v>
      </c>
      <c r="K245" t="n">
        <v>0</v>
      </c>
      <c r="L245" t="n">
        <v>0</v>
      </c>
      <c r="M245" t="n">
        <v>0</v>
      </c>
      <c r="N245" t="n">
        <v>0</v>
      </c>
      <c r="O245" t="n">
        <v>0</v>
      </c>
      <c r="P245" t="n">
        <v>0</v>
      </c>
      <c r="Q245" t="n">
        <v>0</v>
      </c>
      <c r="R245" s="2" t="inlineStr"/>
    </row>
    <row r="246" ht="15" customHeight="1">
      <c r="A246" t="inlineStr">
        <is>
          <t>A 53703-2021</t>
        </is>
      </c>
      <c r="B246" s="1" t="n">
        <v>44469</v>
      </c>
      <c r="C246" s="1" t="n">
        <v>45670</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59570-2021</t>
        </is>
      </c>
      <c r="B247" s="1" t="n">
        <v>44491</v>
      </c>
      <c r="C247" s="1" t="n">
        <v>45670</v>
      </c>
      <c r="D247" t="inlineStr">
        <is>
          <t>VÄSTERNORRLANDS LÄN</t>
        </is>
      </c>
      <c r="E247" t="inlineStr">
        <is>
          <t>TIMRÅ</t>
        </is>
      </c>
      <c r="G247" t="n">
        <v>1.3</v>
      </c>
      <c r="H247" t="n">
        <v>0</v>
      </c>
      <c r="I247" t="n">
        <v>0</v>
      </c>
      <c r="J247" t="n">
        <v>0</v>
      </c>
      <c r="K247" t="n">
        <v>0</v>
      </c>
      <c r="L247" t="n">
        <v>0</v>
      </c>
      <c r="M247" t="n">
        <v>0</v>
      </c>
      <c r="N247" t="n">
        <v>0</v>
      </c>
      <c r="O247" t="n">
        <v>0</v>
      </c>
      <c r="P247" t="n">
        <v>0</v>
      </c>
      <c r="Q247" t="n">
        <v>0</v>
      </c>
      <c r="R247" s="2" t="inlineStr"/>
    </row>
    <row r="248" ht="15" customHeight="1">
      <c r="A248" t="inlineStr">
        <is>
          <t>A 59964-2021</t>
        </is>
      </c>
      <c r="B248" s="1" t="n">
        <v>44494</v>
      </c>
      <c r="C248" s="1" t="n">
        <v>45670</v>
      </c>
      <c r="D248" t="inlineStr">
        <is>
          <t>VÄSTERNORRLANDS LÄN</t>
        </is>
      </c>
      <c r="E248" t="inlineStr">
        <is>
          <t>TIMRÅ</t>
        </is>
      </c>
      <c r="G248" t="n">
        <v>1</v>
      </c>
      <c r="H248" t="n">
        <v>0</v>
      </c>
      <c r="I248" t="n">
        <v>0</v>
      </c>
      <c r="J248" t="n">
        <v>0</v>
      </c>
      <c r="K248" t="n">
        <v>0</v>
      </c>
      <c r="L248" t="n">
        <v>0</v>
      </c>
      <c r="M248" t="n">
        <v>0</v>
      </c>
      <c r="N248" t="n">
        <v>0</v>
      </c>
      <c r="O248" t="n">
        <v>0</v>
      </c>
      <c r="P248" t="n">
        <v>0</v>
      </c>
      <c r="Q248" t="n">
        <v>0</v>
      </c>
      <c r="R248" s="2" t="inlineStr"/>
    </row>
    <row r="249" ht="15" customHeight="1">
      <c r="A249" t="inlineStr">
        <is>
          <t>A 64433-2021</t>
        </is>
      </c>
      <c r="B249" s="1" t="n">
        <v>44511</v>
      </c>
      <c r="C249" s="1" t="n">
        <v>45670</v>
      </c>
      <c r="D249" t="inlineStr">
        <is>
          <t>VÄSTERNORRLANDS LÄN</t>
        </is>
      </c>
      <c r="E249" t="inlineStr">
        <is>
          <t>TIMRÅ</t>
        </is>
      </c>
      <c r="G249" t="n">
        <v>0.6</v>
      </c>
      <c r="H249" t="n">
        <v>0</v>
      </c>
      <c r="I249" t="n">
        <v>0</v>
      </c>
      <c r="J249" t="n">
        <v>0</v>
      </c>
      <c r="K249" t="n">
        <v>0</v>
      </c>
      <c r="L249" t="n">
        <v>0</v>
      </c>
      <c r="M249" t="n">
        <v>0</v>
      </c>
      <c r="N249" t="n">
        <v>0</v>
      </c>
      <c r="O249" t="n">
        <v>0</v>
      </c>
      <c r="P249" t="n">
        <v>0</v>
      </c>
      <c r="Q249" t="n">
        <v>0</v>
      </c>
      <c r="R249" s="2" t="inlineStr"/>
    </row>
    <row r="250" ht="15" customHeight="1">
      <c r="A250" t="inlineStr">
        <is>
          <t>A 66154-2021</t>
        </is>
      </c>
      <c r="B250" s="1" t="n">
        <v>44517</v>
      </c>
      <c r="C250" s="1" t="n">
        <v>45670</v>
      </c>
      <c r="D250" t="inlineStr">
        <is>
          <t>VÄSTERNORRLANDS LÄN</t>
        </is>
      </c>
      <c r="E250" t="inlineStr">
        <is>
          <t>TIMRÅ</t>
        </is>
      </c>
      <c r="G250" t="n">
        <v>5.6</v>
      </c>
      <c r="H250" t="n">
        <v>0</v>
      </c>
      <c r="I250" t="n">
        <v>0</v>
      </c>
      <c r="J250" t="n">
        <v>0</v>
      </c>
      <c r="K250" t="n">
        <v>0</v>
      </c>
      <c r="L250" t="n">
        <v>0</v>
      </c>
      <c r="M250" t="n">
        <v>0</v>
      </c>
      <c r="N250" t="n">
        <v>0</v>
      </c>
      <c r="O250" t="n">
        <v>0</v>
      </c>
      <c r="P250" t="n">
        <v>0</v>
      </c>
      <c r="Q250" t="n">
        <v>0</v>
      </c>
      <c r="R250" s="2" t="inlineStr"/>
    </row>
    <row r="251" ht="15" customHeight="1">
      <c r="A251" t="inlineStr">
        <is>
          <t>A 66409-2021</t>
        </is>
      </c>
      <c r="B251" s="1" t="n">
        <v>44518</v>
      </c>
      <c r="C251" s="1" t="n">
        <v>45670</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67065-2021</t>
        </is>
      </c>
      <c r="B252" s="1" t="n">
        <v>44522</v>
      </c>
      <c r="C252" s="1" t="n">
        <v>45670</v>
      </c>
      <c r="D252" t="inlineStr">
        <is>
          <t>VÄSTERNORRLANDS LÄN</t>
        </is>
      </c>
      <c r="E252" t="inlineStr">
        <is>
          <t>TIMRÅ</t>
        </is>
      </c>
      <c r="G252" t="n">
        <v>2.6</v>
      </c>
      <c r="H252" t="n">
        <v>0</v>
      </c>
      <c r="I252" t="n">
        <v>0</v>
      </c>
      <c r="J252" t="n">
        <v>0</v>
      </c>
      <c r="K252" t="n">
        <v>0</v>
      </c>
      <c r="L252" t="n">
        <v>0</v>
      </c>
      <c r="M252" t="n">
        <v>0</v>
      </c>
      <c r="N252" t="n">
        <v>0</v>
      </c>
      <c r="O252" t="n">
        <v>0</v>
      </c>
      <c r="P252" t="n">
        <v>0</v>
      </c>
      <c r="Q252" t="n">
        <v>0</v>
      </c>
      <c r="R252" s="2" t="inlineStr"/>
    </row>
    <row r="253" ht="15" customHeight="1">
      <c r="A253" t="inlineStr">
        <is>
          <t>A 67063-2021</t>
        </is>
      </c>
      <c r="B253" s="1" t="n">
        <v>44522</v>
      </c>
      <c r="C253" s="1" t="n">
        <v>45670</v>
      </c>
      <c r="D253" t="inlineStr">
        <is>
          <t>VÄSTERNORRLANDS LÄN</t>
        </is>
      </c>
      <c r="E253" t="inlineStr">
        <is>
          <t>TIMRÅ</t>
        </is>
      </c>
      <c r="G253" t="n">
        <v>1.9</v>
      </c>
      <c r="H253" t="n">
        <v>0</v>
      </c>
      <c r="I253" t="n">
        <v>0</v>
      </c>
      <c r="J253" t="n">
        <v>0</v>
      </c>
      <c r="K253" t="n">
        <v>0</v>
      </c>
      <c r="L253" t="n">
        <v>0</v>
      </c>
      <c r="M253" t="n">
        <v>0</v>
      </c>
      <c r="N253" t="n">
        <v>0</v>
      </c>
      <c r="O253" t="n">
        <v>0</v>
      </c>
      <c r="P253" t="n">
        <v>0</v>
      </c>
      <c r="Q253" t="n">
        <v>0</v>
      </c>
      <c r="R253" s="2" t="inlineStr"/>
    </row>
    <row r="254" ht="15" customHeight="1">
      <c r="A254" t="inlineStr">
        <is>
          <t>A 67673-2021</t>
        </is>
      </c>
      <c r="B254" s="1" t="n">
        <v>44524</v>
      </c>
      <c r="C254" s="1" t="n">
        <v>45670</v>
      </c>
      <c r="D254" t="inlineStr">
        <is>
          <t>VÄSTERNORRLANDS LÄN</t>
        </is>
      </c>
      <c r="E254" t="inlineStr">
        <is>
          <t>TIMRÅ</t>
        </is>
      </c>
      <c r="G254" t="n">
        <v>6.8</v>
      </c>
      <c r="H254" t="n">
        <v>0</v>
      </c>
      <c r="I254" t="n">
        <v>0</v>
      </c>
      <c r="J254" t="n">
        <v>0</v>
      </c>
      <c r="K254" t="n">
        <v>0</v>
      </c>
      <c r="L254" t="n">
        <v>0</v>
      </c>
      <c r="M254" t="n">
        <v>0</v>
      </c>
      <c r="N254" t="n">
        <v>0</v>
      </c>
      <c r="O254" t="n">
        <v>0</v>
      </c>
      <c r="P254" t="n">
        <v>0</v>
      </c>
      <c r="Q254" t="n">
        <v>0</v>
      </c>
      <c r="R254" s="2" t="inlineStr"/>
    </row>
    <row r="255" ht="15" customHeight="1">
      <c r="A255" t="inlineStr">
        <is>
          <t>A 68391-2021</t>
        </is>
      </c>
      <c r="B255" s="1" t="n">
        <v>44526</v>
      </c>
      <c r="C255" s="1" t="n">
        <v>45670</v>
      </c>
      <c r="D255" t="inlineStr">
        <is>
          <t>VÄSTERNORRLANDS LÄN</t>
        </is>
      </c>
      <c r="E255" t="inlineStr">
        <is>
          <t>TIMRÅ</t>
        </is>
      </c>
      <c r="G255" t="n">
        <v>2.2</v>
      </c>
      <c r="H255" t="n">
        <v>0</v>
      </c>
      <c r="I255" t="n">
        <v>0</v>
      </c>
      <c r="J255" t="n">
        <v>0</v>
      </c>
      <c r="K255" t="n">
        <v>0</v>
      </c>
      <c r="L255" t="n">
        <v>0</v>
      </c>
      <c r="M255" t="n">
        <v>0</v>
      </c>
      <c r="N255" t="n">
        <v>0</v>
      </c>
      <c r="O255" t="n">
        <v>0</v>
      </c>
      <c r="P255" t="n">
        <v>0</v>
      </c>
      <c r="Q255" t="n">
        <v>0</v>
      </c>
      <c r="R255" s="2" t="inlineStr"/>
    </row>
    <row r="256" ht="15" customHeight="1">
      <c r="A256" t="inlineStr">
        <is>
          <t>A 68774-2021</t>
        </is>
      </c>
      <c r="B256" s="1" t="n">
        <v>44529</v>
      </c>
      <c r="C256" s="1" t="n">
        <v>45670</v>
      </c>
      <c r="D256" t="inlineStr">
        <is>
          <t>VÄSTERNORRLANDS LÄN</t>
        </is>
      </c>
      <c r="E256" t="inlineStr">
        <is>
          <t>TIMRÅ</t>
        </is>
      </c>
      <c r="G256" t="n">
        <v>0.5</v>
      </c>
      <c r="H256" t="n">
        <v>0</v>
      </c>
      <c r="I256" t="n">
        <v>0</v>
      </c>
      <c r="J256" t="n">
        <v>0</v>
      </c>
      <c r="K256" t="n">
        <v>0</v>
      </c>
      <c r="L256" t="n">
        <v>0</v>
      </c>
      <c r="M256" t="n">
        <v>0</v>
      </c>
      <c r="N256" t="n">
        <v>0</v>
      </c>
      <c r="O256" t="n">
        <v>0</v>
      </c>
      <c r="P256" t="n">
        <v>0</v>
      </c>
      <c r="Q256" t="n">
        <v>0</v>
      </c>
      <c r="R256" s="2" t="inlineStr"/>
    </row>
    <row r="257" ht="15" customHeight="1">
      <c r="A257" t="inlineStr">
        <is>
          <t>A 69274-2021</t>
        </is>
      </c>
      <c r="B257" s="1" t="n">
        <v>44530</v>
      </c>
      <c r="C257" s="1" t="n">
        <v>45670</v>
      </c>
      <c r="D257" t="inlineStr">
        <is>
          <t>VÄSTERNORRLANDS LÄN</t>
        </is>
      </c>
      <c r="E257" t="inlineStr">
        <is>
          <t>TIMRÅ</t>
        </is>
      </c>
      <c r="G257" t="n">
        <v>0.3</v>
      </c>
      <c r="H257" t="n">
        <v>0</v>
      </c>
      <c r="I257" t="n">
        <v>0</v>
      </c>
      <c r="J257" t="n">
        <v>0</v>
      </c>
      <c r="K257" t="n">
        <v>0</v>
      </c>
      <c r="L257" t="n">
        <v>0</v>
      </c>
      <c r="M257" t="n">
        <v>0</v>
      </c>
      <c r="N257" t="n">
        <v>0</v>
      </c>
      <c r="O257" t="n">
        <v>0</v>
      </c>
      <c r="P257" t="n">
        <v>0</v>
      </c>
      <c r="Q257" t="n">
        <v>0</v>
      </c>
      <c r="R257" s="2" t="inlineStr"/>
    </row>
    <row r="258" ht="15" customHeight="1">
      <c r="A258" t="inlineStr">
        <is>
          <t>A 69266-2021</t>
        </is>
      </c>
      <c r="B258" s="1" t="n">
        <v>44530</v>
      </c>
      <c r="C258" s="1" t="n">
        <v>45670</v>
      </c>
      <c r="D258" t="inlineStr">
        <is>
          <t>VÄSTERNORRLANDS LÄN</t>
        </is>
      </c>
      <c r="E258" t="inlineStr">
        <is>
          <t>TIMRÅ</t>
        </is>
      </c>
      <c r="G258" t="n">
        <v>0.3</v>
      </c>
      <c r="H258" t="n">
        <v>0</v>
      </c>
      <c r="I258" t="n">
        <v>0</v>
      </c>
      <c r="J258" t="n">
        <v>0</v>
      </c>
      <c r="K258" t="n">
        <v>0</v>
      </c>
      <c r="L258" t="n">
        <v>0</v>
      </c>
      <c r="M258" t="n">
        <v>0</v>
      </c>
      <c r="N258" t="n">
        <v>0</v>
      </c>
      <c r="O258" t="n">
        <v>0</v>
      </c>
      <c r="P258" t="n">
        <v>0</v>
      </c>
      <c r="Q258" t="n">
        <v>0</v>
      </c>
      <c r="R258" s="2" t="inlineStr"/>
    </row>
    <row r="259" ht="15" customHeight="1">
      <c r="A259" t="inlineStr">
        <is>
          <t>A 69278-2021</t>
        </is>
      </c>
      <c r="B259" s="1" t="n">
        <v>44531</v>
      </c>
      <c r="C259" s="1" t="n">
        <v>45670</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69663-2021</t>
        </is>
      </c>
      <c r="B260" s="1" t="n">
        <v>44531</v>
      </c>
      <c r="C260" s="1" t="n">
        <v>45670</v>
      </c>
      <c r="D260" t="inlineStr">
        <is>
          <t>VÄSTERNORRLANDS LÄN</t>
        </is>
      </c>
      <c r="E260" t="inlineStr">
        <is>
          <t>TIMRÅ</t>
        </is>
      </c>
      <c r="G260" t="n">
        <v>1.2</v>
      </c>
      <c r="H260" t="n">
        <v>0</v>
      </c>
      <c r="I260" t="n">
        <v>0</v>
      </c>
      <c r="J260" t="n">
        <v>0</v>
      </c>
      <c r="K260" t="n">
        <v>0</v>
      </c>
      <c r="L260" t="n">
        <v>0</v>
      </c>
      <c r="M260" t="n">
        <v>0</v>
      </c>
      <c r="N260" t="n">
        <v>0</v>
      </c>
      <c r="O260" t="n">
        <v>0</v>
      </c>
      <c r="P260" t="n">
        <v>0</v>
      </c>
      <c r="Q260" t="n">
        <v>0</v>
      </c>
      <c r="R260" s="2" t="inlineStr"/>
    </row>
    <row r="261" ht="15" customHeight="1">
      <c r="A261" t="inlineStr">
        <is>
          <t>A 70507-2021</t>
        </is>
      </c>
      <c r="B261" s="1" t="n">
        <v>44536</v>
      </c>
      <c r="C261" s="1" t="n">
        <v>45670</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70906-2021</t>
        </is>
      </c>
      <c r="B262" s="1" t="n">
        <v>44537</v>
      </c>
      <c r="C262" s="1" t="n">
        <v>45670</v>
      </c>
      <c r="D262" t="inlineStr">
        <is>
          <t>VÄSTERNORRLANDS LÄN</t>
        </is>
      </c>
      <c r="E262" t="inlineStr">
        <is>
          <t>TIMRÅ</t>
        </is>
      </c>
      <c r="G262" t="n">
        <v>3.9</v>
      </c>
      <c r="H262" t="n">
        <v>0</v>
      </c>
      <c r="I262" t="n">
        <v>0</v>
      </c>
      <c r="J262" t="n">
        <v>0</v>
      </c>
      <c r="K262" t="n">
        <v>0</v>
      </c>
      <c r="L262" t="n">
        <v>0</v>
      </c>
      <c r="M262" t="n">
        <v>0</v>
      </c>
      <c r="N262" t="n">
        <v>0</v>
      </c>
      <c r="O262" t="n">
        <v>0</v>
      </c>
      <c r="P262" t="n">
        <v>0</v>
      </c>
      <c r="Q262" t="n">
        <v>0</v>
      </c>
      <c r="R262" s="2" t="inlineStr"/>
    </row>
    <row r="263" ht="15" customHeight="1">
      <c r="A263" t="inlineStr">
        <is>
          <t>A 71213-2021</t>
        </is>
      </c>
      <c r="B263" s="1" t="n">
        <v>44539</v>
      </c>
      <c r="C263" s="1" t="n">
        <v>45670</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73225-2021</t>
        </is>
      </c>
      <c r="B264" s="1" t="n">
        <v>44550</v>
      </c>
      <c r="C264" s="1" t="n">
        <v>45670</v>
      </c>
      <c r="D264" t="inlineStr">
        <is>
          <t>VÄSTERNORRLANDS LÄN</t>
        </is>
      </c>
      <c r="E264" t="inlineStr">
        <is>
          <t>TIMRÅ</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74020-2021</t>
        </is>
      </c>
      <c r="B265" s="1" t="n">
        <v>44557</v>
      </c>
      <c r="C265" s="1" t="n">
        <v>45670</v>
      </c>
      <c r="D265" t="inlineStr">
        <is>
          <t>VÄSTERNORRLANDS LÄN</t>
        </is>
      </c>
      <c r="E265" t="inlineStr">
        <is>
          <t>TIMRÅ</t>
        </is>
      </c>
      <c r="G265" t="n">
        <v>1.4</v>
      </c>
      <c r="H265" t="n">
        <v>0</v>
      </c>
      <c r="I265" t="n">
        <v>0</v>
      </c>
      <c r="J265" t="n">
        <v>0</v>
      </c>
      <c r="K265" t="n">
        <v>0</v>
      </c>
      <c r="L265" t="n">
        <v>0</v>
      </c>
      <c r="M265" t="n">
        <v>0</v>
      </c>
      <c r="N265" t="n">
        <v>0</v>
      </c>
      <c r="O265" t="n">
        <v>0</v>
      </c>
      <c r="P265" t="n">
        <v>0</v>
      </c>
      <c r="Q265" t="n">
        <v>0</v>
      </c>
      <c r="R265" s="2" t="inlineStr"/>
    </row>
    <row r="266" ht="15" customHeight="1">
      <c r="A266" t="inlineStr">
        <is>
          <t>A 74043-2021</t>
        </is>
      </c>
      <c r="B266" s="1" t="n">
        <v>44557</v>
      </c>
      <c r="C266" s="1" t="n">
        <v>45670</v>
      </c>
      <c r="D266" t="inlineStr">
        <is>
          <t>VÄSTERNORRLANDS LÄN</t>
        </is>
      </c>
      <c r="E266" t="inlineStr">
        <is>
          <t>TIMRÅ</t>
        </is>
      </c>
      <c r="G266" t="n">
        <v>0.1</v>
      </c>
      <c r="H266" t="n">
        <v>0</v>
      </c>
      <c r="I266" t="n">
        <v>0</v>
      </c>
      <c r="J266" t="n">
        <v>0</v>
      </c>
      <c r="K266" t="n">
        <v>0</v>
      </c>
      <c r="L266" t="n">
        <v>0</v>
      </c>
      <c r="M266" t="n">
        <v>0</v>
      </c>
      <c r="N266" t="n">
        <v>0</v>
      </c>
      <c r="O266" t="n">
        <v>0</v>
      </c>
      <c r="P266" t="n">
        <v>0</v>
      </c>
      <c r="Q266" t="n">
        <v>0</v>
      </c>
      <c r="R266" s="2" t="inlineStr"/>
    </row>
    <row r="267" ht="15" customHeight="1">
      <c r="A267" t="inlineStr">
        <is>
          <t>A 74044-2021</t>
        </is>
      </c>
      <c r="B267" s="1" t="n">
        <v>44557</v>
      </c>
      <c r="C267" s="1" t="n">
        <v>45670</v>
      </c>
      <c r="D267" t="inlineStr">
        <is>
          <t>VÄSTERNORRLANDS LÄN</t>
        </is>
      </c>
      <c r="E267" t="inlineStr">
        <is>
          <t>TIMRÅ</t>
        </is>
      </c>
      <c r="G267" t="n">
        <v>0.2</v>
      </c>
      <c r="H267" t="n">
        <v>0</v>
      </c>
      <c r="I267" t="n">
        <v>0</v>
      </c>
      <c r="J267" t="n">
        <v>0</v>
      </c>
      <c r="K267" t="n">
        <v>0</v>
      </c>
      <c r="L267" t="n">
        <v>0</v>
      </c>
      <c r="M267" t="n">
        <v>0</v>
      </c>
      <c r="N267" t="n">
        <v>0</v>
      </c>
      <c r="O267" t="n">
        <v>0</v>
      </c>
      <c r="P267" t="n">
        <v>0</v>
      </c>
      <c r="Q267" t="n">
        <v>0</v>
      </c>
      <c r="R267" s="2" t="inlineStr"/>
    </row>
    <row r="268" ht="15" customHeight="1">
      <c r="A268" t="inlineStr">
        <is>
          <t>A 74148-2021</t>
        </is>
      </c>
      <c r="B268" s="1" t="n">
        <v>44557</v>
      </c>
      <c r="C268" s="1" t="n">
        <v>45670</v>
      </c>
      <c r="D268" t="inlineStr">
        <is>
          <t>VÄSTERNORRLANDS LÄN</t>
        </is>
      </c>
      <c r="E268" t="inlineStr">
        <is>
          <t>TIMRÅ</t>
        </is>
      </c>
      <c r="G268" t="n">
        <v>0.7</v>
      </c>
      <c r="H268" t="n">
        <v>0</v>
      </c>
      <c r="I268" t="n">
        <v>0</v>
      </c>
      <c r="J268" t="n">
        <v>0</v>
      </c>
      <c r="K268" t="n">
        <v>0</v>
      </c>
      <c r="L268" t="n">
        <v>0</v>
      </c>
      <c r="M268" t="n">
        <v>0</v>
      </c>
      <c r="N268" t="n">
        <v>0</v>
      </c>
      <c r="O268" t="n">
        <v>0</v>
      </c>
      <c r="P268" t="n">
        <v>0</v>
      </c>
      <c r="Q268" t="n">
        <v>0</v>
      </c>
      <c r="R268" s="2" t="inlineStr"/>
    </row>
    <row r="269" ht="15" customHeight="1">
      <c r="A269" t="inlineStr">
        <is>
          <t>A 74150-2021</t>
        </is>
      </c>
      <c r="B269" s="1" t="n">
        <v>44557</v>
      </c>
      <c r="C269" s="1" t="n">
        <v>45670</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74177-2021</t>
        </is>
      </c>
      <c r="B270" s="1" t="n">
        <v>44558</v>
      </c>
      <c r="C270" s="1" t="n">
        <v>45670</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580-2022</t>
        </is>
      </c>
      <c r="B271" s="1" t="n">
        <v>44566</v>
      </c>
      <c r="C271" s="1" t="n">
        <v>45670</v>
      </c>
      <c r="D271" t="inlineStr">
        <is>
          <t>VÄSTERNORRLANDS LÄN</t>
        </is>
      </c>
      <c r="E271" t="inlineStr">
        <is>
          <t>TIMRÅ</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1078-2022</t>
        </is>
      </c>
      <c r="B272" s="1" t="n">
        <v>44571</v>
      </c>
      <c r="C272" s="1" t="n">
        <v>45670</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1855-2022</t>
        </is>
      </c>
      <c r="B273" s="1" t="n">
        <v>44574</v>
      </c>
      <c r="C273" s="1" t="n">
        <v>45670</v>
      </c>
      <c r="D273" t="inlineStr">
        <is>
          <t>VÄSTERNORRLANDS LÄN</t>
        </is>
      </c>
      <c r="E273" t="inlineStr">
        <is>
          <t>TIMRÅ</t>
        </is>
      </c>
      <c r="G273" t="n">
        <v>3.1</v>
      </c>
      <c r="H273" t="n">
        <v>0</v>
      </c>
      <c r="I273" t="n">
        <v>0</v>
      </c>
      <c r="J273" t="n">
        <v>0</v>
      </c>
      <c r="K273" t="n">
        <v>0</v>
      </c>
      <c r="L273" t="n">
        <v>0</v>
      </c>
      <c r="M273" t="n">
        <v>0</v>
      </c>
      <c r="N273" t="n">
        <v>0</v>
      </c>
      <c r="O273" t="n">
        <v>0</v>
      </c>
      <c r="P273" t="n">
        <v>0</v>
      </c>
      <c r="Q273" t="n">
        <v>0</v>
      </c>
      <c r="R273" s="2" t="inlineStr"/>
    </row>
    <row r="274" ht="15" customHeight="1">
      <c r="A274" t="inlineStr">
        <is>
          <t>A 2073-2022</t>
        </is>
      </c>
      <c r="B274" s="1" t="n">
        <v>44575</v>
      </c>
      <c r="C274" s="1" t="n">
        <v>45670</v>
      </c>
      <c r="D274" t="inlineStr">
        <is>
          <t>VÄSTERNORRLANDS LÄN</t>
        </is>
      </c>
      <c r="E274" t="inlineStr">
        <is>
          <t>TIMRÅ</t>
        </is>
      </c>
      <c r="G274" t="n">
        <v>2.5</v>
      </c>
      <c r="H274" t="n">
        <v>0</v>
      </c>
      <c r="I274" t="n">
        <v>0</v>
      </c>
      <c r="J274" t="n">
        <v>0</v>
      </c>
      <c r="K274" t="n">
        <v>0</v>
      </c>
      <c r="L274" t="n">
        <v>0</v>
      </c>
      <c r="M274" t="n">
        <v>0</v>
      </c>
      <c r="N274" t="n">
        <v>0</v>
      </c>
      <c r="O274" t="n">
        <v>0</v>
      </c>
      <c r="P274" t="n">
        <v>0</v>
      </c>
      <c r="Q274" t="n">
        <v>0</v>
      </c>
      <c r="R274" s="2" t="inlineStr"/>
    </row>
    <row r="275" ht="15" customHeight="1">
      <c r="A275" t="inlineStr">
        <is>
          <t>A 2226-2022</t>
        </is>
      </c>
      <c r="B275" s="1" t="n">
        <v>44578</v>
      </c>
      <c r="C275" s="1" t="n">
        <v>45670</v>
      </c>
      <c r="D275" t="inlineStr">
        <is>
          <t>VÄSTERNORRLANDS LÄN</t>
        </is>
      </c>
      <c r="E275" t="inlineStr">
        <is>
          <t>TIMRÅ</t>
        </is>
      </c>
      <c r="G275" t="n">
        <v>2.9</v>
      </c>
      <c r="H275" t="n">
        <v>0</v>
      </c>
      <c r="I275" t="n">
        <v>0</v>
      </c>
      <c r="J275" t="n">
        <v>0</v>
      </c>
      <c r="K275" t="n">
        <v>0</v>
      </c>
      <c r="L275" t="n">
        <v>0</v>
      </c>
      <c r="M275" t="n">
        <v>0</v>
      </c>
      <c r="N275" t="n">
        <v>0</v>
      </c>
      <c r="O275" t="n">
        <v>0</v>
      </c>
      <c r="P275" t="n">
        <v>0</v>
      </c>
      <c r="Q275" t="n">
        <v>0</v>
      </c>
      <c r="R275" s="2" t="inlineStr"/>
    </row>
    <row r="276" ht="15" customHeight="1">
      <c r="A276" t="inlineStr">
        <is>
          <t>A 5649-2022</t>
        </is>
      </c>
      <c r="B276" s="1" t="n">
        <v>44595</v>
      </c>
      <c r="C276" s="1" t="n">
        <v>45670</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7152-2022</t>
        </is>
      </c>
      <c r="B277" s="1" t="n">
        <v>44603</v>
      </c>
      <c r="C277" s="1" t="n">
        <v>45670</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7670-2022</t>
        </is>
      </c>
      <c r="B278" s="1" t="n">
        <v>44607</v>
      </c>
      <c r="C278" s="1" t="n">
        <v>45670</v>
      </c>
      <c r="D278" t="inlineStr">
        <is>
          <t>VÄSTERNORRLANDS LÄN</t>
        </is>
      </c>
      <c r="E278" t="inlineStr">
        <is>
          <t>TIMRÅ</t>
        </is>
      </c>
      <c r="G278" t="n">
        <v>3.6</v>
      </c>
      <c r="H278" t="n">
        <v>0</v>
      </c>
      <c r="I278" t="n">
        <v>0</v>
      </c>
      <c r="J278" t="n">
        <v>0</v>
      </c>
      <c r="K278" t="n">
        <v>0</v>
      </c>
      <c r="L278" t="n">
        <v>0</v>
      </c>
      <c r="M278" t="n">
        <v>0</v>
      </c>
      <c r="N278" t="n">
        <v>0</v>
      </c>
      <c r="O278" t="n">
        <v>0</v>
      </c>
      <c r="P278" t="n">
        <v>0</v>
      </c>
      <c r="Q278" t="n">
        <v>0</v>
      </c>
      <c r="R278" s="2" t="inlineStr"/>
    </row>
    <row r="279" ht="15" customHeight="1">
      <c r="A279" t="inlineStr">
        <is>
          <t>A 7966-2022</t>
        </is>
      </c>
      <c r="B279" s="1" t="n">
        <v>44608</v>
      </c>
      <c r="C279" s="1" t="n">
        <v>45670</v>
      </c>
      <c r="D279" t="inlineStr">
        <is>
          <t>VÄSTERNORRLANDS LÄN</t>
        </is>
      </c>
      <c r="E279" t="inlineStr">
        <is>
          <t>TIMRÅ</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8336-2022</t>
        </is>
      </c>
      <c r="B280" s="1" t="n">
        <v>44610</v>
      </c>
      <c r="C280" s="1" t="n">
        <v>45670</v>
      </c>
      <c r="D280" t="inlineStr">
        <is>
          <t>VÄSTERNORRLANDS LÄN</t>
        </is>
      </c>
      <c r="E280" t="inlineStr">
        <is>
          <t>TIMRÅ</t>
        </is>
      </c>
      <c r="F280" t="inlineStr">
        <is>
          <t>Kommuner</t>
        </is>
      </c>
      <c r="G280" t="n">
        <v>1.2</v>
      </c>
      <c r="H280" t="n">
        <v>0</v>
      </c>
      <c r="I280" t="n">
        <v>0</v>
      </c>
      <c r="J280" t="n">
        <v>0</v>
      </c>
      <c r="K280" t="n">
        <v>0</v>
      </c>
      <c r="L280" t="n">
        <v>0</v>
      </c>
      <c r="M280" t="n">
        <v>0</v>
      </c>
      <c r="N280" t="n">
        <v>0</v>
      </c>
      <c r="O280" t="n">
        <v>0</v>
      </c>
      <c r="P280" t="n">
        <v>0</v>
      </c>
      <c r="Q280" t="n">
        <v>0</v>
      </c>
      <c r="R280" s="2" t="inlineStr"/>
    </row>
    <row r="281" ht="15" customHeight="1">
      <c r="A281" t="inlineStr">
        <is>
          <t>A 9203-2022</t>
        </is>
      </c>
      <c r="B281" s="1" t="n">
        <v>44615</v>
      </c>
      <c r="C281" s="1" t="n">
        <v>45670</v>
      </c>
      <c r="D281" t="inlineStr">
        <is>
          <t>VÄSTERNORRLANDS LÄN</t>
        </is>
      </c>
      <c r="E281" t="inlineStr">
        <is>
          <t>TIMRÅ</t>
        </is>
      </c>
      <c r="G281" t="n">
        <v>5.5</v>
      </c>
      <c r="H281" t="n">
        <v>0</v>
      </c>
      <c r="I281" t="n">
        <v>0</v>
      </c>
      <c r="J281" t="n">
        <v>0</v>
      </c>
      <c r="K281" t="n">
        <v>0</v>
      </c>
      <c r="L281" t="n">
        <v>0</v>
      </c>
      <c r="M281" t="n">
        <v>0</v>
      </c>
      <c r="N281" t="n">
        <v>0</v>
      </c>
      <c r="O281" t="n">
        <v>0</v>
      </c>
      <c r="P281" t="n">
        <v>0</v>
      </c>
      <c r="Q281" t="n">
        <v>0</v>
      </c>
      <c r="R281" s="2" t="inlineStr"/>
    </row>
    <row r="282" ht="15" customHeight="1">
      <c r="A282" t="inlineStr">
        <is>
          <t>A 9202-2022</t>
        </is>
      </c>
      <c r="B282" s="1" t="n">
        <v>44615</v>
      </c>
      <c r="C282" s="1" t="n">
        <v>45670</v>
      </c>
      <c r="D282" t="inlineStr">
        <is>
          <t>VÄSTERNORRLANDS LÄN</t>
        </is>
      </c>
      <c r="E282" t="inlineStr">
        <is>
          <t>TIMRÅ</t>
        </is>
      </c>
      <c r="G282" t="n">
        <v>2.1</v>
      </c>
      <c r="H282" t="n">
        <v>0</v>
      </c>
      <c r="I282" t="n">
        <v>0</v>
      </c>
      <c r="J282" t="n">
        <v>0</v>
      </c>
      <c r="K282" t="n">
        <v>0</v>
      </c>
      <c r="L282" t="n">
        <v>0</v>
      </c>
      <c r="M282" t="n">
        <v>0</v>
      </c>
      <c r="N282" t="n">
        <v>0</v>
      </c>
      <c r="O282" t="n">
        <v>0</v>
      </c>
      <c r="P282" t="n">
        <v>0</v>
      </c>
      <c r="Q282" t="n">
        <v>0</v>
      </c>
      <c r="R282" s="2" t="inlineStr"/>
    </row>
    <row r="283" ht="15" customHeight="1">
      <c r="A283" t="inlineStr">
        <is>
          <t>A 9256-2022</t>
        </is>
      </c>
      <c r="B283" s="1" t="n">
        <v>44616</v>
      </c>
      <c r="C283" s="1" t="n">
        <v>45670</v>
      </c>
      <c r="D283" t="inlineStr">
        <is>
          <t>VÄSTERNORRLANDS LÄN</t>
        </is>
      </c>
      <c r="E283" t="inlineStr">
        <is>
          <t>TIMRÅ</t>
        </is>
      </c>
      <c r="G283" t="n">
        <v>1.8</v>
      </c>
      <c r="H283" t="n">
        <v>0</v>
      </c>
      <c r="I283" t="n">
        <v>0</v>
      </c>
      <c r="J283" t="n">
        <v>0</v>
      </c>
      <c r="K283" t="n">
        <v>0</v>
      </c>
      <c r="L283" t="n">
        <v>0</v>
      </c>
      <c r="M283" t="n">
        <v>0</v>
      </c>
      <c r="N283" t="n">
        <v>0</v>
      </c>
      <c r="O283" t="n">
        <v>0</v>
      </c>
      <c r="P283" t="n">
        <v>0</v>
      </c>
      <c r="Q283" t="n">
        <v>0</v>
      </c>
      <c r="R283" s="2" t="inlineStr"/>
    </row>
    <row r="284" ht="15" customHeight="1">
      <c r="A284" t="inlineStr">
        <is>
          <t>A 9317-2022</t>
        </is>
      </c>
      <c r="B284" s="1" t="n">
        <v>44616</v>
      </c>
      <c r="C284" s="1" t="n">
        <v>45670</v>
      </c>
      <c r="D284" t="inlineStr">
        <is>
          <t>VÄSTERNORRLANDS LÄN</t>
        </is>
      </c>
      <c r="E284" t="inlineStr">
        <is>
          <t>TIMRÅ</t>
        </is>
      </c>
      <c r="G284" t="n">
        <v>1.1</v>
      </c>
      <c r="H284" t="n">
        <v>0</v>
      </c>
      <c r="I284" t="n">
        <v>0</v>
      </c>
      <c r="J284" t="n">
        <v>0</v>
      </c>
      <c r="K284" t="n">
        <v>0</v>
      </c>
      <c r="L284" t="n">
        <v>0</v>
      </c>
      <c r="M284" t="n">
        <v>0</v>
      </c>
      <c r="N284" t="n">
        <v>0</v>
      </c>
      <c r="O284" t="n">
        <v>0</v>
      </c>
      <c r="P284" t="n">
        <v>0</v>
      </c>
      <c r="Q284" t="n">
        <v>0</v>
      </c>
      <c r="R284" s="2" t="inlineStr"/>
    </row>
    <row r="285" ht="15" customHeight="1">
      <c r="A285" t="inlineStr">
        <is>
          <t>A 11269-2022</t>
        </is>
      </c>
      <c r="B285" s="1" t="n">
        <v>44629</v>
      </c>
      <c r="C285" s="1" t="n">
        <v>45670</v>
      </c>
      <c r="D285" t="inlineStr">
        <is>
          <t>VÄSTERNORRLANDS LÄN</t>
        </is>
      </c>
      <c r="E285" t="inlineStr">
        <is>
          <t>TIMRÅ</t>
        </is>
      </c>
      <c r="G285" t="n">
        <v>16</v>
      </c>
      <c r="H285" t="n">
        <v>0</v>
      </c>
      <c r="I285" t="n">
        <v>0</v>
      </c>
      <c r="J285" t="n">
        <v>0</v>
      </c>
      <c r="K285" t="n">
        <v>0</v>
      </c>
      <c r="L285" t="n">
        <v>0</v>
      </c>
      <c r="M285" t="n">
        <v>0</v>
      </c>
      <c r="N285" t="n">
        <v>0</v>
      </c>
      <c r="O285" t="n">
        <v>0</v>
      </c>
      <c r="P285" t="n">
        <v>0</v>
      </c>
      <c r="Q285" t="n">
        <v>0</v>
      </c>
      <c r="R285" s="2" t="inlineStr"/>
    </row>
    <row r="286" ht="15" customHeight="1">
      <c r="A286" t="inlineStr">
        <is>
          <t>A 11479-2022</t>
        </is>
      </c>
      <c r="B286" s="1" t="n">
        <v>44630</v>
      </c>
      <c r="C286" s="1" t="n">
        <v>45670</v>
      </c>
      <c r="D286" t="inlineStr">
        <is>
          <t>VÄSTERNORRLANDS LÄN</t>
        </is>
      </c>
      <c r="E286" t="inlineStr">
        <is>
          <t>TIMRÅ</t>
        </is>
      </c>
      <c r="G286" t="n">
        <v>2.9</v>
      </c>
      <c r="H286" t="n">
        <v>0</v>
      </c>
      <c r="I286" t="n">
        <v>0</v>
      </c>
      <c r="J286" t="n">
        <v>0</v>
      </c>
      <c r="K286" t="n">
        <v>0</v>
      </c>
      <c r="L286" t="n">
        <v>0</v>
      </c>
      <c r="M286" t="n">
        <v>0</v>
      </c>
      <c r="N286" t="n">
        <v>0</v>
      </c>
      <c r="O286" t="n">
        <v>0</v>
      </c>
      <c r="P286" t="n">
        <v>0</v>
      </c>
      <c r="Q286" t="n">
        <v>0</v>
      </c>
      <c r="R286" s="2" t="inlineStr"/>
    </row>
    <row r="287" ht="15" customHeight="1">
      <c r="A287" t="inlineStr">
        <is>
          <t>A 12205-2022</t>
        </is>
      </c>
      <c r="B287" s="1" t="n">
        <v>44636</v>
      </c>
      <c r="C287" s="1" t="n">
        <v>45670</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12782-2022</t>
        </is>
      </c>
      <c r="B288" s="1" t="n">
        <v>44641</v>
      </c>
      <c r="C288" s="1" t="n">
        <v>45670</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12780-2022</t>
        </is>
      </c>
      <c r="B289" s="1" t="n">
        <v>44641</v>
      </c>
      <c r="C289" s="1" t="n">
        <v>45670</v>
      </c>
      <c r="D289" t="inlineStr">
        <is>
          <t>VÄSTERNORRLANDS LÄN</t>
        </is>
      </c>
      <c r="E289" t="inlineStr">
        <is>
          <t>TIMRÅ</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12779-2022</t>
        </is>
      </c>
      <c r="B290" s="1" t="n">
        <v>44641</v>
      </c>
      <c r="C290" s="1" t="n">
        <v>45670</v>
      </c>
      <c r="D290" t="inlineStr">
        <is>
          <t>VÄSTERNORRLANDS LÄN</t>
        </is>
      </c>
      <c r="E290" t="inlineStr">
        <is>
          <t>TIMRÅ</t>
        </is>
      </c>
      <c r="G290" t="n">
        <v>0.9</v>
      </c>
      <c r="H290" t="n">
        <v>0</v>
      </c>
      <c r="I290" t="n">
        <v>0</v>
      </c>
      <c r="J290" t="n">
        <v>0</v>
      </c>
      <c r="K290" t="n">
        <v>0</v>
      </c>
      <c r="L290" t="n">
        <v>0</v>
      </c>
      <c r="M290" t="n">
        <v>0</v>
      </c>
      <c r="N290" t="n">
        <v>0</v>
      </c>
      <c r="O290" t="n">
        <v>0</v>
      </c>
      <c r="P290" t="n">
        <v>0</v>
      </c>
      <c r="Q290" t="n">
        <v>0</v>
      </c>
      <c r="R290" s="2" t="inlineStr"/>
    </row>
    <row r="291" ht="15" customHeight="1">
      <c r="A291" t="inlineStr">
        <is>
          <t>A 12882-2022</t>
        </is>
      </c>
      <c r="B291" s="1" t="n">
        <v>44642</v>
      </c>
      <c r="C291" s="1" t="n">
        <v>45670</v>
      </c>
      <c r="D291" t="inlineStr">
        <is>
          <t>VÄSTERNORRLANDS LÄN</t>
        </is>
      </c>
      <c r="E291" t="inlineStr">
        <is>
          <t>TIMRÅ</t>
        </is>
      </c>
      <c r="G291" t="n">
        <v>0.4</v>
      </c>
      <c r="H291" t="n">
        <v>0</v>
      </c>
      <c r="I291" t="n">
        <v>0</v>
      </c>
      <c r="J291" t="n">
        <v>0</v>
      </c>
      <c r="K291" t="n">
        <v>0</v>
      </c>
      <c r="L291" t="n">
        <v>0</v>
      </c>
      <c r="M291" t="n">
        <v>0</v>
      </c>
      <c r="N291" t="n">
        <v>0</v>
      </c>
      <c r="O291" t="n">
        <v>0</v>
      </c>
      <c r="P291" t="n">
        <v>0</v>
      </c>
      <c r="Q291" t="n">
        <v>0</v>
      </c>
      <c r="R291" s="2" t="inlineStr"/>
    </row>
    <row r="292" ht="15" customHeight="1">
      <c r="A292" t="inlineStr">
        <is>
          <t>A 12880-2022</t>
        </is>
      </c>
      <c r="B292" s="1" t="n">
        <v>44642</v>
      </c>
      <c r="C292" s="1" t="n">
        <v>45670</v>
      </c>
      <c r="D292" t="inlineStr">
        <is>
          <t>VÄSTERNORRLANDS LÄN</t>
        </is>
      </c>
      <c r="E292" t="inlineStr">
        <is>
          <t>TIMRÅ</t>
        </is>
      </c>
      <c r="G292" t="n">
        <v>1.3</v>
      </c>
      <c r="H292" t="n">
        <v>0</v>
      </c>
      <c r="I292" t="n">
        <v>0</v>
      </c>
      <c r="J292" t="n">
        <v>0</v>
      </c>
      <c r="K292" t="n">
        <v>0</v>
      </c>
      <c r="L292" t="n">
        <v>0</v>
      </c>
      <c r="M292" t="n">
        <v>0</v>
      </c>
      <c r="N292" t="n">
        <v>0</v>
      </c>
      <c r="O292" t="n">
        <v>0</v>
      </c>
      <c r="P292" t="n">
        <v>0</v>
      </c>
      <c r="Q292" t="n">
        <v>0</v>
      </c>
      <c r="R292" s="2" t="inlineStr"/>
    </row>
    <row r="293" ht="15" customHeight="1">
      <c r="A293" t="inlineStr">
        <is>
          <t>A 12885-2022</t>
        </is>
      </c>
      <c r="B293" s="1" t="n">
        <v>44642</v>
      </c>
      <c r="C293" s="1" t="n">
        <v>45670</v>
      </c>
      <c r="D293" t="inlineStr">
        <is>
          <t>VÄSTERNORRLANDS LÄN</t>
        </is>
      </c>
      <c r="E293" t="inlineStr">
        <is>
          <t>TIMRÅ</t>
        </is>
      </c>
      <c r="G293" t="n">
        <v>1.5</v>
      </c>
      <c r="H293" t="n">
        <v>0</v>
      </c>
      <c r="I293" t="n">
        <v>0</v>
      </c>
      <c r="J293" t="n">
        <v>0</v>
      </c>
      <c r="K293" t="n">
        <v>0</v>
      </c>
      <c r="L293" t="n">
        <v>0</v>
      </c>
      <c r="M293" t="n">
        <v>0</v>
      </c>
      <c r="N293" t="n">
        <v>0</v>
      </c>
      <c r="O293" t="n">
        <v>0</v>
      </c>
      <c r="P293" t="n">
        <v>0</v>
      </c>
      <c r="Q293" t="n">
        <v>0</v>
      </c>
      <c r="R293" s="2" t="inlineStr"/>
    </row>
    <row r="294" ht="15" customHeight="1">
      <c r="A294" t="inlineStr">
        <is>
          <t>A 14680-2022</t>
        </is>
      </c>
      <c r="B294" s="1" t="n">
        <v>44655</v>
      </c>
      <c r="C294" s="1" t="n">
        <v>45670</v>
      </c>
      <c r="D294" t="inlineStr">
        <is>
          <t>VÄSTERNORRLANDS LÄN</t>
        </is>
      </c>
      <c r="E294" t="inlineStr">
        <is>
          <t>TIMRÅ</t>
        </is>
      </c>
      <c r="G294" t="n">
        <v>8.9</v>
      </c>
      <c r="H294" t="n">
        <v>0</v>
      </c>
      <c r="I294" t="n">
        <v>0</v>
      </c>
      <c r="J294" t="n">
        <v>0</v>
      </c>
      <c r="K294" t="n">
        <v>0</v>
      </c>
      <c r="L294" t="n">
        <v>0</v>
      </c>
      <c r="M294" t="n">
        <v>0</v>
      </c>
      <c r="N294" t="n">
        <v>0</v>
      </c>
      <c r="O294" t="n">
        <v>0</v>
      </c>
      <c r="P294" t="n">
        <v>0</v>
      </c>
      <c r="Q294" t="n">
        <v>0</v>
      </c>
      <c r="R294" s="2" t="inlineStr"/>
    </row>
    <row r="295" ht="15" customHeight="1">
      <c r="A295" t="inlineStr">
        <is>
          <t>A 16519-2022</t>
        </is>
      </c>
      <c r="B295" s="1" t="n">
        <v>44672</v>
      </c>
      <c r="C295" s="1" t="n">
        <v>45670</v>
      </c>
      <c r="D295" t="inlineStr">
        <is>
          <t>VÄSTERNORRLANDS LÄN</t>
        </is>
      </c>
      <c r="E295" t="inlineStr">
        <is>
          <t>TIMRÅ</t>
        </is>
      </c>
      <c r="G295" t="n">
        <v>3</v>
      </c>
      <c r="H295" t="n">
        <v>0</v>
      </c>
      <c r="I295" t="n">
        <v>0</v>
      </c>
      <c r="J295" t="n">
        <v>0</v>
      </c>
      <c r="K295" t="n">
        <v>0</v>
      </c>
      <c r="L295" t="n">
        <v>0</v>
      </c>
      <c r="M295" t="n">
        <v>0</v>
      </c>
      <c r="N295" t="n">
        <v>0</v>
      </c>
      <c r="O295" t="n">
        <v>0</v>
      </c>
      <c r="P295" t="n">
        <v>0</v>
      </c>
      <c r="Q295" t="n">
        <v>0</v>
      </c>
      <c r="R295" s="2" t="inlineStr"/>
    </row>
    <row r="296" ht="15" customHeight="1">
      <c r="A296" t="inlineStr">
        <is>
          <t>A 17040-2022</t>
        </is>
      </c>
      <c r="B296" s="1" t="n">
        <v>44676</v>
      </c>
      <c r="C296" s="1" t="n">
        <v>45670</v>
      </c>
      <c r="D296" t="inlineStr">
        <is>
          <t>VÄSTERNORRLANDS LÄN</t>
        </is>
      </c>
      <c r="E296" t="inlineStr">
        <is>
          <t>TIMRÅ</t>
        </is>
      </c>
      <c r="G296" t="n">
        <v>3.5</v>
      </c>
      <c r="H296" t="n">
        <v>0</v>
      </c>
      <c r="I296" t="n">
        <v>0</v>
      </c>
      <c r="J296" t="n">
        <v>0</v>
      </c>
      <c r="K296" t="n">
        <v>0</v>
      </c>
      <c r="L296" t="n">
        <v>0</v>
      </c>
      <c r="M296" t="n">
        <v>0</v>
      </c>
      <c r="N296" t="n">
        <v>0</v>
      </c>
      <c r="O296" t="n">
        <v>0</v>
      </c>
      <c r="P296" t="n">
        <v>0</v>
      </c>
      <c r="Q296" t="n">
        <v>0</v>
      </c>
      <c r="R296" s="2" t="inlineStr"/>
    </row>
    <row r="297" ht="15" customHeight="1">
      <c r="A297" t="inlineStr">
        <is>
          <t>A 22194-2022</t>
        </is>
      </c>
      <c r="B297" s="1" t="n">
        <v>44712</v>
      </c>
      <c r="C297" s="1" t="n">
        <v>45670</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23670-2022</t>
        </is>
      </c>
      <c r="B298" s="1" t="n">
        <v>44722</v>
      </c>
      <c r="C298" s="1" t="n">
        <v>45670</v>
      </c>
      <c r="D298" t="inlineStr">
        <is>
          <t>VÄSTERNORRLANDS LÄN</t>
        </is>
      </c>
      <c r="E298" t="inlineStr">
        <is>
          <t>TIMRÅ</t>
        </is>
      </c>
      <c r="G298" t="n">
        <v>4.9</v>
      </c>
      <c r="H298" t="n">
        <v>0</v>
      </c>
      <c r="I298" t="n">
        <v>0</v>
      </c>
      <c r="J298" t="n">
        <v>0</v>
      </c>
      <c r="K298" t="n">
        <v>0</v>
      </c>
      <c r="L298" t="n">
        <v>0</v>
      </c>
      <c r="M298" t="n">
        <v>0</v>
      </c>
      <c r="N298" t="n">
        <v>0</v>
      </c>
      <c r="O298" t="n">
        <v>0</v>
      </c>
      <c r="P298" t="n">
        <v>0</v>
      </c>
      <c r="Q298" t="n">
        <v>0</v>
      </c>
      <c r="R298" s="2" t="inlineStr"/>
    </row>
    <row r="299" ht="15" customHeight="1">
      <c r="A299" t="inlineStr">
        <is>
          <t>A 23693-2022</t>
        </is>
      </c>
      <c r="B299" s="1" t="n">
        <v>44721</v>
      </c>
      <c r="C299" s="1" t="n">
        <v>45670</v>
      </c>
      <c r="D299" t="inlineStr">
        <is>
          <t>VÄSTERNORRLANDS LÄN</t>
        </is>
      </c>
      <c r="E299" t="inlineStr">
        <is>
          <t>TIMRÅ</t>
        </is>
      </c>
      <c r="F299" t="inlineStr">
        <is>
          <t>SCA</t>
        </is>
      </c>
      <c r="G299" t="n">
        <v>5</v>
      </c>
      <c r="H299" t="n">
        <v>0</v>
      </c>
      <c r="I299" t="n">
        <v>0</v>
      </c>
      <c r="J299" t="n">
        <v>0</v>
      </c>
      <c r="K299" t="n">
        <v>0</v>
      </c>
      <c r="L299" t="n">
        <v>0</v>
      </c>
      <c r="M299" t="n">
        <v>0</v>
      </c>
      <c r="N299" t="n">
        <v>0</v>
      </c>
      <c r="O299" t="n">
        <v>0</v>
      </c>
      <c r="P299" t="n">
        <v>0</v>
      </c>
      <c r="Q299" t="n">
        <v>0</v>
      </c>
      <c r="R299" s="2" t="inlineStr"/>
    </row>
    <row r="300" ht="15" customHeight="1">
      <c r="A300" t="inlineStr">
        <is>
          <t>A 23676-2022</t>
        </is>
      </c>
      <c r="B300" s="1" t="n">
        <v>44721</v>
      </c>
      <c r="C300" s="1" t="n">
        <v>45670</v>
      </c>
      <c r="D300" t="inlineStr">
        <is>
          <t>VÄSTERNORRLANDS LÄN</t>
        </is>
      </c>
      <c r="E300" t="inlineStr">
        <is>
          <t>TIMRÅ</t>
        </is>
      </c>
      <c r="F300" t="inlineStr">
        <is>
          <t>SCA</t>
        </is>
      </c>
      <c r="G300" t="n">
        <v>4.1</v>
      </c>
      <c r="H300" t="n">
        <v>0</v>
      </c>
      <c r="I300" t="n">
        <v>0</v>
      </c>
      <c r="J300" t="n">
        <v>0</v>
      </c>
      <c r="K300" t="n">
        <v>0</v>
      </c>
      <c r="L300" t="n">
        <v>0</v>
      </c>
      <c r="M300" t="n">
        <v>0</v>
      </c>
      <c r="N300" t="n">
        <v>0</v>
      </c>
      <c r="O300" t="n">
        <v>0</v>
      </c>
      <c r="P300" t="n">
        <v>0</v>
      </c>
      <c r="Q300" t="n">
        <v>0</v>
      </c>
      <c r="R300" s="2" t="inlineStr"/>
    </row>
    <row r="301" ht="15" customHeight="1">
      <c r="A301" t="inlineStr">
        <is>
          <t>A 24304-2022</t>
        </is>
      </c>
      <c r="B301" s="1" t="n">
        <v>44725</v>
      </c>
      <c r="C301" s="1" t="n">
        <v>45670</v>
      </c>
      <c r="D301" t="inlineStr">
        <is>
          <t>VÄSTERNORRLANDS LÄN</t>
        </is>
      </c>
      <c r="E301" t="inlineStr">
        <is>
          <t>TIMRÅ</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24306-2022</t>
        </is>
      </c>
      <c r="B302" s="1" t="n">
        <v>44726</v>
      </c>
      <c r="C302" s="1" t="n">
        <v>45670</v>
      </c>
      <c r="D302" t="inlineStr">
        <is>
          <t>VÄSTERNORRLANDS LÄN</t>
        </is>
      </c>
      <c r="E302" t="inlineStr">
        <is>
          <t>TIMRÅ</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24305-2022</t>
        </is>
      </c>
      <c r="B303" s="1" t="n">
        <v>44726</v>
      </c>
      <c r="C303" s="1" t="n">
        <v>45670</v>
      </c>
      <c r="D303" t="inlineStr">
        <is>
          <t>VÄSTERNORRLANDS LÄN</t>
        </is>
      </c>
      <c r="E303" t="inlineStr">
        <is>
          <t>TIMRÅ</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24988-2022</t>
        </is>
      </c>
      <c r="B304" s="1" t="n">
        <v>44728</v>
      </c>
      <c r="C304" s="1" t="n">
        <v>45670</v>
      </c>
      <c r="D304" t="inlineStr">
        <is>
          <t>VÄSTERNORRLANDS LÄN</t>
        </is>
      </c>
      <c r="E304" t="inlineStr">
        <is>
          <t>TIMRÅ</t>
        </is>
      </c>
      <c r="G304" t="n">
        <v>1.7</v>
      </c>
      <c r="H304" t="n">
        <v>0</v>
      </c>
      <c r="I304" t="n">
        <v>0</v>
      </c>
      <c r="J304" t="n">
        <v>0</v>
      </c>
      <c r="K304" t="n">
        <v>0</v>
      </c>
      <c r="L304" t="n">
        <v>0</v>
      </c>
      <c r="M304" t="n">
        <v>0</v>
      </c>
      <c r="N304" t="n">
        <v>0</v>
      </c>
      <c r="O304" t="n">
        <v>0</v>
      </c>
      <c r="P304" t="n">
        <v>0</v>
      </c>
      <c r="Q304" t="n">
        <v>0</v>
      </c>
      <c r="R304" s="2" t="inlineStr"/>
    </row>
    <row r="305" ht="15" customHeight="1">
      <c r="A305" t="inlineStr">
        <is>
          <t>A 25414-2022</t>
        </is>
      </c>
      <c r="B305" s="1" t="n">
        <v>44732</v>
      </c>
      <c r="C305" s="1" t="n">
        <v>45670</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25644-2022</t>
        </is>
      </c>
      <c r="B306" s="1" t="n">
        <v>44732</v>
      </c>
      <c r="C306" s="1" t="n">
        <v>45670</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29308-2022</t>
        </is>
      </c>
      <c r="B307" s="1" t="n">
        <v>44750</v>
      </c>
      <c r="C307" s="1" t="n">
        <v>45670</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29306-2022</t>
        </is>
      </c>
      <c r="B308" s="1" t="n">
        <v>44751</v>
      </c>
      <c r="C308" s="1" t="n">
        <v>45670</v>
      </c>
      <c r="D308" t="inlineStr">
        <is>
          <t>VÄSTERNORRLANDS LÄN</t>
        </is>
      </c>
      <c r="E308" t="inlineStr">
        <is>
          <t>TIMRÅ</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31489-2022</t>
        </is>
      </c>
      <c r="B309" s="1" t="n">
        <v>44774</v>
      </c>
      <c r="C309" s="1" t="n">
        <v>45670</v>
      </c>
      <c r="D309" t="inlineStr">
        <is>
          <t>VÄSTERNORRLANDS LÄN</t>
        </is>
      </c>
      <c r="E309" t="inlineStr">
        <is>
          <t>TIMRÅ</t>
        </is>
      </c>
      <c r="F309" t="inlineStr">
        <is>
          <t>SCA</t>
        </is>
      </c>
      <c r="G309" t="n">
        <v>5.6</v>
      </c>
      <c r="H309" t="n">
        <v>0</v>
      </c>
      <c r="I309" t="n">
        <v>0</v>
      </c>
      <c r="J309" t="n">
        <v>0</v>
      </c>
      <c r="K309" t="n">
        <v>0</v>
      </c>
      <c r="L309" t="n">
        <v>0</v>
      </c>
      <c r="M309" t="n">
        <v>0</v>
      </c>
      <c r="N309" t="n">
        <v>0</v>
      </c>
      <c r="O309" t="n">
        <v>0</v>
      </c>
      <c r="P309" t="n">
        <v>0</v>
      </c>
      <c r="Q309" t="n">
        <v>0</v>
      </c>
      <c r="R309" s="2" t="inlineStr"/>
    </row>
    <row r="310" ht="15" customHeight="1">
      <c r="A310" t="inlineStr">
        <is>
          <t>A 31981-2022</t>
        </is>
      </c>
      <c r="B310" s="1" t="n">
        <v>44778</v>
      </c>
      <c r="C310" s="1" t="n">
        <v>45670</v>
      </c>
      <c r="D310" t="inlineStr">
        <is>
          <t>VÄSTERNORRLANDS LÄN</t>
        </is>
      </c>
      <c r="E310" t="inlineStr">
        <is>
          <t>TIMRÅ</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32519-2022</t>
        </is>
      </c>
      <c r="B311" s="1" t="n">
        <v>44782</v>
      </c>
      <c r="C311" s="1" t="n">
        <v>45670</v>
      </c>
      <c r="D311" t="inlineStr">
        <is>
          <t>VÄSTERNORRLANDS LÄN</t>
        </is>
      </c>
      <c r="E311" t="inlineStr">
        <is>
          <t>TIMRÅ</t>
        </is>
      </c>
      <c r="G311" t="n">
        <v>1.5</v>
      </c>
      <c r="H311" t="n">
        <v>0</v>
      </c>
      <c r="I311" t="n">
        <v>0</v>
      </c>
      <c r="J311" t="n">
        <v>0</v>
      </c>
      <c r="K311" t="n">
        <v>0</v>
      </c>
      <c r="L311" t="n">
        <v>0</v>
      </c>
      <c r="M311" t="n">
        <v>0</v>
      </c>
      <c r="N311" t="n">
        <v>0</v>
      </c>
      <c r="O311" t="n">
        <v>0</v>
      </c>
      <c r="P311" t="n">
        <v>0</v>
      </c>
      <c r="Q311" t="n">
        <v>0</v>
      </c>
      <c r="R311" s="2" t="inlineStr"/>
    </row>
    <row r="312" ht="15" customHeight="1">
      <c r="A312" t="inlineStr">
        <is>
          <t>A 33719-2022</t>
        </is>
      </c>
      <c r="B312" s="1" t="n">
        <v>44790</v>
      </c>
      <c r="C312" s="1" t="n">
        <v>45670</v>
      </c>
      <c r="D312" t="inlineStr">
        <is>
          <t>VÄSTERNORRLANDS LÄN</t>
        </is>
      </c>
      <c r="E312" t="inlineStr">
        <is>
          <t>TIMRÅ</t>
        </is>
      </c>
      <c r="G312" t="n">
        <v>2.3</v>
      </c>
      <c r="H312" t="n">
        <v>0</v>
      </c>
      <c r="I312" t="n">
        <v>0</v>
      </c>
      <c r="J312" t="n">
        <v>0</v>
      </c>
      <c r="K312" t="n">
        <v>0</v>
      </c>
      <c r="L312" t="n">
        <v>0</v>
      </c>
      <c r="M312" t="n">
        <v>0</v>
      </c>
      <c r="N312" t="n">
        <v>0</v>
      </c>
      <c r="O312" t="n">
        <v>0</v>
      </c>
      <c r="P312" t="n">
        <v>0</v>
      </c>
      <c r="Q312" t="n">
        <v>0</v>
      </c>
      <c r="R312" s="2" t="inlineStr"/>
    </row>
    <row r="313" ht="15" customHeight="1">
      <c r="A313" t="inlineStr">
        <is>
          <t>A 34041-2022</t>
        </is>
      </c>
      <c r="B313" s="1" t="n">
        <v>44790</v>
      </c>
      <c r="C313" s="1" t="n">
        <v>45670</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34053-2022</t>
        </is>
      </c>
      <c r="B314" s="1" t="n">
        <v>44790</v>
      </c>
      <c r="C314" s="1" t="n">
        <v>45670</v>
      </c>
      <c r="D314" t="inlineStr">
        <is>
          <t>VÄSTERNORRLANDS LÄN</t>
        </is>
      </c>
      <c r="E314" t="inlineStr">
        <is>
          <t>TIMRÅ</t>
        </is>
      </c>
      <c r="G314" t="n">
        <v>1</v>
      </c>
      <c r="H314" t="n">
        <v>0</v>
      </c>
      <c r="I314" t="n">
        <v>0</v>
      </c>
      <c r="J314" t="n">
        <v>0</v>
      </c>
      <c r="K314" t="n">
        <v>0</v>
      </c>
      <c r="L314" t="n">
        <v>0</v>
      </c>
      <c r="M314" t="n">
        <v>0</v>
      </c>
      <c r="N314" t="n">
        <v>0</v>
      </c>
      <c r="O314" t="n">
        <v>0</v>
      </c>
      <c r="P314" t="n">
        <v>0</v>
      </c>
      <c r="Q314" t="n">
        <v>0</v>
      </c>
      <c r="R314" s="2" t="inlineStr"/>
    </row>
    <row r="315" ht="15" customHeight="1">
      <c r="A315" t="inlineStr">
        <is>
          <t>A 34038-2022</t>
        </is>
      </c>
      <c r="B315" s="1" t="n">
        <v>44791</v>
      </c>
      <c r="C315" s="1" t="n">
        <v>45670</v>
      </c>
      <c r="D315" t="inlineStr">
        <is>
          <t>VÄSTERNORRLANDS LÄN</t>
        </is>
      </c>
      <c r="E315" t="inlineStr">
        <is>
          <t>TIMRÅ</t>
        </is>
      </c>
      <c r="G315" t="n">
        <v>2.5</v>
      </c>
      <c r="H315" t="n">
        <v>0</v>
      </c>
      <c r="I315" t="n">
        <v>0</v>
      </c>
      <c r="J315" t="n">
        <v>0</v>
      </c>
      <c r="K315" t="n">
        <v>0</v>
      </c>
      <c r="L315" t="n">
        <v>0</v>
      </c>
      <c r="M315" t="n">
        <v>0</v>
      </c>
      <c r="N315" t="n">
        <v>0</v>
      </c>
      <c r="O315" t="n">
        <v>0</v>
      </c>
      <c r="P315" t="n">
        <v>0</v>
      </c>
      <c r="Q315" t="n">
        <v>0</v>
      </c>
      <c r="R315" s="2" t="inlineStr"/>
    </row>
    <row r="316" ht="15" customHeight="1">
      <c r="A316" t="inlineStr">
        <is>
          <t>A 34099-2022</t>
        </is>
      </c>
      <c r="B316" s="1" t="n">
        <v>44791</v>
      </c>
      <c r="C316" s="1" t="n">
        <v>45670</v>
      </c>
      <c r="D316" t="inlineStr">
        <is>
          <t>VÄSTERNORRLANDS LÄN</t>
        </is>
      </c>
      <c r="E316" t="inlineStr">
        <is>
          <t>TIMRÅ</t>
        </is>
      </c>
      <c r="G316" t="n">
        <v>2.7</v>
      </c>
      <c r="H316" t="n">
        <v>0</v>
      </c>
      <c r="I316" t="n">
        <v>0</v>
      </c>
      <c r="J316" t="n">
        <v>0</v>
      </c>
      <c r="K316" t="n">
        <v>0</v>
      </c>
      <c r="L316" t="n">
        <v>0</v>
      </c>
      <c r="M316" t="n">
        <v>0</v>
      </c>
      <c r="N316" t="n">
        <v>0</v>
      </c>
      <c r="O316" t="n">
        <v>0</v>
      </c>
      <c r="P316" t="n">
        <v>0</v>
      </c>
      <c r="Q316" t="n">
        <v>0</v>
      </c>
      <c r="R316" s="2" t="inlineStr"/>
    </row>
    <row r="317" ht="15" customHeight="1">
      <c r="A317" t="inlineStr">
        <is>
          <t>A 34246-2022</t>
        </is>
      </c>
      <c r="B317" s="1" t="n">
        <v>44791</v>
      </c>
      <c r="C317" s="1" t="n">
        <v>45670</v>
      </c>
      <c r="D317" t="inlineStr">
        <is>
          <t>VÄSTERNORRLANDS LÄN</t>
        </is>
      </c>
      <c r="E317" t="inlineStr">
        <is>
          <t>TIMRÅ</t>
        </is>
      </c>
      <c r="G317" t="n">
        <v>7.7</v>
      </c>
      <c r="H317" t="n">
        <v>0</v>
      </c>
      <c r="I317" t="n">
        <v>0</v>
      </c>
      <c r="J317" t="n">
        <v>0</v>
      </c>
      <c r="K317" t="n">
        <v>0</v>
      </c>
      <c r="L317" t="n">
        <v>0</v>
      </c>
      <c r="M317" t="n">
        <v>0</v>
      </c>
      <c r="N317" t="n">
        <v>0</v>
      </c>
      <c r="O317" t="n">
        <v>0</v>
      </c>
      <c r="P317" t="n">
        <v>0</v>
      </c>
      <c r="Q317" t="n">
        <v>0</v>
      </c>
      <c r="R317" s="2" t="inlineStr"/>
    </row>
    <row r="318" ht="15" customHeight="1">
      <c r="A318" t="inlineStr">
        <is>
          <t>A 35477-2022</t>
        </is>
      </c>
      <c r="B318" s="1" t="n">
        <v>44799</v>
      </c>
      <c r="C318" s="1" t="n">
        <v>45670</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35448-2022</t>
        </is>
      </c>
      <c r="B319" s="1" t="n">
        <v>44798</v>
      </c>
      <c r="C319" s="1" t="n">
        <v>45670</v>
      </c>
      <c r="D319" t="inlineStr">
        <is>
          <t>VÄSTERNORRLANDS LÄN</t>
        </is>
      </c>
      <c r="E319" t="inlineStr">
        <is>
          <t>TIMRÅ</t>
        </is>
      </c>
      <c r="G319" t="n">
        <v>2.8</v>
      </c>
      <c r="H319" t="n">
        <v>0</v>
      </c>
      <c r="I319" t="n">
        <v>0</v>
      </c>
      <c r="J319" t="n">
        <v>0</v>
      </c>
      <c r="K319" t="n">
        <v>0</v>
      </c>
      <c r="L319" t="n">
        <v>0</v>
      </c>
      <c r="M319" t="n">
        <v>0</v>
      </c>
      <c r="N319" t="n">
        <v>0</v>
      </c>
      <c r="O319" t="n">
        <v>0</v>
      </c>
      <c r="P319" t="n">
        <v>0</v>
      </c>
      <c r="Q319" t="n">
        <v>0</v>
      </c>
      <c r="R319" s="2" t="inlineStr"/>
    </row>
    <row r="320" ht="15" customHeight="1">
      <c r="A320" t="inlineStr">
        <is>
          <t>A 35758-2022</t>
        </is>
      </c>
      <c r="B320" s="1" t="n">
        <v>44799</v>
      </c>
      <c r="C320" s="1" t="n">
        <v>45670</v>
      </c>
      <c r="D320" t="inlineStr">
        <is>
          <t>VÄSTERNORRLANDS LÄN</t>
        </is>
      </c>
      <c r="E320" t="inlineStr">
        <is>
          <t>TIMRÅ</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36564-2022</t>
        </is>
      </c>
      <c r="B321" s="1" t="n">
        <v>44804</v>
      </c>
      <c r="C321" s="1" t="n">
        <v>45670</v>
      </c>
      <c r="D321" t="inlineStr">
        <is>
          <t>VÄSTERNORRLANDS LÄN</t>
        </is>
      </c>
      <c r="E321" t="inlineStr">
        <is>
          <t>TIMRÅ</t>
        </is>
      </c>
      <c r="G321" t="n">
        <v>16.6</v>
      </c>
      <c r="H321" t="n">
        <v>0</v>
      </c>
      <c r="I321" t="n">
        <v>0</v>
      </c>
      <c r="J321" t="n">
        <v>0</v>
      </c>
      <c r="K321" t="n">
        <v>0</v>
      </c>
      <c r="L321" t="n">
        <v>0</v>
      </c>
      <c r="M321" t="n">
        <v>0</v>
      </c>
      <c r="N321" t="n">
        <v>0</v>
      </c>
      <c r="O321" t="n">
        <v>0</v>
      </c>
      <c r="P321" t="n">
        <v>0</v>
      </c>
      <c r="Q321" t="n">
        <v>0</v>
      </c>
      <c r="R321" s="2" t="inlineStr"/>
    </row>
    <row r="322" ht="15" customHeight="1">
      <c r="A322" t="inlineStr">
        <is>
          <t>A 38445-2022</t>
        </is>
      </c>
      <c r="B322" s="1" t="n">
        <v>44813</v>
      </c>
      <c r="C322" s="1" t="n">
        <v>45670</v>
      </c>
      <c r="D322" t="inlineStr">
        <is>
          <t>VÄSTERNORRLANDS LÄN</t>
        </is>
      </c>
      <c r="E322" t="inlineStr">
        <is>
          <t>TIMRÅ</t>
        </is>
      </c>
      <c r="G322" t="n">
        <v>0.7</v>
      </c>
      <c r="H322" t="n">
        <v>0</v>
      </c>
      <c r="I322" t="n">
        <v>0</v>
      </c>
      <c r="J322" t="n">
        <v>0</v>
      </c>
      <c r="K322" t="n">
        <v>0</v>
      </c>
      <c r="L322" t="n">
        <v>0</v>
      </c>
      <c r="M322" t="n">
        <v>0</v>
      </c>
      <c r="N322" t="n">
        <v>0</v>
      </c>
      <c r="O322" t="n">
        <v>0</v>
      </c>
      <c r="P322" t="n">
        <v>0</v>
      </c>
      <c r="Q322" t="n">
        <v>0</v>
      </c>
      <c r="R322" s="2" t="inlineStr"/>
    </row>
    <row r="323" ht="15" customHeight="1">
      <c r="A323" t="inlineStr">
        <is>
          <t>A 39108-2022</t>
        </is>
      </c>
      <c r="B323" s="1" t="n">
        <v>44817</v>
      </c>
      <c r="C323" s="1" t="n">
        <v>45670</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39691-2022</t>
        </is>
      </c>
      <c r="B324" s="1" t="n">
        <v>44819</v>
      </c>
      <c r="C324" s="1" t="n">
        <v>45670</v>
      </c>
      <c r="D324" t="inlineStr">
        <is>
          <t>VÄSTERNORRLANDS LÄN</t>
        </is>
      </c>
      <c r="E324" t="inlineStr">
        <is>
          <t>TIMRÅ</t>
        </is>
      </c>
      <c r="G324" t="n">
        <v>1.4</v>
      </c>
      <c r="H324" t="n">
        <v>0</v>
      </c>
      <c r="I324" t="n">
        <v>0</v>
      </c>
      <c r="J324" t="n">
        <v>0</v>
      </c>
      <c r="K324" t="n">
        <v>0</v>
      </c>
      <c r="L324" t="n">
        <v>0</v>
      </c>
      <c r="M324" t="n">
        <v>0</v>
      </c>
      <c r="N324" t="n">
        <v>0</v>
      </c>
      <c r="O324" t="n">
        <v>0</v>
      </c>
      <c r="P324" t="n">
        <v>0</v>
      </c>
      <c r="Q324" t="n">
        <v>0</v>
      </c>
      <c r="R324" s="2" t="inlineStr"/>
    </row>
    <row r="325" ht="15" customHeight="1">
      <c r="A325" t="inlineStr">
        <is>
          <t>A 40270-2022</t>
        </is>
      </c>
      <c r="B325" s="1" t="n">
        <v>44821</v>
      </c>
      <c r="C325" s="1" t="n">
        <v>45670</v>
      </c>
      <c r="D325" t="inlineStr">
        <is>
          <t>VÄSTERNORRLANDS LÄN</t>
        </is>
      </c>
      <c r="E325" t="inlineStr">
        <is>
          <t>TIMRÅ</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41465-2022</t>
        </is>
      </c>
      <c r="B326" s="1" t="n">
        <v>44827</v>
      </c>
      <c r="C326" s="1" t="n">
        <v>45670</v>
      </c>
      <c r="D326" t="inlineStr">
        <is>
          <t>VÄSTERNORRLANDS LÄN</t>
        </is>
      </c>
      <c r="E326" t="inlineStr">
        <is>
          <t>TIMRÅ</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41457-2022</t>
        </is>
      </c>
      <c r="B327" s="1" t="n">
        <v>44826</v>
      </c>
      <c r="C327" s="1" t="n">
        <v>45670</v>
      </c>
      <c r="D327" t="inlineStr">
        <is>
          <t>VÄSTERNORRLANDS LÄN</t>
        </is>
      </c>
      <c r="E327" t="inlineStr">
        <is>
          <t>TIMRÅ</t>
        </is>
      </c>
      <c r="G327" t="n">
        <v>2.9</v>
      </c>
      <c r="H327" t="n">
        <v>0</v>
      </c>
      <c r="I327" t="n">
        <v>0</v>
      </c>
      <c r="J327" t="n">
        <v>0</v>
      </c>
      <c r="K327" t="n">
        <v>0</v>
      </c>
      <c r="L327" t="n">
        <v>0</v>
      </c>
      <c r="M327" t="n">
        <v>0</v>
      </c>
      <c r="N327" t="n">
        <v>0</v>
      </c>
      <c r="O327" t="n">
        <v>0</v>
      </c>
      <c r="P327" t="n">
        <v>0</v>
      </c>
      <c r="Q327" t="n">
        <v>0</v>
      </c>
      <c r="R327" s="2" t="inlineStr"/>
    </row>
    <row r="328" ht="15" customHeight="1">
      <c r="A328" t="inlineStr">
        <is>
          <t>A 42281-2022</t>
        </is>
      </c>
      <c r="B328" s="1" t="n">
        <v>44830</v>
      </c>
      <c r="C328" s="1" t="n">
        <v>45670</v>
      </c>
      <c r="D328" t="inlineStr">
        <is>
          <t>VÄSTERNORRLANDS LÄN</t>
        </is>
      </c>
      <c r="E328" t="inlineStr">
        <is>
          <t>TIMRÅ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43233-2022</t>
        </is>
      </c>
      <c r="B329" s="1" t="n">
        <v>44833</v>
      </c>
      <c r="C329" s="1" t="n">
        <v>45670</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43135-2022</t>
        </is>
      </c>
      <c r="B330" s="1" t="n">
        <v>44833</v>
      </c>
      <c r="C330" s="1" t="n">
        <v>45670</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43162-2022</t>
        </is>
      </c>
      <c r="B331" s="1" t="n">
        <v>44834</v>
      </c>
      <c r="C331" s="1" t="n">
        <v>45670</v>
      </c>
      <c r="D331" t="inlineStr">
        <is>
          <t>VÄSTERNORRLANDS LÄN</t>
        </is>
      </c>
      <c r="E331" t="inlineStr">
        <is>
          <t>TIMRÅ</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43237-2022</t>
        </is>
      </c>
      <c r="B332" s="1" t="n">
        <v>44833</v>
      </c>
      <c r="C332" s="1" t="n">
        <v>45670</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44432-2022</t>
        </is>
      </c>
      <c r="B333" s="1" t="n">
        <v>44839</v>
      </c>
      <c r="C333" s="1" t="n">
        <v>45670</v>
      </c>
      <c r="D333" t="inlineStr">
        <is>
          <t>VÄSTERNORRLANDS LÄN</t>
        </is>
      </c>
      <c r="E333" t="inlineStr">
        <is>
          <t>TIMRÅ</t>
        </is>
      </c>
      <c r="F333" t="inlineStr">
        <is>
          <t>SCA</t>
        </is>
      </c>
      <c r="G333" t="n">
        <v>3.9</v>
      </c>
      <c r="H333" t="n">
        <v>0</v>
      </c>
      <c r="I333" t="n">
        <v>0</v>
      </c>
      <c r="J333" t="n">
        <v>0</v>
      </c>
      <c r="K333" t="n">
        <v>0</v>
      </c>
      <c r="L333" t="n">
        <v>0</v>
      </c>
      <c r="M333" t="n">
        <v>0</v>
      </c>
      <c r="N333" t="n">
        <v>0</v>
      </c>
      <c r="O333" t="n">
        <v>0</v>
      </c>
      <c r="P333" t="n">
        <v>0</v>
      </c>
      <c r="Q333" t="n">
        <v>0</v>
      </c>
      <c r="R333" s="2" t="inlineStr"/>
    </row>
    <row r="334" ht="15" customHeight="1">
      <c r="A334" t="inlineStr">
        <is>
          <t>A 44759-2022</t>
        </is>
      </c>
      <c r="B334" s="1" t="n">
        <v>44840</v>
      </c>
      <c r="C334" s="1" t="n">
        <v>45670</v>
      </c>
      <c r="D334" t="inlineStr">
        <is>
          <t>VÄSTERNORRLANDS LÄN</t>
        </is>
      </c>
      <c r="E334" t="inlineStr">
        <is>
          <t>TIMRÅ</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45688-2022</t>
        </is>
      </c>
      <c r="B335" s="1" t="n">
        <v>44845</v>
      </c>
      <c r="C335" s="1" t="n">
        <v>45670</v>
      </c>
      <c r="D335" t="inlineStr">
        <is>
          <t>VÄSTERNORRLANDS LÄN</t>
        </is>
      </c>
      <c r="E335" t="inlineStr">
        <is>
          <t>TIMRÅ</t>
        </is>
      </c>
      <c r="G335" t="n">
        <v>1.1</v>
      </c>
      <c r="H335" t="n">
        <v>0</v>
      </c>
      <c r="I335" t="n">
        <v>0</v>
      </c>
      <c r="J335" t="n">
        <v>0</v>
      </c>
      <c r="K335" t="n">
        <v>0</v>
      </c>
      <c r="L335" t="n">
        <v>0</v>
      </c>
      <c r="M335" t="n">
        <v>0</v>
      </c>
      <c r="N335" t="n">
        <v>0</v>
      </c>
      <c r="O335" t="n">
        <v>0</v>
      </c>
      <c r="P335" t="n">
        <v>0</v>
      </c>
      <c r="Q335" t="n">
        <v>0</v>
      </c>
      <c r="R335" s="2" t="inlineStr"/>
    </row>
    <row r="336" ht="15" customHeight="1">
      <c r="A336" t="inlineStr">
        <is>
          <t>A 45695-2022</t>
        </is>
      </c>
      <c r="B336" s="1" t="n">
        <v>44846</v>
      </c>
      <c r="C336" s="1" t="n">
        <v>45670</v>
      </c>
      <c r="D336" t="inlineStr">
        <is>
          <t>VÄSTERNORRLANDS LÄN</t>
        </is>
      </c>
      <c r="E336" t="inlineStr">
        <is>
          <t>TIMRÅ</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46021-2022</t>
        </is>
      </c>
      <c r="B337" s="1" t="n">
        <v>44846</v>
      </c>
      <c r="C337" s="1" t="n">
        <v>45670</v>
      </c>
      <c r="D337" t="inlineStr">
        <is>
          <t>VÄSTERNORRLANDS LÄN</t>
        </is>
      </c>
      <c r="E337" t="inlineStr">
        <is>
          <t>TIMRÅ</t>
        </is>
      </c>
      <c r="F337" t="inlineStr">
        <is>
          <t>Kyrkan</t>
        </is>
      </c>
      <c r="G337" t="n">
        <v>18</v>
      </c>
      <c r="H337" t="n">
        <v>0</v>
      </c>
      <c r="I337" t="n">
        <v>0</v>
      </c>
      <c r="J337" t="n">
        <v>0</v>
      </c>
      <c r="K337" t="n">
        <v>0</v>
      </c>
      <c r="L337" t="n">
        <v>0</v>
      </c>
      <c r="M337" t="n">
        <v>0</v>
      </c>
      <c r="N337" t="n">
        <v>0</v>
      </c>
      <c r="O337" t="n">
        <v>0</v>
      </c>
      <c r="P337" t="n">
        <v>0</v>
      </c>
      <c r="Q337" t="n">
        <v>0</v>
      </c>
      <c r="R337" s="2" t="inlineStr"/>
    </row>
    <row r="338" ht="15" customHeight="1">
      <c r="A338" t="inlineStr">
        <is>
          <t>A 46028-2022</t>
        </is>
      </c>
      <c r="B338" s="1" t="n">
        <v>44846</v>
      </c>
      <c r="C338" s="1" t="n">
        <v>45670</v>
      </c>
      <c r="D338" t="inlineStr">
        <is>
          <t>VÄSTERNORRLANDS LÄN</t>
        </is>
      </c>
      <c r="E338" t="inlineStr">
        <is>
          <t>TIMRÅ</t>
        </is>
      </c>
      <c r="F338" t="inlineStr">
        <is>
          <t>Kyrkan</t>
        </is>
      </c>
      <c r="G338" t="n">
        <v>7.9</v>
      </c>
      <c r="H338" t="n">
        <v>0</v>
      </c>
      <c r="I338" t="n">
        <v>0</v>
      </c>
      <c r="J338" t="n">
        <v>0</v>
      </c>
      <c r="K338" t="n">
        <v>0</v>
      </c>
      <c r="L338" t="n">
        <v>0</v>
      </c>
      <c r="M338" t="n">
        <v>0</v>
      </c>
      <c r="N338" t="n">
        <v>0</v>
      </c>
      <c r="O338" t="n">
        <v>0</v>
      </c>
      <c r="P338" t="n">
        <v>0</v>
      </c>
      <c r="Q338" t="n">
        <v>0</v>
      </c>
      <c r="R338" s="2" t="inlineStr"/>
    </row>
    <row r="339" ht="15" customHeight="1">
      <c r="A339" t="inlineStr">
        <is>
          <t>A 46650-2022</t>
        </is>
      </c>
      <c r="B339" s="1" t="n">
        <v>44849</v>
      </c>
      <c r="C339" s="1" t="n">
        <v>45670</v>
      </c>
      <c r="D339" t="inlineStr">
        <is>
          <t>VÄSTERNORRLANDS LÄN</t>
        </is>
      </c>
      <c r="E339" t="inlineStr">
        <is>
          <t>TIMRÅ</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46971-2022</t>
        </is>
      </c>
      <c r="B340" s="1" t="n">
        <v>44852</v>
      </c>
      <c r="C340" s="1" t="n">
        <v>45670</v>
      </c>
      <c r="D340" t="inlineStr">
        <is>
          <t>VÄSTERNORRLANDS LÄN</t>
        </is>
      </c>
      <c r="E340" t="inlineStr">
        <is>
          <t>TIMRÅ</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47293-2022</t>
        </is>
      </c>
      <c r="B341" s="1" t="n">
        <v>44853</v>
      </c>
      <c r="C341" s="1" t="n">
        <v>45670</v>
      </c>
      <c r="D341" t="inlineStr">
        <is>
          <t>VÄSTERNORRLANDS LÄN</t>
        </is>
      </c>
      <c r="E341" t="inlineStr">
        <is>
          <t>TIMRÅ</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47347-2022</t>
        </is>
      </c>
      <c r="B342" s="1" t="n">
        <v>44852</v>
      </c>
      <c r="C342" s="1" t="n">
        <v>45670</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47562-2022</t>
        </is>
      </c>
      <c r="B343" s="1" t="n">
        <v>44853</v>
      </c>
      <c r="C343" s="1" t="n">
        <v>45670</v>
      </c>
      <c r="D343" t="inlineStr">
        <is>
          <t>VÄSTERNORRLANDS LÄN</t>
        </is>
      </c>
      <c r="E343" t="inlineStr">
        <is>
          <t>TIMRÅ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47588-2022</t>
        </is>
      </c>
      <c r="B344" s="1" t="n">
        <v>44854</v>
      </c>
      <c r="C344" s="1" t="n">
        <v>45670</v>
      </c>
      <c r="D344" t="inlineStr">
        <is>
          <t>VÄSTERNORRLANDS LÄN</t>
        </is>
      </c>
      <c r="E344" t="inlineStr">
        <is>
          <t>TIMRÅ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47697-2022</t>
        </is>
      </c>
      <c r="B345" s="1" t="n">
        <v>44854</v>
      </c>
      <c r="C345" s="1" t="n">
        <v>45670</v>
      </c>
      <c r="D345" t="inlineStr">
        <is>
          <t>VÄSTERNORRLANDS LÄN</t>
        </is>
      </c>
      <c r="E345" t="inlineStr">
        <is>
          <t>TIMRÅ</t>
        </is>
      </c>
      <c r="G345" t="n">
        <v>3.4</v>
      </c>
      <c r="H345" t="n">
        <v>0</v>
      </c>
      <c r="I345" t="n">
        <v>0</v>
      </c>
      <c r="J345" t="n">
        <v>0</v>
      </c>
      <c r="K345" t="n">
        <v>0</v>
      </c>
      <c r="L345" t="n">
        <v>0</v>
      </c>
      <c r="M345" t="n">
        <v>0</v>
      </c>
      <c r="N345" t="n">
        <v>0</v>
      </c>
      <c r="O345" t="n">
        <v>0</v>
      </c>
      <c r="P345" t="n">
        <v>0</v>
      </c>
      <c r="Q345" t="n">
        <v>0</v>
      </c>
      <c r="R345" s="2" t="inlineStr"/>
    </row>
    <row r="346" ht="15" customHeight="1">
      <c r="A346" t="inlineStr">
        <is>
          <t>A 47815-2022</t>
        </is>
      </c>
      <c r="B346" s="1" t="n">
        <v>44854</v>
      </c>
      <c r="C346" s="1" t="n">
        <v>45670</v>
      </c>
      <c r="D346" t="inlineStr">
        <is>
          <t>VÄSTERNORRLANDS LÄN</t>
        </is>
      </c>
      <c r="E346" t="inlineStr">
        <is>
          <t>TIMRÅ</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48083-2022</t>
        </is>
      </c>
      <c r="B347" s="1" t="n">
        <v>44855</v>
      </c>
      <c r="C347" s="1" t="n">
        <v>45670</v>
      </c>
      <c r="D347" t="inlineStr">
        <is>
          <t>VÄSTERNORRLANDS LÄN</t>
        </is>
      </c>
      <c r="E347" t="inlineStr">
        <is>
          <t>TIMRÅ</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48916-2022</t>
        </is>
      </c>
      <c r="B348" s="1" t="n">
        <v>44860</v>
      </c>
      <c r="C348" s="1" t="n">
        <v>45670</v>
      </c>
      <c r="D348" t="inlineStr">
        <is>
          <t>VÄSTERNORRLANDS LÄN</t>
        </is>
      </c>
      <c r="E348" t="inlineStr">
        <is>
          <t>TIMRÅ</t>
        </is>
      </c>
      <c r="F348" t="inlineStr">
        <is>
          <t>SCA</t>
        </is>
      </c>
      <c r="G348" t="n">
        <v>4.9</v>
      </c>
      <c r="H348" t="n">
        <v>0</v>
      </c>
      <c r="I348" t="n">
        <v>0</v>
      </c>
      <c r="J348" t="n">
        <v>0</v>
      </c>
      <c r="K348" t="n">
        <v>0</v>
      </c>
      <c r="L348" t="n">
        <v>0</v>
      </c>
      <c r="M348" t="n">
        <v>0</v>
      </c>
      <c r="N348" t="n">
        <v>0</v>
      </c>
      <c r="O348" t="n">
        <v>0</v>
      </c>
      <c r="P348" t="n">
        <v>0</v>
      </c>
      <c r="Q348" t="n">
        <v>0</v>
      </c>
      <c r="R348" s="2" t="inlineStr"/>
    </row>
    <row r="349" ht="15" customHeight="1">
      <c r="A349" t="inlineStr">
        <is>
          <t>A 48918-2022</t>
        </is>
      </c>
      <c r="B349" s="1" t="n">
        <v>44859</v>
      </c>
      <c r="C349" s="1" t="n">
        <v>45670</v>
      </c>
      <c r="D349" t="inlineStr">
        <is>
          <t>VÄSTERNORRLANDS LÄN</t>
        </is>
      </c>
      <c r="E349" t="inlineStr">
        <is>
          <t>TIMRÅ</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49203-2022</t>
        </is>
      </c>
      <c r="B350" s="1" t="n">
        <v>44860</v>
      </c>
      <c r="C350" s="1" t="n">
        <v>45670</v>
      </c>
      <c r="D350" t="inlineStr">
        <is>
          <t>VÄSTERNORRLANDS LÄN</t>
        </is>
      </c>
      <c r="E350" t="inlineStr">
        <is>
          <t>TIMRÅ</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50660-2022</t>
        </is>
      </c>
      <c r="B351" s="1" t="n">
        <v>44866</v>
      </c>
      <c r="C351" s="1" t="n">
        <v>45670</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52096-2022</t>
        </is>
      </c>
      <c r="B352" s="1" t="n">
        <v>44868</v>
      </c>
      <c r="C352" s="1" t="n">
        <v>45670</v>
      </c>
      <c r="D352" t="inlineStr">
        <is>
          <t>VÄSTERNORRLANDS LÄN</t>
        </is>
      </c>
      <c r="E352" t="inlineStr">
        <is>
          <t>TIMRÅ</t>
        </is>
      </c>
      <c r="G352" t="n">
        <v>1.4</v>
      </c>
      <c r="H352" t="n">
        <v>0</v>
      </c>
      <c r="I352" t="n">
        <v>0</v>
      </c>
      <c r="J352" t="n">
        <v>0</v>
      </c>
      <c r="K352" t="n">
        <v>0</v>
      </c>
      <c r="L352" t="n">
        <v>0</v>
      </c>
      <c r="M352" t="n">
        <v>0</v>
      </c>
      <c r="N352" t="n">
        <v>0</v>
      </c>
      <c r="O352" t="n">
        <v>0</v>
      </c>
      <c r="P352" t="n">
        <v>0</v>
      </c>
      <c r="Q352" t="n">
        <v>0</v>
      </c>
      <c r="R352" s="2" t="inlineStr"/>
    </row>
    <row r="353" ht="15" customHeight="1">
      <c r="A353" t="inlineStr">
        <is>
          <t>A 51564-2022</t>
        </is>
      </c>
      <c r="B353" s="1" t="n">
        <v>44869</v>
      </c>
      <c r="C353" s="1" t="n">
        <v>45670</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51546-2022</t>
        </is>
      </c>
      <c r="B354" s="1" t="n">
        <v>44869</v>
      </c>
      <c r="C354" s="1" t="n">
        <v>45670</v>
      </c>
      <c r="D354" t="inlineStr">
        <is>
          <t>VÄSTERNORRLANDS LÄN</t>
        </is>
      </c>
      <c r="E354" t="inlineStr">
        <is>
          <t>TIMRÅ</t>
        </is>
      </c>
      <c r="F354" t="inlineStr">
        <is>
          <t>SCA</t>
        </is>
      </c>
      <c r="G354" t="n">
        <v>4.8</v>
      </c>
      <c r="H354" t="n">
        <v>0</v>
      </c>
      <c r="I354" t="n">
        <v>0</v>
      </c>
      <c r="J354" t="n">
        <v>0</v>
      </c>
      <c r="K354" t="n">
        <v>0</v>
      </c>
      <c r="L354" t="n">
        <v>0</v>
      </c>
      <c r="M354" t="n">
        <v>0</v>
      </c>
      <c r="N354" t="n">
        <v>0</v>
      </c>
      <c r="O354" t="n">
        <v>0</v>
      </c>
      <c r="P354" t="n">
        <v>0</v>
      </c>
      <c r="Q354" t="n">
        <v>0</v>
      </c>
      <c r="R354" s="2" t="inlineStr"/>
    </row>
    <row r="355" ht="15" customHeight="1">
      <c r="A355" t="inlineStr">
        <is>
          <t>A 52213-2022</t>
        </is>
      </c>
      <c r="B355" s="1" t="n">
        <v>44869</v>
      </c>
      <c r="C355" s="1" t="n">
        <v>45670</v>
      </c>
      <c r="D355" t="inlineStr">
        <is>
          <t>VÄSTERNORRLANDS LÄN</t>
        </is>
      </c>
      <c r="E355" t="inlineStr">
        <is>
          <t>TIMRÅ</t>
        </is>
      </c>
      <c r="G355" t="n">
        <v>11.4</v>
      </c>
      <c r="H355" t="n">
        <v>0</v>
      </c>
      <c r="I355" t="n">
        <v>0</v>
      </c>
      <c r="J355" t="n">
        <v>0</v>
      </c>
      <c r="K355" t="n">
        <v>0</v>
      </c>
      <c r="L355" t="n">
        <v>0</v>
      </c>
      <c r="M355" t="n">
        <v>0</v>
      </c>
      <c r="N355" t="n">
        <v>0</v>
      </c>
      <c r="O355" t="n">
        <v>0</v>
      </c>
      <c r="P355" t="n">
        <v>0</v>
      </c>
      <c r="Q355" t="n">
        <v>0</v>
      </c>
      <c r="R355" s="2" t="inlineStr"/>
    </row>
    <row r="356" ht="15" customHeight="1">
      <c r="A356" t="inlineStr">
        <is>
          <t>A 52232-2022</t>
        </is>
      </c>
      <c r="B356" s="1" t="n">
        <v>44869</v>
      </c>
      <c r="C356" s="1" t="n">
        <v>45670</v>
      </c>
      <c r="D356" t="inlineStr">
        <is>
          <t>VÄSTERNORRLANDS LÄN</t>
        </is>
      </c>
      <c r="E356" t="inlineStr">
        <is>
          <t>TIMRÅ</t>
        </is>
      </c>
      <c r="G356" t="n">
        <v>7.9</v>
      </c>
      <c r="H356" t="n">
        <v>0</v>
      </c>
      <c r="I356" t="n">
        <v>0</v>
      </c>
      <c r="J356" t="n">
        <v>0</v>
      </c>
      <c r="K356" t="n">
        <v>0</v>
      </c>
      <c r="L356" t="n">
        <v>0</v>
      </c>
      <c r="M356" t="n">
        <v>0</v>
      </c>
      <c r="N356" t="n">
        <v>0</v>
      </c>
      <c r="O356" t="n">
        <v>0</v>
      </c>
      <c r="P356" t="n">
        <v>0</v>
      </c>
      <c r="Q356" t="n">
        <v>0</v>
      </c>
      <c r="R356" s="2" t="inlineStr"/>
    </row>
    <row r="357" ht="15" customHeight="1">
      <c r="A357" t="inlineStr">
        <is>
          <t>A 52220-2022</t>
        </is>
      </c>
      <c r="B357" s="1" t="n">
        <v>44869</v>
      </c>
      <c r="C357" s="1" t="n">
        <v>45670</v>
      </c>
      <c r="D357" t="inlineStr">
        <is>
          <t>VÄSTERNORRLANDS LÄN</t>
        </is>
      </c>
      <c r="E357" t="inlineStr">
        <is>
          <t>TIMRÅ</t>
        </is>
      </c>
      <c r="G357" t="n">
        <v>5.5</v>
      </c>
      <c r="H357" t="n">
        <v>0</v>
      </c>
      <c r="I357" t="n">
        <v>0</v>
      </c>
      <c r="J357" t="n">
        <v>0</v>
      </c>
      <c r="K357" t="n">
        <v>0</v>
      </c>
      <c r="L357" t="n">
        <v>0</v>
      </c>
      <c r="M357" t="n">
        <v>0</v>
      </c>
      <c r="N357" t="n">
        <v>0</v>
      </c>
      <c r="O357" t="n">
        <v>0</v>
      </c>
      <c r="P357" t="n">
        <v>0</v>
      </c>
      <c r="Q357" t="n">
        <v>0</v>
      </c>
      <c r="R357" s="2" t="inlineStr"/>
    </row>
    <row r="358" ht="15" customHeight="1">
      <c r="A358" t="inlineStr">
        <is>
          <t>A 51999-2022</t>
        </is>
      </c>
      <c r="B358" s="1" t="n">
        <v>44872</v>
      </c>
      <c r="C358" s="1" t="n">
        <v>45670</v>
      </c>
      <c r="D358" t="inlineStr">
        <is>
          <t>VÄSTERNORRLANDS LÄN</t>
        </is>
      </c>
      <c r="E358" t="inlineStr">
        <is>
          <t>TIMRÅ</t>
        </is>
      </c>
      <c r="G358" t="n">
        <v>4.7</v>
      </c>
      <c r="H358" t="n">
        <v>0</v>
      </c>
      <c r="I358" t="n">
        <v>0</v>
      </c>
      <c r="J358" t="n">
        <v>0</v>
      </c>
      <c r="K358" t="n">
        <v>0</v>
      </c>
      <c r="L358" t="n">
        <v>0</v>
      </c>
      <c r="M358" t="n">
        <v>0</v>
      </c>
      <c r="N358" t="n">
        <v>0</v>
      </c>
      <c r="O358" t="n">
        <v>0</v>
      </c>
      <c r="P358" t="n">
        <v>0</v>
      </c>
      <c r="Q358" t="n">
        <v>0</v>
      </c>
      <c r="R358" s="2" t="inlineStr"/>
    </row>
    <row r="359" ht="15" customHeight="1">
      <c r="A359" t="inlineStr">
        <is>
          <t>A 52010-2022</t>
        </is>
      </c>
      <c r="B359" s="1" t="n">
        <v>44872</v>
      </c>
      <c r="C359" s="1" t="n">
        <v>45670</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52474-2022</t>
        </is>
      </c>
      <c r="B360" s="1" t="n">
        <v>44874</v>
      </c>
      <c r="C360" s="1" t="n">
        <v>45670</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52448-2022</t>
        </is>
      </c>
      <c r="B361" s="1" t="n">
        <v>44874</v>
      </c>
      <c r="C361" s="1" t="n">
        <v>45670</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52705-2022</t>
        </is>
      </c>
      <c r="B362" s="1" t="n">
        <v>44874</v>
      </c>
      <c r="C362" s="1" t="n">
        <v>45670</v>
      </c>
      <c r="D362" t="inlineStr">
        <is>
          <t>VÄSTERNORRLANDS LÄN</t>
        </is>
      </c>
      <c r="E362" t="inlineStr">
        <is>
          <t>TIMRÅ</t>
        </is>
      </c>
      <c r="G362" t="n">
        <v>1.6</v>
      </c>
      <c r="H362" t="n">
        <v>0</v>
      </c>
      <c r="I362" t="n">
        <v>0</v>
      </c>
      <c r="J362" t="n">
        <v>0</v>
      </c>
      <c r="K362" t="n">
        <v>0</v>
      </c>
      <c r="L362" t="n">
        <v>0</v>
      </c>
      <c r="M362" t="n">
        <v>0</v>
      </c>
      <c r="N362" t="n">
        <v>0</v>
      </c>
      <c r="O362" t="n">
        <v>0</v>
      </c>
      <c r="P362" t="n">
        <v>0</v>
      </c>
      <c r="Q362" t="n">
        <v>0</v>
      </c>
      <c r="R362" s="2" t="inlineStr"/>
    </row>
    <row r="363" ht="15" customHeight="1">
      <c r="A363" t="inlineStr">
        <is>
          <t>A 53659-2022</t>
        </is>
      </c>
      <c r="B363" s="1" t="n">
        <v>44879</v>
      </c>
      <c r="C363" s="1" t="n">
        <v>45670</v>
      </c>
      <c r="D363" t="inlineStr">
        <is>
          <t>VÄSTERNORRLANDS LÄN</t>
        </is>
      </c>
      <c r="E363" t="inlineStr">
        <is>
          <t>TIMRÅ</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53957-2022</t>
        </is>
      </c>
      <c r="B364" s="1" t="n">
        <v>44880</v>
      </c>
      <c r="C364" s="1" t="n">
        <v>45670</v>
      </c>
      <c r="D364" t="inlineStr">
        <is>
          <t>VÄSTERNORRLANDS LÄN</t>
        </is>
      </c>
      <c r="E364" t="inlineStr">
        <is>
          <t>TIMRÅ</t>
        </is>
      </c>
      <c r="F364" t="inlineStr">
        <is>
          <t>SCA</t>
        </is>
      </c>
      <c r="G364" t="n">
        <v>6.4</v>
      </c>
      <c r="H364" t="n">
        <v>0</v>
      </c>
      <c r="I364" t="n">
        <v>0</v>
      </c>
      <c r="J364" t="n">
        <v>0</v>
      </c>
      <c r="K364" t="n">
        <v>0</v>
      </c>
      <c r="L364" t="n">
        <v>0</v>
      </c>
      <c r="M364" t="n">
        <v>0</v>
      </c>
      <c r="N364" t="n">
        <v>0</v>
      </c>
      <c r="O364" t="n">
        <v>0</v>
      </c>
      <c r="P364" t="n">
        <v>0</v>
      </c>
      <c r="Q364" t="n">
        <v>0</v>
      </c>
      <c r="R364" s="2" t="inlineStr"/>
    </row>
    <row r="365" ht="15" customHeight="1">
      <c r="A365" t="inlineStr">
        <is>
          <t>A 55357-2022</t>
        </is>
      </c>
      <c r="B365" s="1" t="n">
        <v>44882</v>
      </c>
      <c r="C365" s="1" t="n">
        <v>45670</v>
      </c>
      <c r="D365" t="inlineStr">
        <is>
          <t>VÄSTERNORRLANDS LÄN</t>
        </is>
      </c>
      <c r="E365" t="inlineStr">
        <is>
          <t>TIMRÅ</t>
        </is>
      </c>
      <c r="G365" t="n">
        <v>17.3</v>
      </c>
      <c r="H365" t="n">
        <v>0</v>
      </c>
      <c r="I365" t="n">
        <v>0</v>
      </c>
      <c r="J365" t="n">
        <v>0</v>
      </c>
      <c r="K365" t="n">
        <v>0</v>
      </c>
      <c r="L365" t="n">
        <v>0</v>
      </c>
      <c r="M365" t="n">
        <v>0</v>
      </c>
      <c r="N365" t="n">
        <v>0</v>
      </c>
      <c r="O365" t="n">
        <v>0</v>
      </c>
      <c r="P365" t="n">
        <v>0</v>
      </c>
      <c r="Q365" t="n">
        <v>0</v>
      </c>
      <c r="R365" s="2" t="inlineStr"/>
    </row>
    <row r="366" ht="15" customHeight="1">
      <c r="A366" t="inlineStr">
        <is>
          <t>A 54747-2022</t>
        </is>
      </c>
      <c r="B366" s="1" t="n">
        <v>44883</v>
      </c>
      <c r="C366" s="1" t="n">
        <v>45670</v>
      </c>
      <c r="D366" t="inlineStr">
        <is>
          <t>VÄSTERNORRLANDS LÄN</t>
        </is>
      </c>
      <c r="E366" t="inlineStr">
        <is>
          <t>TIMRÅ</t>
        </is>
      </c>
      <c r="G366" t="n">
        <v>0.9</v>
      </c>
      <c r="H366" t="n">
        <v>0</v>
      </c>
      <c r="I366" t="n">
        <v>0</v>
      </c>
      <c r="J366" t="n">
        <v>0</v>
      </c>
      <c r="K366" t="n">
        <v>0</v>
      </c>
      <c r="L366" t="n">
        <v>0</v>
      </c>
      <c r="M366" t="n">
        <v>0</v>
      </c>
      <c r="N366" t="n">
        <v>0</v>
      </c>
      <c r="O366" t="n">
        <v>0</v>
      </c>
      <c r="P366" t="n">
        <v>0</v>
      </c>
      <c r="Q366" t="n">
        <v>0</v>
      </c>
      <c r="R366" s="2" t="inlineStr"/>
    </row>
    <row r="367" ht="15" customHeight="1">
      <c r="A367" t="inlineStr">
        <is>
          <t>A 55179-2022</t>
        </is>
      </c>
      <c r="B367" s="1" t="n">
        <v>44886</v>
      </c>
      <c r="C367" s="1" t="n">
        <v>45670</v>
      </c>
      <c r="D367" t="inlineStr">
        <is>
          <t>VÄSTERNORRLANDS LÄN</t>
        </is>
      </c>
      <c r="E367" t="inlineStr">
        <is>
          <t>TIMRÅ</t>
        </is>
      </c>
      <c r="G367" t="n">
        <v>0.4</v>
      </c>
      <c r="H367" t="n">
        <v>0</v>
      </c>
      <c r="I367" t="n">
        <v>0</v>
      </c>
      <c r="J367" t="n">
        <v>0</v>
      </c>
      <c r="K367" t="n">
        <v>0</v>
      </c>
      <c r="L367" t="n">
        <v>0</v>
      </c>
      <c r="M367" t="n">
        <v>0</v>
      </c>
      <c r="N367" t="n">
        <v>0</v>
      </c>
      <c r="O367" t="n">
        <v>0</v>
      </c>
      <c r="P367" t="n">
        <v>0</v>
      </c>
      <c r="Q367" t="n">
        <v>0</v>
      </c>
      <c r="R367" s="2" t="inlineStr"/>
    </row>
    <row r="368" ht="15" customHeight="1">
      <c r="A368" t="inlineStr">
        <is>
          <t>A 55240-2022</t>
        </is>
      </c>
      <c r="B368" s="1" t="n">
        <v>44887</v>
      </c>
      <c r="C368" s="1" t="n">
        <v>45670</v>
      </c>
      <c r="D368" t="inlineStr">
        <is>
          <t>VÄSTERNORRLANDS LÄN</t>
        </is>
      </c>
      <c r="E368" t="inlineStr">
        <is>
          <t>TIMRÅ</t>
        </is>
      </c>
      <c r="F368" t="inlineStr">
        <is>
          <t>SCA</t>
        </is>
      </c>
      <c r="G368" t="n">
        <v>3.5</v>
      </c>
      <c r="H368" t="n">
        <v>0</v>
      </c>
      <c r="I368" t="n">
        <v>0</v>
      </c>
      <c r="J368" t="n">
        <v>0</v>
      </c>
      <c r="K368" t="n">
        <v>0</v>
      </c>
      <c r="L368" t="n">
        <v>0</v>
      </c>
      <c r="M368" t="n">
        <v>0</v>
      </c>
      <c r="N368" t="n">
        <v>0</v>
      </c>
      <c r="O368" t="n">
        <v>0</v>
      </c>
      <c r="P368" t="n">
        <v>0</v>
      </c>
      <c r="Q368" t="n">
        <v>0</v>
      </c>
      <c r="R368" s="2" t="inlineStr"/>
    </row>
    <row r="369" ht="15" customHeight="1">
      <c r="A369" t="inlineStr">
        <is>
          <t>A 55521-2022</t>
        </is>
      </c>
      <c r="B369" s="1" t="n">
        <v>44887</v>
      </c>
      <c r="C369" s="1" t="n">
        <v>45670</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55511-2022</t>
        </is>
      </c>
      <c r="B370" s="1" t="n">
        <v>44887</v>
      </c>
      <c r="C370" s="1" t="n">
        <v>45670</v>
      </c>
      <c r="D370" t="inlineStr">
        <is>
          <t>VÄSTERNORRLANDS LÄN</t>
        </is>
      </c>
      <c r="E370" t="inlineStr">
        <is>
          <t>TIMRÅ</t>
        </is>
      </c>
      <c r="G370" t="n">
        <v>0.5</v>
      </c>
      <c r="H370" t="n">
        <v>0</v>
      </c>
      <c r="I370" t="n">
        <v>0</v>
      </c>
      <c r="J370" t="n">
        <v>0</v>
      </c>
      <c r="K370" t="n">
        <v>0</v>
      </c>
      <c r="L370" t="n">
        <v>0</v>
      </c>
      <c r="M370" t="n">
        <v>0</v>
      </c>
      <c r="N370" t="n">
        <v>0</v>
      </c>
      <c r="O370" t="n">
        <v>0</v>
      </c>
      <c r="P370" t="n">
        <v>0</v>
      </c>
      <c r="Q370" t="n">
        <v>0</v>
      </c>
      <c r="R370" s="2" t="inlineStr"/>
    </row>
    <row r="371" ht="15" customHeight="1">
      <c r="A371" t="inlineStr">
        <is>
          <t>A 55510-2022</t>
        </is>
      </c>
      <c r="B371" s="1" t="n">
        <v>44887</v>
      </c>
      <c r="C371" s="1" t="n">
        <v>45670</v>
      </c>
      <c r="D371" t="inlineStr">
        <is>
          <t>VÄSTERNORRLANDS LÄN</t>
        </is>
      </c>
      <c r="E371" t="inlineStr">
        <is>
          <t>TIMRÅ</t>
        </is>
      </c>
      <c r="G371" t="n">
        <v>0.8</v>
      </c>
      <c r="H371" t="n">
        <v>0</v>
      </c>
      <c r="I371" t="n">
        <v>0</v>
      </c>
      <c r="J371" t="n">
        <v>0</v>
      </c>
      <c r="K371" t="n">
        <v>0</v>
      </c>
      <c r="L371" t="n">
        <v>0</v>
      </c>
      <c r="M371" t="n">
        <v>0</v>
      </c>
      <c r="N371" t="n">
        <v>0</v>
      </c>
      <c r="O371" t="n">
        <v>0</v>
      </c>
      <c r="P371" t="n">
        <v>0</v>
      </c>
      <c r="Q371" t="n">
        <v>0</v>
      </c>
      <c r="R371" s="2" t="inlineStr"/>
    </row>
    <row r="372" ht="15" customHeight="1">
      <c r="A372" t="inlineStr">
        <is>
          <t>A 55517-2022</t>
        </is>
      </c>
      <c r="B372" s="1" t="n">
        <v>44887</v>
      </c>
      <c r="C372" s="1" t="n">
        <v>45670</v>
      </c>
      <c r="D372" t="inlineStr">
        <is>
          <t>VÄSTERNORRLANDS LÄN</t>
        </is>
      </c>
      <c r="E372" t="inlineStr">
        <is>
          <t>TIMRÅ</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55872-2022</t>
        </is>
      </c>
      <c r="B373" s="1" t="n">
        <v>44888</v>
      </c>
      <c r="C373" s="1" t="n">
        <v>45670</v>
      </c>
      <c r="D373" t="inlineStr">
        <is>
          <t>VÄSTERNORRLANDS LÄN</t>
        </is>
      </c>
      <c r="E373" t="inlineStr">
        <is>
          <t>TIMRÅ</t>
        </is>
      </c>
      <c r="G373" t="n">
        <v>4.7</v>
      </c>
      <c r="H373" t="n">
        <v>0</v>
      </c>
      <c r="I373" t="n">
        <v>0</v>
      </c>
      <c r="J373" t="n">
        <v>0</v>
      </c>
      <c r="K373" t="n">
        <v>0</v>
      </c>
      <c r="L373" t="n">
        <v>0</v>
      </c>
      <c r="M373" t="n">
        <v>0</v>
      </c>
      <c r="N373" t="n">
        <v>0</v>
      </c>
      <c r="O373" t="n">
        <v>0</v>
      </c>
      <c r="P373" t="n">
        <v>0</v>
      </c>
      <c r="Q373" t="n">
        <v>0</v>
      </c>
      <c r="R373" s="2" t="inlineStr"/>
    </row>
    <row r="374" ht="15" customHeight="1">
      <c r="A374" t="inlineStr">
        <is>
          <t>A 55886-2022</t>
        </is>
      </c>
      <c r="B374" s="1" t="n">
        <v>44888</v>
      </c>
      <c r="C374" s="1" t="n">
        <v>45670</v>
      </c>
      <c r="D374" t="inlineStr">
        <is>
          <t>VÄSTERNORRLANDS LÄN</t>
        </is>
      </c>
      <c r="E374" t="inlineStr">
        <is>
          <t>TIMRÅ</t>
        </is>
      </c>
      <c r="G374" t="n">
        <v>0.6</v>
      </c>
      <c r="H374" t="n">
        <v>0</v>
      </c>
      <c r="I374" t="n">
        <v>0</v>
      </c>
      <c r="J374" t="n">
        <v>0</v>
      </c>
      <c r="K374" t="n">
        <v>0</v>
      </c>
      <c r="L374" t="n">
        <v>0</v>
      </c>
      <c r="M374" t="n">
        <v>0</v>
      </c>
      <c r="N374" t="n">
        <v>0</v>
      </c>
      <c r="O374" t="n">
        <v>0</v>
      </c>
      <c r="P374" t="n">
        <v>0</v>
      </c>
      <c r="Q374" t="n">
        <v>0</v>
      </c>
      <c r="R374" s="2" t="inlineStr"/>
    </row>
    <row r="375" ht="15" customHeight="1">
      <c r="A375" t="inlineStr">
        <is>
          <t>A 56170-2022</t>
        </is>
      </c>
      <c r="B375" s="1" t="n">
        <v>44889</v>
      </c>
      <c r="C375" s="1" t="n">
        <v>45670</v>
      </c>
      <c r="D375" t="inlineStr">
        <is>
          <t>VÄSTERNORRLANDS LÄN</t>
        </is>
      </c>
      <c r="E375" t="inlineStr">
        <is>
          <t>TIMRÅ</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57403-2022</t>
        </is>
      </c>
      <c r="B376" s="1" t="n">
        <v>44889</v>
      </c>
      <c r="C376" s="1" t="n">
        <v>45670</v>
      </c>
      <c r="D376" t="inlineStr">
        <is>
          <t>VÄSTERNORRLANDS LÄN</t>
        </is>
      </c>
      <c r="E376" t="inlineStr">
        <is>
          <t>TIMRÅ</t>
        </is>
      </c>
      <c r="G376" t="n">
        <v>9.6</v>
      </c>
      <c r="H376" t="n">
        <v>0</v>
      </c>
      <c r="I376" t="n">
        <v>0</v>
      </c>
      <c r="J376" t="n">
        <v>0</v>
      </c>
      <c r="K376" t="n">
        <v>0</v>
      </c>
      <c r="L376" t="n">
        <v>0</v>
      </c>
      <c r="M376" t="n">
        <v>0</v>
      </c>
      <c r="N376" t="n">
        <v>0</v>
      </c>
      <c r="O376" t="n">
        <v>0</v>
      </c>
      <c r="P376" t="n">
        <v>0</v>
      </c>
      <c r="Q376" t="n">
        <v>0</v>
      </c>
      <c r="R376" s="2" t="inlineStr"/>
    </row>
    <row r="377" ht="15" customHeight="1">
      <c r="A377" t="inlineStr">
        <is>
          <t>A 57380-2022</t>
        </is>
      </c>
      <c r="B377" s="1" t="n">
        <v>44889</v>
      </c>
      <c r="C377" s="1" t="n">
        <v>45670</v>
      </c>
      <c r="D377" t="inlineStr">
        <is>
          <t>VÄSTERNORRLANDS LÄN</t>
        </is>
      </c>
      <c r="E377" t="inlineStr">
        <is>
          <t>TIMRÅ</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56410-2022</t>
        </is>
      </c>
      <c r="B378" s="1" t="n">
        <v>44890</v>
      </c>
      <c r="C378" s="1" t="n">
        <v>45670</v>
      </c>
      <c r="D378" t="inlineStr">
        <is>
          <t>VÄSTERNORRLANDS LÄN</t>
        </is>
      </c>
      <c r="E378" t="inlineStr">
        <is>
          <t>TIMRÅ</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56723-2022</t>
        </is>
      </c>
      <c r="B379" s="1" t="n">
        <v>44893</v>
      </c>
      <c r="C379" s="1" t="n">
        <v>45670</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57268-2022</t>
        </is>
      </c>
      <c r="B380" s="1" t="n">
        <v>44895</v>
      </c>
      <c r="C380" s="1" t="n">
        <v>45670</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57841-2022</t>
        </is>
      </c>
      <c r="B381" s="1" t="n">
        <v>44897</v>
      </c>
      <c r="C381" s="1" t="n">
        <v>45670</v>
      </c>
      <c r="D381" t="inlineStr">
        <is>
          <t>VÄSTERNORRLANDS LÄN</t>
        </is>
      </c>
      <c r="E381" t="inlineStr">
        <is>
          <t>TIMRÅ</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57840-2022</t>
        </is>
      </c>
      <c r="B382" s="1" t="n">
        <v>44897</v>
      </c>
      <c r="C382" s="1" t="n">
        <v>45670</v>
      </c>
      <c r="D382" t="inlineStr">
        <is>
          <t>VÄSTERNORRLANDS LÄN</t>
        </is>
      </c>
      <c r="E382" t="inlineStr">
        <is>
          <t>TIMRÅ</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58188-2022</t>
        </is>
      </c>
      <c r="B383" s="1" t="n">
        <v>44900</v>
      </c>
      <c r="C383" s="1" t="n">
        <v>45670</v>
      </c>
      <c r="D383" t="inlineStr">
        <is>
          <t>VÄSTERNORRLANDS LÄN</t>
        </is>
      </c>
      <c r="E383" t="inlineStr">
        <is>
          <t>TIMRÅ</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59942-2022</t>
        </is>
      </c>
      <c r="B384" s="1" t="n">
        <v>44901</v>
      </c>
      <c r="C384" s="1" t="n">
        <v>45670</v>
      </c>
      <c r="D384" t="inlineStr">
        <is>
          <t>VÄSTERNORRLANDS LÄN</t>
        </is>
      </c>
      <c r="E384" t="inlineStr">
        <is>
          <t>TIMRÅ</t>
        </is>
      </c>
      <c r="G384" t="n">
        <v>0.9</v>
      </c>
      <c r="H384" t="n">
        <v>0</v>
      </c>
      <c r="I384" t="n">
        <v>0</v>
      </c>
      <c r="J384" t="n">
        <v>0</v>
      </c>
      <c r="K384" t="n">
        <v>0</v>
      </c>
      <c r="L384" t="n">
        <v>0</v>
      </c>
      <c r="M384" t="n">
        <v>0</v>
      </c>
      <c r="N384" t="n">
        <v>0</v>
      </c>
      <c r="O384" t="n">
        <v>0</v>
      </c>
      <c r="P384" t="n">
        <v>0</v>
      </c>
      <c r="Q384" t="n">
        <v>0</v>
      </c>
      <c r="R384" s="2" t="inlineStr"/>
    </row>
    <row r="385" ht="15" customHeight="1">
      <c r="A385" t="inlineStr">
        <is>
          <t>A 59128-2022</t>
        </is>
      </c>
      <c r="B385" s="1" t="n">
        <v>44904</v>
      </c>
      <c r="C385" s="1" t="n">
        <v>45670</v>
      </c>
      <c r="D385" t="inlineStr">
        <is>
          <t>VÄSTERNORRLANDS LÄN</t>
        </is>
      </c>
      <c r="E385" t="inlineStr">
        <is>
          <t>TIMRÅ</t>
        </is>
      </c>
      <c r="G385" t="n">
        <v>9</v>
      </c>
      <c r="H385" t="n">
        <v>0</v>
      </c>
      <c r="I385" t="n">
        <v>0</v>
      </c>
      <c r="J385" t="n">
        <v>0</v>
      </c>
      <c r="K385" t="n">
        <v>0</v>
      </c>
      <c r="L385" t="n">
        <v>0</v>
      </c>
      <c r="M385" t="n">
        <v>0</v>
      </c>
      <c r="N385" t="n">
        <v>0</v>
      </c>
      <c r="O385" t="n">
        <v>0</v>
      </c>
      <c r="P385" t="n">
        <v>0</v>
      </c>
      <c r="Q385" t="n">
        <v>0</v>
      </c>
      <c r="R385" s="2" t="inlineStr"/>
    </row>
    <row r="386" ht="15" customHeight="1">
      <c r="A386" t="inlineStr">
        <is>
          <t>A 60166-2022</t>
        </is>
      </c>
      <c r="B386" s="1" t="n">
        <v>44909</v>
      </c>
      <c r="C386" s="1" t="n">
        <v>45670</v>
      </c>
      <c r="D386" t="inlineStr">
        <is>
          <t>VÄSTERNORRLANDS LÄN</t>
        </is>
      </c>
      <c r="E386" t="inlineStr">
        <is>
          <t>TIMRÅ</t>
        </is>
      </c>
      <c r="G386" t="n">
        <v>1.8</v>
      </c>
      <c r="H386" t="n">
        <v>0</v>
      </c>
      <c r="I386" t="n">
        <v>0</v>
      </c>
      <c r="J386" t="n">
        <v>0</v>
      </c>
      <c r="K386" t="n">
        <v>0</v>
      </c>
      <c r="L386" t="n">
        <v>0</v>
      </c>
      <c r="M386" t="n">
        <v>0</v>
      </c>
      <c r="N386" t="n">
        <v>0</v>
      </c>
      <c r="O386" t="n">
        <v>0</v>
      </c>
      <c r="P386" t="n">
        <v>0</v>
      </c>
      <c r="Q386" t="n">
        <v>0</v>
      </c>
      <c r="R386" s="2" t="inlineStr"/>
    </row>
    <row r="387" ht="15" customHeight="1">
      <c r="A387" t="inlineStr">
        <is>
          <t>A 61576-2022</t>
        </is>
      </c>
      <c r="B387" s="1" t="n">
        <v>44910</v>
      </c>
      <c r="C387" s="1" t="n">
        <v>45670</v>
      </c>
      <c r="D387" t="inlineStr">
        <is>
          <t>VÄSTERNORRLANDS LÄN</t>
        </is>
      </c>
      <c r="E387" t="inlineStr">
        <is>
          <t>TIMRÅ</t>
        </is>
      </c>
      <c r="G387" t="n">
        <v>4</v>
      </c>
      <c r="H387" t="n">
        <v>0</v>
      </c>
      <c r="I387" t="n">
        <v>0</v>
      </c>
      <c r="J387" t="n">
        <v>0</v>
      </c>
      <c r="K387" t="n">
        <v>0</v>
      </c>
      <c r="L387" t="n">
        <v>0</v>
      </c>
      <c r="M387" t="n">
        <v>0</v>
      </c>
      <c r="N387" t="n">
        <v>0</v>
      </c>
      <c r="O387" t="n">
        <v>0</v>
      </c>
      <c r="P387" t="n">
        <v>0</v>
      </c>
      <c r="Q387" t="n">
        <v>0</v>
      </c>
      <c r="R387" s="2" t="inlineStr"/>
    </row>
    <row r="388" ht="15" customHeight="1">
      <c r="A388" t="inlineStr">
        <is>
          <t>A 61373-2022</t>
        </is>
      </c>
      <c r="B388" s="1" t="n">
        <v>44915</v>
      </c>
      <c r="C388" s="1" t="n">
        <v>45670</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62113-2022</t>
        </is>
      </c>
      <c r="B389" s="1" t="n">
        <v>44921</v>
      </c>
      <c r="C389" s="1" t="n">
        <v>45670</v>
      </c>
      <c r="D389" t="inlineStr">
        <is>
          <t>VÄSTERNORRLANDS LÄN</t>
        </is>
      </c>
      <c r="E389" t="inlineStr">
        <is>
          <t>TIMRÅ</t>
        </is>
      </c>
      <c r="G389" t="n">
        <v>1</v>
      </c>
      <c r="H389" t="n">
        <v>0</v>
      </c>
      <c r="I389" t="n">
        <v>0</v>
      </c>
      <c r="J389" t="n">
        <v>0</v>
      </c>
      <c r="K389" t="n">
        <v>0</v>
      </c>
      <c r="L389" t="n">
        <v>0</v>
      </c>
      <c r="M389" t="n">
        <v>0</v>
      </c>
      <c r="N389" t="n">
        <v>0</v>
      </c>
      <c r="O389" t="n">
        <v>0</v>
      </c>
      <c r="P389" t="n">
        <v>0</v>
      </c>
      <c r="Q389" t="n">
        <v>0</v>
      </c>
      <c r="R389" s="2" t="inlineStr"/>
    </row>
    <row r="390" ht="15" customHeight="1">
      <c r="A390" t="inlineStr">
        <is>
          <t>A 528-2023</t>
        </is>
      </c>
      <c r="B390" s="1" t="n">
        <v>44924</v>
      </c>
      <c r="C390" s="1" t="n">
        <v>45670</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524-2023</t>
        </is>
      </c>
      <c r="B391" s="1" t="n">
        <v>44924</v>
      </c>
      <c r="C391" s="1" t="n">
        <v>45670</v>
      </c>
      <c r="D391" t="inlineStr">
        <is>
          <t>VÄSTERNORRLANDS LÄN</t>
        </is>
      </c>
      <c r="E391" t="inlineStr">
        <is>
          <t>TIMRÅ</t>
        </is>
      </c>
      <c r="G391" t="n">
        <v>3</v>
      </c>
      <c r="H391" t="n">
        <v>0</v>
      </c>
      <c r="I391" t="n">
        <v>0</v>
      </c>
      <c r="J391" t="n">
        <v>0</v>
      </c>
      <c r="K391" t="n">
        <v>0</v>
      </c>
      <c r="L391" t="n">
        <v>0</v>
      </c>
      <c r="M391" t="n">
        <v>0</v>
      </c>
      <c r="N391" t="n">
        <v>0</v>
      </c>
      <c r="O391" t="n">
        <v>0</v>
      </c>
      <c r="P391" t="n">
        <v>0</v>
      </c>
      <c r="Q391" t="n">
        <v>0</v>
      </c>
      <c r="R391" s="2" t="inlineStr"/>
    </row>
    <row r="392" ht="15" customHeight="1">
      <c r="A392" t="inlineStr">
        <is>
          <t>A 704-2023</t>
        </is>
      </c>
      <c r="B392" s="1" t="n">
        <v>44930</v>
      </c>
      <c r="C392" s="1" t="n">
        <v>45670</v>
      </c>
      <c r="D392" t="inlineStr">
        <is>
          <t>VÄSTERNORRLANDS LÄN</t>
        </is>
      </c>
      <c r="E392" t="inlineStr">
        <is>
          <t>TIMRÅ</t>
        </is>
      </c>
      <c r="G392" t="n">
        <v>1.6</v>
      </c>
      <c r="H392" t="n">
        <v>0</v>
      </c>
      <c r="I392" t="n">
        <v>0</v>
      </c>
      <c r="J392" t="n">
        <v>0</v>
      </c>
      <c r="K392" t="n">
        <v>0</v>
      </c>
      <c r="L392" t="n">
        <v>0</v>
      </c>
      <c r="M392" t="n">
        <v>0</v>
      </c>
      <c r="N392" t="n">
        <v>0</v>
      </c>
      <c r="O392" t="n">
        <v>0</v>
      </c>
      <c r="P392" t="n">
        <v>0</v>
      </c>
      <c r="Q392" t="n">
        <v>0</v>
      </c>
      <c r="R392" s="2" t="inlineStr"/>
    </row>
    <row r="393" ht="15" customHeight="1">
      <c r="A393" t="inlineStr">
        <is>
          <t>A 1416-2023</t>
        </is>
      </c>
      <c r="B393" s="1" t="n">
        <v>44936</v>
      </c>
      <c r="C393" s="1" t="n">
        <v>45670</v>
      </c>
      <c r="D393" t="inlineStr">
        <is>
          <t>VÄSTERNORRLANDS LÄN</t>
        </is>
      </c>
      <c r="E393" t="inlineStr">
        <is>
          <t>TIMRÅ</t>
        </is>
      </c>
      <c r="G393" t="n">
        <v>0.6</v>
      </c>
      <c r="H393" t="n">
        <v>0</v>
      </c>
      <c r="I393" t="n">
        <v>0</v>
      </c>
      <c r="J393" t="n">
        <v>0</v>
      </c>
      <c r="K393" t="n">
        <v>0</v>
      </c>
      <c r="L393" t="n">
        <v>0</v>
      </c>
      <c r="M393" t="n">
        <v>0</v>
      </c>
      <c r="N393" t="n">
        <v>0</v>
      </c>
      <c r="O393" t="n">
        <v>0</v>
      </c>
      <c r="P393" t="n">
        <v>0</v>
      </c>
      <c r="Q393" t="n">
        <v>0</v>
      </c>
      <c r="R393" s="2" t="inlineStr"/>
    </row>
    <row r="394" ht="15" customHeight="1">
      <c r="A394" t="inlineStr">
        <is>
          <t>A 1415-2023</t>
        </is>
      </c>
      <c r="B394" s="1" t="n">
        <v>44936</v>
      </c>
      <c r="C394" s="1" t="n">
        <v>45670</v>
      </c>
      <c r="D394" t="inlineStr">
        <is>
          <t>VÄSTERNORRLANDS LÄN</t>
        </is>
      </c>
      <c r="E394" t="inlineStr">
        <is>
          <t>TIMRÅ</t>
        </is>
      </c>
      <c r="G394" t="n">
        <v>1.4</v>
      </c>
      <c r="H394" t="n">
        <v>0</v>
      </c>
      <c r="I394" t="n">
        <v>0</v>
      </c>
      <c r="J394" t="n">
        <v>0</v>
      </c>
      <c r="K394" t="n">
        <v>0</v>
      </c>
      <c r="L394" t="n">
        <v>0</v>
      </c>
      <c r="M394" t="n">
        <v>0</v>
      </c>
      <c r="N394" t="n">
        <v>0</v>
      </c>
      <c r="O394" t="n">
        <v>0</v>
      </c>
      <c r="P394" t="n">
        <v>0</v>
      </c>
      <c r="Q394" t="n">
        <v>0</v>
      </c>
      <c r="R394" s="2" t="inlineStr"/>
    </row>
    <row r="395" ht="15" customHeight="1">
      <c r="A395" t="inlineStr">
        <is>
          <t>A 1896-2023</t>
        </is>
      </c>
      <c r="B395" s="1" t="n">
        <v>44939</v>
      </c>
      <c r="C395" s="1" t="n">
        <v>45670</v>
      </c>
      <c r="D395" t="inlineStr">
        <is>
          <t>VÄSTERNORRLANDS LÄN</t>
        </is>
      </c>
      <c r="E395" t="inlineStr">
        <is>
          <t>TIMRÅ</t>
        </is>
      </c>
      <c r="G395" t="n">
        <v>7.6</v>
      </c>
      <c r="H395" t="n">
        <v>0</v>
      </c>
      <c r="I395" t="n">
        <v>0</v>
      </c>
      <c r="J395" t="n">
        <v>0</v>
      </c>
      <c r="K395" t="n">
        <v>0</v>
      </c>
      <c r="L395" t="n">
        <v>0</v>
      </c>
      <c r="M395" t="n">
        <v>0</v>
      </c>
      <c r="N395" t="n">
        <v>0</v>
      </c>
      <c r="O395" t="n">
        <v>0</v>
      </c>
      <c r="P395" t="n">
        <v>0</v>
      </c>
      <c r="Q395" t="n">
        <v>0</v>
      </c>
      <c r="R395" s="2" t="inlineStr"/>
    </row>
    <row r="396" ht="15" customHeight="1">
      <c r="A396" t="inlineStr">
        <is>
          <t>A 1935-2023</t>
        </is>
      </c>
      <c r="B396" s="1" t="n">
        <v>44939</v>
      </c>
      <c r="C396" s="1" t="n">
        <v>45670</v>
      </c>
      <c r="D396" t="inlineStr">
        <is>
          <t>VÄSTERNORRLANDS LÄN</t>
        </is>
      </c>
      <c r="E396" t="inlineStr">
        <is>
          <t>TIMRÅ</t>
        </is>
      </c>
      <c r="G396" t="n">
        <v>5</v>
      </c>
      <c r="H396" t="n">
        <v>0</v>
      </c>
      <c r="I396" t="n">
        <v>0</v>
      </c>
      <c r="J396" t="n">
        <v>0</v>
      </c>
      <c r="K396" t="n">
        <v>0</v>
      </c>
      <c r="L396" t="n">
        <v>0</v>
      </c>
      <c r="M396" t="n">
        <v>0</v>
      </c>
      <c r="N396" t="n">
        <v>0</v>
      </c>
      <c r="O396" t="n">
        <v>0</v>
      </c>
      <c r="P396" t="n">
        <v>0</v>
      </c>
      <c r="Q396" t="n">
        <v>0</v>
      </c>
      <c r="R396" s="2" t="inlineStr"/>
    </row>
    <row r="397" ht="15" customHeight="1">
      <c r="A397" t="inlineStr">
        <is>
          <t>A 2434-2023</t>
        </is>
      </c>
      <c r="B397" s="1" t="n">
        <v>44943</v>
      </c>
      <c r="C397" s="1" t="n">
        <v>45670</v>
      </c>
      <c r="D397" t="inlineStr">
        <is>
          <t>VÄSTERNORRLANDS LÄN</t>
        </is>
      </c>
      <c r="E397" t="inlineStr">
        <is>
          <t>TIMRÅ</t>
        </is>
      </c>
      <c r="G397" t="n">
        <v>6.6</v>
      </c>
      <c r="H397" t="n">
        <v>0</v>
      </c>
      <c r="I397" t="n">
        <v>0</v>
      </c>
      <c r="J397" t="n">
        <v>0</v>
      </c>
      <c r="K397" t="n">
        <v>0</v>
      </c>
      <c r="L397" t="n">
        <v>0</v>
      </c>
      <c r="M397" t="n">
        <v>0</v>
      </c>
      <c r="N397" t="n">
        <v>0</v>
      </c>
      <c r="O397" t="n">
        <v>0</v>
      </c>
      <c r="P397" t="n">
        <v>0</v>
      </c>
      <c r="Q397" t="n">
        <v>0</v>
      </c>
      <c r="R397" s="2" t="inlineStr"/>
    </row>
    <row r="398" ht="15" customHeight="1">
      <c r="A398" t="inlineStr">
        <is>
          <t>A 4124-2023</t>
        </is>
      </c>
      <c r="B398" s="1" t="n">
        <v>44952</v>
      </c>
      <c r="C398" s="1" t="n">
        <v>45670</v>
      </c>
      <c r="D398" t="inlineStr">
        <is>
          <t>VÄSTERNORRLANDS LÄN</t>
        </is>
      </c>
      <c r="E398" t="inlineStr">
        <is>
          <t>TIMRÅ</t>
        </is>
      </c>
      <c r="G398" t="n">
        <v>4.4</v>
      </c>
      <c r="H398" t="n">
        <v>0</v>
      </c>
      <c r="I398" t="n">
        <v>0</v>
      </c>
      <c r="J398" t="n">
        <v>0</v>
      </c>
      <c r="K398" t="n">
        <v>0</v>
      </c>
      <c r="L398" t="n">
        <v>0</v>
      </c>
      <c r="M398" t="n">
        <v>0</v>
      </c>
      <c r="N398" t="n">
        <v>0</v>
      </c>
      <c r="O398" t="n">
        <v>0</v>
      </c>
      <c r="P398" t="n">
        <v>0</v>
      </c>
      <c r="Q398" t="n">
        <v>0</v>
      </c>
      <c r="R398" s="2" t="inlineStr"/>
    </row>
    <row r="399" ht="15" customHeight="1">
      <c r="A399" t="inlineStr">
        <is>
          <t>A 4123-2023</t>
        </is>
      </c>
      <c r="B399" s="1" t="n">
        <v>44952</v>
      </c>
      <c r="C399" s="1" t="n">
        <v>45670</v>
      </c>
      <c r="D399" t="inlineStr">
        <is>
          <t>VÄSTERNORRLANDS LÄN</t>
        </is>
      </c>
      <c r="E399" t="inlineStr">
        <is>
          <t>TIMRÅ</t>
        </is>
      </c>
      <c r="G399" t="n">
        <v>9.5</v>
      </c>
      <c r="H399" t="n">
        <v>0</v>
      </c>
      <c r="I399" t="n">
        <v>0</v>
      </c>
      <c r="J399" t="n">
        <v>0</v>
      </c>
      <c r="K399" t="n">
        <v>0</v>
      </c>
      <c r="L399" t="n">
        <v>0</v>
      </c>
      <c r="M399" t="n">
        <v>0</v>
      </c>
      <c r="N399" t="n">
        <v>0</v>
      </c>
      <c r="O399" t="n">
        <v>0</v>
      </c>
      <c r="P399" t="n">
        <v>0</v>
      </c>
      <c r="Q399" t="n">
        <v>0</v>
      </c>
      <c r="R399" s="2" t="inlineStr"/>
    </row>
    <row r="400" ht="15" customHeight="1">
      <c r="A400" t="inlineStr">
        <is>
          <t>A 4126-2023</t>
        </is>
      </c>
      <c r="B400" s="1" t="n">
        <v>44952</v>
      </c>
      <c r="C400" s="1" t="n">
        <v>45670</v>
      </c>
      <c r="D400" t="inlineStr">
        <is>
          <t>VÄSTERNORRLANDS LÄN</t>
        </is>
      </c>
      <c r="E400" t="inlineStr">
        <is>
          <t>TIMRÅ</t>
        </is>
      </c>
      <c r="G400" t="n">
        <v>1.7</v>
      </c>
      <c r="H400" t="n">
        <v>0</v>
      </c>
      <c r="I400" t="n">
        <v>0</v>
      </c>
      <c r="J400" t="n">
        <v>0</v>
      </c>
      <c r="K400" t="n">
        <v>0</v>
      </c>
      <c r="L400" t="n">
        <v>0</v>
      </c>
      <c r="M400" t="n">
        <v>0</v>
      </c>
      <c r="N400" t="n">
        <v>0</v>
      </c>
      <c r="O400" t="n">
        <v>0</v>
      </c>
      <c r="P400" t="n">
        <v>0</v>
      </c>
      <c r="Q400" t="n">
        <v>0</v>
      </c>
      <c r="R400" s="2" t="inlineStr"/>
    </row>
    <row r="401" ht="15" customHeight="1">
      <c r="A401" t="inlineStr">
        <is>
          <t>A 4125-2023</t>
        </is>
      </c>
      <c r="B401" s="1" t="n">
        <v>44952</v>
      </c>
      <c r="C401" s="1" t="n">
        <v>45670</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4129-2023</t>
        </is>
      </c>
      <c r="B402" s="1" t="n">
        <v>44952</v>
      </c>
      <c r="C402" s="1" t="n">
        <v>45670</v>
      </c>
      <c r="D402" t="inlineStr">
        <is>
          <t>VÄSTERNORRLANDS LÄN</t>
        </is>
      </c>
      <c r="E402" t="inlineStr">
        <is>
          <t>TIMRÅ</t>
        </is>
      </c>
      <c r="G402" t="n">
        <v>13.3</v>
      </c>
      <c r="H402" t="n">
        <v>0</v>
      </c>
      <c r="I402" t="n">
        <v>0</v>
      </c>
      <c r="J402" t="n">
        <v>0</v>
      </c>
      <c r="K402" t="n">
        <v>0</v>
      </c>
      <c r="L402" t="n">
        <v>0</v>
      </c>
      <c r="M402" t="n">
        <v>0</v>
      </c>
      <c r="N402" t="n">
        <v>0</v>
      </c>
      <c r="O402" t="n">
        <v>0</v>
      </c>
      <c r="P402" t="n">
        <v>0</v>
      </c>
      <c r="Q402" t="n">
        <v>0</v>
      </c>
      <c r="R402" s="2" t="inlineStr"/>
    </row>
    <row r="403" ht="15" customHeight="1">
      <c r="A403" t="inlineStr">
        <is>
          <t>A 6772-2023</t>
        </is>
      </c>
      <c r="B403" s="1" t="n">
        <v>44966</v>
      </c>
      <c r="C403" s="1" t="n">
        <v>45670</v>
      </c>
      <c r="D403" t="inlineStr">
        <is>
          <t>VÄSTERNORRLANDS LÄN</t>
        </is>
      </c>
      <c r="E403" t="inlineStr">
        <is>
          <t>TIMRÅ</t>
        </is>
      </c>
      <c r="G403" t="n">
        <v>1.9</v>
      </c>
      <c r="H403" t="n">
        <v>0</v>
      </c>
      <c r="I403" t="n">
        <v>0</v>
      </c>
      <c r="J403" t="n">
        <v>0</v>
      </c>
      <c r="K403" t="n">
        <v>0</v>
      </c>
      <c r="L403" t="n">
        <v>0</v>
      </c>
      <c r="M403" t="n">
        <v>0</v>
      </c>
      <c r="N403" t="n">
        <v>0</v>
      </c>
      <c r="O403" t="n">
        <v>0</v>
      </c>
      <c r="P403" t="n">
        <v>0</v>
      </c>
      <c r="Q403" t="n">
        <v>0</v>
      </c>
      <c r="R403" s="2" t="inlineStr"/>
    </row>
    <row r="404" ht="15" customHeight="1">
      <c r="A404" t="inlineStr">
        <is>
          <t>A 6770-2023</t>
        </is>
      </c>
      <c r="B404" s="1" t="n">
        <v>44966</v>
      </c>
      <c r="C404" s="1" t="n">
        <v>45670</v>
      </c>
      <c r="D404" t="inlineStr">
        <is>
          <t>VÄSTERNORRLANDS LÄN</t>
        </is>
      </c>
      <c r="E404" t="inlineStr">
        <is>
          <t>TIMRÅ</t>
        </is>
      </c>
      <c r="G404" t="n">
        <v>3.3</v>
      </c>
      <c r="H404" t="n">
        <v>0</v>
      </c>
      <c r="I404" t="n">
        <v>0</v>
      </c>
      <c r="J404" t="n">
        <v>0</v>
      </c>
      <c r="K404" t="n">
        <v>0</v>
      </c>
      <c r="L404" t="n">
        <v>0</v>
      </c>
      <c r="M404" t="n">
        <v>0</v>
      </c>
      <c r="N404" t="n">
        <v>0</v>
      </c>
      <c r="O404" t="n">
        <v>0</v>
      </c>
      <c r="P404" t="n">
        <v>0</v>
      </c>
      <c r="Q404" t="n">
        <v>0</v>
      </c>
      <c r="R404" s="2" t="inlineStr"/>
    </row>
    <row r="405" ht="15" customHeight="1">
      <c r="A405" t="inlineStr">
        <is>
          <t>A 6771-2023</t>
        </is>
      </c>
      <c r="B405" s="1" t="n">
        <v>44966</v>
      </c>
      <c r="C405" s="1" t="n">
        <v>45670</v>
      </c>
      <c r="D405" t="inlineStr">
        <is>
          <t>VÄSTERNORRLANDS LÄN</t>
        </is>
      </c>
      <c r="E405" t="inlineStr">
        <is>
          <t>TIMRÅ</t>
        </is>
      </c>
      <c r="G405" t="n">
        <v>3</v>
      </c>
      <c r="H405" t="n">
        <v>0</v>
      </c>
      <c r="I405" t="n">
        <v>0</v>
      </c>
      <c r="J405" t="n">
        <v>0</v>
      </c>
      <c r="K405" t="n">
        <v>0</v>
      </c>
      <c r="L405" t="n">
        <v>0</v>
      </c>
      <c r="M405" t="n">
        <v>0</v>
      </c>
      <c r="N405" t="n">
        <v>0</v>
      </c>
      <c r="O405" t="n">
        <v>0</v>
      </c>
      <c r="P405" t="n">
        <v>0</v>
      </c>
      <c r="Q405" t="n">
        <v>0</v>
      </c>
      <c r="R405" s="2" t="inlineStr"/>
    </row>
    <row r="406" ht="15" customHeight="1">
      <c r="A406" t="inlineStr">
        <is>
          <t>A 8632-2023</t>
        </is>
      </c>
      <c r="B406" s="1" t="n">
        <v>44977</v>
      </c>
      <c r="C406" s="1" t="n">
        <v>45670</v>
      </c>
      <c r="D406" t="inlineStr">
        <is>
          <t>VÄSTERNORRLANDS LÄN</t>
        </is>
      </c>
      <c r="E406" t="inlineStr">
        <is>
          <t>TIMRÅ</t>
        </is>
      </c>
      <c r="G406" t="n">
        <v>0.8</v>
      </c>
      <c r="H406" t="n">
        <v>0</v>
      </c>
      <c r="I406" t="n">
        <v>0</v>
      </c>
      <c r="J406" t="n">
        <v>0</v>
      </c>
      <c r="K406" t="n">
        <v>0</v>
      </c>
      <c r="L406" t="n">
        <v>0</v>
      </c>
      <c r="M406" t="n">
        <v>0</v>
      </c>
      <c r="N406" t="n">
        <v>0</v>
      </c>
      <c r="O406" t="n">
        <v>0</v>
      </c>
      <c r="P406" t="n">
        <v>0</v>
      </c>
      <c r="Q406" t="n">
        <v>0</v>
      </c>
      <c r="R406" s="2" t="inlineStr"/>
    </row>
    <row r="407" ht="15" customHeight="1">
      <c r="A407" t="inlineStr">
        <is>
          <t>A 9612-2023</t>
        </is>
      </c>
      <c r="B407" s="1" t="n">
        <v>44983</v>
      </c>
      <c r="C407" s="1" t="n">
        <v>45670</v>
      </c>
      <c r="D407" t="inlineStr">
        <is>
          <t>VÄSTERNORRLANDS LÄN</t>
        </is>
      </c>
      <c r="E407" t="inlineStr">
        <is>
          <t>TIMRÅ</t>
        </is>
      </c>
      <c r="F407" t="inlineStr">
        <is>
          <t>SCA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9880-2023</t>
        </is>
      </c>
      <c r="B408" s="1" t="n">
        <v>44984</v>
      </c>
      <c r="C408" s="1" t="n">
        <v>45670</v>
      </c>
      <c r="D408" t="inlineStr">
        <is>
          <t>VÄSTERNORRLANDS LÄN</t>
        </is>
      </c>
      <c r="E408" t="inlineStr">
        <is>
          <t>TIMRÅ</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10103-2023</t>
        </is>
      </c>
      <c r="B409" s="1" t="n">
        <v>44985</v>
      </c>
      <c r="C409" s="1" t="n">
        <v>45670</v>
      </c>
      <c r="D409" t="inlineStr">
        <is>
          <t>VÄSTERNORRLANDS LÄN</t>
        </is>
      </c>
      <c r="E409" t="inlineStr">
        <is>
          <t>TIMRÅ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10104-2023</t>
        </is>
      </c>
      <c r="B410" s="1" t="n">
        <v>44985</v>
      </c>
      <c r="C410" s="1" t="n">
        <v>45670</v>
      </c>
      <c r="D410" t="inlineStr">
        <is>
          <t>VÄSTERNORRLANDS LÄN</t>
        </is>
      </c>
      <c r="E410" t="inlineStr">
        <is>
          <t>TIMRÅ</t>
        </is>
      </c>
      <c r="F410" t="inlineStr">
        <is>
          <t>SCA</t>
        </is>
      </c>
      <c r="G410" t="n">
        <v>10.5</v>
      </c>
      <c r="H410" t="n">
        <v>0</v>
      </c>
      <c r="I410" t="n">
        <v>0</v>
      </c>
      <c r="J410" t="n">
        <v>0</v>
      </c>
      <c r="K410" t="n">
        <v>0</v>
      </c>
      <c r="L410" t="n">
        <v>0</v>
      </c>
      <c r="M410" t="n">
        <v>0</v>
      </c>
      <c r="N410" t="n">
        <v>0</v>
      </c>
      <c r="O410" t="n">
        <v>0</v>
      </c>
      <c r="P410" t="n">
        <v>0</v>
      </c>
      <c r="Q410" t="n">
        <v>0</v>
      </c>
      <c r="R410" s="2" t="inlineStr"/>
    </row>
    <row r="411" ht="15" customHeight="1">
      <c r="A411" t="inlineStr">
        <is>
          <t>A 10312-2023</t>
        </is>
      </c>
      <c r="B411" s="1" t="n">
        <v>44986</v>
      </c>
      <c r="C411" s="1" t="n">
        <v>45670</v>
      </c>
      <c r="D411" t="inlineStr">
        <is>
          <t>VÄSTERNORRLANDS LÄN</t>
        </is>
      </c>
      <c r="E411" t="inlineStr">
        <is>
          <t>TIMRÅ</t>
        </is>
      </c>
      <c r="F411" t="inlineStr">
        <is>
          <t>SCA</t>
        </is>
      </c>
      <c r="G411" t="n">
        <v>38.4</v>
      </c>
      <c r="H411" t="n">
        <v>0</v>
      </c>
      <c r="I411" t="n">
        <v>0</v>
      </c>
      <c r="J411" t="n">
        <v>0</v>
      </c>
      <c r="K411" t="n">
        <v>0</v>
      </c>
      <c r="L411" t="n">
        <v>0</v>
      </c>
      <c r="M411" t="n">
        <v>0</v>
      </c>
      <c r="N411" t="n">
        <v>0</v>
      </c>
      <c r="O411" t="n">
        <v>0</v>
      </c>
      <c r="P411" t="n">
        <v>0</v>
      </c>
      <c r="Q411" t="n">
        <v>0</v>
      </c>
      <c r="R411" s="2" t="inlineStr"/>
    </row>
    <row r="412" ht="15" customHeight="1">
      <c r="A412" t="inlineStr">
        <is>
          <t>A 10556-2023</t>
        </is>
      </c>
      <c r="B412" s="1" t="n">
        <v>44987</v>
      </c>
      <c r="C412" s="1" t="n">
        <v>45670</v>
      </c>
      <c r="D412" t="inlineStr">
        <is>
          <t>VÄSTERNORRLANDS LÄN</t>
        </is>
      </c>
      <c r="E412" t="inlineStr">
        <is>
          <t>TIMRÅ</t>
        </is>
      </c>
      <c r="F412" t="inlineStr">
        <is>
          <t>SCA</t>
        </is>
      </c>
      <c r="G412" t="n">
        <v>9.5</v>
      </c>
      <c r="H412" t="n">
        <v>0</v>
      </c>
      <c r="I412" t="n">
        <v>0</v>
      </c>
      <c r="J412" t="n">
        <v>0</v>
      </c>
      <c r="K412" t="n">
        <v>0</v>
      </c>
      <c r="L412" t="n">
        <v>0</v>
      </c>
      <c r="M412" t="n">
        <v>0</v>
      </c>
      <c r="N412" t="n">
        <v>0</v>
      </c>
      <c r="O412" t="n">
        <v>0</v>
      </c>
      <c r="P412" t="n">
        <v>0</v>
      </c>
      <c r="Q412" t="n">
        <v>0</v>
      </c>
      <c r="R412" s="2" t="inlineStr"/>
    </row>
    <row r="413" ht="15" customHeight="1">
      <c r="A413" t="inlineStr">
        <is>
          <t>A 10773-2023</t>
        </is>
      </c>
      <c r="B413" s="1" t="n">
        <v>44988</v>
      </c>
      <c r="C413" s="1" t="n">
        <v>45670</v>
      </c>
      <c r="D413" t="inlineStr">
        <is>
          <t>VÄSTERNORRLANDS LÄN</t>
        </is>
      </c>
      <c r="E413" t="inlineStr">
        <is>
          <t>TIMRÅ</t>
        </is>
      </c>
      <c r="F413" t="inlineStr">
        <is>
          <t>SCA</t>
        </is>
      </c>
      <c r="G413" t="n">
        <v>17.3</v>
      </c>
      <c r="H413" t="n">
        <v>0</v>
      </c>
      <c r="I413" t="n">
        <v>0</v>
      </c>
      <c r="J413" t="n">
        <v>0</v>
      </c>
      <c r="K413" t="n">
        <v>0</v>
      </c>
      <c r="L413" t="n">
        <v>0</v>
      </c>
      <c r="M413" t="n">
        <v>0</v>
      </c>
      <c r="N413" t="n">
        <v>0</v>
      </c>
      <c r="O413" t="n">
        <v>0</v>
      </c>
      <c r="P413" t="n">
        <v>0</v>
      </c>
      <c r="Q413" t="n">
        <v>0</v>
      </c>
      <c r="R413" s="2" t="inlineStr"/>
    </row>
    <row r="414" ht="15" customHeight="1">
      <c r="A414" t="inlineStr">
        <is>
          <t>A 13256-2023</t>
        </is>
      </c>
      <c r="B414" s="1" t="n">
        <v>45002</v>
      </c>
      <c r="C414" s="1" t="n">
        <v>45670</v>
      </c>
      <c r="D414" t="inlineStr">
        <is>
          <t>VÄSTERNORRLANDS LÄN</t>
        </is>
      </c>
      <c r="E414" t="inlineStr">
        <is>
          <t>TIMRÅ</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13254-2023</t>
        </is>
      </c>
      <c r="B415" s="1" t="n">
        <v>45002</v>
      </c>
      <c r="C415" s="1" t="n">
        <v>45670</v>
      </c>
      <c r="D415" t="inlineStr">
        <is>
          <t>VÄSTERNORRLANDS LÄN</t>
        </is>
      </c>
      <c r="E415" t="inlineStr">
        <is>
          <t>TIMRÅ</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13255-2023</t>
        </is>
      </c>
      <c r="B416" s="1" t="n">
        <v>45002</v>
      </c>
      <c r="C416" s="1" t="n">
        <v>45670</v>
      </c>
      <c r="D416" t="inlineStr">
        <is>
          <t>VÄSTERNORRLANDS LÄN</t>
        </is>
      </c>
      <c r="E416" t="inlineStr">
        <is>
          <t>TIMRÅ</t>
        </is>
      </c>
      <c r="F416" t="inlineStr">
        <is>
          <t>SCA</t>
        </is>
      </c>
      <c r="G416" t="n">
        <v>6.7</v>
      </c>
      <c r="H416" t="n">
        <v>0</v>
      </c>
      <c r="I416" t="n">
        <v>0</v>
      </c>
      <c r="J416" t="n">
        <v>0</v>
      </c>
      <c r="K416" t="n">
        <v>0</v>
      </c>
      <c r="L416" t="n">
        <v>0</v>
      </c>
      <c r="M416" t="n">
        <v>0</v>
      </c>
      <c r="N416" t="n">
        <v>0</v>
      </c>
      <c r="O416" t="n">
        <v>0</v>
      </c>
      <c r="P416" t="n">
        <v>0</v>
      </c>
      <c r="Q416" t="n">
        <v>0</v>
      </c>
      <c r="R416" s="2" t="inlineStr"/>
    </row>
    <row r="417" ht="15" customHeight="1">
      <c r="A417" t="inlineStr">
        <is>
          <t>A 13253-2023</t>
        </is>
      </c>
      <c r="B417" s="1" t="n">
        <v>45002</v>
      </c>
      <c r="C417" s="1" t="n">
        <v>45670</v>
      </c>
      <c r="D417" t="inlineStr">
        <is>
          <t>VÄSTERNORRLANDS LÄN</t>
        </is>
      </c>
      <c r="E417" t="inlineStr">
        <is>
          <t>TIMRÅ</t>
        </is>
      </c>
      <c r="F417" t="inlineStr">
        <is>
          <t>SCA</t>
        </is>
      </c>
      <c r="G417" t="n">
        <v>10.1</v>
      </c>
      <c r="H417" t="n">
        <v>0</v>
      </c>
      <c r="I417" t="n">
        <v>0</v>
      </c>
      <c r="J417" t="n">
        <v>0</v>
      </c>
      <c r="K417" t="n">
        <v>0</v>
      </c>
      <c r="L417" t="n">
        <v>0</v>
      </c>
      <c r="M417" t="n">
        <v>0</v>
      </c>
      <c r="N417" t="n">
        <v>0</v>
      </c>
      <c r="O417" t="n">
        <v>0</v>
      </c>
      <c r="P417" t="n">
        <v>0</v>
      </c>
      <c r="Q417" t="n">
        <v>0</v>
      </c>
      <c r="R417" s="2" t="inlineStr"/>
    </row>
    <row r="418" ht="15" customHeight="1">
      <c r="A418" t="inlineStr">
        <is>
          <t>A 13446-2023</t>
        </is>
      </c>
      <c r="B418" s="1" t="n">
        <v>45005</v>
      </c>
      <c r="C418" s="1" t="n">
        <v>45670</v>
      </c>
      <c r="D418" t="inlineStr">
        <is>
          <t>VÄSTERNORRLANDS LÄN</t>
        </is>
      </c>
      <c r="E418" t="inlineStr">
        <is>
          <t>TIMRÅ</t>
        </is>
      </c>
      <c r="G418" t="n">
        <v>1.6</v>
      </c>
      <c r="H418" t="n">
        <v>0</v>
      </c>
      <c r="I418" t="n">
        <v>0</v>
      </c>
      <c r="J418" t="n">
        <v>0</v>
      </c>
      <c r="K418" t="n">
        <v>0</v>
      </c>
      <c r="L418" t="n">
        <v>0</v>
      </c>
      <c r="M418" t="n">
        <v>0</v>
      </c>
      <c r="N418" t="n">
        <v>0</v>
      </c>
      <c r="O418" t="n">
        <v>0</v>
      </c>
      <c r="P418" t="n">
        <v>0</v>
      </c>
      <c r="Q418" t="n">
        <v>0</v>
      </c>
      <c r="R418" s="2" t="inlineStr"/>
    </row>
    <row r="419" ht="15" customHeight="1">
      <c r="A419" t="inlineStr">
        <is>
          <t>A 14865-2023</t>
        </is>
      </c>
      <c r="B419" s="1" t="n">
        <v>45015</v>
      </c>
      <c r="C419" s="1" t="n">
        <v>45670</v>
      </c>
      <c r="D419" t="inlineStr">
        <is>
          <t>VÄSTERNORRLANDS LÄN</t>
        </is>
      </c>
      <c r="E419" t="inlineStr">
        <is>
          <t>TIMRÅ</t>
        </is>
      </c>
      <c r="F419" t="inlineStr">
        <is>
          <t>SCA</t>
        </is>
      </c>
      <c r="G419" t="n">
        <v>20.1</v>
      </c>
      <c r="H419" t="n">
        <v>0</v>
      </c>
      <c r="I419" t="n">
        <v>0</v>
      </c>
      <c r="J419" t="n">
        <v>0</v>
      </c>
      <c r="K419" t="n">
        <v>0</v>
      </c>
      <c r="L419" t="n">
        <v>0</v>
      </c>
      <c r="M419" t="n">
        <v>0</v>
      </c>
      <c r="N419" t="n">
        <v>0</v>
      </c>
      <c r="O419" t="n">
        <v>0</v>
      </c>
      <c r="P419" t="n">
        <v>0</v>
      </c>
      <c r="Q419" t="n">
        <v>0</v>
      </c>
      <c r="R419" s="2" t="inlineStr"/>
    </row>
    <row r="420" ht="15" customHeight="1">
      <c r="A420" t="inlineStr">
        <is>
          <t>A 14863-2023</t>
        </is>
      </c>
      <c r="B420" s="1" t="n">
        <v>45015</v>
      </c>
      <c r="C420" s="1" t="n">
        <v>45670</v>
      </c>
      <c r="D420" t="inlineStr">
        <is>
          <t>VÄSTERNORRLANDS LÄN</t>
        </is>
      </c>
      <c r="E420" t="inlineStr">
        <is>
          <t>TIMRÅ</t>
        </is>
      </c>
      <c r="F420" t="inlineStr">
        <is>
          <t>SCA</t>
        </is>
      </c>
      <c r="G420" t="n">
        <v>19.8</v>
      </c>
      <c r="H420" t="n">
        <v>0</v>
      </c>
      <c r="I420" t="n">
        <v>0</v>
      </c>
      <c r="J420" t="n">
        <v>0</v>
      </c>
      <c r="K420" t="n">
        <v>0</v>
      </c>
      <c r="L420" t="n">
        <v>0</v>
      </c>
      <c r="M420" t="n">
        <v>0</v>
      </c>
      <c r="N420" t="n">
        <v>0</v>
      </c>
      <c r="O420" t="n">
        <v>0</v>
      </c>
      <c r="P420" t="n">
        <v>0</v>
      </c>
      <c r="Q420" t="n">
        <v>0</v>
      </c>
      <c r="R420" s="2" t="inlineStr"/>
    </row>
    <row r="421" ht="15" customHeight="1">
      <c r="A421" t="inlineStr">
        <is>
          <t>A 14864-2023</t>
        </is>
      </c>
      <c r="B421" s="1" t="n">
        <v>45015</v>
      </c>
      <c r="C421" s="1" t="n">
        <v>45670</v>
      </c>
      <c r="D421" t="inlineStr">
        <is>
          <t>VÄSTERNORRLANDS LÄN</t>
        </is>
      </c>
      <c r="E421" t="inlineStr">
        <is>
          <t>TIMRÅ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15815-2023</t>
        </is>
      </c>
      <c r="B422" s="1" t="n">
        <v>45022</v>
      </c>
      <c r="C422" s="1" t="n">
        <v>45670</v>
      </c>
      <c r="D422" t="inlineStr">
        <is>
          <t>VÄSTERNORRLANDS LÄN</t>
        </is>
      </c>
      <c r="E422" t="inlineStr">
        <is>
          <t>TIMRÅ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15820-2023</t>
        </is>
      </c>
      <c r="B423" s="1" t="n">
        <v>45022</v>
      </c>
      <c r="C423" s="1" t="n">
        <v>45670</v>
      </c>
      <c r="D423" t="inlineStr">
        <is>
          <t>VÄSTERNORRLANDS LÄN</t>
        </is>
      </c>
      <c r="E423" t="inlineStr">
        <is>
          <t>TIMRÅ</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15816-2023</t>
        </is>
      </c>
      <c r="B424" s="1" t="n">
        <v>45021</v>
      </c>
      <c r="C424" s="1" t="n">
        <v>45670</v>
      </c>
      <c r="D424" t="inlineStr">
        <is>
          <t>VÄSTERNORRLANDS LÄN</t>
        </is>
      </c>
      <c r="E424" t="inlineStr">
        <is>
          <t>TIMRÅ</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15821-2023</t>
        </is>
      </c>
      <c r="B425" s="1" t="n">
        <v>45022</v>
      </c>
      <c r="C425" s="1" t="n">
        <v>45670</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15823-2023</t>
        </is>
      </c>
      <c r="B426" s="1" t="n">
        <v>45021</v>
      </c>
      <c r="C426" s="1" t="n">
        <v>45670</v>
      </c>
      <c r="D426" t="inlineStr">
        <is>
          <t>VÄSTERNORRLANDS LÄN</t>
        </is>
      </c>
      <c r="E426" t="inlineStr">
        <is>
          <t>TIMRÅ</t>
        </is>
      </c>
      <c r="F426" t="inlineStr">
        <is>
          <t>SCA</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16554-2023</t>
        </is>
      </c>
      <c r="B427" s="1" t="n">
        <v>45029</v>
      </c>
      <c r="C427" s="1" t="n">
        <v>45670</v>
      </c>
      <c r="D427" t="inlineStr">
        <is>
          <t>VÄSTERNORRLANDS LÄN</t>
        </is>
      </c>
      <c r="E427" t="inlineStr">
        <is>
          <t>TIMRÅ</t>
        </is>
      </c>
      <c r="G427" t="n">
        <v>3.8</v>
      </c>
      <c r="H427" t="n">
        <v>0</v>
      </c>
      <c r="I427" t="n">
        <v>0</v>
      </c>
      <c r="J427" t="n">
        <v>0</v>
      </c>
      <c r="K427" t="n">
        <v>0</v>
      </c>
      <c r="L427" t="n">
        <v>0</v>
      </c>
      <c r="M427" t="n">
        <v>0</v>
      </c>
      <c r="N427" t="n">
        <v>0</v>
      </c>
      <c r="O427" t="n">
        <v>0</v>
      </c>
      <c r="P427" t="n">
        <v>0</v>
      </c>
      <c r="Q427" t="n">
        <v>0</v>
      </c>
      <c r="R427" s="2" t="inlineStr"/>
    </row>
    <row r="428" ht="15" customHeight="1">
      <c r="A428" t="inlineStr">
        <is>
          <t>A 16555-2023</t>
        </is>
      </c>
      <c r="B428" s="1" t="n">
        <v>45029</v>
      </c>
      <c r="C428" s="1" t="n">
        <v>45670</v>
      </c>
      <c r="D428" t="inlineStr">
        <is>
          <t>VÄSTERNORRLANDS LÄN</t>
        </is>
      </c>
      <c r="E428" t="inlineStr">
        <is>
          <t>TIMRÅ</t>
        </is>
      </c>
      <c r="G428" t="n">
        <v>0.7</v>
      </c>
      <c r="H428" t="n">
        <v>0</v>
      </c>
      <c r="I428" t="n">
        <v>0</v>
      </c>
      <c r="J428" t="n">
        <v>0</v>
      </c>
      <c r="K428" t="n">
        <v>0</v>
      </c>
      <c r="L428" t="n">
        <v>0</v>
      </c>
      <c r="M428" t="n">
        <v>0</v>
      </c>
      <c r="N428" t="n">
        <v>0</v>
      </c>
      <c r="O428" t="n">
        <v>0</v>
      </c>
      <c r="P428" t="n">
        <v>0</v>
      </c>
      <c r="Q428" t="n">
        <v>0</v>
      </c>
      <c r="R428" s="2" t="inlineStr"/>
    </row>
    <row r="429" ht="15" customHeight="1">
      <c r="A429" t="inlineStr">
        <is>
          <t>A 16786-2023</t>
        </is>
      </c>
      <c r="B429" s="1" t="n">
        <v>45032</v>
      </c>
      <c r="C429" s="1" t="n">
        <v>45670</v>
      </c>
      <c r="D429" t="inlineStr">
        <is>
          <t>VÄSTERNORRLANDS LÄN</t>
        </is>
      </c>
      <c r="E429" t="inlineStr">
        <is>
          <t>TIMRÅ</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17002-2023</t>
        </is>
      </c>
      <c r="B430" s="1" t="n">
        <v>45033</v>
      </c>
      <c r="C430" s="1" t="n">
        <v>45670</v>
      </c>
      <c r="D430" t="inlineStr">
        <is>
          <t>VÄSTERNORRLANDS LÄN</t>
        </is>
      </c>
      <c r="E430" t="inlineStr">
        <is>
          <t>TIMRÅ</t>
        </is>
      </c>
      <c r="F430" t="inlineStr">
        <is>
          <t>SCA</t>
        </is>
      </c>
      <c r="G430" t="n">
        <v>12.7</v>
      </c>
      <c r="H430" t="n">
        <v>0</v>
      </c>
      <c r="I430" t="n">
        <v>0</v>
      </c>
      <c r="J430" t="n">
        <v>0</v>
      </c>
      <c r="K430" t="n">
        <v>0</v>
      </c>
      <c r="L430" t="n">
        <v>0</v>
      </c>
      <c r="M430" t="n">
        <v>0</v>
      </c>
      <c r="N430" t="n">
        <v>0</v>
      </c>
      <c r="O430" t="n">
        <v>0</v>
      </c>
      <c r="P430" t="n">
        <v>0</v>
      </c>
      <c r="Q430" t="n">
        <v>0</v>
      </c>
      <c r="R430" s="2" t="inlineStr"/>
    </row>
    <row r="431" ht="15" customHeight="1">
      <c r="A431" t="inlineStr">
        <is>
          <t>A 17441-2023</t>
        </is>
      </c>
      <c r="B431" s="1" t="n">
        <v>45036</v>
      </c>
      <c r="C431" s="1" t="n">
        <v>45670</v>
      </c>
      <c r="D431" t="inlineStr">
        <is>
          <t>VÄSTERNORRLANDS LÄN</t>
        </is>
      </c>
      <c r="E431" t="inlineStr">
        <is>
          <t>TIMRÅ</t>
        </is>
      </c>
      <c r="F431" t="inlineStr">
        <is>
          <t>SCA</t>
        </is>
      </c>
      <c r="G431" t="n">
        <v>7.4</v>
      </c>
      <c r="H431" t="n">
        <v>0</v>
      </c>
      <c r="I431" t="n">
        <v>0</v>
      </c>
      <c r="J431" t="n">
        <v>0</v>
      </c>
      <c r="K431" t="n">
        <v>0</v>
      </c>
      <c r="L431" t="n">
        <v>0</v>
      </c>
      <c r="M431" t="n">
        <v>0</v>
      </c>
      <c r="N431" t="n">
        <v>0</v>
      </c>
      <c r="O431" t="n">
        <v>0</v>
      </c>
      <c r="P431" t="n">
        <v>0</v>
      </c>
      <c r="Q431" t="n">
        <v>0</v>
      </c>
      <c r="R431" s="2" t="inlineStr"/>
    </row>
    <row r="432" ht="15" customHeight="1">
      <c r="A432" t="inlineStr">
        <is>
          <t>A 17865-2023</t>
        </is>
      </c>
      <c r="B432" s="1" t="n">
        <v>45038</v>
      </c>
      <c r="C432" s="1" t="n">
        <v>45670</v>
      </c>
      <c r="D432" t="inlineStr">
        <is>
          <t>VÄSTERNORRLANDS LÄN</t>
        </is>
      </c>
      <c r="E432" t="inlineStr">
        <is>
          <t>TIMRÅ</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17936-2023</t>
        </is>
      </c>
      <c r="B433" s="1" t="n">
        <v>45040</v>
      </c>
      <c r="C433" s="1" t="n">
        <v>45670</v>
      </c>
      <c r="D433" t="inlineStr">
        <is>
          <t>VÄSTERNORRLANDS LÄN</t>
        </is>
      </c>
      <c r="E433" t="inlineStr">
        <is>
          <t>TIMRÅ</t>
        </is>
      </c>
      <c r="G433" t="n">
        <v>4.8</v>
      </c>
      <c r="H433" t="n">
        <v>0</v>
      </c>
      <c r="I433" t="n">
        <v>0</v>
      </c>
      <c r="J433" t="n">
        <v>0</v>
      </c>
      <c r="K433" t="n">
        <v>0</v>
      </c>
      <c r="L433" t="n">
        <v>0</v>
      </c>
      <c r="M433" t="n">
        <v>0</v>
      </c>
      <c r="N433" t="n">
        <v>0</v>
      </c>
      <c r="O433" t="n">
        <v>0</v>
      </c>
      <c r="P433" t="n">
        <v>0</v>
      </c>
      <c r="Q433" t="n">
        <v>0</v>
      </c>
      <c r="R433" s="2" t="inlineStr"/>
    </row>
    <row r="434" ht="15" customHeight="1">
      <c r="A434" t="inlineStr">
        <is>
          <t>A 18289-2023</t>
        </is>
      </c>
      <c r="B434" s="1" t="n">
        <v>45040</v>
      </c>
      <c r="C434" s="1" t="n">
        <v>45670</v>
      </c>
      <c r="D434" t="inlineStr">
        <is>
          <t>VÄSTERNORRLANDS LÄN</t>
        </is>
      </c>
      <c r="E434" t="inlineStr">
        <is>
          <t>TIMRÅ</t>
        </is>
      </c>
      <c r="G434" t="n">
        <v>4.5</v>
      </c>
      <c r="H434" t="n">
        <v>0</v>
      </c>
      <c r="I434" t="n">
        <v>0</v>
      </c>
      <c r="J434" t="n">
        <v>0</v>
      </c>
      <c r="K434" t="n">
        <v>0</v>
      </c>
      <c r="L434" t="n">
        <v>0</v>
      </c>
      <c r="M434" t="n">
        <v>0</v>
      </c>
      <c r="N434" t="n">
        <v>0</v>
      </c>
      <c r="O434" t="n">
        <v>0</v>
      </c>
      <c r="P434" t="n">
        <v>0</v>
      </c>
      <c r="Q434" t="n">
        <v>0</v>
      </c>
      <c r="R434" s="2" t="inlineStr"/>
    </row>
    <row r="435" ht="15" customHeight="1">
      <c r="A435" t="inlineStr">
        <is>
          <t>A 18684-2023</t>
        </is>
      </c>
      <c r="B435" s="1" t="n">
        <v>45042</v>
      </c>
      <c r="C435" s="1" t="n">
        <v>45670</v>
      </c>
      <c r="D435" t="inlineStr">
        <is>
          <t>VÄSTERNORRLANDS LÄN</t>
        </is>
      </c>
      <c r="E435" t="inlineStr">
        <is>
          <t>TIMRÅ</t>
        </is>
      </c>
      <c r="G435" t="n">
        <v>5.7</v>
      </c>
      <c r="H435" t="n">
        <v>0</v>
      </c>
      <c r="I435" t="n">
        <v>0</v>
      </c>
      <c r="J435" t="n">
        <v>0</v>
      </c>
      <c r="K435" t="n">
        <v>0</v>
      </c>
      <c r="L435" t="n">
        <v>0</v>
      </c>
      <c r="M435" t="n">
        <v>0</v>
      </c>
      <c r="N435" t="n">
        <v>0</v>
      </c>
      <c r="O435" t="n">
        <v>0</v>
      </c>
      <c r="P435" t="n">
        <v>0</v>
      </c>
      <c r="Q435" t="n">
        <v>0</v>
      </c>
      <c r="R435" s="2" t="inlineStr"/>
    </row>
    <row r="436" ht="15" customHeight="1">
      <c r="A436" t="inlineStr">
        <is>
          <t>A 18778-2023</t>
        </is>
      </c>
      <c r="B436" s="1" t="n">
        <v>45043</v>
      </c>
      <c r="C436" s="1" t="n">
        <v>45670</v>
      </c>
      <c r="D436" t="inlineStr">
        <is>
          <t>VÄSTERNORRLANDS LÄN</t>
        </is>
      </c>
      <c r="E436" t="inlineStr">
        <is>
          <t>TIMRÅ</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19244-2023</t>
        </is>
      </c>
      <c r="B437" s="1" t="n">
        <v>45048</v>
      </c>
      <c r="C437" s="1" t="n">
        <v>45670</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19440-2023</t>
        </is>
      </c>
      <c r="B438" s="1" t="n">
        <v>45049</v>
      </c>
      <c r="C438" s="1" t="n">
        <v>45670</v>
      </c>
      <c r="D438" t="inlineStr">
        <is>
          <t>VÄSTERNORRLANDS LÄN</t>
        </is>
      </c>
      <c r="E438" t="inlineStr">
        <is>
          <t>TIMRÅ</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20097-2023</t>
        </is>
      </c>
      <c r="B439" s="1" t="n">
        <v>45055</v>
      </c>
      <c r="C439" s="1" t="n">
        <v>45670</v>
      </c>
      <c r="D439" t="inlineStr">
        <is>
          <t>VÄSTERNORRLANDS LÄN</t>
        </is>
      </c>
      <c r="E439" t="inlineStr">
        <is>
          <t>TIMRÅ</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20835-2023</t>
        </is>
      </c>
      <c r="B440" s="1" t="n">
        <v>45058</v>
      </c>
      <c r="C440" s="1" t="n">
        <v>45670</v>
      </c>
      <c r="D440" t="inlineStr">
        <is>
          <t>VÄSTERNORRLANDS LÄN</t>
        </is>
      </c>
      <c r="E440" t="inlineStr">
        <is>
          <t>TIMRÅ</t>
        </is>
      </c>
      <c r="G440" t="n">
        <v>4.4</v>
      </c>
      <c r="H440" t="n">
        <v>0</v>
      </c>
      <c r="I440" t="n">
        <v>0</v>
      </c>
      <c r="J440" t="n">
        <v>0</v>
      </c>
      <c r="K440" t="n">
        <v>0</v>
      </c>
      <c r="L440" t="n">
        <v>0</v>
      </c>
      <c r="M440" t="n">
        <v>0</v>
      </c>
      <c r="N440" t="n">
        <v>0</v>
      </c>
      <c r="O440" t="n">
        <v>0</v>
      </c>
      <c r="P440" t="n">
        <v>0</v>
      </c>
      <c r="Q440" t="n">
        <v>0</v>
      </c>
      <c r="R440" s="2" t="inlineStr"/>
    </row>
    <row r="441" ht="15" customHeight="1">
      <c r="A441" t="inlineStr">
        <is>
          <t>A 20839-2023</t>
        </is>
      </c>
      <c r="B441" s="1" t="n">
        <v>45058</v>
      </c>
      <c r="C441" s="1" t="n">
        <v>45670</v>
      </c>
      <c r="D441" t="inlineStr">
        <is>
          <t>VÄSTERNORRLANDS LÄN</t>
        </is>
      </c>
      <c r="E441" t="inlineStr">
        <is>
          <t>TIMRÅ</t>
        </is>
      </c>
      <c r="G441" t="n">
        <v>7.2</v>
      </c>
      <c r="H441" t="n">
        <v>0</v>
      </c>
      <c r="I441" t="n">
        <v>0</v>
      </c>
      <c r="J441" t="n">
        <v>0</v>
      </c>
      <c r="K441" t="n">
        <v>0</v>
      </c>
      <c r="L441" t="n">
        <v>0</v>
      </c>
      <c r="M441" t="n">
        <v>0</v>
      </c>
      <c r="N441" t="n">
        <v>0</v>
      </c>
      <c r="O441" t="n">
        <v>0</v>
      </c>
      <c r="P441" t="n">
        <v>0</v>
      </c>
      <c r="Q441" t="n">
        <v>0</v>
      </c>
      <c r="R441" s="2" t="inlineStr"/>
    </row>
    <row r="442" ht="15" customHeight="1">
      <c r="A442" t="inlineStr">
        <is>
          <t>A 20837-2023</t>
        </is>
      </c>
      <c r="B442" s="1" t="n">
        <v>45058</v>
      </c>
      <c r="C442" s="1" t="n">
        <v>45670</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20841-2023</t>
        </is>
      </c>
      <c r="B443" s="1" t="n">
        <v>45058</v>
      </c>
      <c r="C443" s="1" t="n">
        <v>45670</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20834-2023</t>
        </is>
      </c>
      <c r="B444" s="1" t="n">
        <v>45058</v>
      </c>
      <c r="C444" s="1" t="n">
        <v>45670</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20843-2023</t>
        </is>
      </c>
      <c r="B445" s="1" t="n">
        <v>45058</v>
      </c>
      <c r="C445" s="1" t="n">
        <v>45670</v>
      </c>
      <c r="D445" t="inlineStr">
        <is>
          <t>VÄSTERNORRLANDS LÄN</t>
        </is>
      </c>
      <c r="E445" t="inlineStr">
        <is>
          <t>TIMRÅ</t>
        </is>
      </c>
      <c r="G445" t="n">
        <v>1.6</v>
      </c>
      <c r="H445" t="n">
        <v>0</v>
      </c>
      <c r="I445" t="n">
        <v>0</v>
      </c>
      <c r="J445" t="n">
        <v>0</v>
      </c>
      <c r="K445" t="n">
        <v>0</v>
      </c>
      <c r="L445" t="n">
        <v>0</v>
      </c>
      <c r="M445" t="n">
        <v>0</v>
      </c>
      <c r="N445" t="n">
        <v>0</v>
      </c>
      <c r="O445" t="n">
        <v>0</v>
      </c>
      <c r="P445" t="n">
        <v>0</v>
      </c>
      <c r="Q445" t="n">
        <v>0</v>
      </c>
      <c r="R445" s="2" t="inlineStr"/>
    </row>
    <row r="446" ht="15" customHeight="1">
      <c r="A446" t="inlineStr">
        <is>
          <t>A 20840-2023</t>
        </is>
      </c>
      <c r="B446" s="1" t="n">
        <v>45058</v>
      </c>
      <c r="C446" s="1" t="n">
        <v>45670</v>
      </c>
      <c r="D446" t="inlineStr">
        <is>
          <t>VÄSTERNORRLANDS LÄN</t>
        </is>
      </c>
      <c r="E446" t="inlineStr">
        <is>
          <t>TIMRÅ</t>
        </is>
      </c>
      <c r="G446" t="n">
        <v>3.1</v>
      </c>
      <c r="H446" t="n">
        <v>0</v>
      </c>
      <c r="I446" t="n">
        <v>0</v>
      </c>
      <c r="J446" t="n">
        <v>0</v>
      </c>
      <c r="K446" t="n">
        <v>0</v>
      </c>
      <c r="L446" t="n">
        <v>0</v>
      </c>
      <c r="M446" t="n">
        <v>0</v>
      </c>
      <c r="N446" t="n">
        <v>0</v>
      </c>
      <c r="O446" t="n">
        <v>0</v>
      </c>
      <c r="P446" t="n">
        <v>0</v>
      </c>
      <c r="Q446" t="n">
        <v>0</v>
      </c>
      <c r="R446" s="2" t="inlineStr"/>
    </row>
    <row r="447" ht="15" customHeight="1">
      <c r="A447" t="inlineStr">
        <is>
          <t>A 20844-2023</t>
        </is>
      </c>
      <c r="B447" s="1" t="n">
        <v>45058</v>
      </c>
      <c r="C447" s="1" t="n">
        <v>45670</v>
      </c>
      <c r="D447" t="inlineStr">
        <is>
          <t>VÄSTERNORRLANDS LÄN</t>
        </is>
      </c>
      <c r="E447" t="inlineStr">
        <is>
          <t>TIMRÅ</t>
        </is>
      </c>
      <c r="G447" t="n">
        <v>1.8</v>
      </c>
      <c r="H447" t="n">
        <v>0</v>
      </c>
      <c r="I447" t="n">
        <v>0</v>
      </c>
      <c r="J447" t="n">
        <v>0</v>
      </c>
      <c r="K447" t="n">
        <v>0</v>
      </c>
      <c r="L447" t="n">
        <v>0</v>
      </c>
      <c r="M447" t="n">
        <v>0</v>
      </c>
      <c r="N447" t="n">
        <v>0</v>
      </c>
      <c r="O447" t="n">
        <v>0</v>
      </c>
      <c r="P447" t="n">
        <v>0</v>
      </c>
      <c r="Q447" t="n">
        <v>0</v>
      </c>
      <c r="R447" s="2" t="inlineStr"/>
    </row>
    <row r="448" ht="15" customHeight="1">
      <c r="A448" t="inlineStr">
        <is>
          <t>A 21356-2023</t>
        </is>
      </c>
      <c r="B448" s="1" t="n">
        <v>45063</v>
      </c>
      <c r="C448" s="1" t="n">
        <v>45670</v>
      </c>
      <c r="D448" t="inlineStr">
        <is>
          <t>VÄSTERNORRLANDS LÄN</t>
        </is>
      </c>
      <c r="E448" t="inlineStr">
        <is>
          <t>TIMRÅ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24305-2023</t>
        </is>
      </c>
      <c r="B449" s="1" t="n">
        <v>45080</v>
      </c>
      <c r="C449" s="1" t="n">
        <v>45670</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24304-2023</t>
        </is>
      </c>
      <c r="B450" s="1" t="n">
        <v>45079</v>
      </c>
      <c r="C450" s="1" t="n">
        <v>45670</v>
      </c>
      <c r="D450" t="inlineStr">
        <is>
          <t>VÄSTERNORRLANDS LÄN</t>
        </is>
      </c>
      <c r="E450" t="inlineStr">
        <is>
          <t>TIMRÅ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25301-2023</t>
        </is>
      </c>
      <c r="B451" s="1" t="n">
        <v>45086</v>
      </c>
      <c r="C451" s="1" t="n">
        <v>45670</v>
      </c>
      <c r="D451" t="inlineStr">
        <is>
          <t>VÄSTERNORRLANDS LÄN</t>
        </is>
      </c>
      <c r="E451" t="inlineStr">
        <is>
          <t>TIMRÅ</t>
        </is>
      </c>
      <c r="G451" t="n">
        <v>1.7</v>
      </c>
      <c r="H451" t="n">
        <v>0</v>
      </c>
      <c r="I451" t="n">
        <v>0</v>
      </c>
      <c r="J451" t="n">
        <v>0</v>
      </c>
      <c r="K451" t="n">
        <v>0</v>
      </c>
      <c r="L451" t="n">
        <v>0</v>
      </c>
      <c r="M451" t="n">
        <v>0</v>
      </c>
      <c r="N451" t="n">
        <v>0</v>
      </c>
      <c r="O451" t="n">
        <v>0</v>
      </c>
      <c r="P451" t="n">
        <v>0</v>
      </c>
      <c r="Q451" t="n">
        <v>0</v>
      </c>
      <c r="R451" s="2" t="inlineStr"/>
    </row>
    <row r="452" ht="15" customHeight="1">
      <c r="A452" t="inlineStr">
        <is>
          <t>A 27495-2023</t>
        </is>
      </c>
      <c r="B452" s="1" t="n">
        <v>45092</v>
      </c>
      <c r="C452" s="1" t="n">
        <v>45670</v>
      </c>
      <c r="D452" t="inlineStr">
        <is>
          <t>VÄSTERNORRLANDS LÄN</t>
        </is>
      </c>
      <c r="E452" t="inlineStr">
        <is>
          <t>TIMRÅ</t>
        </is>
      </c>
      <c r="G452" t="n">
        <v>2.6</v>
      </c>
      <c r="H452" t="n">
        <v>0</v>
      </c>
      <c r="I452" t="n">
        <v>0</v>
      </c>
      <c r="J452" t="n">
        <v>0</v>
      </c>
      <c r="K452" t="n">
        <v>0</v>
      </c>
      <c r="L452" t="n">
        <v>0</v>
      </c>
      <c r="M452" t="n">
        <v>0</v>
      </c>
      <c r="N452" t="n">
        <v>0</v>
      </c>
      <c r="O452" t="n">
        <v>0</v>
      </c>
      <c r="P452" t="n">
        <v>0</v>
      </c>
      <c r="Q452" t="n">
        <v>0</v>
      </c>
      <c r="R452" s="2" t="inlineStr"/>
    </row>
    <row r="453" ht="15" customHeight="1">
      <c r="A453" t="inlineStr">
        <is>
          <t>A 27489-2023</t>
        </is>
      </c>
      <c r="B453" s="1" t="n">
        <v>45092</v>
      </c>
      <c r="C453" s="1" t="n">
        <v>45670</v>
      </c>
      <c r="D453" t="inlineStr">
        <is>
          <t>VÄSTERNORRLANDS LÄN</t>
        </is>
      </c>
      <c r="E453" t="inlineStr">
        <is>
          <t>TIMRÅ</t>
        </is>
      </c>
      <c r="G453" t="n">
        <v>1.1</v>
      </c>
      <c r="H453" t="n">
        <v>0</v>
      </c>
      <c r="I453" t="n">
        <v>0</v>
      </c>
      <c r="J453" t="n">
        <v>0</v>
      </c>
      <c r="K453" t="n">
        <v>0</v>
      </c>
      <c r="L453" t="n">
        <v>0</v>
      </c>
      <c r="M453" t="n">
        <v>0</v>
      </c>
      <c r="N453" t="n">
        <v>0</v>
      </c>
      <c r="O453" t="n">
        <v>0</v>
      </c>
      <c r="P453" t="n">
        <v>0</v>
      </c>
      <c r="Q453" t="n">
        <v>0</v>
      </c>
      <c r="R453" s="2" t="inlineStr"/>
    </row>
    <row r="454" ht="15" customHeight="1">
      <c r="A454" t="inlineStr">
        <is>
          <t>A 26996-2023</t>
        </is>
      </c>
      <c r="B454" s="1" t="n">
        <v>45093</v>
      </c>
      <c r="C454" s="1" t="n">
        <v>45670</v>
      </c>
      <c r="D454" t="inlineStr">
        <is>
          <t>VÄSTERNORRLANDS LÄN</t>
        </is>
      </c>
      <c r="E454" t="inlineStr">
        <is>
          <t>TIMRÅ</t>
        </is>
      </c>
      <c r="G454" t="n">
        <v>8.4</v>
      </c>
      <c r="H454" t="n">
        <v>0</v>
      </c>
      <c r="I454" t="n">
        <v>0</v>
      </c>
      <c r="J454" t="n">
        <v>0</v>
      </c>
      <c r="K454" t="n">
        <v>0</v>
      </c>
      <c r="L454" t="n">
        <v>0</v>
      </c>
      <c r="M454" t="n">
        <v>0</v>
      </c>
      <c r="N454" t="n">
        <v>0</v>
      </c>
      <c r="O454" t="n">
        <v>0</v>
      </c>
      <c r="P454" t="n">
        <v>0</v>
      </c>
      <c r="Q454" t="n">
        <v>0</v>
      </c>
      <c r="R454" s="2" t="inlineStr"/>
    </row>
    <row r="455" ht="15" customHeight="1">
      <c r="A455" t="inlineStr">
        <is>
          <t>A 28007-2023</t>
        </is>
      </c>
      <c r="B455" s="1" t="n">
        <v>45098</v>
      </c>
      <c r="C455" s="1" t="n">
        <v>45670</v>
      </c>
      <c r="D455" t="inlineStr">
        <is>
          <t>VÄSTERNORRLANDS LÄN</t>
        </is>
      </c>
      <c r="E455" t="inlineStr">
        <is>
          <t>TIMRÅ</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28373-2023</t>
        </is>
      </c>
      <c r="B456" s="1" t="n">
        <v>45100</v>
      </c>
      <c r="C456" s="1" t="n">
        <v>45670</v>
      </c>
      <c r="D456" t="inlineStr">
        <is>
          <t>VÄSTERNORRLANDS LÄN</t>
        </is>
      </c>
      <c r="E456" t="inlineStr">
        <is>
          <t>TIMRÅ</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28372-2023</t>
        </is>
      </c>
      <c r="B457" s="1" t="n">
        <v>45100</v>
      </c>
      <c r="C457" s="1" t="n">
        <v>45670</v>
      </c>
      <c r="D457" t="inlineStr">
        <is>
          <t>VÄSTERNORRLANDS LÄN</t>
        </is>
      </c>
      <c r="E457" t="inlineStr">
        <is>
          <t>TIMRÅ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28370-2023</t>
        </is>
      </c>
      <c r="B458" s="1" t="n">
        <v>45100</v>
      </c>
      <c r="C458" s="1" t="n">
        <v>45670</v>
      </c>
      <c r="D458" t="inlineStr">
        <is>
          <t>VÄSTERNORRLANDS LÄN</t>
        </is>
      </c>
      <c r="E458" t="inlineStr">
        <is>
          <t>TIMRÅ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28381-2023</t>
        </is>
      </c>
      <c r="B459" s="1" t="n">
        <v>45099</v>
      </c>
      <c r="C459" s="1" t="n">
        <v>45670</v>
      </c>
      <c r="D459" t="inlineStr">
        <is>
          <t>VÄSTERNORRLANDS LÄN</t>
        </is>
      </c>
      <c r="E459" t="inlineStr">
        <is>
          <t>TIMRÅ</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28369-2023</t>
        </is>
      </c>
      <c r="B460" s="1" t="n">
        <v>45099</v>
      </c>
      <c r="C460" s="1" t="n">
        <v>45670</v>
      </c>
      <c r="D460" t="inlineStr">
        <is>
          <t>VÄSTERNORRLANDS LÄN</t>
        </is>
      </c>
      <c r="E460" t="inlineStr">
        <is>
          <t>TIMRÅ</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28371-2023</t>
        </is>
      </c>
      <c r="B461" s="1" t="n">
        <v>45100</v>
      </c>
      <c r="C461" s="1" t="n">
        <v>45670</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28734-2023</t>
        </is>
      </c>
      <c r="B462" s="1" t="n">
        <v>45104</v>
      </c>
      <c r="C462" s="1" t="n">
        <v>45670</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28750-2023</t>
        </is>
      </c>
      <c r="B463" s="1" t="n">
        <v>45104</v>
      </c>
      <c r="C463" s="1" t="n">
        <v>45670</v>
      </c>
      <c r="D463" t="inlineStr">
        <is>
          <t>VÄSTERNORRLANDS LÄN</t>
        </is>
      </c>
      <c r="E463" t="inlineStr">
        <is>
          <t>TIMRÅ</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31148-2023</t>
        </is>
      </c>
      <c r="B464" s="1" t="n">
        <v>45103</v>
      </c>
      <c r="C464" s="1" t="n">
        <v>45670</v>
      </c>
      <c r="D464" t="inlineStr">
        <is>
          <t>VÄSTERNORRLANDS LÄN</t>
        </is>
      </c>
      <c r="E464" t="inlineStr">
        <is>
          <t>TIMRÅ</t>
        </is>
      </c>
      <c r="G464" t="n">
        <v>1.5</v>
      </c>
      <c r="H464" t="n">
        <v>0</v>
      </c>
      <c r="I464" t="n">
        <v>0</v>
      </c>
      <c r="J464" t="n">
        <v>0</v>
      </c>
      <c r="K464" t="n">
        <v>0</v>
      </c>
      <c r="L464" t="n">
        <v>0</v>
      </c>
      <c r="M464" t="n">
        <v>0</v>
      </c>
      <c r="N464" t="n">
        <v>0</v>
      </c>
      <c r="O464" t="n">
        <v>0</v>
      </c>
      <c r="P464" t="n">
        <v>0</v>
      </c>
      <c r="Q464" t="n">
        <v>0</v>
      </c>
      <c r="R464" s="2" t="inlineStr"/>
    </row>
    <row r="465" ht="15" customHeight="1">
      <c r="A465" t="inlineStr">
        <is>
          <t>A 31150-2023</t>
        </is>
      </c>
      <c r="B465" s="1" t="n">
        <v>45103</v>
      </c>
      <c r="C465" s="1" t="n">
        <v>45670</v>
      </c>
      <c r="D465" t="inlineStr">
        <is>
          <t>VÄSTERNORRLANDS LÄN</t>
        </is>
      </c>
      <c r="E465" t="inlineStr">
        <is>
          <t>TIMRÅ</t>
        </is>
      </c>
      <c r="G465" t="n">
        <v>0.3</v>
      </c>
      <c r="H465" t="n">
        <v>0</v>
      </c>
      <c r="I465" t="n">
        <v>0</v>
      </c>
      <c r="J465" t="n">
        <v>0</v>
      </c>
      <c r="K465" t="n">
        <v>0</v>
      </c>
      <c r="L465" t="n">
        <v>0</v>
      </c>
      <c r="M465" t="n">
        <v>0</v>
      </c>
      <c r="N465" t="n">
        <v>0</v>
      </c>
      <c r="O465" t="n">
        <v>0</v>
      </c>
      <c r="P465" t="n">
        <v>0</v>
      </c>
      <c r="Q465" t="n">
        <v>0</v>
      </c>
      <c r="R465" s="2" t="inlineStr"/>
    </row>
    <row r="466" ht="15" customHeight="1">
      <c r="A466" t="inlineStr">
        <is>
          <t>A 31154-2023</t>
        </is>
      </c>
      <c r="B466" s="1" t="n">
        <v>45103</v>
      </c>
      <c r="C466" s="1" t="n">
        <v>45670</v>
      </c>
      <c r="D466" t="inlineStr">
        <is>
          <t>VÄSTERNORRLANDS LÄN</t>
        </is>
      </c>
      <c r="E466" t="inlineStr">
        <is>
          <t>TIMRÅ</t>
        </is>
      </c>
      <c r="G466" t="n">
        <v>0.6</v>
      </c>
      <c r="H466" t="n">
        <v>0</v>
      </c>
      <c r="I466" t="n">
        <v>0</v>
      </c>
      <c r="J466" t="n">
        <v>0</v>
      </c>
      <c r="K466" t="n">
        <v>0</v>
      </c>
      <c r="L466" t="n">
        <v>0</v>
      </c>
      <c r="M466" t="n">
        <v>0</v>
      </c>
      <c r="N466" t="n">
        <v>0</v>
      </c>
      <c r="O466" t="n">
        <v>0</v>
      </c>
      <c r="P466" t="n">
        <v>0</v>
      </c>
      <c r="Q466" t="n">
        <v>0</v>
      </c>
      <c r="R466" s="2" t="inlineStr"/>
    </row>
    <row r="467" ht="15" customHeight="1">
      <c r="A467" t="inlineStr">
        <is>
          <t>A 31381-2023</t>
        </is>
      </c>
      <c r="B467" s="1" t="n">
        <v>45104</v>
      </c>
      <c r="C467" s="1" t="n">
        <v>45670</v>
      </c>
      <c r="D467" t="inlineStr">
        <is>
          <t>VÄSTERNORRLANDS LÄN</t>
        </is>
      </c>
      <c r="E467" t="inlineStr">
        <is>
          <t>TIMRÅ</t>
        </is>
      </c>
      <c r="G467" t="n">
        <v>5.6</v>
      </c>
      <c r="H467" t="n">
        <v>0</v>
      </c>
      <c r="I467" t="n">
        <v>0</v>
      </c>
      <c r="J467" t="n">
        <v>0</v>
      </c>
      <c r="K467" t="n">
        <v>0</v>
      </c>
      <c r="L467" t="n">
        <v>0</v>
      </c>
      <c r="M467" t="n">
        <v>0</v>
      </c>
      <c r="N467" t="n">
        <v>0</v>
      </c>
      <c r="O467" t="n">
        <v>0</v>
      </c>
      <c r="P467" t="n">
        <v>0</v>
      </c>
      <c r="Q467" t="n">
        <v>0</v>
      </c>
      <c r="R467" s="2" t="inlineStr"/>
    </row>
    <row r="468" ht="15" customHeight="1">
      <c r="A468" t="inlineStr">
        <is>
          <t>A 31474-2023</t>
        </is>
      </c>
      <c r="B468" s="1" t="n">
        <v>45104</v>
      </c>
      <c r="C468" s="1" t="n">
        <v>45670</v>
      </c>
      <c r="D468" t="inlineStr">
        <is>
          <t>VÄSTERNORRLANDS LÄN</t>
        </is>
      </c>
      <c r="E468" t="inlineStr">
        <is>
          <t>TIMRÅ</t>
        </is>
      </c>
      <c r="G468" t="n">
        <v>1.3</v>
      </c>
      <c r="H468" t="n">
        <v>0</v>
      </c>
      <c r="I468" t="n">
        <v>0</v>
      </c>
      <c r="J468" t="n">
        <v>0</v>
      </c>
      <c r="K468" t="n">
        <v>0</v>
      </c>
      <c r="L468" t="n">
        <v>0</v>
      </c>
      <c r="M468" t="n">
        <v>0</v>
      </c>
      <c r="N468" t="n">
        <v>0</v>
      </c>
      <c r="O468" t="n">
        <v>0</v>
      </c>
      <c r="P468" t="n">
        <v>0</v>
      </c>
      <c r="Q468" t="n">
        <v>0</v>
      </c>
      <c r="R468" s="2" t="inlineStr"/>
    </row>
    <row r="469" ht="15" customHeight="1">
      <c r="A469" t="inlineStr">
        <is>
          <t>A 31378-2023</t>
        </is>
      </c>
      <c r="B469" s="1" t="n">
        <v>45104</v>
      </c>
      <c r="C469" s="1" t="n">
        <v>45670</v>
      </c>
      <c r="D469" t="inlineStr">
        <is>
          <t>VÄSTERNORRLANDS LÄN</t>
        </is>
      </c>
      <c r="E469" t="inlineStr">
        <is>
          <t>TIMRÅ</t>
        </is>
      </c>
      <c r="G469" t="n">
        <v>2.8</v>
      </c>
      <c r="H469" t="n">
        <v>0</v>
      </c>
      <c r="I469" t="n">
        <v>0</v>
      </c>
      <c r="J469" t="n">
        <v>0</v>
      </c>
      <c r="K469" t="n">
        <v>0</v>
      </c>
      <c r="L469" t="n">
        <v>0</v>
      </c>
      <c r="M469" t="n">
        <v>0</v>
      </c>
      <c r="N469" t="n">
        <v>0</v>
      </c>
      <c r="O469" t="n">
        <v>0</v>
      </c>
      <c r="P469" t="n">
        <v>0</v>
      </c>
      <c r="Q469" t="n">
        <v>0</v>
      </c>
      <c r="R469" s="2" t="inlineStr"/>
    </row>
    <row r="470" ht="15" customHeight="1">
      <c r="A470" t="inlineStr">
        <is>
          <t>A 31343-2023</t>
        </is>
      </c>
      <c r="B470" s="1" t="n">
        <v>45104</v>
      </c>
      <c r="C470" s="1" t="n">
        <v>45670</v>
      </c>
      <c r="D470" t="inlineStr">
        <is>
          <t>VÄSTERNORRLANDS LÄN</t>
        </is>
      </c>
      <c r="E470" t="inlineStr">
        <is>
          <t>TIMRÅ</t>
        </is>
      </c>
      <c r="G470" t="n">
        <v>7.1</v>
      </c>
      <c r="H470" t="n">
        <v>0</v>
      </c>
      <c r="I470" t="n">
        <v>0</v>
      </c>
      <c r="J470" t="n">
        <v>0</v>
      </c>
      <c r="K470" t="n">
        <v>0</v>
      </c>
      <c r="L470" t="n">
        <v>0</v>
      </c>
      <c r="M470" t="n">
        <v>0</v>
      </c>
      <c r="N470" t="n">
        <v>0</v>
      </c>
      <c r="O470" t="n">
        <v>0</v>
      </c>
      <c r="P470" t="n">
        <v>0</v>
      </c>
      <c r="Q470" t="n">
        <v>0</v>
      </c>
      <c r="R470" s="2" t="inlineStr"/>
    </row>
    <row r="471" ht="15" customHeight="1">
      <c r="A471" t="inlineStr">
        <is>
          <t>A 31472-2023</t>
        </is>
      </c>
      <c r="B471" s="1" t="n">
        <v>45104</v>
      </c>
      <c r="C471" s="1" t="n">
        <v>45670</v>
      </c>
      <c r="D471" t="inlineStr">
        <is>
          <t>VÄSTERNORRLANDS LÄN</t>
        </is>
      </c>
      <c r="E471" t="inlineStr">
        <is>
          <t>TIMRÅ</t>
        </is>
      </c>
      <c r="G471" t="n">
        <v>2.1</v>
      </c>
      <c r="H471" t="n">
        <v>0</v>
      </c>
      <c r="I471" t="n">
        <v>0</v>
      </c>
      <c r="J471" t="n">
        <v>0</v>
      </c>
      <c r="K471" t="n">
        <v>0</v>
      </c>
      <c r="L471" t="n">
        <v>0</v>
      </c>
      <c r="M471" t="n">
        <v>0</v>
      </c>
      <c r="N471" t="n">
        <v>0</v>
      </c>
      <c r="O471" t="n">
        <v>0</v>
      </c>
      <c r="P471" t="n">
        <v>0</v>
      </c>
      <c r="Q471" t="n">
        <v>0</v>
      </c>
      <c r="R471" s="2" t="inlineStr"/>
    </row>
    <row r="472" ht="15" customHeight="1">
      <c r="A472" t="inlineStr">
        <is>
          <t>A 29599-2023</t>
        </is>
      </c>
      <c r="B472" s="1" t="n">
        <v>45106</v>
      </c>
      <c r="C472" s="1" t="n">
        <v>45670</v>
      </c>
      <c r="D472" t="inlineStr">
        <is>
          <t>VÄSTERNORRLANDS LÄN</t>
        </is>
      </c>
      <c r="E472" t="inlineStr">
        <is>
          <t>TIMRÅ</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29948-2023</t>
        </is>
      </c>
      <c r="B473" s="1" t="n">
        <v>45107</v>
      </c>
      <c r="C473" s="1" t="n">
        <v>45670</v>
      </c>
      <c r="D473" t="inlineStr">
        <is>
          <t>VÄSTERNORRLANDS LÄN</t>
        </is>
      </c>
      <c r="E473" t="inlineStr">
        <is>
          <t>TIMRÅ</t>
        </is>
      </c>
      <c r="F473" t="inlineStr">
        <is>
          <t>SCA</t>
        </is>
      </c>
      <c r="G473" t="n">
        <v>2.1</v>
      </c>
      <c r="H473" t="n">
        <v>0</v>
      </c>
      <c r="I473" t="n">
        <v>0</v>
      </c>
      <c r="J473" t="n">
        <v>0</v>
      </c>
      <c r="K473" t="n">
        <v>0</v>
      </c>
      <c r="L473" t="n">
        <v>0</v>
      </c>
      <c r="M473" t="n">
        <v>0</v>
      </c>
      <c r="N473" t="n">
        <v>0</v>
      </c>
      <c r="O473" t="n">
        <v>0</v>
      </c>
      <c r="P473" t="n">
        <v>0</v>
      </c>
      <c r="Q473" t="n">
        <v>0</v>
      </c>
      <c r="R473" s="2" t="inlineStr"/>
    </row>
    <row r="474" ht="15" customHeight="1">
      <c r="A474" t="inlineStr">
        <is>
          <t>A 32070-2023</t>
        </is>
      </c>
      <c r="B474" s="1" t="n">
        <v>45107</v>
      </c>
      <c r="C474" s="1" t="n">
        <v>45670</v>
      </c>
      <c r="D474" t="inlineStr">
        <is>
          <t>VÄSTERNORRLANDS LÄN</t>
        </is>
      </c>
      <c r="E474" t="inlineStr">
        <is>
          <t>TIMRÅ</t>
        </is>
      </c>
      <c r="G474" t="n">
        <v>1.5</v>
      </c>
      <c r="H474" t="n">
        <v>0</v>
      </c>
      <c r="I474" t="n">
        <v>0</v>
      </c>
      <c r="J474" t="n">
        <v>0</v>
      </c>
      <c r="K474" t="n">
        <v>0</v>
      </c>
      <c r="L474" t="n">
        <v>0</v>
      </c>
      <c r="M474" t="n">
        <v>0</v>
      </c>
      <c r="N474" t="n">
        <v>0</v>
      </c>
      <c r="O474" t="n">
        <v>0</v>
      </c>
      <c r="P474" t="n">
        <v>0</v>
      </c>
      <c r="Q474" t="n">
        <v>0</v>
      </c>
      <c r="R474" s="2" t="inlineStr"/>
    </row>
    <row r="475" ht="15" customHeight="1">
      <c r="A475" t="inlineStr">
        <is>
          <t>A 30315-2023</t>
        </is>
      </c>
      <c r="B475" s="1" t="n">
        <v>45110</v>
      </c>
      <c r="C475" s="1" t="n">
        <v>45670</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30298-2023</t>
        </is>
      </c>
      <c r="B476" s="1" t="n">
        <v>45110</v>
      </c>
      <c r="C476" s="1" t="n">
        <v>45670</v>
      </c>
      <c r="D476" t="inlineStr">
        <is>
          <t>VÄSTERNORRLANDS LÄN</t>
        </is>
      </c>
      <c r="E476" t="inlineStr">
        <is>
          <t>TIMRÅ</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30850-2023</t>
        </is>
      </c>
      <c r="B477" s="1" t="n">
        <v>45112</v>
      </c>
      <c r="C477" s="1" t="n">
        <v>45670</v>
      </c>
      <c r="D477" t="inlineStr">
        <is>
          <t>VÄSTERNORRLANDS LÄN</t>
        </is>
      </c>
      <c r="E477" t="inlineStr">
        <is>
          <t>TIMRÅ</t>
        </is>
      </c>
      <c r="F477" t="inlineStr">
        <is>
          <t>SCA</t>
        </is>
      </c>
      <c r="G477" t="n">
        <v>16.1</v>
      </c>
      <c r="H477" t="n">
        <v>0</v>
      </c>
      <c r="I477" t="n">
        <v>0</v>
      </c>
      <c r="J477" t="n">
        <v>0</v>
      </c>
      <c r="K477" t="n">
        <v>0</v>
      </c>
      <c r="L477" t="n">
        <v>0</v>
      </c>
      <c r="M477" t="n">
        <v>0</v>
      </c>
      <c r="N477" t="n">
        <v>0</v>
      </c>
      <c r="O477" t="n">
        <v>0</v>
      </c>
      <c r="P477" t="n">
        <v>0</v>
      </c>
      <c r="Q477" t="n">
        <v>0</v>
      </c>
      <c r="R477" s="2" t="inlineStr"/>
    </row>
    <row r="478" ht="15" customHeight="1">
      <c r="A478" t="inlineStr">
        <is>
          <t>A 30835-2023</t>
        </is>
      </c>
      <c r="B478" s="1" t="n">
        <v>45113</v>
      </c>
      <c r="C478" s="1" t="n">
        <v>45670</v>
      </c>
      <c r="D478" t="inlineStr">
        <is>
          <t>VÄSTERNORRLANDS LÄN</t>
        </is>
      </c>
      <c r="E478" t="inlineStr">
        <is>
          <t>TIMRÅ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31562-2023</t>
        </is>
      </c>
      <c r="B479" s="1" t="n">
        <v>45117</v>
      </c>
      <c r="C479" s="1" t="n">
        <v>45670</v>
      </c>
      <c r="D479" t="inlineStr">
        <is>
          <t>VÄSTERNORRLANDS LÄN</t>
        </is>
      </c>
      <c r="E479" t="inlineStr">
        <is>
          <t>TIMRÅ</t>
        </is>
      </c>
      <c r="G479" t="n">
        <v>3.7</v>
      </c>
      <c r="H479" t="n">
        <v>0</v>
      </c>
      <c r="I479" t="n">
        <v>0</v>
      </c>
      <c r="J479" t="n">
        <v>0</v>
      </c>
      <c r="K479" t="n">
        <v>0</v>
      </c>
      <c r="L479" t="n">
        <v>0</v>
      </c>
      <c r="M479" t="n">
        <v>0</v>
      </c>
      <c r="N479" t="n">
        <v>0</v>
      </c>
      <c r="O479" t="n">
        <v>0</v>
      </c>
      <c r="P479" t="n">
        <v>0</v>
      </c>
      <c r="Q479" t="n">
        <v>0</v>
      </c>
      <c r="R479" s="2" t="inlineStr"/>
    </row>
    <row r="480" ht="15" customHeight="1">
      <c r="A480" t="inlineStr">
        <is>
          <t>A 31736-2023</t>
        </is>
      </c>
      <c r="B480" s="1" t="n">
        <v>45117</v>
      </c>
      <c r="C480" s="1" t="n">
        <v>45670</v>
      </c>
      <c r="D480" t="inlineStr">
        <is>
          <t>VÄSTERNORRLANDS LÄN</t>
        </is>
      </c>
      <c r="E480" t="inlineStr">
        <is>
          <t>TIMRÅ</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31741-2023</t>
        </is>
      </c>
      <c r="B481" s="1" t="n">
        <v>45117</v>
      </c>
      <c r="C481" s="1" t="n">
        <v>45670</v>
      </c>
      <c r="D481" t="inlineStr">
        <is>
          <t>VÄSTERNORRLANDS LÄN</t>
        </is>
      </c>
      <c r="E481" t="inlineStr">
        <is>
          <t>TIMRÅ</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32224-2023</t>
        </is>
      </c>
      <c r="B482" s="1" t="n">
        <v>45119</v>
      </c>
      <c r="C482" s="1" t="n">
        <v>45670</v>
      </c>
      <c r="D482" t="inlineStr">
        <is>
          <t>VÄSTERNORRLANDS LÄN</t>
        </is>
      </c>
      <c r="E482" t="inlineStr">
        <is>
          <t>TIMRÅ</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32225-2023</t>
        </is>
      </c>
      <c r="B483" s="1" t="n">
        <v>45119</v>
      </c>
      <c r="C483" s="1" t="n">
        <v>45670</v>
      </c>
      <c r="D483" t="inlineStr">
        <is>
          <t>VÄSTERNORRLANDS LÄN</t>
        </is>
      </c>
      <c r="E483" t="inlineStr">
        <is>
          <t>TIMRÅ</t>
        </is>
      </c>
      <c r="F483" t="inlineStr">
        <is>
          <t>SCA</t>
        </is>
      </c>
      <c r="G483" t="n">
        <v>7.1</v>
      </c>
      <c r="H483" t="n">
        <v>0</v>
      </c>
      <c r="I483" t="n">
        <v>0</v>
      </c>
      <c r="J483" t="n">
        <v>0</v>
      </c>
      <c r="K483" t="n">
        <v>0</v>
      </c>
      <c r="L483" t="n">
        <v>0</v>
      </c>
      <c r="M483" t="n">
        <v>0</v>
      </c>
      <c r="N483" t="n">
        <v>0</v>
      </c>
      <c r="O483" t="n">
        <v>0</v>
      </c>
      <c r="P483" t="n">
        <v>0</v>
      </c>
      <c r="Q483" t="n">
        <v>0</v>
      </c>
      <c r="R483" s="2" t="inlineStr"/>
    </row>
    <row r="484" ht="15" customHeight="1">
      <c r="A484" t="inlineStr">
        <is>
          <t>A 32223-2023</t>
        </is>
      </c>
      <c r="B484" s="1" t="n">
        <v>45119</v>
      </c>
      <c r="C484" s="1" t="n">
        <v>45670</v>
      </c>
      <c r="D484" t="inlineStr">
        <is>
          <t>VÄSTERNORRLANDS LÄN</t>
        </is>
      </c>
      <c r="E484" t="inlineStr">
        <is>
          <t>TIMRÅ</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32226-2023</t>
        </is>
      </c>
      <c r="B485" s="1" t="n">
        <v>45119</v>
      </c>
      <c r="C485" s="1" t="n">
        <v>45670</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32230-2023</t>
        </is>
      </c>
      <c r="B486" s="1" t="n">
        <v>45120</v>
      </c>
      <c r="C486" s="1" t="n">
        <v>45670</v>
      </c>
      <c r="D486" t="inlineStr">
        <is>
          <t>VÄSTERNORRLANDS LÄN</t>
        </is>
      </c>
      <c r="E486" t="inlineStr">
        <is>
          <t>TIMRÅ</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33667-2023</t>
        </is>
      </c>
      <c r="B487" s="1" t="n">
        <v>45119</v>
      </c>
      <c r="C487" s="1" t="n">
        <v>45670</v>
      </c>
      <c r="D487" t="inlineStr">
        <is>
          <t>VÄSTERNORRLANDS LÄN</t>
        </is>
      </c>
      <c r="E487" t="inlineStr">
        <is>
          <t>TIMRÅ</t>
        </is>
      </c>
      <c r="G487" t="n">
        <v>4.8</v>
      </c>
      <c r="H487" t="n">
        <v>0</v>
      </c>
      <c r="I487" t="n">
        <v>0</v>
      </c>
      <c r="J487" t="n">
        <v>0</v>
      </c>
      <c r="K487" t="n">
        <v>0</v>
      </c>
      <c r="L487" t="n">
        <v>0</v>
      </c>
      <c r="M487" t="n">
        <v>0</v>
      </c>
      <c r="N487" t="n">
        <v>0</v>
      </c>
      <c r="O487" t="n">
        <v>0</v>
      </c>
      <c r="P487" t="n">
        <v>0</v>
      </c>
      <c r="Q487" t="n">
        <v>0</v>
      </c>
      <c r="R487" s="2" t="inlineStr"/>
    </row>
    <row r="488" ht="15" customHeight="1">
      <c r="A488" t="inlineStr">
        <is>
          <t>A 33756-2023</t>
        </is>
      </c>
      <c r="B488" s="1" t="n">
        <v>45120</v>
      </c>
      <c r="C488" s="1" t="n">
        <v>45670</v>
      </c>
      <c r="D488" t="inlineStr">
        <is>
          <t>VÄSTERNORRLANDS LÄN</t>
        </is>
      </c>
      <c r="E488" t="inlineStr">
        <is>
          <t>TIMRÅ</t>
        </is>
      </c>
      <c r="G488" t="n">
        <v>10.5</v>
      </c>
      <c r="H488" t="n">
        <v>0</v>
      </c>
      <c r="I488" t="n">
        <v>0</v>
      </c>
      <c r="J488" t="n">
        <v>0</v>
      </c>
      <c r="K488" t="n">
        <v>0</v>
      </c>
      <c r="L488" t="n">
        <v>0</v>
      </c>
      <c r="M488" t="n">
        <v>0</v>
      </c>
      <c r="N488" t="n">
        <v>0</v>
      </c>
      <c r="O488" t="n">
        <v>0</v>
      </c>
      <c r="P488" t="n">
        <v>0</v>
      </c>
      <c r="Q488" t="n">
        <v>0</v>
      </c>
      <c r="R488" s="2" t="inlineStr"/>
    </row>
    <row r="489" ht="15" customHeight="1">
      <c r="A489" t="inlineStr">
        <is>
          <t>A 33043-2023</t>
        </is>
      </c>
      <c r="B489" s="1" t="n">
        <v>45125</v>
      </c>
      <c r="C489" s="1" t="n">
        <v>45670</v>
      </c>
      <c r="D489" t="inlineStr">
        <is>
          <t>VÄSTERNORRLANDS LÄN</t>
        </is>
      </c>
      <c r="E489" t="inlineStr">
        <is>
          <t>TIMRÅ</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34172-2023</t>
        </is>
      </c>
      <c r="B490" s="1" t="n">
        <v>45126</v>
      </c>
      <c r="C490" s="1" t="n">
        <v>45670</v>
      </c>
      <c r="D490" t="inlineStr">
        <is>
          <t>VÄSTERNORRLANDS LÄN</t>
        </is>
      </c>
      <c r="E490" t="inlineStr">
        <is>
          <t>TIMRÅ</t>
        </is>
      </c>
      <c r="G490" t="n">
        <v>4</v>
      </c>
      <c r="H490" t="n">
        <v>0</v>
      </c>
      <c r="I490" t="n">
        <v>0</v>
      </c>
      <c r="J490" t="n">
        <v>0</v>
      </c>
      <c r="K490" t="n">
        <v>0</v>
      </c>
      <c r="L490" t="n">
        <v>0</v>
      </c>
      <c r="M490" t="n">
        <v>0</v>
      </c>
      <c r="N490" t="n">
        <v>0</v>
      </c>
      <c r="O490" t="n">
        <v>0</v>
      </c>
      <c r="P490" t="n">
        <v>0</v>
      </c>
      <c r="Q490" t="n">
        <v>0</v>
      </c>
      <c r="R490" s="2" t="inlineStr"/>
    </row>
    <row r="491" ht="15" customHeight="1">
      <c r="A491" t="inlineStr">
        <is>
          <t>A 35342-2023</t>
        </is>
      </c>
      <c r="B491" s="1" t="n">
        <v>45145</v>
      </c>
      <c r="C491" s="1" t="n">
        <v>45670</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35568-2023</t>
        </is>
      </c>
      <c r="B492" s="1" t="n">
        <v>45146</v>
      </c>
      <c r="C492" s="1" t="n">
        <v>45670</v>
      </c>
      <c r="D492" t="inlineStr">
        <is>
          <t>VÄSTERNORRLANDS LÄN</t>
        </is>
      </c>
      <c r="E492" t="inlineStr">
        <is>
          <t>TIMRÅ</t>
        </is>
      </c>
      <c r="G492" t="n">
        <v>3.2</v>
      </c>
      <c r="H492" t="n">
        <v>0</v>
      </c>
      <c r="I492" t="n">
        <v>0</v>
      </c>
      <c r="J492" t="n">
        <v>0</v>
      </c>
      <c r="K492" t="n">
        <v>0</v>
      </c>
      <c r="L492" t="n">
        <v>0</v>
      </c>
      <c r="M492" t="n">
        <v>0</v>
      </c>
      <c r="N492" t="n">
        <v>0</v>
      </c>
      <c r="O492" t="n">
        <v>0</v>
      </c>
      <c r="P492" t="n">
        <v>0</v>
      </c>
      <c r="Q492" t="n">
        <v>0</v>
      </c>
      <c r="R492" s="2" t="inlineStr"/>
    </row>
    <row r="493" ht="15" customHeight="1">
      <c r="A493" t="inlineStr">
        <is>
          <t>A 35763-2023</t>
        </is>
      </c>
      <c r="B493" s="1" t="n">
        <v>45147</v>
      </c>
      <c r="C493" s="1" t="n">
        <v>45670</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35939-2023</t>
        </is>
      </c>
      <c r="B494" s="1" t="n">
        <v>45148</v>
      </c>
      <c r="C494" s="1" t="n">
        <v>45670</v>
      </c>
      <c r="D494" t="inlineStr">
        <is>
          <t>VÄSTERNORRLANDS LÄN</t>
        </is>
      </c>
      <c r="E494" t="inlineStr">
        <is>
          <t>TIMRÅ</t>
        </is>
      </c>
      <c r="G494" t="n">
        <v>1.1</v>
      </c>
      <c r="H494" t="n">
        <v>0</v>
      </c>
      <c r="I494" t="n">
        <v>0</v>
      </c>
      <c r="J494" t="n">
        <v>0</v>
      </c>
      <c r="K494" t="n">
        <v>0</v>
      </c>
      <c r="L494" t="n">
        <v>0</v>
      </c>
      <c r="M494" t="n">
        <v>0</v>
      </c>
      <c r="N494" t="n">
        <v>0</v>
      </c>
      <c r="O494" t="n">
        <v>0</v>
      </c>
      <c r="P494" t="n">
        <v>0</v>
      </c>
      <c r="Q494" t="n">
        <v>0</v>
      </c>
      <c r="R494" s="2" t="inlineStr"/>
    </row>
    <row r="495" ht="15" customHeight="1">
      <c r="A495" t="inlineStr">
        <is>
          <t>A 36228-2023</t>
        </is>
      </c>
      <c r="B495" s="1" t="n">
        <v>45149</v>
      </c>
      <c r="C495" s="1" t="n">
        <v>45670</v>
      </c>
      <c r="D495" t="inlineStr">
        <is>
          <t>VÄSTERNORRLANDS LÄN</t>
        </is>
      </c>
      <c r="E495" t="inlineStr">
        <is>
          <t>TIMRÅ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36992-2023</t>
        </is>
      </c>
      <c r="B496" s="1" t="n">
        <v>45154</v>
      </c>
      <c r="C496" s="1" t="n">
        <v>45670</v>
      </c>
      <c r="D496" t="inlineStr">
        <is>
          <t>VÄSTERNORRLANDS LÄN</t>
        </is>
      </c>
      <c r="E496" t="inlineStr">
        <is>
          <t>TIMRÅ</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36997-2023</t>
        </is>
      </c>
      <c r="B497" s="1" t="n">
        <v>45154</v>
      </c>
      <c r="C497" s="1" t="n">
        <v>45670</v>
      </c>
      <c r="D497" t="inlineStr">
        <is>
          <t>VÄSTERNORRLANDS LÄN</t>
        </is>
      </c>
      <c r="E497" t="inlineStr">
        <is>
          <t>TIMRÅ</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37259-2023</t>
        </is>
      </c>
      <c r="B498" s="1" t="n">
        <v>45156</v>
      </c>
      <c r="C498" s="1" t="n">
        <v>45670</v>
      </c>
      <c r="D498" t="inlineStr">
        <is>
          <t>VÄSTERNORRLANDS LÄN</t>
        </is>
      </c>
      <c r="E498" t="inlineStr">
        <is>
          <t>TIMRÅ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37808-2023</t>
        </is>
      </c>
      <c r="B499" s="1" t="n">
        <v>45160</v>
      </c>
      <c r="C499" s="1" t="n">
        <v>45670</v>
      </c>
      <c r="D499" t="inlineStr">
        <is>
          <t>VÄSTERNORRLANDS LÄN</t>
        </is>
      </c>
      <c r="E499" t="inlineStr">
        <is>
          <t>TIMRÅ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38423-2023</t>
        </is>
      </c>
      <c r="B500" s="1" t="n">
        <v>45160</v>
      </c>
      <c r="C500" s="1" t="n">
        <v>45670</v>
      </c>
      <c r="D500" t="inlineStr">
        <is>
          <t>VÄSTERNORRLANDS LÄN</t>
        </is>
      </c>
      <c r="E500" t="inlineStr">
        <is>
          <t>TIMRÅ</t>
        </is>
      </c>
      <c r="G500" t="n">
        <v>6.4</v>
      </c>
      <c r="H500" t="n">
        <v>0</v>
      </c>
      <c r="I500" t="n">
        <v>0</v>
      </c>
      <c r="J500" t="n">
        <v>0</v>
      </c>
      <c r="K500" t="n">
        <v>0</v>
      </c>
      <c r="L500" t="n">
        <v>0</v>
      </c>
      <c r="M500" t="n">
        <v>0</v>
      </c>
      <c r="N500" t="n">
        <v>0</v>
      </c>
      <c r="O500" t="n">
        <v>0</v>
      </c>
      <c r="P500" t="n">
        <v>0</v>
      </c>
      <c r="Q500" t="n">
        <v>0</v>
      </c>
      <c r="R500" s="2" t="inlineStr"/>
    </row>
    <row r="501" ht="15" customHeight="1">
      <c r="A501" t="inlineStr">
        <is>
          <t>A 38360-2023</t>
        </is>
      </c>
      <c r="B501" s="1" t="n">
        <v>45162</v>
      </c>
      <c r="C501" s="1" t="n">
        <v>45670</v>
      </c>
      <c r="D501" t="inlineStr">
        <is>
          <t>VÄSTERNORRLANDS LÄN</t>
        </is>
      </c>
      <c r="E501" t="inlineStr">
        <is>
          <t>TIMRÅ</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39073-2023</t>
        </is>
      </c>
      <c r="B502" s="1" t="n">
        <v>45163</v>
      </c>
      <c r="C502" s="1" t="n">
        <v>45670</v>
      </c>
      <c r="D502" t="inlineStr">
        <is>
          <t>VÄSTERNORRLANDS LÄN</t>
        </is>
      </c>
      <c r="E502" t="inlineStr">
        <is>
          <t>TIMRÅ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39081-2023</t>
        </is>
      </c>
      <c r="B503" s="1" t="n">
        <v>45163</v>
      </c>
      <c r="C503" s="1" t="n">
        <v>45670</v>
      </c>
      <c r="D503" t="inlineStr">
        <is>
          <t>VÄSTERNORRLANDS LÄN</t>
        </is>
      </c>
      <c r="E503" t="inlineStr">
        <is>
          <t>TIMRÅ</t>
        </is>
      </c>
      <c r="F503" t="inlineStr">
        <is>
          <t>SCA</t>
        </is>
      </c>
      <c r="G503" t="n">
        <v>11.6</v>
      </c>
      <c r="H503" t="n">
        <v>0</v>
      </c>
      <c r="I503" t="n">
        <v>0</v>
      </c>
      <c r="J503" t="n">
        <v>0</v>
      </c>
      <c r="K503" t="n">
        <v>0</v>
      </c>
      <c r="L503" t="n">
        <v>0</v>
      </c>
      <c r="M503" t="n">
        <v>0</v>
      </c>
      <c r="N503" t="n">
        <v>0</v>
      </c>
      <c r="O503" t="n">
        <v>0</v>
      </c>
      <c r="P503" t="n">
        <v>0</v>
      </c>
      <c r="Q503" t="n">
        <v>0</v>
      </c>
      <c r="R503" s="2" t="inlineStr"/>
    </row>
    <row r="504" ht="15" customHeight="1">
      <c r="A504" t="inlineStr">
        <is>
          <t>A 39046-2023</t>
        </is>
      </c>
      <c r="B504" s="1" t="n">
        <v>45163</v>
      </c>
      <c r="C504" s="1" t="n">
        <v>45670</v>
      </c>
      <c r="D504" t="inlineStr">
        <is>
          <t>VÄSTERNORRLANDS LÄN</t>
        </is>
      </c>
      <c r="E504" t="inlineStr">
        <is>
          <t>TIMRÅ</t>
        </is>
      </c>
      <c r="G504" t="n">
        <v>1.8</v>
      </c>
      <c r="H504" t="n">
        <v>0</v>
      </c>
      <c r="I504" t="n">
        <v>0</v>
      </c>
      <c r="J504" t="n">
        <v>0</v>
      </c>
      <c r="K504" t="n">
        <v>0</v>
      </c>
      <c r="L504" t="n">
        <v>0</v>
      </c>
      <c r="M504" t="n">
        <v>0</v>
      </c>
      <c r="N504" t="n">
        <v>0</v>
      </c>
      <c r="O504" t="n">
        <v>0</v>
      </c>
      <c r="P504" t="n">
        <v>0</v>
      </c>
      <c r="Q504" t="n">
        <v>0</v>
      </c>
      <c r="R504" s="2" t="inlineStr"/>
    </row>
    <row r="505" ht="15" customHeight="1">
      <c r="A505" t="inlineStr">
        <is>
          <t>A 39048-2023</t>
        </is>
      </c>
      <c r="B505" s="1" t="n">
        <v>45164</v>
      </c>
      <c r="C505" s="1" t="n">
        <v>45670</v>
      </c>
      <c r="D505" t="inlineStr">
        <is>
          <t>VÄSTERNORRLANDS LÄN</t>
        </is>
      </c>
      <c r="E505" t="inlineStr">
        <is>
          <t>TIMRÅ</t>
        </is>
      </c>
      <c r="G505" t="n">
        <v>5.1</v>
      </c>
      <c r="H505" t="n">
        <v>0</v>
      </c>
      <c r="I505" t="n">
        <v>0</v>
      </c>
      <c r="J505" t="n">
        <v>0</v>
      </c>
      <c r="K505" t="n">
        <v>0</v>
      </c>
      <c r="L505" t="n">
        <v>0</v>
      </c>
      <c r="M505" t="n">
        <v>0</v>
      </c>
      <c r="N505" t="n">
        <v>0</v>
      </c>
      <c r="O505" t="n">
        <v>0</v>
      </c>
      <c r="P505" t="n">
        <v>0</v>
      </c>
      <c r="Q505" t="n">
        <v>0</v>
      </c>
      <c r="R505" s="2" t="inlineStr"/>
    </row>
    <row r="506" ht="15" customHeight="1">
      <c r="A506" t="inlineStr">
        <is>
          <t>A 39072-2023</t>
        </is>
      </c>
      <c r="B506" s="1" t="n">
        <v>45163</v>
      </c>
      <c r="C506" s="1" t="n">
        <v>45670</v>
      </c>
      <c r="D506" t="inlineStr">
        <is>
          <t>VÄSTERNORRLANDS LÄN</t>
        </is>
      </c>
      <c r="E506" t="inlineStr">
        <is>
          <t>TIMRÅ</t>
        </is>
      </c>
      <c r="F506" t="inlineStr">
        <is>
          <t>SCA</t>
        </is>
      </c>
      <c r="G506" t="n">
        <v>10.1</v>
      </c>
      <c r="H506" t="n">
        <v>0</v>
      </c>
      <c r="I506" t="n">
        <v>0</v>
      </c>
      <c r="J506" t="n">
        <v>0</v>
      </c>
      <c r="K506" t="n">
        <v>0</v>
      </c>
      <c r="L506" t="n">
        <v>0</v>
      </c>
      <c r="M506" t="n">
        <v>0</v>
      </c>
      <c r="N506" t="n">
        <v>0</v>
      </c>
      <c r="O506" t="n">
        <v>0</v>
      </c>
      <c r="P506" t="n">
        <v>0</v>
      </c>
      <c r="Q506" t="n">
        <v>0</v>
      </c>
      <c r="R506" s="2" t="inlineStr"/>
    </row>
    <row r="507" ht="15" customHeight="1">
      <c r="A507" t="inlineStr">
        <is>
          <t>A 39143-2023</t>
        </is>
      </c>
      <c r="B507" s="1" t="n">
        <v>45165</v>
      </c>
      <c r="C507" s="1" t="n">
        <v>45670</v>
      </c>
      <c r="D507" t="inlineStr">
        <is>
          <t>VÄSTERNORRLANDS LÄN</t>
        </is>
      </c>
      <c r="E507" t="inlineStr">
        <is>
          <t>TIMRÅ</t>
        </is>
      </c>
      <c r="F507" t="inlineStr">
        <is>
          <t>SCA</t>
        </is>
      </c>
      <c r="G507" t="n">
        <v>8</v>
      </c>
      <c r="H507" t="n">
        <v>0</v>
      </c>
      <c r="I507" t="n">
        <v>0</v>
      </c>
      <c r="J507" t="n">
        <v>0</v>
      </c>
      <c r="K507" t="n">
        <v>0</v>
      </c>
      <c r="L507" t="n">
        <v>0</v>
      </c>
      <c r="M507" t="n">
        <v>0</v>
      </c>
      <c r="N507" t="n">
        <v>0</v>
      </c>
      <c r="O507" t="n">
        <v>0</v>
      </c>
      <c r="P507" t="n">
        <v>0</v>
      </c>
      <c r="Q507" t="n">
        <v>0</v>
      </c>
      <c r="R507" s="2" t="inlineStr"/>
    </row>
    <row r="508" ht="15" customHeight="1">
      <c r="A508" t="inlineStr">
        <is>
          <t>A 39142-2023</t>
        </is>
      </c>
      <c r="B508" s="1" t="n">
        <v>45165</v>
      </c>
      <c r="C508" s="1" t="n">
        <v>45670</v>
      </c>
      <c r="D508" t="inlineStr">
        <is>
          <t>VÄSTERNORRLANDS LÄN</t>
        </is>
      </c>
      <c r="E508" t="inlineStr">
        <is>
          <t>TIMRÅ</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39693-2023</t>
        </is>
      </c>
      <c r="B509" s="1" t="n">
        <v>45166</v>
      </c>
      <c r="C509" s="1" t="n">
        <v>45670</v>
      </c>
      <c r="D509" t="inlineStr">
        <is>
          <t>VÄSTERNORRLANDS LÄN</t>
        </is>
      </c>
      <c r="E509" t="inlineStr">
        <is>
          <t>TIMRÅ</t>
        </is>
      </c>
      <c r="G509" t="n">
        <v>5.8</v>
      </c>
      <c r="H509" t="n">
        <v>0</v>
      </c>
      <c r="I509" t="n">
        <v>0</v>
      </c>
      <c r="J509" t="n">
        <v>0</v>
      </c>
      <c r="K509" t="n">
        <v>0</v>
      </c>
      <c r="L509" t="n">
        <v>0</v>
      </c>
      <c r="M509" t="n">
        <v>0</v>
      </c>
      <c r="N509" t="n">
        <v>0</v>
      </c>
      <c r="O509" t="n">
        <v>0</v>
      </c>
      <c r="P509" t="n">
        <v>0</v>
      </c>
      <c r="Q509" t="n">
        <v>0</v>
      </c>
      <c r="R509" s="2" t="inlineStr"/>
    </row>
    <row r="510" ht="15" customHeight="1">
      <c r="A510" t="inlineStr">
        <is>
          <t>A 39819-2023</t>
        </is>
      </c>
      <c r="B510" s="1" t="n">
        <v>45167</v>
      </c>
      <c r="C510" s="1" t="n">
        <v>45670</v>
      </c>
      <c r="D510" t="inlineStr">
        <is>
          <t>VÄSTERNORRLANDS LÄN</t>
        </is>
      </c>
      <c r="E510" t="inlineStr">
        <is>
          <t>TIMRÅ</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40112-2023</t>
        </is>
      </c>
      <c r="B511" s="1" t="n">
        <v>45168</v>
      </c>
      <c r="C511" s="1" t="n">
        <v>45670</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40769-2023</t>
        </is>
      </c>
      <c r="B512" s="1" t="n">
        <v>45170</v>
      </c>
      <c r="C512" s="1" t="n">
        <v>45670</v>
      </c>
      <c r="D512" t="inlineStr">
        <is>
          <t>VÄSTERNORRLANDS LÄN</t>
        </is>
      </c>
      <c r="E512" t="inlineStr">
        <is>
          <t>TIMRÅ</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40773-2023</t>
        </is>
      </c>
      <c r="B513" s="1" t="n">
        <v>45171</v>
      </c>
      <c r="C513" s="1" t="n">
        <v>45670</v>
      </c>
      <c r="D513" t="inlineStr">
        <is>
          <t>VÄSTERNORRLANDS LÄN</t>
        </is>
      </c>
      <c r="E513" t="inlineStr">
        <is>
          <t>TIMRÅ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40774-2023</t>
        </is>
      </c>
      <c r="B514" s="1" t="n">
        <v>45171</v>
      </c>
      <c r="C514" s="1" t="n">
        <v>45670</v>
      </c>
      <c r="D514" t="inlineStr">
        <is>
          <t>VÄSTERNORRLANDS LÄN</t>
        </is>
      </c>
      <c r="E514" t="inlineStr">
        <is>
          <t>TIMRÅ</t>
        </is>
      </c>
      <c r="F514" t="inlineStr">
        <is>
          <t>SCA</t>
        </is>
      </c>
      <c r="G514" t="n">
        <v>12.6</v>
      </c>
      <c r="H514" t="n">
        <v>0</v>
      </c>
      <c r="I514" t="n">
        <v>0</v>
      </c>
      <c r="J514" t="n">
        <v>0</v>
      </c>
      <c r="K514" t="n">
        <v>0</v>
      </c>
      <c r="L514" t="n">
        <v>0</v>
      </c>
      <c r="M514" t="n">
        <v>0</v>
      </c>
      <c r="N514" t="n">
        <v>0</v>
      </c>
      <c r="O514" t="n">
        <v>0</v>
      </c>
      <c r="P514" t="n">
        <v>0</v>
      </c>
      <c r="Q514" t="n">
        <v>0</v>
      </c>
      <c r="R514" s="2" t="inlineStr"/>
    </row>
    <row r="515" ht="15" customHeight="1">
      <c r="A515" t="inlineStr">
        <is>
          <t>A 40767-2023</t>
        </is>
      </c>
      <c r="B515" s="1" t="n">
        <v>45171</v>
      </c>
      <c r="C515" s="1" t="n">
        <v>45670</v>
      </c>
      <c r="D515" t="inlineStr">
        <is>
          <t>VÄSTERNORRLANDS LÄN</t>
        </is>
      </c>
      <c r="E515" t="inlineStr">
        <is>
          <t>TIMRÅ</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40768-2023</t>
        </is>
      </c>
      <c r="B516" s="1" t="n">
        <v>45171</v>
      </c>
      <c r="C516" s="1" t="n">
        <v>45670</v>
      </c>
      <c r="D516" t="inlineStr">
        <is>
          <t>VÄSTERNORRLANDS LÄN</t>
        </is>
      </c>
      <c r="E516" t="inlineStr">
        <is>
          <t>TIMRÅ</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41605-2023</t>
        </is>
      </c>
      <c r="B517" s="1" t="n">
        <v>45175</v>
      </c>
      <c r="C517" s="1" t="n">
        <v>45670</v>
      </c>
      <c r="D517" t="inlineStr">
        <is>
          <t>VÄSTERNORRLANDS LÄN</t>
        </is>
      </c>
      <c r="E517" t="inlineStr">
        <is>
          <t>TIMRÅ</t>
        </is>
      </c>
      <c r="G517" t="n">
        <v>1.6</v>
      </c>
      <c r="H517" t="n">
        <v>0</v>
      </c>
      <c r="I517" t="n">
        <v>0</v>
      </c>
      <c r="J517" t="n">
        <v>0</v>
      </c>
      <c r="K517" t="n">
        <v>0</v>
      </c>
      <c r="L517" t="n">
        <v>0</v>
      </c>
      <c r="M517" t="n">
        <v>0</v>
      </c>
      <c r="N517" t="n">
        <v>0</v>
      </c>
      <c r="O517" t="n">
        <v>0</v>
      </c>
      <c r="P517" t="n">
        <v>0</v>
      </c>
      <c r="Q517" t="n">
        <v>0</v>
      </c>
      <c r="R517" s="2" t="inlineStr"/>
    </row>
    <row r="518" ht="15" customHeight="1">
      <c r="A518" t="inlineStr">
        <is>
          <t>A 42161-2023</t>
        </is>
      </c>
      <c r="B518" s="1" t="n">
        <v>45178</v>
      </c>
      <c r="C518" s="1" t="n">
        <v>45670</v>
      </c>
      <c r="D518" t="inlineStr">
        <is>
          <t>VÄSTERNORRLANDS LÄN</t>
        </is>
      </c>
      <c r="E518" t="inlineStr">
        <is>
          <t>TIMRÅ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42513-2023</t>
        </is>
      </c>
      <c r="B519" s="1" t="n">
        <v>45180</v>
      </c>
      <c r="C519" s="1" t="n">
        <v>45670</v>
      </c>
      <c r="D519" t="inlineStr">
        <is>
          <t>VÄSTERNORRLANDS LÄN</t>
        </is>
      </c>
      <c r="E519" t="inlineStr">
        <is>
          <t>TIMRÅ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42516-2023</t>
        </is>
      </c>
      <c r="B520" s="1" t="n">
        <v>45180</v>
      </c>
      <c r="C520" s="1" t="n">
        <v>45670</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43124-2023</t>
        </is>
      </c>
      <c r="B521" s="1" t="n">
        <v>45182</v>
      </c>
      <c r="C521" s="1" t="n">
        <v>45670</v>
      </c>
      <c r="D521" t="inlineStr">
        <is>
          <t>VÄSTERNORRLANDS LÄN</t>
        </is>
      </c>
      <c r="E521" t="inlineStr">
        <is>
          <t>TIMRÅ</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43130-2023</t>
        </is>
      </c>
      <c r="B522" s="1" t="n">
        <v>45183</v>
      </c>
      <c r="C522" s="1" t="n">
        <v>45670</v>
      </c>
      <c r="D522" t="inlineStr">
        <is>
          <t>VÄSTERNORRLANDS LÄN</t>
        </is>
      </c>
      <c r="E522" t="inlineStr">
        <is>
          <t>TIMRÅ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43128-2023</t>
        </is>
      </c>
      <c r="B523" s="1" t="n">
        <v>45182</v>
      </c>
      <c r="C523" s="1" t="n">
        <v>45670</v>
      </c>
      <c r="D523" t="inlineStr">
        <is>
          <t>VÄSTERNORRLANDS LÄN</t>
        </is>
      </c>
      <c r="E523" t="inlineStr">
        <is>
          <t>TIMRÅ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43113-2023</t>
        </is>
      </c>
      <c r="B524" s="1" t="n">
        <v>45182</v>
      </c>
      <c r="C524" s="1" t="n">
        <v>45670</v>
      </c>
      <c r="D524" t="inlineStr">
        <is>
          <t>VÄSTERNORRLANDS LÄN</t>
        </is>
      </c>
      <c r="E524" t="inlineStr">
        <is>
          <t>TIMRÅ</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43129-2023</t>
        </is>
      </c>
      <c r="B525" s="1" t="n">
        <v>45182</v>
      </c>
      <c r="C525" s="1" t="n">
        <v>45670</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43411-2023</t>
        </is>
      </c>
      <c r="B526" s="1" t="n">
        <v>45183</v>
      </c>
      <c r="C526" s="1" t="n">
        <v>45670</v>
      </c>
      <c r="D526" t="inlineStr">
        <is>
          <t>VÄSTERNORRLANDS LÄN</t>
        </is>
      </c>
      <c r="E526" t="inlineStr">
        <is>
          <t>TIMRÅ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43412-2023</t>
        </is>
      </c>
      <c r="B527" s="1" t="n">
        <v>45184</v>
      </c>
      <c r="C527" s="1" t="n">
        <v>45670</v>
      </c>
      <c r="D527" t="inlineStr">
        <is>
          <t>VÄSTERNORRLANDS LÄN</t>
        </is>
      </c>
      <c r="E527" t="inlineStr">
        <is>
          <t>TIMRÅ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43959-2023</t>
        </is>
      </c>
      <c r="B528" s="1" t="n">
        <v>45188</v>
      </c>
      <c r="C528" s="1" t="n">
        <v>45670</v>
      </c>
      <c r="D528" t="inlineStr">
        <is>
          <t>VÄSTERNORRLANDS LÄN</t>
        </is>
      </c>
      <c r="E528" t="inlineStr">
        <is>
          <t>TIMRÅ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43964-2023</t>
        </is>
      </c>
      <c r="B529" s="1" t="n">
        <v>45187</v>
      </c>
      <c r="C529" s="1" t="n">
        <v>45670</v>
      </c>
      <c r="D529" t="inlineStr">
        <is>
          <t>VÄSTERNORRLANDS LÄN</t>
        </is>
      </c>
      <c r="E529" t="inlineStr">
        <is>
          <t>TIMRÅ</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43983-2023</t>
        </is>
      </c>
      <c r="B530" s="1" t="n">
        <v>45188</v>
      </c>
      <c r="C530" s="1" t="n">
        <v>45670</v>
      </c>
      <c r="D530" t="inlineStr">
        <is>
          <t>VÄSTERNORRLANDS LÄN</t>
        </is>
      </c>
      <c r="E530" t="inlineStr">
        <is>
          <t>TIMRÅ</t>
        </is>
      </c>
      <c r="F530" t="inlineStr">
        <is>
          <t>SCA</t>
        </is>
      </c>
      <c r="G530" t="n">
        <v>6.7</v>
      </c>
      <c r="H530" t="n">
        <v>0</v>
      </c>
      <c r="I530" t="n">
        <v>0</v>
      </c>
      <c r="J530" t="n">
        <v>0</v>
      </c>
      <c r="K530" t="n">
        <v>0</v>
      </c>
      <c r="L530" t="n">
        <v>0</v>
      </c>
      <c r="M530" t="n">
        <v>0</v>
      </c>
      <c r="N530" t="n">
        <v>0</v>
      </c>
      <c r="O530" t="n">
        <v>0</v>
      </c>
      <c r="P530" t="n">
        <v>0</v>
      </c>
      <c r="Q530" t="n">
        <v>0</v>
      </c>
      <c r="R530" s="2" t="inlineStr"/>
    </row>
    <row r="531" ht="15" customHeight="1">
      <c r="A531" t="inlineStr">
        <is>
          <t>A 43962-2023</t>
        </is>
      </c>
      <c r="B531" s="1" t="n">
        <v>45187</v>
      </c>
      <c r="C531" s="1" t="n">
        <v>45670</v>
      </c>
      <c r="D531" t="inlineStr">
        <is>
          <t>VÄSTERNORRLANDS LÄN</t>
        </is>
      </c>
      <c r="E531" t="inlineStr">
        <is>
          <t>TIMRÅ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43994-2023</t>
        </is>
      </c>
      <c r="B532" s="1" t="n">
        <v>45187</v>
      </c>
      <c r="C532" s="1" t="n">
        <v>45670</v>
      </c>
      <c r="D532" t="inlineStr">
        <is>
          <t>VÄSTERNORRLANDS LÄN</t>
        </is>
      </c>
      <c r="E532" t="inlineStr">
        <is>
          <t>TIMRÅ</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44405-2023</t>
        </is>
      </c>
      <c r="B533" s="1" t="n">
        <v>45188</v>
      </c>
      <c r="C533" s="1" t="n">
        <v>45670</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44404-2023</t>
        </is>
      </c>
      <c r="B534" s="1" t="n">
        <v>45188</v>
      </c>
      <c r="C534" s="1" t="n">
        <v>45670</v>
      </c>
      <c r="D534" t="inlineStr">
        <is>
          <t>VÄSTERNORRLANDS LÄN</t>
        </is>
      </c>
      <c r="E534" t="inlineStr">
        <is>
          <t>TIMRÅ</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44379-2023</t>
        </is>
      </c>
      <c r="B535" s="1" t="n">
        <v>45188</v>
      </c>
      <c r="C535" s="1" t="n">
        <v>45670</v>
      </c>
      <c r="D535" t="inlineStr">
        <is>
          <t>VÄSTERNORRLANDS LÄN</t>
        </is>
      </c>
      <c r="E535" t="inlineStr">
        <is>
          <t>TIMRÅ</t>
        </is>
      </c>
      <c r="G535" t="n">
        <v>0.6</v>
      </c>
      <c r="H535" t="n">
        <v>0</v>
      </c>
      <c r="I535" t="n">
        <v>0</v>
      </c>
      <c r="J535" t="n">
        <v>0</v>
      </c>
      <c r="K535" t="n">
        <v>0</v>
      </c>
      <c r="L535" t="n">
        <v>0</v>
      </c>
      <c r="M535" t="n">
        <v>0</v>
      </c>
      <c r="N535" t="n">
        <v>0</v>
      </c>
      <c r="O535" t="n">
        <v>0</v>
      </c>
      <c r="P535" t="n">
        <v>0</v>
      </c>
      <c r="Q535" t="n">
        <v>0</v>
      </c>
      <c r="R535" s="2" t="inlineStr"/>
    </row>
    <row r="536" ht="15" customHeight="1">
      <c r="A536" t="inlineStr">
        <is>
          <t>A 44378-2023</t>
        </is>
      </c>
      <c r="B536" s="1" t="n">
        <v>45189</v>
      </c>
      <c r="C536" s="1" t="n">
        <v>45670</v>
      </c>
      <c r="D536" t="inlineStr">
        <is>
          <t>VÄSTERNORRLANDS LÄN</t>
        </is>
      </c>
      <c r="E536" t="inlineStr">
        <is>
          <t>TIMRÅ</t>
        </is>
      </c>
      <c r="G536" t="n">
        <v>0.6</v>
      </c>
      <c r="H536" t="n">
        <v>0</v>
      </c>
      <c r="I536" t="n">
        <v>0</v>
      </c>
      <c r="J536" t="n">
        <v>0</v>
      </c>
      <c r="K536" t="n">
        <v>0</v>
      </c>
      <c r="L536" t="n">
        <v>0</v>
      </c>
      <c r="M536" t="n">
        <v>0</v>
      </c>
      <c r="N536" t="n">
        <v>0</v>
      </c>
      <c r="O536" t="n">
        <v>0</v>
      </c>
      <c r="P536" t="n">
        <v>0</v>
      </c>
      <c r="Q536" t="n">
        <v>0</v>
      </c>
      <c r="R536" s="2" t="inlineStr"/>
    </row>
    <row r="537" ht="15" customHeight="1">
      <c r="A537" t="inlineStr">
        <is>
          <t>A 45774-2023</t>
        </is>
      </c>
      <c r="B537" s="1" t="n">
        <v>45189</v>
      </c>
      <c r="C537" s="1" t="n">
        <v>45670</v>
      </c>
      <c r="D537" t="inlineStr">
        <is>
          <t>VÄSTERNORRLANDS LÄN</t>
        </is>
      </c>
      <c r="E537" t="inlineStr">
        <is>
          <t>TIMRÅ</t>
        </is>
      </c>
      <c r="G537" t="n">
        <v>2.8</v>
      </c>
      <c r="H537" t="n">
        <v>0</v>
      </c>
      <c r="I537" t="n">
        <v>0</v>
      </c>
      <c r="J537" t="n">
        <v>0</v>
      </c>
      <c r="K537" t="n">
        <v>0</v>
      </c>
      <c r="L537" t="n">
        <v>0</v>
      </c>
      <c r="M537" t="n">
        <v>0</v>
      </c>
      <c r="N537" t="n">
        <v>0</v>
      </c>
      <c r="O537" t="n">
        <v>0</v>
      </c>
      <c r="P537" t="n">
        <v>0</v>
      </c>
      <c r="Q537" t="n">
        <v>0</v>
      </c>
      <c r="R537" s="2" t="inlineStr"/>
    </row>
    <row r="538" ht="15" customHeight="1">
      <c r="A538" t="inlineStr">
        <is>
          <t>A 44991-2023</t>
        </is>
      </c>
      <c r="B538" s="1" t="n">
        <v>45190</v>
      </c>
      <c r="C538" s="1" t="n">
        <v>45670</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44990-2023</t>
        </is>
      </c>
      <c r="B539" s="1" t="n">
        <v>45190</v>
      </c>
      <c r="C539" s="1" t="n">
        <v>45670</v>
      </c>
      <c r="D539" t="inlineStr">
        <is>
          <t>VÄSTERNORRLANDS LÄN</t>
        </is>
      </c>
      <c r="E539" t="inlineStr">
        <is>
          <t>TIMRÅ</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45723-2023</t>
        </is>
      </c>
      <c r="B540" s="1" t="n">
        <v>45195</v>
      </c>
      <c r="C540" s="1" t="n">
        <v>45670</v>
      </c>
      <c r="D540" t="inlineStr">
        <is>
          <t>VÄSTERNORRLANDS LÄN</t>
        </is>
      </c>
      <c r="E540" t="inlineStr">
        <is>
          <t>TIMRÅ</t>
        </is>
      </c>
      <c r="G540" t="n">
        <v>0.9</v>
      </c>
      <c r="H540" t="n">
        <v>0</v>
      </c>
      <c r="I540" t="n">
        <v>0</v>
      </c>
      <c r="J540" t="n">
        <v>0</v>
      </c>
      <c r="K540" t="n">
        <v>0</v>
      </c>
      <c r="L540" t="n">
        <v>0</v>
      </c>
      <c r="M540" t="n">
        <v>0</v>
      </c>
      <c r="N540" t="n">
        <v>0</v>
      </c>
      <c r="O540" t="n">
        <v>0</v>
      </c>
      <c r="P540" t="n">
        <v>0</v>
      </c>
      <c r="Q540" t="n">
        <v>0</v>
      </c>
      <c r="R540" s="2" t="inlineStr"/>
    </row>
    <row r="541" ht="15" customHeight="1">
      <c r="A541" t="inlineStr">
        <is>
          <t>A 45739-2023</t>
        </is>
      </c>
      <c r="B541" s="1" t="n">
        <v>45195</v>
      </c>
      <c r="C541" s="1" t="n">
        <v>45670</v>
      </c>
      <c r="D541" t="inlineStr">
        <is>
          <t>VÄSTERNORRLANDS LÄN</t>
        </is>
      </c>
      <c r="E541" t="inlineStr">
        <is>
          <t>TIMRÅ</t>
        </is>
      </c>
      <c r="G541" t="n">
        <v>1.5</v>
      </c>
      <c r="H541" t="n">
        <v>0</v>
      </c>
      <c r="I541" t="n">
        <v>0</v>
      </c>
      <c r="J541" t="n">
        <v>0</v>
      </c>
      <c r="K541" t="n">
        <v>0</v>
      </c>
      <c r="L541" t="n">
        <v>0</v>
      </c>
      <c r="M541" t="n">
        <v>0</v>
      </c>
      <c r="N541" t="n">
        <v>0</v>
      </c>
      <c r="O541" t="n">
        <v>0</v>
      </c>
      <c r="P541" t="n">
        <v>0</v>
      </c>
      <c r="Q541" t="n">
        <v>0</v>
      </c>
      <c r="R541" s="2" t="inlineStr"/>
    </row>
    <row r="542" ht="15" customHeight="1">
      <c r="A542" t="inlineStr">
        <is>
          <t>A 47147-2023</t>
        </is>
      </c>
      <c r="B542" s="1" t="n">
        <v>45201</v>
      </c>
      <c r="C542" s="1" t="n">
        <v>45670</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47150-2023</t>
        </is>
      </c>
      <c r="B543" s="1" t="n">
        <v>45201</v>
      </c>
      <c r="C543" s="1" t="n">
        <v>45670</v>
      </c>
      <c r="D543" t="inlineStr">
        <is>
          <t>VÄSTERNORRLANDS LÄN</t>
        </is>
      </c>
      <c r="E543" t="inlineStr">
        <is>
          <t>TIMRÅ</t>
        </is>
      </c>
      <c r="G543" t="n">
        <v>1.1</v>
      </c>
      <c r="H543" t="n">
        <v>0</v>
      </c>
      <c r="I543" t="n">
        <v>0</v>
      </c>
      <c r="J543" t="n">
        <v>0</v>
      </c>
      <c r="K543" t="n">
        <v>0</v>
      </c>
      <c r="L543" t="n">
        <v>0</v>
      </c>
      <c r="M543" t="n">
        <v>0</v>
      </c>
      <c r="N543" t="n">
        <v>0</v>
      </c>
      <c r="O543" t="n">
        <v>0</v>
      </c>
      <c r="P543" t="n">
        <v>0</v>
      </c>
      <c r="Q543" t="n">
        <v>0</v>
      </c>
      <c r="R543" s="2" t="inlineStr"/>
    </row>
    <row r="544" ht="15" customHeight="1">
      <c r="A544" t="inlineStr">
        <is>
          <t>A 48769-2023</t>
        </is>
      </c>
      <c r="B544" s="1" t="n">
        <v>45208</v>
      </c>
      <c r="C544" s="1" t="n">
        <v>45670</v>
      </c>
      <c r="D544" t="inlineStr">
        <is>
          <t>VÄSTERNORRLANDS LÄN</t>
        </is>
      </c>
      <c r="E544" t="inlineStr">
        <is>
          <t>TIMRÅ</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48786-2023</t>
        </is>
      </c>
      <c r="B545" s="1" t="n">
        <v>45208</v>
      </c>
      <c r="C545" s="1" t="n">
        <v>45670</v>
      </c>
      <c r="D545" t="inlineStr">
        <is>
          <t>VÄSTERNORRLANDS LÄN</t>
        </is>
      </c>
      <c r="E545" t="inlineStr">
        <is>
          <t>TIMRÅ</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48768-2023</t>
        </is>
      </c>
      <c r="B546" s="1" t="n">
        <v>45208</v>
      </c>
      <c r="C546" s="1" t="n">
        <v>45670</v>
      </c>
      <c r="D546" t="inlineStr">
        <is>
          <t>VÄSTERNORRLANDS LÄN</t>
        </is>
      </c>
      <c r="E546" t="inlineStr">
        <is>
          <t>TIMRÅ</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48785-2023</t>
        </is>
      </c>
      <c r="B547" s="1" t="n">
        <v>45208</v>
      </c>
      <c r="C547" s="1" t="n">
        <v>45670</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48784-2023</t>
        </is>
      </c>
      <c r="B548" s="1" t="n">
        <v>45208</v>
      </c>
      <c r="C548" s="1" t="n">
        <v>45670</v>
      </c>
      <c r="D548" t="inlineStr">
        <is>
          <t>VÄSTERNORRLANDS LÄN</t>
        </is>
      </c>
      <c r="E548" t="inlineStr">
        <is>
          <t>TIMRÅ</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50355-2023</t>
        </is>
      </c>
      <c r="B549" s="1" t="n">
        <v>45209</v>
      </c>
      <c r="C549" s="1" t="n">
        <v>45670</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50638-2023</t>
        </is>
      </c>
      <c r="B550" s="1" t="n">
        <v>45210</v>
      </c>
      <c r="C550" s="1" t="n">
        <v>45670</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50230-2023</t>
        </is>
      </c>
      <c r="B551" s="1" t="n">
        <v>45215</v>
      </c>
      <c r="C551" s="1" t="n">
        <v>45670</v>
      </c>
      <c r="D551" t="inlineStr">
        <is>
          <t>VÄSTERNORRLANDS LÄN</t>
        </is>
      </c>
      <c r="E551" t="inlineStr">
        <is>
          <t>TIMRÅ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51735-2023</t>
        </is>
      </c>
      <c r="B552" s="1" t="n">
        <v>45215</v>
      </c>
      <c r="C552" s="1" t="n">
        <v>45670</v>
      </c>
      <c r="D552" t="inlineStr">
        <is>
          <t>VÄSTERNORRLANDS LÄN</t>
        </is>
      </c>
      <c r="E552" t="inlineStr">
        <is>
          <t>TIMRÅ</t>
        </is>
      </c>
      <c r="G552" t="n">
        <v>8.5</v>
      </c>
      <c r="H552" t="n">
        <v>0</v>
      </c>
      <c r="I552" t="n">
        <v>0</v>
      </c>
      <c r="J552" t="n">
        <v>0</v>
      </c>
      <c r="K552" t="n">
        <v>0</v>
      </c>
      <c r="L552" t="n">
        <v>0</v>
      </c>
      <c r="M552" t="n">
        <v>0</v>
      </c>
      <c r="N552" t="n">
        <v>0</v>
      </c>
      <c r="O552" t="n">
        <v>0</v>
      </c>
      <c r="P552" t="n">
        <v>0</v>
      </c>
      <c r="Q552" t="n">
        <v>0</v>
      </c>
      <c r="R552" s="2" t="inlineStr"/>
    </row>
    <row r="553" ht="15" customHeight="1">
      <c r="A553" t="inlineStr">
        <is>
          <t>A 51871-2023</t>
        </is>
      </c>
      <c r="B553" s="1" t="n">
        <v>45215</v>
      </c>
      <c r="C553" s="1" t="n">
        <v>45670</v>
      </c>
      <c r="D553" t="inlineStr">
        <is>
          <t>VÄSTERNORRLANDS LÄN</t>
        </is>
      </c>
      <c r="E553" t="inlineStr">
        <is>
          <t>TIMRÅ</t>
        </is>
      </c>
      <c r="G553" t="n">
        <v>7.3</v>
      </c>
      <c r="H553" t="n">
        <v>0</v>
      </c>
      <c r="I553" t="n">
        <v>0</v>
      </c>
      <c r="J553" t="n">
        <v>0</v>
      </c>
      <c r="K553" t="n">
        <v>0</v>
      </c>
      <c r="L553" t="n">
        <v>0</v>
      </c>
      <c r="M553" t="n">
        <v>0</v>
      </c>
      <c r="N553" t="n">
        <v>0</v>
      </c>
      <c r="O553" t="n">
        <v>0</v>
      </c>
      <c r="P553" t="n">
        <v>0</v>
      </c>
      <c r="Q553" t="n">
        <v>0</v>
      </c>
      <c r="R553" s="2" t="inlineStr"/>
    </row>
    <row r="554" ht="15" customHeight="1">
      <c r="A554" t="inlineStr">
        <is>
          <t>A 51113-2023</t>
        </is>
      </c>
      <c r="B554" s="1" t="n">
        <v>45218</v>
      </c>
      <c r="C554" s="1" t="n">
        <v>45670</v>
      </c>
      <c r="D554" t="inlineStr">
        <is>
          <t>VÄSTERNORRLANDS LÄN</t>
        </is>
      </c>
      <c r="E554" t="inlineStr">
        <is>
          <t>TIMRÅ</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53033-2023</t>
        </is>
      </c>
      <c r="B555" s="1" t="n">
        <v>45227</v>
      </c>
      <c r="C555" s="1" t="n">
        <v>45670</v>
      </c>
      <c r="D555" t="inlineStr">
        <is>
          <t>VÄSTERNORRLANDS LÄN</t>
        </is>
      </c>
      <c r="E555" t="inlineStr">
        <is>
          <t>TIMRÅ</t>
        </is>
      </c>
      <c r="G555" t="n">
        <v>3.4</v>
      </c>
      <c r="H555" t="n">
        <v>0</v>
      </c>
      <c r="I555" t="n">
        <v>0</v>
      </c>
      <c r="J555" t="n">
        <v>0</v>
      </c>
      <c r="K555" t="n">
        <v>0</v>
      </c>
      <c r="L555" t="n">
        <v>0</v>
      </c>
      <c r="M555" t="n">
        <v>0</v>
      </c>
      <c r="N555" t="n">
        <v>0</v>
      </c>
      <c r="O555" t="n">
        <v>0</v>
      </c>
      <c r="P555" t="n">
        <v>0</v>
      </c>
      <c r="Q555" t="n">
        <v>0</v>
      </c>
      <c r="R555" s="2" t="inlineStr"/>
    </row>
    <row r="556" ht="15" customHeight="1">
      <c r="A556" t="inlineStr">
        <is>
          <t>A 53448-2023</t>
        </is>
      </c>
      <c r="B556" s="1" t="n">
        <v>45230</v>
      </c>
      <c r="C556" s="1" t="n">
        <v>45670</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53430-2023</t>
        </is>
      </c>
      <c r="B557" s="1" t="n">
        <v>45229</v>
      </c>
      <c r="C557" s="1" t="n">
        <v>45670</v>
      </c>
      <c r="D557" t="inlineStr">
        <is>
          <t>VÄSTERNORRLANDS LÄN</t>
        </is>
      </c>
      <c r="E557" t="inlineStr">
        <is>
          <t>TIMRÅ</t>
        </is>
      </c>
      <c r="G557" t="n">
        <v>2.6</v>
      </c>
      <c r="H557" t="n">
        <v>0</v>
      </c>
      <c r="I557" t="n">
        <v>0</v>
      </c>
      <c r="J557" t="n">
        <v>0</v>
      </c>
      <c r="K557" t="n">
        <v>0</v>
      </c>
      <c r="L557" t="n">
        <v>0</v>
      </c>
      <c r="M557" t="n">
        <v>0</v>
      </c>
      <c r="N557" t="n">
        <v>0</v>
      </c>
      <c r="O557" t="n">
        <v>0</v>
      </c>
      <c r="P557" t="n">
        <v>0</v>
      </c>
      <c r="Q557" t="n">
        <v>0</v>
      </c>
      <c r="R557" s="2" t="inlineStr"/>
    </row>
    <row r="558" ht="15" customHeight="1">
      <c r="A558" t="inlineStr">
        <is>
          <t>A 53755-2023</t>
        </is>
      </c>
      <c r="B558" s="1" t="n">
        <v>45230</v>
      </c>
      <c r="C558" s="1" t="n">
        <v>45670</v>
      </c>
      <c r="D558" t="inlineStr">
        <is>
          <t>VÄSTERNORRLANDS LÄN</t>
        </is>
      </c>
      <c r="E558" t="inlineStr">
        <is>
          <t>TIMRÅ</t>
        </is>
      </c>
      <c r="G558" t="n">
        <v>6.5</v>
      </c>
      <c r="H558" t="n">
        <v>0</v>
      </c>
      <c r="I558" t="n">
        <v>0</v>
      </c>
      <c r="J558" t="n">
        <v>0</v>
      </c>
      <c r="K558" t="n">
        <v>0</v>
      </c>
      <c r="L558" t="n">
        <v>0</v>
      </c>
      <c r="M558" t="n">
        <v>0</v>
      </c>
      <c r="N558" t="n">
        <v>0</v>
      </c>
      <c r="O558" t="n">
        <v>0</v>
      </c>
      <c r="P558" t="n">
        <v>0</v>
      </c>
      <c r="Q558" t="n">
        <v>0</v>
      </c>
      <c r="R558" s="2" t="inlineStr"/>
    </row>
    <row r="559" ht="15" customHeight="1">
      <c r="A559" t="inlineStr">
        <is>
          <t>A 54040-2023</t>
        </is>
      </c>
      <c r="B559" s="1" t="n">
        <v>45231</v>
      </c>
      <c r="C559" s="1" t="n">
        <v>45670</v>
      </c>
      <c r="D559" t="inlineStr">
        <is>
          <t>VÄSTERNORRLANDS LÄN</t>
        </is>
      </c>
      <c r="E559" t="inlineStr">
        <is>
          <t>TIMRÅ</t>
        </is>
      </c>
      <c r="F559" t="inlineStr">
        <is>
          <t>SCA</t>
        </is>
      </c>
      <c r="G559" t="n">
        <v>4.3</v>
      </c>
      <c r="H559" t="n">
        <v>0</v>
      </c>
      <c r="I559" t="n">
        <v>0</v>
      </c>
      <c r="J559" t="n">
        <v>0</v>
      </c>
      <c r="K559" t="n">
        <v>0</v>
      </c>
      <c r="L559" t="n">
        <v>0</v>
      </c>
      <c r="M559" t="n">
        <v>0</v>
      </c>
      <c r="N559" t="n">
        <v>0</v>
      </c>
      <c r="O559" t="n">
        <v>0</v>
      </c>
      <c r="P559" t="n">
        <v>0</v>
      </c>
      <c r="Q559" t="n">
        <v>0</v>
      </c>
      <c r="R559" s="2" t="inlineStr"/>
    </row>
    <row r="560" ht="15" customHeight="1">
      <c r="A560" t="inlineStr">
        <is>
          <t>A 54041-2023</t>
        </is>
      </c>
      <c r="B560" s="1" t="n">
        <v>45231</v>
      </c>
      <c r="C560" s="1" t="n">
        <v>45670</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55441-2023</t>
        </is>
      </c>
      <c r="B561" s="1" t="n">
        <v>45231</v>
      </c>
      <c r="C561" s="1" t="n">
        <v>45670</v>
      </c>
      <c r="D561" t="inlineStr">
        <is>
          <t>VÄSTERNORRLANDS LÄN</t>
        </is>
      </c>
      <c r="E561" t="inlineStr">
        <is>
          <t>TIMRÅ</t>
        </is>
      </c>
      <c r="G561" t="n">
        <v>1</v>
      </c>
      <c r="H561" t="n">
        <v>0</v>
      </c>
      <c r="I561" t="n">
        <v>0</v>
      </c>
      <c r="J561" t="n">
        <v>0</v>
      </c>
      <c r="K561" t="n">
        <v>0</v>
      </c>
      <c r="L561" t="n">
        <v>0</v>
      </c>
      <c r="M561" t="n">
        <v>0</v>
      </c>
      <c r="N561" t="n">
        <v>0</v>
      </c>
      <c r="O561" t="n">
        <v>0</v>
      </c>
      <c r="P561" t="n">
        <v>0</v>
      </c>
      <c r="Q561" t="n">
        <v>0</v>
      </c>
      <c r="R561" s="2" t="inlineStr"/>
    </row>
    <row r="562" ht="15" customHeight="1">
      <c r="A562" t="inlineStr">
        <is>
          <t>A 54610-2023</t>
        </is>
      </c>
      <c r="B562" s="1" t="n">
        <v>45233</v>
      </c>
      <c r="C562" s="1" t="n">
        <v>45670</v>
      </c>
      <c r="D562" t="inlineStr">
        <is>
          <t>VÄSTERNORRLANDS LÄN</t>
        </is>
      </c>
      <c r="E562" t="inlineStr">
        <is>
          <t>TIMRÅ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55673-2023</t>
        </is>
      </c>
      <c r="B563" s="1" t="n">
        <v>45238</v>
      </c>
      <c r="C563" s="1" t="n">
        <v>45670</v>
      </c>
      <c r="D563" t="inlineStr">
        <is>
          <t>VÄSTERNORRLANDS LÄN</t>
        </is>
      </c>
      <c r="E563" t="inlineStr">
        <is>
          <t>TIMRÅ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55930-2023</t>
        </is>
      </c>
      <c r="B564" s="1" t="n">
        <v>45240</v>
      </c>
      <c r="C564" s="1" t="n">
        <v>45670</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56237-2023</t>
        </is>
      </c>
      <c r="B565" s="1" t="n">
        <v>45240</v>
      </c>
      <c r="C565" s="1" t="n">
        <v>45670</v>
      </c>
      <c r="D565" t="inlineStr">
        <is>
          <t>VÄSTERNORRLANDS LÄN</t>
        </is>
      </c>
      <c r="E565" t="inlineStr">
        <is>
          <t>TIMRÅ</t>
        </is>
      </c>
      <c r="G565" t="n">
        <v>0.7</v>
      </c>
      <c r="H565" t="n">
        <v>0</v>
      </c>
      <c r="I565" t="n">
        <v>0</v>
      </c>
      <c r="J565" t="n">
        <v>0</v>
      </c>
      <c r="K565" t="n">
        <v>0</v>
      </c>
      <c r="L565" t="n">
        <v>0</v>
      </c>
      <c r="M565" t="n">
        <v>0</v>
      </c>
      <c r="N565" t="n">
        <v>0</v>
      </c>
      <c r="O565" t="n">
        <v>0</v>
      </c>
      <c r="P565" t="n">
        <v>0</v>
      </c>
      <c r="Q565" t="n">
        <v>0</v>
      </c>
      <c r="R565" s="2" t="inlineStr"/>
    </row>
    <row r="566" ht="15" customHeight="1">
      <c r="A566" t="inlineStr">
        <is>
          <t>A 56701-2023</t>
        </is>
      </c>
      <c r="B566" s="1" t="n">
        <v>45243</v>
      </c>
      <c r="C566" s="1" t="n">
        <v>45670</v>
      </c>
      <c r="D566" t="inlineStr">
        <is>
          <t>VÄSTERNORRLANDS LÄN</t>
        </is>
      </c>
      <c r="E566" t="inlineStr">
        <is>
          <t>TIMRÅ</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56692-2023</t>
        </is>
      </c>
      <c r="B567" s="1" t="n">
        <v>45243</v>
      </c>
      <c r="C567" s="1" t="n">
        <v>45670</v>
      </c>
      <c r="D567" t="inlineStr">
        <is>
          <t>VÄSTERNORRLANDS LÄN</t>
        </is>
      </c>
      <c r="E567" t="inlineStr">
        <is>
          <t>TIMRÅ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56765-2023</t>
        </is>
      </c>
      <c r="B568" s="1" t="n">
        <v>45244</v>
      </c>
      <c r="C568" s="1" t="n">
        <v>45670</v>
      </c>
      <c r="D568" t="inlineStr">
        <is>
          <t>VÄSTERNORRLANDS LÄN</t>
        </is>
      </c>
      <c r="E568" t="inlineStr">
        <is>
          <t>TIMRÅ</t>
        </is>
      </c>
      <c r="G568" t="n">
        <v>2</v>
      </c>
      <c r="H568" t="n">
        <v>0</v>
      </c>
      <c r="I568" t="n">
        <v>0</v>
      </c>
      <c r="J568" t="n">
        <v>0</v>
      </c>
      <c r="K568" t="n">
        <v>0</v>
      </c>
      <c r="L568" t="n">
        <v>0</v>
      </c>
      <c r="M568" t="n">
        <v>0</v>
      </c>
      <c r="N568" t="n">
        <v>0</v>
      </c>
      <c r="O568" t="n">
        <v>0</v>
      </c>
      <c r="P568" t="n">
        <v>0</v>
      </c>
      <c r="Q568" t="n">
        <v>0</v>
      </c>
      <c r="R568" s="2" t="inlineStr"/>
    </row>
    <row r="569" ht="15" customHeight="1">
      <c r="A569" t="inlineStr">
        <is>
          <t>A 57072-2023</t>
        </is>
      </c>
      <c r="B569" s="1" t="n">
        <v>45245</v>
      </c>
      <c r="C569" s="1" t="n">
        <v>45670</v>
      </c>
      <c r="D569" t="inlineStr">
        <is>
          <t>VÄSTERNORRLANDS LÄN</t>
        </is>
      </c>
      <c r="E569" t="inlineStr">
        <is>
          <t>TIMRÅ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57762-2023</t>
        </is>
      </c>
      <c r="B570" s="1" t="n">
        <v>45246</v>
      </c>
      <c r="C570" s="1" t="n">
        <v>45670</v>
      </c>
      <c r="D570" t="inlineStr">
        <is>
          <t>VÄSTERNORRLANDS LÄN</t>
        </is>
      </c>
      <c r="E570" t="inlineStr">
        <is>
          <t>TIMRÅ</t>
        </is>
      </c>
      <c r="G570" t="n">
        <v>2.5</v>
      </c>
      <c r="H570" t="n">
        <v>0</v>
      </c>
      <c r="I570" t="n">
        <v>0</v>
      </c>
      <c r="J570" t="n">
        <v>0</v>
      </c>
      <c r="K570" t="n">
        <v>0</v>
      </c>
      <c r="L570" t="n">
        <v>0</v>
      </c>
      <c r="M570" t="n">
        <v>0</v>
      </c>
      <c r="N570" t="n">
        <v>0</v>
      </c>
      <c r="O570" t="n">
        <v>0</v>
      </c>
      <c r="P570" t="n">
        <v>0</v>
      </c>
      <c r="Q570" t="n">
        <v>0</v>
      </c>
      <c r="R570" s="2" t="inlineStr"/>
    </row>
    <row r="571" ht="15" customHeight="1">
      <c r="A571" t="inlineStr">
        <is>
          <t>A 58062-2023</t>
        </is>
      </c>
      <c r="B571" s="1" t="n">
        <v>45247</v>
      </c>
      <c r="C571" s="1" t="n">
        <v>45670</v>
      </c>
      <c r="D571" t="inlineStr">
        <is>
          <t>VÄSTERNORRLANDS LÄN</t>
        </is>
      </c>
      <c r="E571" t="inlineStr">
        <is>
          <t>TIMRÅ</t>
        </is>
      </c>
      <c r="G571" t="n">
        <v>1.5</v>
      </c>
      <c r="H571" t="n">
        <v>0</v>
      </c>
      <c r="I571" t="n">
        <v>0</v>
      </c>
      <c r="J571" t="n">
        <v>0</v>
      </c>
      <c r="K571" t="n">
        <v>0</v>
      </c>
      <c r="L571" t="n">
        <v>0</v>
      </c>
      <c r="M571" t="n">
        <v>0</v>
      </c>
      <c r="N571" t="n">
        <v>0</v>
      </c>
      <c r="O571" t="n">
        <v>0</v>
      </c>
      <c r="P571" t="n">
        <v>0</v>
      </c>
      <c r="Q571" t="n">
        <v>0</v>
      </c>
      <c r="R571" s="2" t="inlineStr"/>
    </row>
    <row r="572" ht="15" customHeight="1">
      <c r="A572" t="inlineStr">
        <is>
          <t>A 58081-2023</t>
        </is>
      </c>
      <c r="B572" s="1" t="n">
        <v>45247</v>
      </c>
      <c r="C572" s="1" t="n">
        <v>45670</v>
      </c>
      <c r="D572" t="inlineStr">
        <is>
          <t>VÄSTERNORRLANDS LÄN</t>
        </is>
      </c>
      <c r="E572" t="inlineStr">
        <is>
          <t>TIMRÅ</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58087-2023</t>
        </is>
      </c>
      <c r="B573" s="1" t="n">
        <v>45248</v>
      </c>
      <c r="C573" s="1" t="n">
        <v>45670</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58998-2023</t>
        </is>
      </c>
      <c r="B574" s="1" t="n">
        <v>45250</v>
      </c>
      <c r="C574" s="1" t="n">
        <v>45670</v>
      </c>
      <c r="D574" t="inlineStr">
        <is>
          <t>VÄSTERNORRLANDS LÄN</t>
        </is>
      </c>
      <c r="E574" t="inlineStr">
        <is>
          <t>TIMRÅ</t>
        </is>
      </c>
      <c r="G574" t="n">
        <v>1.3</v>
      </c>
      <c r="H574" t="n">
        <v>0</v>
      </c>
      <c r="I574" t="n">
        <v>0</v>
      </c>
      <c r="J574" t="n">
        <v>0</v>
      </c>
      <c r="K574" t="n">
        <v>0</v>
      </c>
      <c r="L574" t="n">
        <v>0</v>
      </c>
      <c r="M574" t="n">
        <v>0</v>
      </c>
      <c r="N574" t="n">
        <v>0</v>
      </c>
      <c r="O574" t="n">
        <v>0</v>
      </c>
      <c r="P574" t="n">
        <v>0</v>
      </c>
      <c r="Q574" t="n">
        <v>0</v>
      </c>
      <c r="R574" s="2" t="inlineStr"/>
    </row>
    <row r="575" ht="15" customHeight="1">
      <c r="A575" t="inlineStr">
        <is>
          <t>A 58766-2023</t>
        </is>
      </c>
      <c r="B575" s="1" t="n">
        <v>45252</v>
      </c>
      <c r="C575" s="1" t="n">
        <v>45670</v>
      </c>
      <c r="D575" t="inlineStr">
        <is>
          <t>VÄSTERNORRLANDS LÄN</t>
        </is>
      </c>
      <c r="E575" t="inlineStr">
        <is>
          <t>TIMRÅ</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58895-2023</t>
        </is>
      </c>
      <c r="B576" s="1" t="n">
        <v>45252</v>
      </c>
      <c r="C576" s="1" t="n">
        <v>45670</v>
      </c>
      <c r="D576" t="inlineStr">
        <is>
          <t>VÄSTERNORRLANDS LÄN</t>
        </is>
      </c>
      <c r="E576" t="inlineStr">
        <is>
          <t>TIMRÅ</t>
        </is>
      </c>
      <c r="G576" t="n">
        <v>3.7</v>
      </c>
      <c r="H576" t="n">
        <v>0</v>
      </c>
      <c r="I576" t="n">
        <v>0</v>
      </c>
      <c r="J576" t="n">
        <v>0</v>
      </c>
      <c r="K576" t="n">
        <v>0</v>
      </c>
      <c r="L576" t="n">
        <v>0</v>
      </c>
      <c r="M576" t="n">
        <v>0</v>
      </c>
      <c r="N576" t="n">
        <v>0</v>
      </c>
      <c r="O576" t="n">
        <v>0</v>
      </c>
      <c r="P576" t="n">
        <v>0</v>
      </c>
      <c r="Q576" t="n">
        <v>0</v>
      </c>
      <c r="R576" s="2" t="inlineStr"/>
    </row>
    <row r="577" ht="15" customHeight="1">
      <c r="A577" t="inlineStr">
        <is>
          <t>A 59401-2023</t>
        </is>
      </c>
      <c r="B577" s="1" t="n">
        <v>45253</v>
      </c>
      <c r="C577" s="1" t="n">
        <v>45670</v>
      </c>
      <c r="D577" t="inlineStr">
        <is>
          <t>VÄSTERNORRLANDS LÄN</t>
        </is>
      </c>
      <c r="E577" t="inlineStr">
        <is>
          <t>TIMRÅ</t>
        </is>
      </c>
      <c r="G577" t="n">
        <v>11.2</v>
      </c>
      <c r="H577" t="n">
        <v>0</v>
      </c>
      <c r="I577" t="n">
        <v>0</v>
      </c>
      <c r="J577" t="n">
        <v>0</v>
      </c>
      <c r="K577" t="n">
        <v>0</v>
      </c>
      <c r="L577" t="n">
        <v>0</v>
      </c>
      <c r="M577" t="n">
        <v>0</v>
      </c>
      <c r="N577" t="n">
        <v>0</v>
      </c>
      <c r="O577" t="n">
        <v>0</v>
      </c>
      <c r="P577" t="n">
        <v>0</v>
      </c>
      <c r="Q577" t="n">
        <v>0</v>
      </c>
      <c r="R577" s="2" t="inlineStr"/>
    </row>
    <row r="578" ht="15" customHeight="1">
      <c r="A578" t="inlineStr">
        <is>
          <t>A 60011-2023</t>
        </is>
      </c>
      <c r="B578" s="1" t="n">
        <v>45257</v>
      </c>
      <c r="C578" s="1" t="n">
        <v>45670</v>
      </c>
      <c r="D578" t="inlineStr">
        <is>
          <t>VÄSTERNORRLANDS LÄN</t>
        </is>
      </c>
      <c r="E578" t="inlineStr">
        <is>
          <t>TIMRÅ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60074-2023</t>
        </is>
      </c>
      <c r="B579" s="1" t="n">
        <v>45258</v>
      </c>
      <c r="C579" s="1" t="n">
        <v>45670</v>
      </c>
      <c r="D579" t="inlineStr">
        <is>
          <t>VÄSTERNORRLANDS LÄN</t>
        </is>
      </c>
      <c r="E579" t="inlineStr">
        <is>
          <t>TIMRÅ</t>
        </is>
      </c>
      <c r="G579" t="n">
        <v>5</v>
      </c>
      <c r="H579" t="n">
        <v>0</v>
      </c>
      <c r="I579" t="n">
        <v>0</v>
      </c>
      <c r="J579" t="n">
        <v>0</v>
      </c>
      <c r="K579" t="n">
        <v>0</v>
      </c>
      <c r="L579" t="n">
        <v>0</v>
      </c>
      <c r="M579" t="n">
        <v>0</v>
      </c>
      <c r="N579" t="n">
        <v>0</v>
      </c>
      <c r="O579" t="n">
        <v>0</v>
      </c>
      <c r="P579" t="n">
        <v>0</v>
      </c>
      <c r="Q579" t="n">
        <v>0</v>
      </c>
      <c r="R579" s="2" t="inlineStr"/>
    </row>
    <row r="580" ht="15" customHeight="1">
      <c r="A580" t="inlineStr">
        <is>
          <t>A 61613-2023</t>
        </is>
      </c>
      <c r="B580" s="1" t="n">
        <v>45261</v>
      </c>
      <c r="C580" s="1" t="n">
        <v>45670</v>
      </c>
      <c r="D580" t="inlineStr">
        <is>
          <t>VÄSTERNORRLANDS LÄN</t>
        </is>
      </c>
      <c r="E580" t="inlineStr">
        <is>
          <t>TIMRÅ</t>
        </is>
      </c>
      <c r="G580" t="n">
        <v>0.9</v>
      </c>
      <c r="H580" t="n">
        <v>0</v>
      </c>
      <c r="I580" t="n">
        <v>0</v>
      </c>
      <c r="J580" t="n">
        <v>0</v>
      </c>
      <c r="K580" t="n">
        <v>0</v>
      </c>
      <c r="L580" t="n">
        <v>0</v>
      </c>
      <c r="M580" t="n">
        <v>0</v>
      </c>
      <c r="N580" t="n">
        <v>0</v>
      </c>
      <c r="O580" t="n">
        <v>0</v>
      </c>
      <c r="P580" t="n">
        <v>0</v>
      </c>
      <c r="Q580" t="n">
        <v>0</v>
      </c>
      <c r="R580" s="2" t="inlineStr"/>
    </row>
    <row r="581" ht="15" customHeight="1">
      <c r="A581" t="inlineStr">
        <is>
          <t>A 61606-2023</t>
        </is>
      </c>
      <c r="B581" s="1" t="n">
        <v>45261</v>
      </c>
      <c r="C581" s="1" t="n">
        <v>45670</v>
      </c>
      <c r="D581" t="inlineStr">
        <is>
          <t>VÄSTERNORRLANDS LÄN</t>
        </is>
      </c>
      <c r="E581" t="inlineStr">
        <is>
          <t>TIMRÅ</t>
        </is>
      </c>
      <c r="G581" t="n">
        <v>0.3</v>
      </c>
      <c r="H581" t="n">
        <v>0</v>
      </c>
      <c r="I581" t="n">
        <v>0</v>
      </c>
      <c r="J581" t="n">
        <v>0</v>
      </c>
      <c r="K581" t="n">
        <v>0</v>
      </c>
      <c r="L581" t="n">
        <v>0</v>
      </c>
      <c r="M581" t="n">
        <v>0</v>
      </c>
      <c r="N581" t="n">
        <v>0</v>
      </c>
      <c r="O581" t="n">
        <v>0</v>
      </c>
      <c r="P581" t="n">
        <v>0</v>
      </c>
      <c r="Q581" t="n">
        <v>0</v>
      </c>
      <c r="R581" s="2" t="inlineStr"/>
    </row>
    <row r="582" ht="15" customHeight="1">
      <c r="A582" t="inlineStr">
        <is>
          <t>A 61463-2023</t>
        </is>
      </c>
      <c r="B582" s="1" t="n">
        <v>45264</v>
      </c>
      <c r="C582" s="1" t="n">
        <v>45670</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61484-2023</t>
        </is>
      </c>
      <c r="B583" s="1" t="n">
        <v>45264</v>
      </c>
      <c r="C583" s="1" t="n">
        <v>45670</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61785-2023</t>
        </is>
      </c>
      <c r="B584" s="1" t="n">
        <v>45265</v>
      </c>
      <c r="C584" s="1" t="n">
        <v>45670</v>
      </c>
      <c r="D584" t="inlineStr">
        <is>
          <t>VÄSTERNORRLANDS LÄN</t>
        </is>
      </c>
      <c r="E584" t="inlineStr">
        <is>
          <t>TIMRÅ</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62474-2023</t>
        </is>
      </c>
      <c r="B585" s="1" t="n">
        <v>45267</v>
      </c>
      <c r="C585" s="1" t="n">
        <v>45670</v>
      </c>
      <c r="D585" t="inlineStr">
        <is>
          <t>VÄSTERNORRLANDS LÄN</t>
        </is>
      </c>
      <c r="E585" t="inlineStr">
        <is>
          <t>TIMRÅ</t>
        </is>
      </c>
      <c r="G585" t="n">
        <v>4</v>
      </c>
      <c r="H585" t="n">
        <v>0</v>
      </c>
      <c r="I585" t="n">
        <v>0</v>
      </c>
      <c r="J585" t="n">
        <v>0</v>
      </c>
      <c r="K585" t="n">
        <v>0</v>
      </c>
      <c r="L585" t="n">
        <v>0</v>
      </c>
      <c r="M585" t="n">
        <v>0</v>
      </c>
      <c r="N585" t="n">
        <v>0</v>
      </c>
      <c r="O585" t="n">
        <v>0</v>
      </c>
      <c r="P585" t="n">
        <v>0</v>
      </c>
      <c r="Q585" t="n">
        <v>0</v>
      </c>
      <c r="R585" s="2" t="inlineStr"/>
    </row>
    <row r="586" ht="15" customHeight="1">
      <c r="A586" t="inlineStr">
        <is>
          <t>A 63294-2023</t>
        </is>
      </c>
      <c r="B586" s="1" t="n">
        <v>45273</v>
      </c>
      <c r="C586" s="1" t="n">
        <v>45670</v>
      </c>
      <c r="D586" t="inlineStr">
        <is>
          <t>VÄSTERNORRLANDS LÄN</t>
        </is>
      </c>
      <c r="E586" t="inlineStr">
        <is>
          <t>TIMRÅ</t>
        </is>
      </c>
      <c r="F586" t="inlineStr">
        <is>
          <t>SCA</t>
        </is>
      </c>
      <c r="G586" t="n">
        <v>12.9</v>
      </c>
      <c r="H586" t="n">
        <v>0</v>
      </c>
      <c r="I586" t="n">
        <v>0</v>
      </c>
      <c r="J586" t="n">
        <v>0</v>
      </c>
      <c r="K586" t="n">
        <v>0</v>
      </c>
      <c r="L586" t="n">
        <v>0</v>
      </c>
      <c r="M586" t="n">
        <v>0</v>
      </c>
      <c r="N586" t="n">
        <v>0</v>
      </c>
      <c r="O586" t="n">
        <v>0</v>
      </c>
      <c r="P586" t="n">
        <v>0</v>
      </c>
      <c r="Q586" t="n">
        <v>0</v>
      </c>
      <c r="R586" s="2" t="inlineStr"/>
    </row>
    <row r="587" ht="15" customHeight="1">
      <c r="A587" t="inlineStr">
        <is>
          <t>A 64031-2023</t>
        </is>
      </c>
      <c r="B587" s="1" t="n">
        <v>45278</v>
      </c>
      <c r="C587" s="1" t="n">
        <v>45670</v>
      </c>
      <c r="D587" t="inlineStr">
        <is>
          <t>VÄSTERNORRLANDS LÄN</t>
        </is>
      </c>
      <c r="E587" t="inlineStr">
        <is>
          <t>TIMRÅ</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64732-2023</t>
        </is>
      </c>
      <c r="B588" s="1" t="n">
        <v>45281</v>
      </c>
      <c r="C588" s="1" t="n">
        <v>45670</v>
      </c>
      <c r="D588" t="inlineStr">
        <is>
          <t>VÄSTERNORRLANDS LÄN</t>
        </is>
      </c>
      <c r="E588" t="inlineStr">
        <is>
          <t>TIMRÅ</t>
        </is>
      </c>
      <c r="G588" t="n">
        <v>2.3</v>
      </c>
      <c r="H588" t="n">
        <v>0</v>
      </c>
      <c r="I588" t="n">
        <v>0</v>
      </c>
      <c r="J588" t="n">
        <v>0</v>
      </c>
      <c r="K588" t="n">
        <v>0</v>
      </c>
      <c r="L588" t="n">
        <v>0</v>
      </c>
      <c r="M588" t="n">
        <v>0</v>
      </c>
      <c r="N588" t="n">
        <v>0</v>
      </c>
      <c r="O588" t="n">
        <v>0</v>
      </c>
      <c r="P588" t="n">
        <v>0</v>
      </c>
      <c r="Q588" t="n">
        <v>0</v>
      </c>
      <c r="R588" s="2" t="inlineStr"/>
    </row>
    <row r="589" ht="15" customHeight="1">
      <c r="A589" t="inlineStr">
        <is>
          <t>A 64756-2023</t>
        </is>
      </c>
      <c r="B589" s="1" t="n">
        <v>45281</v>
      </c>
      <c r="C589" s="1" t="n">
        <v>45670</v>
      </c>
      <c r="D589" t="inlineStr">
        <is>
          <t>VÄSTERNORRLANDS LÄN</t>
        </is>
      </c>
      <c r="E589" t="inlineStr">
        <is>
          <t>TIMRÅ</t>
        </is>
      </c>
      <c r="F589" t="inlineStr">
        <is>
          <t>SCA</t>
        </is>
      </c>
      <c r="G589" t="n">
        <v>5.9</v>
      </c>
      <c r="H589" t="n">
        <v>0</v>
      </c>
      <c r="I589" t="n">
        <v>0</v>
      </c>
      <c r="J589" t="n">
        <v>0</v>
      </c>
      <c r="K589" t="n">
        <v>0</v>
      </c>
      <c r="L589" t="n">
        <v>0</v>
      </c>
      <c r="M589" t="n">
        <v>0</v>
      </c>
      <c r="N589" t="n">
        <v>0</v>
      </c>
      <c r="O589" t="n">
        <v>0</v>
      </c>
      <c r="P589" t="n">
        <v>0</v>
      </c>
      <c r="Q589" t="n">
        <v>0</v>
      </c>
      <c r="R589" s="2" t="inlineStr"/>
    </row>
    <row r="590" ht="15" customHeight="1">
      <c r="A590" t="inlineStr">
        <is>
          <t>A 64755-2023</t>
        </is>
      </c>
      <c r="B590" s="1" t="n">
        <v>45281</v>
      </c>
      <c r="C590" s="1" t="n">
        <v>45670</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252-2024</t>
        </is>
      </c>
      <c r="B591" s="1" t="n">
        <v>45295</v>
      </c>
      <c r="C591" s="1" t="n">
        <v>45670</v>
      </c>
      <c r="D591" t="inlineStr">
        <is>
          <t>VÄSTERNORRLANDS LÄN</t>
        </is>
      </c>
      <c r="E591" t="inlineStr">
        <is>
          <t>TIMRÅ</t>
        </is>
      </c>
      <c r="F591" t="inlineStr">
        <is>
          <t>SCA</t>
        </is>
      </c>
      <c r="G591" t="n">
        <v>12.7</v>
      </c>
      <c r="H591" t="n">
        <v>0</v>
      </c>
      <c r="I591" t="n">
        <v>0</v>
      </c>
      <c r="J591" t="n">
        <v>0</v>
      </c>
      <c r="K591" t="n">
        <v>0</v>
      </c>
      <c r="L591" t="n">
        <v>0</v>
      </c>
      <c r="M591" t="n">
        <v>0</v>
      </c>
      <c r="N591" t="n">
        <v>0</v>
      </c>
      <c r="O591" t="n">
        <v>0</v>
      </c>
      <c r="P591" t="n">
        <v>0</v>
      </c>
      <c r="Q591" t="n">
        <v>0</v>
      </c>
      <c r="R591" s="2" t="inlineStr"/>
    </row>
    <row r="592" ht="15" customHeight="1">
      <c r="A592" t="inlineStr">
        <is>
          <t>A 290-2024</t>
        </is>
      </c>
      <c r="B592" s="1" t="n">
        <v>45295</v>
      </c>
      <c r="C592" s="1" t="n">
        <v>45670</v>
      </c>
      <c r="D592" t="inlineStr">
        <is>
          <t>VÄSTERNORRLANDS LÄN</t>
        </is>
      </c>
      <c r="E592" t="inlineStr">
        <is>
          <t>TIMRÅ</t>
        </is>
      </c>
      <c r="G592" t="n">
        <v>10.5</v>
      </c>
      <c r="H592" t="n">
        <v>0</v>
      </c>
      <c r="I592" t="n">
        <v>0</v>
      </c>
      <c r="J592" t="n">
        <v>0</v>
      </c>
      <c r="K592" t="n">
        <v>0</v>
      </c>
      <c r="L592" t="n">
        <v>0</v>
      </c>
      <c r="M592" t="n">
        <v>0</v>
      </c>
      <c r="N592" t="n">
        <v>0</v>
      </c>
      <c r="O592" t="n">
        <v>0</v>
      </c>
      <c r="P592" t="n">
        <v>0</v>
      </c>
      <c r="Q592" t="n">
        <v>0</v>
      </c>
      <c r="R592" s="2" t="inlineStr"/>
    </row>
    <row r="593" ht="15" customHeight="1">
      <c r="A593" t="inlineStr">
        <is>
          <t>A 661-2024</t>
        </is>
      </c>
      <c r="B593" s="1" t="n">
        <v>45300</v>
      </c>
      <c r="C593" s="1" t="n">
        <v>45670</v>
      </c>
      <c r="D593" t="inlineStr">
        <is>
          <t>VÄSTERNORRLANDS LÄN</t>
        </is>
      </c>
      <c r="E593" t="inlineStr">
        <is>
          <t>TIMRÅ</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1273-2024</t>
        </is>
      </c>
      <c r="B594" s="1" t="n">
        <v>45302</v>
      </c>
      <c r="C594" s="1" t="n">
        <v>45670</v>
      </c>
      <c r="D594" t="inlineStr">
        <is>
          <t>VÄSTERNORRLANDS LÄN</t>
        </is>
      </c>
      <c r="E594" t="inlineStr">
        <is>
          <t>TIMRÅ</t>
        </is>
      </c>
      <c r="G594" t="n">
        <v>2.1</v>
      </c>
      <c r="H594" t="n">
        <v>0</v>
      </c>
      <c r="I594" t="n">
        <v>0</v>
      </c>
      <c r="J594" t="n">
        <v>0</v>
      </c>
      <c r="K594" t="n">
        <v>0</v>
      </c>
      <c r="L594" t="n">
        <v>0</v>
      </c>
      <c r="M594" t="n">
        <v>0</v>
      </c>
      <c r="N594" t="n">
        <v>0</v>
      </c>
      <c r="O594" t="n">
        <v>0</v>
      </c>
      <c r="P594" t="n">
        <v>0</v>
      </c>
      <c r="Q594" t="n">
        <v>0</v>
      </c>
      <c r="R594" s="2" t="inlineStr"/>
    </row>
    <row r="595" ht="15" customHeight="1">
      <c r="A595" t="inlineStr">
        <is>
          <t>A 1185-2024</t>
        </is>
      </c>
      <c r="B595" s="1" t="n">
        <v>45302</v>
      </c>
      <c r="C595" s="1" t="n">
        <v>45670</v>
      </c>
      <c r="D595" t="inlineStr">
        <is>
          <t>VÄSTERNORRLANDS LÄN</t>
        </is>
      </c>
      <c r="E595" t="inlineStr">
        <is>
          <t>TIMRÅ</t>
        </is>
      </c>
      <c r="G595" t="n">
        <v>4.4</v>
      </c>
      <c r="H595" t="n">
        <v>0</v>
      </c>
      <c r="I595" t="n">
        <v>0</v>
      </c>
      <c r="J595" t="n">
        <v>0</v>
      </c>
      <c r="K595" t="n">
        <v>0</v>
      </c>
      <c r="L595" t="n">
        <v>0</v>
      </c>
      <c r="M595" t="n">
        <v>0</v>
      </c>
      <c r="N595" t="n">
        <v>0</v>
      </c>
      <c r="O595" t="n">
        <v>0</v>
      </c>
      <c r="P595" t="n">
        <v>0</v>
      </c>
      <c r="Q595" t="n">
        <v>0</v>
      </c>
      <c r="R595" s="2" t="inlineStr"/>
    </row>
    <row r="596" ht="15" customHeight="1">
      <c r="A596" t="inlineStr">
        <is>
          <t>A 1272-2024</t>
        </is>
      </c>
      <c r="B596" s="1" t="n">
        <v>45302</v>
      </c>
      <c r="C596" s="1" t="n">
        <v>45670</v>
      </c>
      <c r="D596" t="inlineStr">
        <is>
          <t>VÄSTERNORRLANDS LÄN</t>
        </is>
      </c>
      <c r="E596" t="inlineStr">
        <is>
          <t>TIMRÅ</t>
        </is>
      </c>
      <c r="G596" t="n">
        <v>4.3</v>
      </c>
      <c r="H596" t="n">
        <v>0</v>
      </c>
      <c r="I596" t="n">
        <v>0</v>
      </c>
      <c r="J596" t="n">
        <v>0</v>
      </c>
      <c r="K596" t="n">
        <v>0</v>
      </c>
      <c r="L596" t="n">
        <v>0</v>
      </c>
      <c r="M596" t="n">
        <v>0</v>
      </c>
      <c r="N596" t="n">
        <v>0</v>
      </c>
      <c r="O596" t="n">
        <v>0</v>
      </c>
      <c r="P596" t="n">
        <v>0</v>
      </c>
      <c r="Q596" t="n">
        <v>0</v>
      </c>
      <c r="R596" s="2" t="inlineStr"/>
    </row>
    <row r="597" ht="15" customHeight="1">
      <c r="A597" t="inlineStr">
        <is>
          <t>A 1467-2024</t>
        </is>
      </c>
      <c r="B597" s="1" t="n">
        <v>45303</v>
      </c>
      <c r="C597" s="1" t="n">
        <v>45670</v>
      </c>
      <c r="D597" t="inlineStr">
        <is>
          <t>VÄSTERNORRLANDS LÄN</t>
        </is>
      </c>
      <c r="E597" t="inlineStr">
        <is>
          <t>TIMRÅ</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1675-2024</t>
        </is>
      </c>
      <c r="B598" s="1" t="n">
        <v>45306</v>
      </c>
      <c r="C598" s="1" t="n">
        <v>45670</v>
      </c>
      <c r="D598" t="inlineStr">
        <is>
          <t>VÄSTERNORRLANDS LÄN</t>
        </is>
      </c>
      <c r="E598" t="inlineStr">
        <is>
          <t>TIMRÅ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1683-2024</t>
        </is>
      </c>
      <c r="B599" s="1" t="n">
        <v>45307</v>
      </c>
      <c r="C599" s="1" t="n">
        <v>45670</v>
      </c>
      <c r="D599" t="inlineStr">
        <is>
          <t>VÄSTERNORRLANDS LÄN</t>
        </is>
      </c>
      <c r="E599" t="inlineStr">
        <is>
          <t>TIMRÅ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2062-2024</t>
        </is>
      </c>
      <c r="B600" s="1" t="n">
        <v>45308</v>
      </c>
      <c r="C600" s="1" t="n">
        <v>45670</v>
      </c>
      <c r="D600" t="inlineStr">
        <is>
          <t>VÄSTERNORRLANDS LÄN</t>
        </is>
      </c>
      <c r="E600" t="inlineStr">
        <is>
          <t>TIMRÅ</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2949-2024</t>
        </is>
      </c>
      <c r="B601" s="1" t="n">
        <v>45315</v>
      </c>
      <c r="C601" s="1" t="n">
        <v>45670</v>
      </c>
      <c r="D601" t="inlineStr">
        <is>
          <t>VÄSTERNORRLANDS LÄN</t>
        </is>
      </c>
      <c r="E601" t="inlineStr">
        <is>
          <t>TIMRÅ</t>
        </is>
      </c>
      <c r="G601" t="n">
        <v>7</v>
      </c>
      <c r="H601" t="n">
        <v>0</v>
      </c>
      <c r="I601" t="n">
        <v>0</v>
      </c>
      <c r="J601" t="n">
        <v>0</v>
      </c>
      <c r="K601" t="n">
        <v>0</v>
      </c>
      <c r="L601" t="n">
        <v>0</v>
      </c>
      <c r="M601" t="n">
        <v>0</v>
      </c>
      <c r="N601" t="n">
        <v>0</v>
      </c>
      <c r="O601" t="n">
        <v>0</v>
      </c>
      <c r="P601" t="n">
        <v>0</v>
      </c>
      <c r="Q601" t="n">
        <v>0</v>
      </c>
      <c r="R601" s="2" t="inlineStr"/>
    </row>
    <row r="602" ht="15" customHeight="1">
      <c r="A602" t="inlineStr">
        <is>
          <t>A 3229-2024</t>
        </is>
      </c>
      <c r="B602" s="1" t="n">
        <v>45316</v>
      </c>
      <c r="C602" s="1" t="n">
        <v>45670</v>
      </c>
      <c r="D602" t="inlineStr">
        <is>
          <t>VÄSTERNORRLANDS LÄN</t>
        </is>
      </c>
      <c r="E602" t="inlineStr">
        <is>
          <t>TIMRÅ</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3444-2024</t>
        </is>
      </c>
      <c r="B603" s="1" t="n">
        <v>45317</v>
      </c>
      <c r="C603" s="1" t="n">
        <v>45670</v>
      </c>
      <c r="D603" t="inlineStr">
        <is>
          <t>VÄSTERNORRLANDS LÄN</t>
        </is>
      </c>
      <c r="E603" t="inlineStr">
        <is>
          <t>TIMRÅ</t>
        </is>
      </c>
      <c r="G603" t="n">
        <v>10.5</v>
      </c>
      <c r="H603" t="n">
        <v>0</v>
      </c>
      <c r="I603" t="n">
        <v>0</v>
      </c>
      <c r="J603" t="n">
        <v>0</v>
      </c>
      <c r="K603" t="n">
        <v>0</v>
      </c>
      <c r="L603" t="n">
        <v>0</v>
      </c>
      <c r="M603" t="n">
        <v>0</v>
      </c>
      <c r="N603" t="n">
        <v>0</v>
      </c>
      <c r="O603" t="n">
        <v>0</v>
      </c>
      <c r="P603" t="n">
        <v>0</v>
      </c>
      <c r="Q603" t="n">
        <v>0</v>
      </c>
      <c r="R603" s="2" t="inlineStr"/>
    </row>
    <row r="604" ht="15" customHeight="1">
      <c r="A604" t="inlineStr">
        <is>
          <t>A 3804-2024</t>
        </is>
      </c>
      <c r="B604" s="1" t="n">
        <v>45321</v>
      </c>
      <c r="C604" s="1" t="n">
        <v>45670</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3989-2024</t>
        </is>
      </c>
      <c r="B605" s="1" t="n">
        <v>45322</v>
      </c>
      <c r="C605" s="1" t="n">
        <v>45670</v>
      </c>
      <c r="D605" t="inlineStr">
        <is>
          <t>VÄSTERNORRLANDS LÄN</t>
        </is>
      </c>
      <c r="E605" t="inlineStr">
        <is>
          <t>TIMRÅ</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4596-2024</t>
        </is>
      </c>
      <c r="B606" s="1" t="n">
        <v>45327</v>
      </c>
      <c r="C606" s="1" t="n">
        <v>45670</v>
      </c>
      <c r="D606" t="inlineStr">
        <is>
          <t>VÄSTERNORRLANDS LÄN</t>
        </is>
      </c>
      <c r="E606" t="inlineStr">
        <is>
          <t>TIMRÅ</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4821-2024</t>
        </is>
      </c>
      <c r="B607" s="1" t="n">
        <v>45328</v>
      </c>
      <c r="C607" s="1" t="n">
        <v>45670</v>
      </c>
      <c r="D607" t="inlineStr">
        <is>
          <t>VÄSTERNORRLANDS LÄN</t>
        </is>
      </c>
      <c r="E607" t="inlineStr">
        <is>
          <t>TIMRÅ</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5271-2024</t>
        </is>
      </c>
      <c r="B608" s="1" t="n">
        <v>45330</v>
      </c>
      <c r="C608" s="1" t="n">
        <v>45670</v>
      </c>
      <c r="D608" t="inlineStr">
        <is>
          <t>VÄSTERNORRLANDS LÄN</t>
        </is>
      </c>
      <c r="E608" t="inlineStr">
        <is>
          <t>TIMRÅ</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5265-2024</t>
        </is>
      </c>
      <c r="B609" s="1" t="n">
        <v>45330</v>
      </c>
      <c r="C609" s="1" t="n">
        <v>45670</v>
      </c>
      <c r="D609" t="inlineStr">
        <is>
          <t>VÄSTERNORRLANDS LÄN</t>
        </is>
      </c>
      <c r="E609" t="inlineStr">
        <is>
          <t>TIMRÅ</t>
        </is>
      </c>
      <c r="F609" t="inlineStr">
        <is>
          <t>SCA</t>
        </is>
      </c>
      <c r="G609" t="n">
        <v>5.1</v>
      </c>
      <c r="H609" t="n">
        <v>0</v>
      </c>
      <c r="I609" t="n">
        <v>0</v>
      </c>
      <c r="J609" t="n">
        <v>0</v>
      </c>
      <c r="K609" t="n">
        <v>0</v>
      </c>
      <c r="L609" t="n">
        <v>0</v>
      </c>
      <c r="M609" t="n">
        <v>0</v>
      </c>
      <c r="N609" t="n">
        <v>0</v>
      </c>
      <c r="O609" t="n">
        <v>0</v>
      </c>
      <c r="P609" t="n">
        <v>0</v>
      </c>
      <c r="Q609" t="n">
        <v>0</v>
      </c>
      <c r="R609" s="2" t="inlineStr"/>
    </row>
    <row r="610" ht="15" customHeight="1">
      <c r="A610" t="inlineStr">
        <is>
          <t>A 5722-2024</t>
        </is>
      </c>
      <c r="B610" s="1" t="n">
        <v>45334</v>
      </c>
      <c r="C610" s="1" t="n">
        <v>45670</v>
      </c>
      <c r="D610" t="inlineStr">
        <is>
          <t>VÄSTERNORRLANDS LÄN</t>
        </is>
      </c>
      <c r="E610" t="inlineStr">
        <is>
          <t>TIMRÅ</t>
        </is>
      </c>
      <c r="G610" t="n">
        <v>2.2</v>
      </c>
      <c r="H610" t="n">
        <v>0</v>
      </c>
      <c r="I610" t="n">
        <v>0</v>
      </c>
      <c r="J610" t="n">
        <v>0</v>
      </c>
      <c r="K610" t="n">
        <v>0</v>
      </c>
      <c r="L610" t="n">
        <v>0</v>
      </c>
      <c r="M610" t="n">
        <v>0</v>
      </c>
      <c r="N610" t="n">
        <v>0</v>
      </c>
      <c r="O610" t="n">
        <v>0</v>
      </c>
      <c r="P610" t="n">
        <v>0</v>
      </c>
      <c r="Q610" t="n">
        <v>0</v>
      </c>
      <c r="R610" s="2" t="inlineStr"/>
    </row>
    <row r="611" ht="15" customHeight="1">
      <c r="A611" t="inlineStr">
        <is>
          <t>A 5921-2024</t>
        </is>
      </c>
      <c r="B611" s="1" t="n">
        <v>45335</v>
      </c>
      <c r="C611" s="1" t="n">
        <v>45670</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6088-2024</t>
        </is>
      </c>
      <c r="B612" s="1" t="n">
        <v>45336</v>
      </c>
      <c r="C612" s="1" t="n">
        <v>45670</v>
      </c>
      <c r="D612" t="inlineStr">
        <is>
          <t>VÄSTERNORRLANDS LÄN</t>
        </is>
      </c>
      <c r="E612" t="inlineStr">
        <is>
          <t>TIMRÅ</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6893-2024</t>
        </is>
      </c>
      <c r="B613" s="1" t="n">
        <v>45342</v>
      </c>
      <c r="C613" s="1" t="n">
        <v>45670</v>
      </c>
      <c r="D613" t="inlineStr">
        <is>
          <t>VÄSTERNORRLANDS LÄN</t>
        </is>
      </c>
      <c r="E613" t="inlineStr">
        <is>
          <t>TIMRÅ</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7151-2024</t>
        </is>
      </c>
      <c r="B614" s="1" t="n">
        <v>45344</v>
      </c>
      <c r="C614" s="1" t="n">
        <v>45670</v>
      </c>
      <c r="D614" t="inlineStr">
        <is>
          <t>VÄSTERNORRLANDS LÄN</t>
        </is>
      </c>
      <c r="E614" t="inlineStr">
        <is>
          <t>TIMRÅ</t>
        </is>
      </c>
      <c r="G614" t="n">
        <v>2.9</v>
      </c>
      <c r="H614" t="n">
        <v>0</v>
      </c>
      <c r="I614" t="n">
        <v>0</v>
      </c>
      <c r="J614" t="n">
        <v>0</v>
      </c>
      <c r="K614" t="n">
        <v>0</v>
      </c>
      <c r="L614" t="n">
        <v>0</v>
      </c>
      <c r="M614" t="n">
        <v>0</v>
      </c>
      <c r="N614" t="n">
        <v>0</v>
      </c>
      <c r="O614" t="n">
        <v>0</v>
      </c>
      <c r="P614" t="n">
        <v>0</v>
      </c>
      <c r="Q614" t="n">
        <v>0</v>
      </c>
      <c r="R614" s="2" t="inlineStr"/>
    </row>
    <row r="615" ht="15" customHeight="1">
      <c r="A615" t="inlineStr">
        <is>
          <t>A 7291-2024</t>
        </is>
      </c>
      <c r="B615" s="1" t="n">
        <v>45344</v>
      </c>
      <c r="C615" s="1" t="n">
        <v>45670</v>
      </c>
      <c r="D615" t="inlineStr">
        <is>
          <t>VÄSTERNORRLANDS LÄN</t>
        </is>
      </c>
      <c r="E615" t="inlineStr">
        <is>
          <t>TIMRÅ</t>
        </is>
      </c>
      <c r="F615" t="inlineStr">
        <is>
          <t>SCA</t>
        </is>
      </c>
      <c r="G615" t="n">
        <v>7.6</v>
      </c>
      <c r="H615" t="n">
        <v>0</v>
      </c>
      <c r="I615" t="n">
        <v>0</v>
      </c>
      <c r="J615" t="n">
        <v>0</v>
      </c>
      <c r="K615" t="n">
        <v>0</v>
      </c>
      <c r="L615" t="n">
        <v>0</v>
      </c>
      <c r="M615" t="n">
        <v>0</v>
      </c>
      <c r="N615" t="n">
        <v>0</v>
      </c>
      <c r="O615" t="n">
        <v>0</v>
      </c>
      <c r="P615" t="n">
        <v>0</v>
      </c>
      <c r="Q615" t="n">
        <v>0</v>
      </c>
      <c r="R615" s="2" t="inlineStr"/>
    </row>
    <row r="616" ht="15" customHeight="1">
      <c r="A616" t="inlineStr">
        <is>
          <t>A 7299-2024</t>
        </is>
      </c>
      <c r="B616" s="1" t="n">
        <v>45344</v>
      </c>
      <c r="C616" s="1" t="n">
        <v>45670</v>
      </c>
      <c r="D616" t="inlineStr">
        <is>
          <t>VÄSTERNORRLANDS LÄN</t>
        </is>
      </c>
      <c r="E616" t="inlineStr">
        <is>
          <t>TIMRÅ</t>
        </is>
      </c>
      <c r="F616" t="inlineStr">
        <is>
          <t>SCA</t>
        </is>
      </c>
      <c r="G616" t="n">
        <v>16.3</v>
      </c>
      <c r="H616" t="n">
        <v>0</v>
      </c>
      <c r="I616" t="n">
        <v>0</v>
      </c>
      <c r="J616" t="n">
        <v>0</v>
      </c>
      <c r="K616" t="n">
        <v>0</v>
      </c>
      <c r="L616" t="n">
        <v>0</v>
      </c>
      <c r="M616" t="n">
        <v>0</v>
      </c>
      <c r="N616" t="n">
        <v>0</v>
      </c>
      <c r="O616" t="n">
        <v>0</v>
      </c>
      <c r="P616" t="n">
        <v>0</v>
      </c>
      <c r="Q616" t="n">
        <v>0</v>
      </c>
      <c r="R616" s="2" t="inlineStr"/>
    </row>
    <row r="617" ht="15" customHeight="1">
      <c r="A617" t="inlineStr">
        <is>
          <t>A 7292-2024</t>
        </is>
      </c>
      <c r="B617" s="1" t="n">
        <v>45344</v>
      </c>
      <c r="C617" s="1" t="n">
        <v>45670</v>
      </c>
      <c r="D617" t="inlineStr">
        <is>
          <t>VÄSTERNORRLANDS LÄN</t>
        </is>
      </c>
      <c r="E617" t="inlineStr">
        <is>
          <t>TIMRÅ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7478-2024</t>
        </is>
      </c>
      <c r="B618" s="1" t="n">
        <v>45345</v>
      </c>
      <c r="C618" s="1" t="n">
        <v>45670</v>
      </c>
      <c r="D618" t="inlineStr">
        <is>
          <t>VÄSTERNORRLANDS LÄN</t>
        </is>
      </c>
      <c r="E618" t="inlineStr">
        <is>
          <t>TIMRÅ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7476-2024</t>
        </is>
      </c>
      <c r="B619" s="1" t="n">
        <v>45345</v>
      </c>
      <c r="C619" s="1" t="n">
        <v>45670</v>
      </c>
      <c r="D619" t="inlineStr">
        <is>
          <t>VÄSTERNORRLANDS LÄN</t>
        </is>
      </c>
      <c r="E619" t="inlineStr">
        <is>
          <t>TIMRÅ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7477-2024</t>
        </is>
      </c>
      <c r="B620" s="1" t="n">
        <v>45345</v>
      </c>
      <c r="C620" s="1" t="n">
        <v>45670</v>
      </c>
      <c r="D620" t="inlineStr">
        <is>
          <t>VÄSTERNORRLANDS LÄN</t>
        </is>
      </c>
      <c r="E620" t="inlineStr">
        <is>
          <t>TIMRÅ</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7507-2024</t>
        </is>
      </c>
      <c r="B621" s="1" t="n">
        <v>45347</v>
      </c>
      <c r="C621" s="1" t="n">
        <v>45670</v>
      </c>
      <c r="D621" t="inlineStr">
        <is>
          <t>VÄSTERNORRLANDS LÄN</t>
        </is>
      </c>
      <c r="E621" t="inlineStr">
        <is>
          <t>TIMRÅ</t>
        </is>
      </c>
      <c r="F621" t="inlineStr">
        <is>
          <t>SCA</t>
        </is>
      </c>
      <c r="G621" t="n">
        <v>15.5</v>
      </c>
      <c r="H621" t="n">
        <v>0</v>
      </c>
      <c r="I621" t="n">
        <v>0</v>
      </c>
      <c r="J621" t="n">
        <v>0</v>
      </c>
      <c r="K621" t="n">
        <v>0</v>
      </c>
      <c r="L621" t="n">
        <v>0</v>
      </c>
      <c r="M621" t="n">
        <v>0</v>
      </c>
      <c r="N621" t="n">
        <v>0</v>
      </c>
      <c r="O621" t="n">
        <v>0</v>
      </c>
      <c r="P621" t="n">
        <v>0</v>
      </c>
      <c r="Q621" t="n">
        <v>0</v>
      </c>
      <c r="R621" s="2" t="inlineStr"/>
    </row>
    <row r="622" ht="15" customHeight="1">
      <c r="A622" t="inlineStr">
        <is>
          <t>A 7859-2024</t>
        </is>
      </c>
      <c r="B622" s="1" t="n">
        <v>45350</v>
      </c>
      <c r="C622" s="1" t="n">
        <v>45670</v>
      </c>
      <c r="D622" t="inlineStr">
        <is>
          <t>VÄSTERNORRLANDS LÄN</t>
        </is>
      </c>
      <c r="E622" t="inlineStr">
        <is>
          <t>TIMRÅ</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8240-2024</t>
        </is>
      </c>
      <c r="B623" s="1" t="n">
        <v>45351</v>
      </c>
      <c r="C623" s="1" t="n">
        <v>45670</v>
      </c>
      <c r="D623" t="inlineStr">
        <is>
          <t>VÄSTERNORRLANDS LÄN</t>
        </is>
      </c>
      <c r="E623" t="inlineStr">
        <is>
          <t>TIMRÅ</t>
        </is>
      </c>
      <c r="F623" t="inlineStr">
        <is>
          <t>SCA</t>
        </is>
      </c>
      <c r="G623" t="n">
        <v>17.4</v>
      </c>
      <c r="H623" t="n">
        <v>0</v>
      </c>
      <c r="I623" t="n">
        <v>0</v>
      </c>
      <c r="J623" t="n">
        <v>0</v>
      </c>
      <c r="K623" t="n">
        <v>0</v>
      </c>
      <c r="L623" t="n">
        <v>0</v>
      </c>
      <c r="M623" t="n">
        <v>0</v>
      </c>
      <c r="N623" t="n">
        <v>0</v>
      </c>
      <c r="O623" t="n">
        <v>0</v>
      </c>
      <c r="P623" t="n">
        <v>0</v>
      </c>
      <c r="Q623" t="n">
        <v>0</v>
      </c>
      <c r="R623" s="2" t="inlineStr"/>
      <c r="U623">
        <f>HYPERLINK("https://klasma.github.io/Logging_2262/knärot/A 8240-2024 karta knärot.png", "A 8240-2024")</f>
        <v/>
      </c>
      <c r="V623">
        <f>HYPERLINK("https://klasma.github.io/Logging_2262/klagomål/A 8240-2024 FSC-klagomål.docx", "A 8240-2024")</f>
        <v/>
      </c>
      <c r="W623">
        <f>HYPERLINK("https://klasma.github.io/Logging_2262/klagomålsmail/A 8240-2024 FSC-klagomål mail.docx", "A 8240-2024")</f>
        <v/>
      </c>
      <c r="X623">
        <f>HYPERLINK("https://klasma.github.io/Logging_2262/tillsyn/A 8240-2024 tillsynsbegäran.docx", "A 8240-2024")</f>
        <v/>
      </c>
      <c r="Y623">
        <f>HYPERLINK("https://klasma.github.io/Logging_2262/tillsynsmail/A 8240-2024 tillsynsbegäran mail.docx", "A 8240-2024")</f>
        <v/>
      </c>
    </row>
    <row r="624" ht="15" customHeight="1">
      <c r="A624" t="inlineStr">
        <is>
          <t>A 8237-2024</t>
        </is>
      </c>
      <c r="B624" s="1" t="n">
        <v>45351</v>
      </c>
      <c r="C624" s="1" t="n">
        <v>45670</v>
      </c>
      <c r="D624" t="inlineStr">
        <is>
          <t>VÄSTERNORRLANDS LÄN</t>
        </is>
      </c>
      <c r="E624" t="inlineStr">
        <is>
          <t>TIMRÅ</t>
        </is>
      </c>
      <c r="F624" t="inlineStr">
        <is>
          <t>SCA</t>
        </is>
      </c>
      <c r="G624" t="n">
        <v>14.2</v>
      </c>
      <c r="H624" t="n">
        <v>0</v>
      </c>
      <c r="I624" t="n">
        <v>0</v>
      </c>
      <c r="J624" t="n">
        <v>0</v>
      </c>
      <c r="K624" t="n">
        <v>0</v>
      </c>
      <c r="L624" t="n">
        <v>0</v>
      </c>
      <c r="M624" t="n">
        <v>0</v>
      </c>
      <c r="N624" t="n">
        <v>0</v>
      </c>
      <c r="O624" t="n">
        <v>0</v>
      </c>
      <c r="P624" t="n">
        <v>0</v>
      </c>
      <c r="Q624" t="n">
        <v>0</v>
      </c>
      <c r="R624" s="2" t="inlineStr"/>
    </row>
    <row r="625" ht="15" customHeight="1">
      <c r="A625" t="inlineStr">
        <is>
          <t>A 8526-2024</t>
        </is>
      </c>
      <c r="B625" s="1" t="n">
        <v>45351</v>
      </c>
      <c r="C625" s="1" t="n">
        <v>45670</v>
      </c>
      <c r="D625" t="inlineStr">
        <is>
          <t>VÄSTERNORRLANDS LÄN</t>
        </is>
      </c>
      <c r="E625" t="inlineStr">
        <is>
          <t>TIMRÅ</t>
        </is>
      </c>
      <c r="G625" t="n">
        <v>0.7</v>
      </c>
      <c r="H625" t="n">
        <v>0</v>
      </c>
      <c r="I625" t="n">
        <v>0</v>
      </c>
      <c r="J625" t="n">
        <v>0</v>
      </c>
      <c r="K625" t="n">
        <v>0</v>
      </c>
      <c r="L625" t="n">
        <v>0</v>
      </c>
      <c r="M625" t="n">
        <v>0</v>
      </c>
      <c r="N625" t="n">
        <v>0</v>
      </c>
      <c r="O625" t="n">
        <v>0</v>
      </c>
      <c r="P625" t="n">
        <v>0</v>
      </c>
      <c r="Q625" t="n">
        <v>0</v>
      </c>
      <c r="R625" s="2" t="inlineStr"/>
    </row>
    <row r="626" ht="15" customHeight="1">
      <c r="A626" t="inlineStr">
        <is>
          <t>A 8506-2024</t>
        </is>
      </c>
      <c r="B626" s="1" t="n">
        <v>45351</v>
      </c>
      <c r="C626" s="1" t="n">
        <v>45670</v>
      </c>
      <c r="D626" t="inlineStr">
        <is>
          <t>VÄSTERNORRLANDS LÄN</t>
        </is>
      </c>
      <c r="E626" t="inlineStr">
        <is>
          <t>TIMRÅ</t>
        </is>
      </c>
      <c r="G626" t="n">
        <v>3.6</v>
      </c>
      <c r="H626" t="n">
        <v>0</v>
      </c>
      <c r="I626" t="n">
        <v>0</v>
      </c>
      <c r="J626" t="n">
        <v>0</v>
      </c>
      <c r="K626" t="n">
        <v>0</v>
      </c>
      <c r="L626" t="n">
        <v>0</v>
      </c>
      <c r="M626" t="n">
        <v>0</v>
      </c>
      <c r="N626" t="n">
        <v>0</v>
      </c>
      <c r="O626" t="n">
        <v>0</v>
      </c>
      <c r="P626" t="n">
        <v>0</v>
      </c>
      <c r="Q626" t="n">
        <v>0</v>
      </c>
      <c r="R626" s="2" t="inlineStr"/>
    </row>
    <row r="627" ht="15" customHeight="1">
      <c r="A627" t="inlineStr">
        <is>
          <t>A 8640-2024</t>
        </is>
      </c>
      <c r="B627" s="1" t="n">
        <v>45356</v>
      </c>
      <c r="C627" s="1" t="n">
        <v>45670</v>
      </c>
      <c r="D627" t="inlineStr">
        <is>
          <t>VÄSTERNORRLANDS LÄN</t>
        </is>
      </c>
      <c r="E627" t="inlineStr">
        <is>
          <t>TIMRÅ</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8877-2024</t>
        </is>
      </c>
      <c r="B628" s="1" t="n">
        <v>45356</v>
      </c>
      <c r="C628" s="1" t="n">
        <v>45670</v>
      </c>
      <c r="D628" t="inlineStr">
        <is>
          <t>VÄSTERNORRLANDS LÄN</t>
        </is>
      </c>
      <c r="E628" t="inlineStr">
        <is>
          <t>TIMRÅ</t>
        </is>
      </c>
      <c r="G628" t="n">
        <v>1.9</v>
      </c>
      <c r="H628" t="n">
        <v>0</v>
      </c>
      <c r="I628" t="n">
        <v>0</v>
      </c>
      <c r="J628" t="n">
        <v>0</v>
      </c>
      <c r="K628" t="n">
        <v>0</v>
      </c>
      <c r="L628" t="n">
        <v>0</v>
      </c>
      <c r="M628" t="n">
        <v>0</v>
      </c>
      <c r="N628" t="n">
        <v>0</v>
      </c>
      <c r="O628" t="n">
        <v>0</v>
      </c>
      <c r="P628" t="n">
        <v>0</v>
      </c>
      <c r="Q628" t="n">
        <v>0</v>
      </c>
      <c r="R628" s="2" t="inlineStr"/>
    </row>
    <row r="629" ht="15" customHeight="1">
      <c r="A629" t="inlineStr">
        <is>
          <t>A 9327-2024</t>
        </is>
      </c>
      <c r="B629" s="1" t="n">
        <v>45359</v>
      </c>
      <c r="C629" s="1" t="n">
        <v>45670</v>
      </c>
      <c r="D629" t="inlineStr">
        <is>
          <t>VÄSTERNORRLANDS LÄN</t>
        </is>
      </c>
      <c r="E629" t="inlineStr">
        <is>
          <t>TIMRÅ</t>
        </is>
      </c>
      <c r="F629" t="inlineStr">
        <is>
          <t>SCA</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9331-2024</t>
        </is>
      </c>
      <c r="B630" s="1" t="n">
        <v>45359</v>
      </c>
      <c r="C630" s="1" t="n">
        <v>45670</v>
      </c>
      <c r="D630" t="inlineStr">
        <is>
          <t>VÄSTERNORRLANDS LÄN</t>
        </is>
      </c>
      <c r="E630" t="inlineStr">
        <is>
          <t>TIMRÅ</t>
        </is>
      </c>
      <c r="F630" t="inlineStr">
        <is>
          <t>SCA</t>
        </is>
      </c>
      <c r="G630" t="n">
        <v>9.6</v>
      </c>
      <c r="H630" t="n">
        <v>0</v>
      </c>
      <c r="I630" t="n">
        <v>0</v>
      </c>
      <c r="J630" t="n">
        <v>0</v>
      </c>
      <c r="K630" t="n">
        <v>0</v>
      </c>
      <c r="L630" t="n">
        <v>0</v>
      </c>
      <c r="M630" t="n">
        <v>0</v>
      </c>
      <c r="N630" t="n">
        <v>0</v>
      </c>
      <c r="O630" t="n">
        <v>0</v>
      </c>
      <c r="P630" t="n">
        <v>0</v>
      </c>
      <c r="Q630" t="n">
        <v>0</v>
      </c>
      <c r="R630" s="2" t="inlineStr"/>
    </row>
    <row r="631" ht="15" customHeight="1">
      <c r="A631" t="inlineStr">
        <is>
          <t>A 9338-2024</t>
        </is>
      </c>
      <c r="B631" s="1" t="n">
        <v>45358</v>
      </c>
      <c r="C631" s="1" t="n">
        <v>45670</v>
      </c>
      <c r="D631" t="inlineStr">
        <is>
          <t>VÄSTERNORRLANDS LÄN</t>
        </is>
      </c>
      <c r="E631" t="inlineStr">
        <is>
          <t>TIMRÅ</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9823-2024</t>
        </is>
      </c>
      <c r="B632" s="1" t="n">
        <v>45363</v>
      </c>
      <c r="C632" s="1" t="n">
        <v>45670</v>
      </c>
      <c r="D632" t="inlineStr">
        <is>
          <t>VÄSTERNORRLANDS LÄN</t>
        </is>
      </c>
      <c r="E632" t="inlineStr">
        <is>
          <t>TIMRÅ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10745-2024</t>
        </is>
      </c>
      <c r="B633" s="1" t="n">
        <v>45369</v>
      </c>
      <c r="C633" s="1" t="n">
        <v>45670</v>
      </c>
      <c r="D633" t="inlineStr">
        <is>
          <t>VÄSTERNORRLANDS LÄN</t>
        </is>
      </c>
      <c r="E633" t="inlineStr">
        <is>
          <t>TIMRÅ</t>
        </is>
      </c>
      <c r="G633" t="n">
        <v>1.5</v>
      </c>
      <c r="H633" t="n">
        <v>0</v>
      </c>
      <c r="I633" t="n">
        <v>0</v>
      </c>
      <c r="J633" t="n">
        <v>0</v>
      </c>
      <c r="K633" t="n">
        <v>0</v>
      </c>
      <c r="L633" t="n">
        <v>0</v>
      </c>
      <c r="M633" t="n">
        <v>0</v>
      </c>
      <c r="N633" t="n">
        <v>0</v>
      </c>
      <c r="O633" t="n">
        <v>0</v>
      </c>
      <c r="P633" t="n">
        <v>0</v>
      </c>
      <c r="Q633" t="n">
        <v>0</v>
      </c>
      <c r="R633" s="2" t="inlineStr"/>
    </row>
    <row r="634" ht="15" customHeight="1">
      <c r="A634" t="inlineStr">
        <is>
          <t>A 10852-2024</t>
        </is>
      </c>
      <c r="B634" s="1" t="n">
        <v>45370</v>
      </c>
      <c r="C634" s="1" t="n">
        <v>45670</v>
      </c>
      <c r="D634" t="inlineStr">
        <is>
          <t>VÄSTERNORRLANDS LÄN</t>
        </is>
      </c>
      <c r="E634" t="inlineStr">
        <is>
          <t>TIMRÅ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11556-2024</t>
        </is>
      </c>
      <c r="B635" s="1" t="n">
        <v>45373</v>
      </c>
      <c r="C635" s="1" t="n">
        <v>45670</v>
      </c>
      <c r="D635" t="inlineStr">
        <is>
          <t>VÄSTERNORRLANDS LÄN</t>
        </is>
      </c>
      <c r="E635" t="inlineStr">
        <is>
          <t>TIMRÅ</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12182-2024</t>
        </is>
      </c>
      <c r="B636" s="1" t="n">
        <v>45377</v>
      </c>
      <c r="C636" s="1" t="n">
        <v>45670</v>
      </c>
      <c r="D636" t="inlineStr">
        <is>
          <t>VÄSTERNORRLANDS LÄN</t>
        </is>
      </c>
      <c r="E636" t="inlineStr">
        <is>
          <t>TIMRÅ</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12873-2024</t>
        </is>
      </c>
      <c r="B637" s="1" t="n">
        <v>45384</v>
      </c>
      <c r="C637" s="1" t="n">
        <v>45670</v>
      </c>
      <c r="D637" t="inlineStr">
        <is>
          <t>VÄSTERNORRLANDS LÄN</t>
        </is>
      </c>
      <c r="E637" t="inlineStr">
        <is>
          <t>TIMRÅ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13341-2024</t>
        </is>
      </c>
      <c r="B638" s="1" t="n">
        <v>45387</v>
      </c>
      <c r="C638" s="1" t="n">
        <v>45670</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13343-2024</t>
        </is>
      </c>
      <c r="B639" s="1" t="n">
        <v>45387</v>
      </c>
      <c r="C639" s="1" t="n">
        <v>45670</v>
      </c>
      <c r="D639" t="inlineStr">
        <is>
          <t>VÄSTERNORRLANDS LÄN</t>
        </is>
      </c>
      <c r="E639" t="inlineStr">
        <is>
          <t>TIMRÅ</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13763-2024</t>
        </is>
      </c>
      <c r="B640" s="1" t="n">
        <v>45390</v>
      </c>
      <c r="C640" s="1" t="n">
        <v>45670</v>
      </c>
      <c r="D640" t="inlineStr">
        <is>
          <t>VÄSTERNORRLANDS LÄN</t>
        </is>
      </c>
      <c r="E640" t="inlineStr">
        <is>
          <t>TIMRÅ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13770-2024</t>
        </is>
      </c>
      <c r="B641" s="1" t="n">
        <v>45390</v>
      </c>
      <c r="C641" s="1" t="n">
        <v>45670</v>
      </c>
      <c r="D641" t="inlineStr">
        <is>
          <t>VÄSTERNORRLANDS LÄN</t>
        </is>
      </c>
      <c r="E641" t="inlineStr">
        <is>
          <t>TIMRÅ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14375-2024</t>
        </is>
      </c>
      <c r="B642" s="1" t="n">
        <v>45394</v>
      </c>
      <c r="C642" s="1" t="n">
        <v>45670</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14578-2024</t>
        </is>
      </c>
      <c r="B643" s="1" t="n">
        <v>45395</v>
      </c>
      <c r="C643" s="1" t="n">
        <v>45670</v>
      </c>
      <c r="D643" t="inlineStr">
        <is>
          <t>VÄSTERNORRLANDS LÄN</t>
        </is>
      </c>
      <c r="E643" t="inlineStr">
        <is>
          <t>TIMRÅ</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14572-2024</t>
        </is>
      </c>
      <c r="B644" s="1" t="n">
        <v>45395</v>
      </c>
      <c r="C644" s="1" t="n">
        <v>45670</v>
      </c>
      <c r="D644" t="inlineStr">
        <is>
          <t>VÄSTERNORRLANDS LÄN</t>
        </is>
      </c>
      <c r="E644" t="inlineStr">
        <is>
          <t>TIMRÅ</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14573-2024</t>
        </is>
      </c>
      <c r="B645" s="1" t="n">
        <v>45395</v>
      </c>
      <c r="C645" s="1" t="n">
        <v>45670</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14806-2024</t>
        </is>
      </c>
      <c r="B646" s="1" t="n">
        <v>45398</v>
      </c>
      <c r="C646" s="1" t="n">
        <v>45670</v>
      </c>
      <c r="D646" t="inlineStr">
        <is>
          <t>VÄSTERNORRLANDS LÄN</t>
        </is>
      </c>
      <c r="E646" t="inlineStr">
        <is>
          <t>TIMRÅ</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14818-2024</t>
        </is>
      </c>
      <c r="B647" s="1" t="n">
        <v>45397</v>
      </c>
      <c r="C647" s="1" t="n">
        <v>45670</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15150-2024</t>
        </is>
      </c>
      <c r="B648" s="1" t="n">
        <v>45400</v>
      </c>
      <c r="C648" s="1" t="n">
        <v>45670</v>
      </c>
      <c r="D648" t="inlineStr">
        <is>
          <t>VÄSTERNORRLANDS LÄN</t>
        </is>
      </c>
      <c r="E648" t="inlineStr">
        <is>
          <t>TIMRÅ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16055-2024</t>
        </is>
      </c>
      <c r="B649" s="1" t="n">
        <v>45406</v>
      </c>
      <c r="C649" s="1" t="n">
        <v>45670</v>
      </c>
      <c r="D649" t="inlineStr">
        <is>
          <t>VÄSTERNORRLANDS LÄN</t>
        </is>
      </c>
      <c r="E649" t="inlineStr">
        <is>
          <t>TIMRÅ</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16067-2024</t>
        </is>
      </c>
      <c r="B650" s="1" t="n">
        <v>45406</v>
      </c>
      <c r="C650" s="1" t="n">
        <v>45670</v>
      </c>
      <c r="D650" t="inlineStr">
        <is>
          <t>VÄSTERNORRLANDS LÄN</t>
        </is>
      </c>
      <c r="E650" t="inlineStr">
        <is>
          <t>TIMRÅ</t>
        </is>
      </c>
      <c r="F650" t="inlineStr">
        <is>
          <t>SCA</t>
        </is>
      </c>
      <c r="G650" t="n">
        <v>5.5</v>
      </c>
      <c r="H650" t="n">
        <v>0</v>
      </c>
      <c r="I650" t="n">
        <v>0</v>
      </c>
      <c r="J650" t="n">
        <v>0</v>
      </c>
      <c r="K650" t="n">
        <v>0</v>
      </c>
      <c r="L650" t="n">
        <v>0</v>
      </c>
      <c r="M650" t="n">
        <v>0</v>
      </c>
      <c r="N650" t="n">
        <v>0</v>
      </c>
      <c r="O650" t="n">
        <v>0</v>
      </c>
      <c r="P650" t="n">
        <v>0</v>
      </c>
      <c r="Q650" t="n">
        <v>0</v>
      </c>
      <c r="R650" s="2" t="inlineStr"/>
    </row>
    <row r="651" ht="15" customHeight="1">
      <c r="A651" t="inlineStr">
        <is>
          <t>A 16315-2024</t>
        </is>
      </c>
      <c r="B651" s="1" t="n">
        <v>45407</v>
      </c>
      <c r="C651" s="1" t="n">
        <v>45670</v>
      </c>
      <c r="D651" t="inlineStr">
        <is>
          <t>VÄSTERNORRLANDS LÄN</t>
        </is>
      </c>
      <c r="E651" t="inlineStr">
        <is>
          <t>TIMRÅ</t>
        </is>
      </c>
      <c r="F651" t="inlineStr">
        <is>
          <t>Kommuner</t>
        </is>
      </c>
      <c r="G651" t="n">
        <v>0.5</v>
      </c>
      <c r="H651" t="n">
        <v>0</v>
      </c>
      <c r="I651" t="n">
        <v>0</v>
      </c>
      <c r="J651" t="n">
        <v>0</v>
      </c>
      <c r="K651" t="n">
        <v>0</v>
      </c>
      <c r="L651" t="n">
        <v>0</v>
      </c>
      <c r="M651" t="n">
        <v>0</v>
      </c>
      <c r="N651" t="n">
        <v>0</v>
      </c>
      <c r="O651" t="n">
        <v>0</v>
      </c>
      <c r="P651" t="n">
        <v>0</v>
      </c>
      <c r="Q651" t="n">
        <v>0</v>
      </c>
      <c r="R651" s="2" t="inlineStr"/>
    </row>
    <row r="652" ht="15" customHeight="1">
      <c r="A652" t="inlineStr">
        <is>
          <t>A 16863-2024</t>
        </is>
      </c>
      <c r="B652" s="1" t="n">
        <v>45411</v>
      </c>
      <c r="C652" s="1" t="n">
        <v>45670</v>
      </c>
      <c r="D652" t="inlineStr">
        <is>
          <t>VÄSTERNORRLANDS LÄN</t>
        </is>
      </c>
      <c r="E652" t="inlineStr">
        <is>
          <t>TIMRÅ</t>
        </is>
      </c>
      <c r="G652" t="n">
        <v>3.6</v>
      </c>
      <c r="H652" t="n">
        <v>0</v>
      </c>
      <c r="I652" t="n">
        <v>0</v>
      </c>
      <c r="J652" t="n">
        <v>0</v>
      </c>
      <c r="K652" t="n">
        <v>0</v>
      </c>
      <c r="L652" t="n">
        <v>0</v>
      </c>
      <c r="M652" t="n">
        <v>0</v>
      </c>
      <c r="N652" t="n">
        <v>0</v>
      </c>
      <c r="O652" t="n">
        <v>0</v>
      </c>
      <c r="P652" t="n">
        <v>0</v>
      </c>
      <c r="Q652" t="n">
        <v>0</v>
      </c>
      <c r="R652" s="2" t="inlineStr"/>
    </row>
    <row r="653" ht="15" customHeight="1">
      <c r="A653" t="inlineStr">
        <is>
          <t>A 16980-2024</t>
        </is>
      </c>
      <c r="B653" s="1" t="n">
        <v>45412</v>
      </c>
      <c r="C653" s="1" t="n">
        <v>45670</v>
      </c>
      <c r="D653" t="inlineStr">
        <is>
          <t>VÄSTERNORRLANDS LÄN</t>
        </is>
      </c>
      <c r="E653" t="inlineStr">
        <is>
          <t>TIMRÅ</t>
        </is>
      </c>
      <c r="F653" t="inlineStr">
        <is>
          <t>SCA</t>
        </is>
      </c>
      <c r="G653" t="n">
        <v>7.7</v>
      </c>
      <c r="H653" t="n">
        <v>0</v>
      </c>
      <c r="I653" t="n">
        <v>0</v>
      </c>
      <c r="J653" t="n">
        <v>0</v>
      </c>
      <c r="K653" t="n">
        <v>0</v>
      </c>
      <c r="L653" t="n">
        <v>0</v>
      </c>
      <c r="M653" t="n">
        <v>0</v>
      </c>
      <c r="N653" t="n">
        <v>0</v>
      </c>
      <c r="O653" t="n">
        <v>0</v>
      </c>
      <c r="P653" t="n">
        <v>0</v>
      </c>
      <c r="Q653" t="n">
        <v>0</v>
      </c>
      <c r="R653" s="2" t="inlineStr"/>
    </row>
    <row r="654" ht="15" customHeight="1">
      <c r="A654" t="inlineStr">
        <is>
          <t>A 18110-2024</t>
        </is>
      </c>
      <c r="B654" s="1" t="n">
        <v>45420</v>
      </c>
      <c r="C654" s="1" t="n">
        <v>45670</v>
      </c>
      <c r="D654" t="inlineStr">
        <is>
          <t>VÄSTERNORRLANDS LÄN</t>
        </is>
      </c>
      <c r="E654" t="inlineStr">
        <is>
          <t>TIMRÅ</t>
        </is>
      </c>
      <c r="G654" t="n">
        <v>1.4</v>
      </c>
      <c r="H654" t="n">
        <v>0</v>
      </c>
      <c r="I654" t="n">
        <v>0</v>
      </c>
      <c r="J654" t="n">
        <v>0</v>
      </c>
      <c r="K654" t="n">
        <v>0</v>
      </c>
      <c r="L654" t="n">
        <v>0</v>
      </c>
      <c r="M654" t="n">
        <v>0</v>
      </c>
      <c r="N654" t="n">
        <v>0</v>
      </c>
      <c r="O654" t="n">
        <v>0</v>
      </c>
      <c r="P654" t="n">
        <v>0</v>
      </c>
      <c r="Q654" t="n">
        <v>0</v>
      </c>
      <c r="R654" s="2" t="inlineStr"/>
    </row>
    <row r="655" ht="15" customHeight="1">
      <c r="A655" t="inlineStr">
        <is>
          <t>A 18653-2024</t>
        </is>
      </c>
      <c r="B655" s="1" t="n">
        <v>45425</v>
      </c>
      <c r="C655" s="1" t="n">
        <v>45670</v>
      </c>
      <c r="D655" t="inlineStr">
        <is>
          <t>VÄSTERNORRLANDS LÄN</t>
        </is>
      </c>
      <c r="E655" t="inlineStr">
        <is>
          <t>TIMRÅ</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18663-2024</t>
        </is>
      </c>
      <c r="B656" s="1" t="n">
        <v>45425</v>
      </c>
      <c r="C656" s="1" t="n">
        <v>45670</v>
      </c>
      <c r="D656" t="inlineStr">
        <is>
          <t>VÄSTERNORRLANDS LÄN</t>
        </is>
      </c>
      <c r="E656" t="inlineStr">
        <is>
          <t>TIMRÅ</t>
        </is>
      </c>
      <c r="G656" t="n">
        <v>9.5</v>
      </c>
      <c r="H656" t="n">
        <v>0</v>
      </c>
      <c r="I656" t="n">
        <v>0</v>
      </c>
      <c r="J656" t="n">
        <v>0</v>
      </c>
      <c r="K656" t="n">
        <v>0</v>
      </c>
      <c r="L656" t="n">
        <v>0</v>
      </c>
      <c r="M656" t="n">
        <v>0</v>
      </c>
      <c r="N656" t="n">
        <v>0</v>
      </c>
      <c r="O656" t="n">
        <v>0</v>
      </c>
      <c r="P656" t="n">
        <v>0</v>
      </c>
      <c r="Q656" t="n">
        <v>0</v>
      </c>
      <c r="R656" s="2" t="inlineStr"/>
    </row>
    <row r="657" ht="15" customHeight="1">
      <c r="A657" t="inlineStr">
        <is>
          <t>A 18634-2024</t>
        </is>
      </c>
      <c r="B657" s="1" t="n">
        <v>45425</v>
      </c>
      <c r="C657" s="1" t="n">
        <v>45670</v>
      </c>
      <c r="D657" t="inlineStr">
        <is>
          <t>VÄSTERNORRLANDS LÄN</t>
        </is>
      </c>
      <c r="E657" t="inlineStr">
        <is>
          <t>TIMRÅ</t>
        </is>
      </c>
      <c r="F657" t="inlineStr">
        <is>
          <t>SCA</t>
        </is>
      </c>
      <c r="G657" t="n">
        <v>5.6</v>
      </c>
      <c r="H657" t="n">
        <v>0</v>
      </c>
      <c r="I657" t="n">
        <v>0</v>
      </c>
      <c r="J657" t="n">
        <v>0</v>
      </c>
      <c r="K657" t="n">
        <v>0</v>
      </c>
      <c r="L657" t="n">
        <v>0</v>
      </c>
      <c r="M657" t="n">
        <v>0</v>
      </c>
      <c r="N657" t="n">
        <v>0</v>
      </c>
      <c r="O657" t="n">
        <v>0</v>
      </c>
      <c r="P657" t="n">
        <v>0</v>
      </c>
      <c r="Q657" t="n">
        <v>0</v>
      </c>
      <c r="R657" s="2" t="inlineStr"/>
    </row>
    <row r="658" ht="15" customHeight="1">
      <c r="A658" t="inlineStr">
        <is>
          <t>A 19455-2024</t>
        </is>
      </c>
      <c r="B658" s="1" t="n">
        <v>45429</v>
      </c>
      <c r="C658" s="1" t="n">
        <v>45670</v>
      </c>
      <c r="D658" t="inlineStr">
        <is>
          <t>VÄSTERNORRLANDS LÄN</t>
        </is>
      </c>
      <c r="E658" t="inlineStr">
        <is>
          <t>TIMRÅ</t>
        </is>
      </c>
      <c r="G658" t="n">
        <v>1.3</v>
      </c>
      <c r="H658" t="n">
        <v>0</v>
      </c>
      <c r="I658" t="n">
        <v>0</v>
      </c>
      <c r="J658" t="n">
        <v>0</v>
      </c>
      <c r="K658" t="n">
        <v>0</v>
      </c>
      <c r="L658" t="n">
        <v>0</v>
      </c>
      <c r="M658" t="n">
        <v>0</v>
      </c>
      <c r="N658" t="n">
        <v>0</v>
      </c>
      <c r="O658" t="n">
        <v>0</v>
      </c>
      <c r="P658" t="n">
        <v>0</v>
      </c>
      <c r="Q658" t="n">
        <v>0</v>
      </c>
      <c r="R658" s="2" t="inlineStr"/>
    </row>
    <row r="659" ht="15" customHeight="1">
      <c r="A659" t="inlineStr">
        <is>
          <t>A 19558-2024</t>
        </is>
      </c>
      <c r="B659" s="1" t="n">
        <v>45429</v>
      </c>
      <c r="C659" s="1" t="n">
        <v>45670</v>
      </c>
      <c r="D659" t="inlineStr">
        <is>
          <t>VÄSTERNORRLANDS LÄN</t>
        </is>
      </c>
      <c r="E659" t="inlineStr">
        <is>
          <t>TIMRÅ</t>
        </is>
      </c>
      <c r="G659" t="n">
        <v>4.6</v>
      </c>
      <c r="H659" t="n">
        <v>0</v>
      </c>
      <c r="I659" t="n">
        <v>0</v>
      </c>
      <c r="J659" t="n">
        <v>0</v>
      </c>
      <c r="K659" t="n">
        <v>0</v>
      </c>
      <c r="L659" t="n">
        <v>0</v>
      </c>
      <c r="M659" t="n">
        <v>0</v>
      </c>
      <c r="N659" t="n">
        <v>0</v>
      </c>
      <c r="O659" t="n">
        <v>0</v>
      </c>
      <c r="P659" t="n">
        <v>0</v>
      </c>
      <c r="Q659" t="n">
        <v>0</v>
      </c>
      <c r="R659" s="2" t="inlineStr"/>
    </row>
    <row r="660" ht="15" customHeight="1">
      <c r="A660" t="inlineStr">
        <is>
          <t>A 20089-2024</t>
        </is>
      </c>
      <c r="B660" s="1" t="n">
        <v>45434</v>
      </c>
      <c r="C660" s="1" t="n">
        <v>45670</v>
      </c>
      <c r="D660" t="inlineStr">
        <is>
          <t>VÄSTERNORRLANDS LÄN</t>
        </is>
      </c>
      <c r="E660" t="inlineStr">
        <is>
          <t>TIMRÅ</t>
        </is>
      </c>
      <c r="G660" t="n">
        <v>1</v>
      </c>
      <c r="H660" t="n">
        <v>0</v>
      </c>
      <c r="I660" t="n">
        <v>0</v>
      </c>
      <c r="J660" t="n">
        <v>0</v>
      </c>
      <c r="K660" t="n">
        <v>0</v>
      </c>
      <c r="L660" t="n">
        <v>0</v>
      </c>
      <c r="M660" t="n">
        <v>0</v>
      </c>
      <c r="N660" t="n">
        <v>0</v>
      </c>
      <c r="O660" t="n">
        <v>0</v>
      </c>
      <c r="P660" t="n">
        <v>0</v>
      </c>
      <c r="Q660" t="n">
        <v>0</v>
      </c>
      <c r="R660" s="2" t="inlineStr"/>
    </row>
    <row r="661" ht="15" customHeight="1">
      <c r="A661" t="inlineStr">
        <is>
          <t>A 20226-2024</t>
        </is>
      </c>
      <c r="B661" s="1" t="n">
        <v>45434</v>
      </c>
      <c r="C661" s="1" t="n">
        <v>45670</v>
      </c>
      <c r="D661" t="inlineStr">
        <is>
          <t>VÄSTERNORRLANDS LÄN</t>
        </is>
      </c>
      <c r="E661" t="inlineStr">
        <is>
          <t>TIMRÅ</t>
        </is>
      </c>
      <c r="G661" t="n">
        <v>0.6</v>
      </c>
      <c r="H661" t="n">
        <v>0</v>
      </c>
      <c r="I661" t="n">
        <v>0</v>
      </c>
      <c r="J661" t="n">
        <v>0</v>
      </c>
      <c r="K661" t="n">
        <v>0</v>
      </c>
      <c r="L661" t="n">
        <v>0</v>
      </c>
      <c r="M661" t="n">
        <v>0</v>
      </c>
      <c r="N661" t="n">
        <v>0</v>
      </c>
      <c r="O661" t="n">
        <v>0</v>
      </c>
      <c r="P661" t="n">
        <v>0</v>
      </c>
      <c r="Q661" t="n">
        <v>0</v>
      </c>
      <c r="R661" s="2" t="inlineStr"/>
    </row>
    <row r="662" ht="15" customHeight="1">
      <c r="A662" t="inlineStr">
        <is>
          <t>A 20230-2024</t>
        </is>
      </c>
      <c r="B662" s="1" t="n">
        <v>45434</v>
      </c>
      <c r="C662" s="1" t="n">
        <v>45670</v>
      </c>
      <c r="D662" t="inlineStr">
        <is>
          <t>VÄSTERNORRLANDS LÄN</t>
        </is>
      </c>
      <c r="E662" t="inlineStr">
        <is>
          <t>TIMRÅ</t>
        </is>
      </c>
      <c r="G662" t="n">
        <v>0.8</v>
      </c>
      <c r="H662" t="n">
        <v>0</v>
      </c>
      <c r="I662" t="n">
        <v>0</v>
      </c>
      <c r="J662" t="n">
        <v>0</v>
      </c>
      <c r="K662" t="n">
        <v>0</v>
      </c>
      <c r="L662" t="n">
        <v>0</v>
      </c>
      <c r="M662" t="n">
        <v>0</v>
      </c>
      <c r="N662" t="n">
        <v>0</v>
      </c>
      <c r="O662" t="n">
        <v>0</v>
      </c>
      <c r="P662" t="n">
        <v>0</v>
      </c>
      <c r="Q662" t="n">
        <v>0</v>
      </c>
      <c r="R662" s="2" t="inlineStr"/>
    </row>
    <row r="663" ht="15" customHeight="1">
      <c r="A663" t="inlineStr">
        <is>
          <t>A 20313-2024</t>
        </is>
      </c>
      <c r="B663" s="1" t="n">
        <v>45434</v>
      </c>
      <c r="C663" s="1" t="n">
        <v>45670</v>
      </c>
      <c r="D663" t="inlineStr">
        <is>
          <t>VÄSTERNORRLANDS LÄN</t>
        </is>
      </c>
      <c r="E663" t="inlineStr">
        <is>
          <t>TIMRÅ</t>
        </is>
      </c>
      <c r="G663" t="n">
        <v>1.6</v>
      </c>
      <c r="H663" t="n">
        <v>0</v>
      </c>
      <c r="I663" t="n">
        <v>0</v>
      </c>
      <c r="J663" t="n">
        <v>0</v>
      </c>
      <c r="K663" t="n">
        <v>0</v>
      </c>
      <c r="L663" t="n">
        <v>0</v>
      </c>
      <c r="M663" t="n">
        <v>0</v>
      </c>
      <c r="N663" t="n">
        <v>0</v>
      </c>
      <c r="O663" t="n">
        <v>0</v>
      </c>
      <c r="P663" t="n">
        <v>0</v>
      </c>
      <c r="Q663" t="n">
        <v>0</v>
      </c>
      <c r="R663" s="2" t="inlineStr"/>
    </row>
    <row r="664" ht="15" customHeight="1">
      <c r="A664" t="inlineStr">
        <is>
          <t>A 20341-2024</t>
        </is>
      </c>
      <c r="B664" s="1" t="n">
        <v>45435</v>
      </c>
      <c r="C664" s="1" t="n">
        <v>45670</v>
      </c>
      <c r="D664" t="inlineStr">
        <is>
          <t>VÄSTERNORRLANDS LÄN</t>
        </is>
      </c>
      <c r="E664" t="inlineStr">
        <is>
          <t>TIMRÅ</t>
        </is>
      </c>
      <c r="G664" t="n">
        <v>2.1</v>
      </c>
      <c r="H664" t="n">
        <v>0</v>
      </c>
      <c r="I664" t="n">
        <v>0</v>
      </c>
      <c r="J664" t="n">
        <v>0</v>
      </c>
      <c r="K664" t="n">
        <v>0</v>
      </c>
      <c r="L664" t="n">
        <v>0</v>
      </c>
      <c r="M664" t="n">
        <v>0</v>
      </c>
      <c r="N664" t="n">
        <v>0</v>
      </c>
      <c r="O664" t="n">
        <v>0</v>
      </c>
      <c r="P664" t="n">
        <v>0</v>
      </c>
      <c r="Q664" t="n">
        <v>0</v>
      </c>
      <c r="R664" s="2" t="inlineStr"/>
    </row>
    <row r="665" ht="15" customHeight="1">
      <c r="A665" t="inlineStr">
        <is>
          <t>A 20346-2024</t>
        </is>
      </c>
      <c r="B665" s="1" t="n">
        <v>45435</v>
      </c>
      <c r="C665" s="1" t="n">
        <v>45670</v>
      </c>
      <c r="D665" t="inlineStr">
        <is>
          <t>VÄSTERNORRLANDS LÄN</t>
        </is>
      </c>
      <c r="E665" t="inlineStr">
        <is>
          <t>TIMRÅ</t>
        </is>
      </c>
      <c r="G665" t="n">
        <v>2.5</v>
      </c>
      <c r="H665" t="n">
        <v>0</v>
      </c>
      <c r="I665" t="n">
        <v>0</v>
      </c>
      <c r="J665" t="n">
        <v>0</v>
      </c>
      <c r="K665" t="n">
        <v>0</v>
      </c>
      <c r="L665" t="n">
        <v>0</v>
      </c>
      <c r="M665" t="n">
        <v>0</v>
      </c>
      <c r="N665" t="n">
        <v>0</v>
      </c>
      <c r="O665" t="n">
        <v>0</v>
      </c>
      <c r="P665" t="n">
        <v>0</v>
      </c>
      <c r="Q665" t="n">
        <v>0</v>
      </c>
      <c r="R665" s="2" t="inlineStr"/>
    </row>
    <row r="666" ht="15" customHeight="1">
      <c r="A666" t="inlineStr">
        <is>
          <t>A 20527-2024</t>
        </is>
      </c>
      <c r="B666" s="1" t="n">
        <v>45436</v>
      </c>
      <c r="C666" s="1" t="n">
        <v>45670</v>
      </c>
      <c r="D666" t="inlineStr">
        <is>
          <t>VÄSTERNORRLANDS LÄN</t>
        </is>
      </c>
      <c r="E666" t="inlineStr">
        <is>
          <t>TIMRÅ</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20526-2024</t>
        </is>
      </c>
      <c r="B667" s="1" t="n">
        <v>45435</v>
      </c>
      <c r="C667" s="1" t="n">
        <v>45670</v>
      </c>
      <c r="D667" t="inlineStr">
        <is>
          <t>VÄSTERNORRLANDS LÄN</t>
        </is>
      </c>
      <c r="E667" t="inlineStr">
        <is>
          <t>TIMRÅ</t>
        </is>
      </c>
      <c r="F667" t="inlineStr">
        <is>
          <t>SCA</t>
        </is>
      </c>
      <c r="G667" t="n">
        <v>11.3</v>
      </c>
      <c r="H667" t="n">
        <v>0</v>
      </c>
      <c r="I667" t="n">
        <v>0</v>
      </c>
      <c r="J667" t="n">
        <v>0</v>
      </c>
      <c r="K667" t="n">
        <v>0</v>
      </c>
      <c r="L667" t="n">
        <v>0</v>
      </c>
      <c r="M667" t="n">
        <v>0</v>
      </c>
      <c r="N667" t="n">
        <v>0</v>
      </c>
      <c r="O667" t="n">
        <v>0</v>
      </c>
      <c r="P667" t="n">
        <v>0</v>
      </c>
      <c r="Q667" t="n">
        <v>0</v>
      </c>
      <c r="R667" s="2" t="inlineStr"/>
    </row>
    <row r="668" ht="15" customHeight="1">
      <c r="A668" t="inlineStr">
        <is>
          <t>A 20786-2024</t>
        </is>
      </c>
      <c r="B668" s="1" t="n">
        <v>45437</v>
      </c>
      <c r="C668" s="1" t="n">
        <v>45670</v>
      </c>
      <c r="D668" t="inlineStr">
        <is>
          <t>VÄSTERNORRLANDS LÄN</t>
        </is>
      </c>
      <c r="E668" t="inlineStr">
        <is>
          <t>TIMRÅ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20899-2024</t>
        </is>
      </c>
      <c r="B669" s="1" t="n">
        <v>45439</v>
      </c>
      <c r="C669" s="1" t="n">
        <v>45670</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20936-2024</t>
        </is>
      </c>
      <c r="B670" s="1" t="n">
        <v>45439</v>
      </c>
      <c r="C670" s="1" t="n">
        <v>45670</v>
      </c>
      <c r="D670" t="inlineStr">
        <is>
          <t>VÄSTERNORRLANDS LÄN</t>
        </is>
      </c>
      <c r="E670" t="inlineStr">
        <is>
          <t>TIMRÅ</t>
        </is>
      </c>
      <c r="G670" t="n">
        <v>0.5</v>
      </c>
      <c r="H670" t="n">
        <v>0</v>
      </c>
      <c r="I670" t="n">
        <v>0</v>
      </c>
      <c r="J670" t="n">
        <v>0</v>
      </c>
      <c r="K670" t="n">
        <v>0</v>
      </c>
      <c r="L670" t="n">
        <v>0</v>
      </c>
      <c r="M670" t="n">
        <v>0</v>
      </c>
      <c r="N670" t="n">
        <v>0</v>
      </c>
      <c r="O670" t="n">
        <v>0</v>
      </c>
      <c r="P670" t="n">
        <v>0</v>
      </c>
      <c r="Q670" t="n">
        <v>0</v>
      </c>
      <c r="R670" s="2" t="inlineStr"/>
    </row>
    <row r="671" ht="15" customHeight="1">
      <c r="A671" t="inlineStr">
        <is>
          <t>A 20938-2024</t>
        </is>
      </c>
      <c r="B671" s="1" t="n">
        <v>45439</v>
      </c>
      <c r="C671" s="1" t="n">
        <v>45670</v>
      </c>
      <c r="D671" t="inlineStr">
        <is>
          <t>VÄSTERNORRLANDS LÄN</t>
        </is>
      </c>
      <c r="E671" t="inlineStr">
        <is>
          <t>TIMRÅ</t>
        </is>
      </c>
      <c r="G671" t="n">
        <v>1.3</v>
      </c>
      <c r="H671" t="n">
        <v>0</v>
      </c>
      <c r="I671" t="n">
        <v>0</v>
      </c>
      <c r="J671" t="n">
        <v>0</v>
      </c>
      <c r="K671" t="n">
        <v>0</v>
      </c>
      <c r="L671" t="n">
        <v>0</v>
      </c>
      <c r="M671" t="n">
        <v>0</v>
      </c>
      <c r="N671" t="n">
        <v>0</v>
      </c>
      <c r="O671" t="n">
        <v>0</v>
      </c>
      <c r="P671" t="n">
        <v>0</v>
      </c>
      <c r="Q671" t="n">
        <v>0</v>
      </c>
      <c r="R671" s="2" t="inlineStr"/>
    </row>
    <row r="672" ht="15" customHeight="1">
      <c r="A672" t="inlineStr">
        <is>
          <t>A 21362-2024</t>
        </is>
      </c>
      <c r="B672" s="1" t="n">
        <v>45440</v>
      </c>
      <c r="C672" s="1" t="n">
        <v>45670</v>
      </c>
      <c r="D672" t="inlineStr">
        <is>
          <t>VÄSTERNORRLANDS LÄN</t>
        </is>
      </c>
      <c r="E672" t="inlineStr">
        <is>
          <t>TIMRÅ</t>
        </is>
      </c>
      <c r="F672" t="inlineStr">
        <is>
          <t>SCA</t>
        </is>
      </c>
      <c r="G672" t="n">
        <v>15.2</v>
      </c>
      <c r="H672" t="n">
        <v>0</v>
      </c>
      <c r="I672" t="n">
        <v>0</v>
      </c>
      <c r="J672" t="n">
        <v>0</v>
      </c>
      <c r="K672" t="n">
        <v>0</v>
      </c>
      <c r="L672" t="n">
        <v>0</v>
      </c>
      <c r="M672" t="n">
        <v>0</v>
      </c>
      <c r="N672" t="n">
        <v>0</v>
      </c>
      <c r="O672" t="n">
        <v>0</v>
      </c>
      <c r="P672" t="n">
        <v>0</v>
      </c>
      <c r="Q672" t="n">
        <v>0</v>
      </c>
      <c r="R672" s="2" t="inlineStr"/>
    </row>
    <row r="673" ht="15" customHeight="1">
      <c r="A673" t="inlineStr">
        <is>
          <t>A 21131-2024</t>
        </is>
      </c>
      <c r="B673" s="1" t="n">
        <v>45440</v>
      </c>
      <c r="C673" s="1" t="n">
        <v>45670</v>
      </c>
      <c r="D673" t="inlineStr">
        <is>
          <t>VÄSTERNORRLANDS LÄN</t>
        </is>
      </c>
      <c r="E673" t="inlineStr">
        <is>
          <t>TIMRÅ</t>
        </is>
      </c>
      <c r="G673" t="n">
        <v>10.8</v>
      </c>
      <c r="H673" t="n">
        <v>0</v>
      </c>
      <c r="I673" t="n">
        <v>0</v>
      </c>
      <c r="J673" t="n">
        <v>0</v>
      </c>
      <c r="K673" t="n">
        <v>0</v>
      </c>
      <c r="L673" t="n">
        <v>0</v>
      </c>
      <c r="M673" t="n">
        <v>0</v>
      </c>
      <c r="N673" t="n">
        <v>0</v>
      </c>
      <c r="O673" t="n">
        <v>0</v>
      </c>
      <c r="P673" t="n">
        <v>0</v>
      </c>
      <c r="Q673" t="n">
        <v>0</v>
      </c>
      <c r="R673" s="2" t="inlineStr"/>
    </row>
    <row r="674" ht="15" customHeight="1">
      <c r="A674" t="inlineStr">
        <is>
          <t>A 21607-2024</t>
        </is>
      </c>
      <c r="B674" s="1" t="n">
        <v>45441</v>
      </c>
      <c r="C674" s="1" t="n">
        <v>45670</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21443-2024</t>
        </is>
      </c>
      <c r="B675" s="1" t="n">
        <v>45441</v>
      </c>
      <c r="C675" s="1" t="n">
        <v>45670</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21447-2024</t>
        </is>
      </c>
      <c r="B676" s="1" t="n">
        <v>45441</v>
      </c>
      <c r="C676" s="1" t="n">
        <v>45670</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22368-2024</t>
        </is>
      </c>
      <c r="B677" s="1" t="n">
        <v>45446</v>
      </c>
      <c r="C677" s="1" t="n">
        <v>45670</v>
      </c>
      <c r="D677" t="inlineStr">
        <is>
          <t>VÄSTERNORRLANDS LÄN</t>
        </is>
      </c>
      <c r="E677" t="inlineStr">
        <is>
          <t>TIMRÅ</t>
        </is>
      </c>
      <c r="G677" t="n">
        <v>1.2</v>
      </c>
      <c r="H677" t="n">
        <v>0</v>
      </c>
      <c r="I677" t="n">
        <v>0</v>
      </c>
      <c r="J677" t="n">
        <v>0</v>
      </c>
      <c r="K677" t="n">
        <v>0</v>
      </c>
      <c r="L677" t="n">
        <v>0</v>
      </c>
      <c r="M677" t="n">
        <v>0</v>
      </c>
      <c r="N677" t="n">
        <v>0</v>
      </c>
      <c r="O677" t="n">
        <v>0</v>
      </c>
      <c r="P677" t="n">
        <v>0</v>
      </c>
      <c r="Q677" t="n">
        <v>0</v>
      </c>
      <c r="R677" s="2" t="inlineStr"/>
    </row>
    <row r="678" ht="15" customHeight="1">
      <c r="A678" t="inlineStr">
        <is>
          <t>A 22486-2024</t>
        </is>
      </c>
      <c r="B678" s="1" t="n">
        <v>45446</v>
      </c>
      <c r="C678" s="1" t="n">
        <v>45670</v>
      </c>
      <c r="D678" t="inlineStr">
        <is>
          <t>VÄSTERNORRLANDS LÄN</t>
        </is>
      </c>
      <c r="E678" t="inlineStr">
        <is>
          <t>TIMRÅ</t>
        </is>
      </c>
      <c r="G678" t="n">
        <v>6.8</v>
      </c>
      <c r="H678" t="n">
        <v>0</v>
      </c>
      <c r="I678" t="n">
        <v>0</v>
      </c>
      <c r="J678" t="n">
        <v>0</v>
      </c>
      <c r="K678" t="n">
        <v>0</v>
      </c>
      <c r="L678" t="n">
        <v>0</v>
      </c>
      <c r="M678" t="n">
        <v>0</v>
      </c>
      <c r="N678" t="n">
        <v>0</v>
      </c>
      <c r="O678" t="n">
        <v>0</v>
      </c>
      <c r="P678" t="n">
        <v>0</v>
      </c>
      <c r="Q678" t="n">
        <v>0</v>
      </c>
      <c r="R678" s="2" t="inlineStr"/>
    </row>
    <row r="679" ht="15" customHeight="1">
      <c r="A679" t="inlineStr">
        <is>
          <t>A 22416-2024</t>
        </is>
      </c>
      <c r="B679" s="1" t="n">
        <v>45446</v>
      </c>
      <c r="C679" s="1" t="n">
        <v>45670</v>
      </c>
      <c r="D679" t="inlineStr">
        <is>
          <t>VÄSTERNORRLANDS LÄN</t>
        </is>
      </c>
      <c r="E679" t="inlineStr">
        <is>
          <t>TIMRÅ</t>
        </is>
      </c>
      <c r="G679" t="n">
        <v>2.3</v>
      </c>
      <c r="H679" t="n">
        <v>0</v>
      </c>
      <c r="I679" t="n">
        <v>0</v>
      </c>
      <c r="J679" t="n">
        <v>0</v>
      </c>
      <c r="K679" t="n">
        <v>0</v>
      </c>
      <c r="L679" t="n">
        <v>0</v>
      </c>
      <c r="M679" t="n">
        <v>0</v>
      </c>
      <c r="N679" t="n">
        <v>0</v>
      </c>
      <c r="O679" t="n">
        <v>0</v>
      </c>
      <c r="P679" t="n">
        <v>0</v>
      </c>
      <c r="Q679" t="n">
        <v>0</v>
      </c>
      <c r="R679" s="2" t="inlineStr"/>
    </row>
    <row r="680" ht="15" customHeight="1">
      <c r="A680" t="inlineStr">
        <is>
          <t>A 22669-2024</t>
        </is>
      </c>
      <c r="B680" s="1" t="n">
        <v>45447</v>
      </c>
      <c r="C680" s="1" t="n">
        <v>45670</v>
      </c>
      <c r="D680" t="inlineStr">
        <is>
          <t>VÄSTERNORRLANDS LÄN</t>
        </is>
      </c>
      <c r="E680" t="inlineStr">
        <is>
          <t>TIMRÅ</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23049-2024</t>
        </is>
      </c>
      <c r="B681" s="1" t="n">
        <v>45450</v>
      </c>
      <c r="C681" s="1" t="n">
        <v>45670</v>
      </c>
      <c r="D681" t="inlineStr">
        <is>
          <t>VÄSTERNORRLANDS LÄN</t>
        </is>
      </c>
      <c r="E681" t="inlineStr">
        <is>
          <t>TIMRÅ</t>
        </is>
      </c>
      <c r="G681" t="n">
        <v>8.4</v>
      </c>
      <c r="H681" t="n">
        <v>0</v>
      </c>
      <c r="I681" t="n">
        <v>0</v>
      </c>
      <c r="J681" t="n">
        <v>0</v>
      </c>
      <c r="K681" t="n">
        <v>0</v>
      </c>
      <c r="L681" t="n">
        <v>0</v>
      </c>
      <c r="M681" t="n">
        <v>0</v>
      </c>
      <c r="N681" t="n">
        <v>0</v>
      </c>
      <c r="O681" t="n">
        <v>0</v>
      </c>
      <c r="P681" t="n">
        <v>0</v>
      </c>
      <c r="Q681" t="n">
        <v>0</v>
      </c>
      <c r="R681" s="2" t="inlineStr"/>
    </row>
    <row r="682" ht="15" customHeight="1">
      <c r="A682" t="inlineStr">
        <is>
          <t>A 23556-2024</t>
        </is>
      </c>
      <c r="B682" s="1" t="n">
        <v>45453</v>
      </c>
      <c r="C682" s="1" t="n">
        <v>45670</v>
      </c>
      <c r="D682" t="inlineStr">
        <is>
          <t>VÄSTERNORRLANDS LÄN</t>
        </is>
      </c>
      <c r="E682" t="inlineStr">
        <is>
          <t>TIMRÅ</t>
        </is>
      </c>
      <c r="F682" t="inlineStr">
        <is>
          <t>SCA</t>
        </is>
      </c>
      <c r="G682" t="n">
        <v>6.5</v>
      </c>
      <c r="H682" t="n">
        <v>0</v>
      </c>
      <c r="I682" t="n">
        <v>0</v>
      </c>
      <c r="J682" t="n">
        <v>0</v>
      </c>
      <c r="K682" t="n">
        <v>0</v>
      </c>
      <c r="L682" t="n">
        <v>0</v>
      </c>
      <c r="M682" t="n">
        <v>0</v>
      </c>
      <c r="N682" t="n">
        <v>0</v>
      </c>
      <c r="O682" t="n">
        <v>0</v>
      </c>
      <c r="P682" t="n">
        <v>0</v>
      </c>
      <c r="Q682" t="n">
        <v>0</v>
      </c>
      <c r="R682" s="2" t="inlineStr"/>
    </row>
    <row r="683" ht="15" customHeight="1">
      <c r="A683" t="inlineStr">
        <is>
          <t>A 23725-2024</t>
        </is>
      </c>
      <c r="B683" s="1" t="n">
        <v>45455</v>
      </c>
      <c r="C683" s="1" t="n">
        <v>45670</v>
      </c>
      <c r="D683" t="inlineStr">
        <is>
          <t>VÄSTERNORRLANDS LÄN</t>
        </is>
      </c>
      <c r="E683" t="inlineStr">
        <is>
          <t>TIMRÅ</t>
        </is>
      </c>
      <c r="G683" t="n">
        <v>2.6</v>
      </c>
      <c r="H683" t="n">
        <v>0</v>
      </c>
      <c r="I683" t="n">
        <v>0</v>
      </c>
      <c r="J683" t="n">
        <v>0</v>
      </c>
      <c r="K683" t="n">
        <v>0</v>
      </c>
      <c r="L683" t="n">
        <v>0</v>
      </c>
      <c r="M683" t="n">
        <v>0</v>
      </c>
      <c r="N683" t="n">
        <v>0</v>
      </c>
      <c r="O683" t="n">
        <v>0</v>
      </c>
      <c r="P683" t="n">
        <v>0</v>
      </c>
      <c r="Q683" t="n">
        <v>0</v>
      </c>
      <c r="R683" s="2" t="inlineStr"/>
    </row>
    <row r="684" ht="15" customHeight="1">
      <c r="A684" t="inlineStr">
        <is>
          <t>A 23878-2024</t>
        </is>
      </c>
      <c r="B684" s="1" t="n">
        <v>45455</v>
      </c>
      <c r="C684" s="1" t="n">
        <v>45670</v>
      </c>
      <c r="D684" t="inlineStr">
        <is>
          <t>VÄSTERNORRLANDS LÄN</t>
        </is>
      </c>
      <c r="E684" t="inlineStr">
        <is>
          <t>TIMRÅ</t>
        </is>
      </c>
      <c r="G684" t="n">
        <v>2.1</v>
      </c>
      <c r="H684" t="n">
        <v>0</v>
      </c>
      <c r="I684" t="n">
        <v>0</v>
      </c>
      <c r="J684" t="n">
        <v>0</v>
      </c>
      <c r="K684" t="n">
        <v>0</v>
      </c>
      <c r="L684" t="n">
        <v>0</v>
      </c>
      <c r="M684" t="n">
        <v>0</v>
      </c>
      <c r="N684" t="n">
        <v>0</v>
      </c>
      <c r="O684" t="n">
        <v>0</v>
      </c>
      <c r="P684" t="n">
        <v>0</v>
      </c>
      <c r="Q684" t="n">
        <v>0</v>
      </c>
      <c r="R684" s="2" t="inlineStr"/>
    </row>
    <row r="685" ht="15" customHeight="1">
      <c r="A685" t="inlineStr">
        <is>
          <t>A 23851-2024</t>
        </is>
      </c>
      <c r="B685" s="1" t="n">
        <v>45455</v>
      </c>
      <c r="C685" s="1" t="n">
        <v>45670</v>
      </c>
      <c r="D685" t="inlineStr">
        <is>
          <t>VÄSTERNORRLANDS LÄN</t>
        </is>
      </c>
      <c r="E685" t="inlineStr">
        <is>
          <t>TIMRÅ</t>
        </is>
      </c>
      <c r="G685" t="n">
        <v>3.5</v>
      </c>
      <c r="H685" t="n">
        <v>0</v>
      </c>
      <c r="I685" t="n">
        <v>0</v>
      </c>
      <c r="J685" t="n">
        <v>0</v>
      </c>
      <c r="K685" t="n">
        <v>0</v>
      </c>
      <c r="L685" t="n">
        <v>0</v>
      </c>
      <c r="M685" t="n">
        <v>0</v>
      </c>
      <c r="N685" t="n">
        <v>0</v>
      </c>
      <c r="O685" t="n">
        <v>0</v>
      </c>
      <c r="P685" t="n">
        <v>0</v>
      </c>
      <c r="Q685" t="n">
        <v>0</v>
      </c>
      <c r="R685" s="2" t="inlineStr"/>
    </row>
    <row r="686" ht="15" customHeight="1">
      <c r="A686" t="inlineStr">
        <is>
          <t>A 24739-2024</t>
        </is>
      </c>
      <c r="B686" s="1" t="n">
        <v>45460</v>
      </c>
      <c r="C686" s="1" t="n">
        <v>45670</v>
      </c>
      <c r="D686" t="inlineStr">
        <is>
          <t>VÄSTERNORRLANDS LÄN</t>
        </is>
      </c>
      <c r="E686" t="inlineStr">
        <is>
          <t>TIMRÅ</t>
        </is>
      </c>
      <c r="G686" t="n">
        <v>0.9</v>
      </c>
      <c r="H686" t="n">
        <v>0</v>
      </c>
      <c r="I686" t="n">
        <v>0</v>
      </c>
      <c r="J686" t="n">
        <v>0</v>
      </c>
      <c r="K686" t="n">
        <v>0</v>
      </c>
      <c r="L686" t="n">
        <v>0</v>
      </c>
      <c r="M686" t="n">
        <v>0</v>
      </c>
      <c r="N686" t="n">
        <v>0</v>
      </c>
      <c r="O686" t="n">
        <v>0</v>
      </c>
      <c r="P686" t="n">
        <v>0</v>
      </c>
      <c r="Q686" t="n">
        <v>0</v>
      </c>
      <c r="R686" s="2" t="inlineStr"/>
    </row>
    <row r="687" ht="15" customHeight="1">
      <c r="A687" t="inlineStr">
        <is>
          <t>A 26662-2024</t>
        </is>
      </c>
      <c r="B687" s="1" t="n">
        <v>45469</v>
      </c>
      <c r="C687" s="1" t="n">
        <v>45670</v>
      </c>
      <c r="D687" t="inlineStr">
        <is>
          <t>VÄSTERNORRLANDS LÄN</t>
        </is>
      </c>
      <c r="E687" t="inlineStr">
        <is>
          <t>TIMRÅ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27623-2024</t>
        </is>
      </c>
      <c r="B688" s="1" t="n">
        <v>45474</v>
      </c>
      <c r="C688" s="1" t="n">
        <v>45670</v>
      </c>
      <c r="D688" t="inlineStr">
        <is>
          <t>VÄSTERNORRLANDS LÄN</t>
        </is>
      </c>
      <c r="E688" t="inlineStr">
        <is>
          <t>TIMRÅ</t>
        </is>
      </c>
      <c r="G688" t="n">
        <v>3.4</v>
      </c>
      <c r="H688" t="n">
        <v>0</v>
      </c>
      <c r="I688" t="n">
        <v>0</v>
      </c>
      <c r="J688" t="n">
        <v>0</v>
      </c>
      <c r="K688" t="n">
        <v>0</v>
      </c>
      <c r="L688" t="n">
        <v>0</v>
      </c>
      <c r="M688" t="n">
        <v>0</v>
      </c>
      <c r="N688" t="n">
        <v>0</v>
      </c>
      <c r="O688" t="n">
        <v>0</v>
      </c>
      <c r="P688" t="n">
        <v>0</v>
      </c>
      <c r="Q688" t="n">
        <v>0</v>
      </c>
      <c r="R688" s="2" t="inlineStr"/>
    </row>
    <row r="689" ht="15" customHeight="1">
      <c r="A689" t="inlineStr">
        <is>
          <t>A 28160-2024</t>
        </is>
      </c>
      <c r="B689" s="1" t="n">
        <v>45476</v>
      </c>
      <c r="C689" s="1" t="n">
        <v>45670</v>
      </c>
      <c r="D689" t="inlineStr">
        <is>
          <t>VÄSTERNORRLANDS LÄN</t>
        </is>
      </c>
      <c r="E689" t="inlineStr">
        <is>
          <t>TIMRÅ</t>
        </is>
      </c>
      <c r="F689" t="inlineStr">
        <is>
          <t>SCA</t>
        </is>
      </c>
      <c r="G689" t="n">
        <v>16.1</v>
      </c>
      <c r="H689" t="n">
        <v>0</v>
      </c>
      <c r="I689" t="n">
        <v>0</v>
      </c>
      <c r="J689" t="n">
        <v>0</v>
      </c>
      <c r="K689" t="n">
        <v>0</v>
      </c>
      <c r="L689" t="n">
        <v>0</v>
      </c>
      <c r="M689" t="n">
        <v>0</v>
      </c>
      <c r="N689" t="n">
        <v>0</v>
      </c>
      <c r="O689" t="n">
        <v>0</v>
      </c>
      <c r="P689" t="n">
        <v>0</v>
      </c>
      <c r="Q689" t="n">
        <v>0</v>
      </c>
      <c r="R689" s="2" t="inlineStr"/>
    </row>
    <row r="690" ht="15" customHeight="1">
      <c r="A690" t="inlineStr">
        <is>
          <t>A 28503-2024</t>
        </is>
      </c>
      <c r="B690" s="1" t="n">
        <v>45477</v>
      </c>
      <c r="C690" s="1" t="n">
        <v>45670</v>
      </c>
      <c r="D690" t="inlineStr">
        <is>
          <t>VÄSTERNORRLANDS LÄN</t>
        </is>
      </c>
      <c r="E690" t="inlineStr">
        <is>
          <t>TIMRÅ</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28256-2024</t>
        </is>
      </c>
      <c r="B691" s="1" t="n">
        <v>45477</v>
      </c>
      <c r="C691" s="1" t="n">
        <v>45670</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29267-2024</t>
        </is>
      </c>
      <c r="B692" s="1" t="n">
        <v>45482</v>
      </c>
      <c r="C692" s="1" t="n">
        <v>45670</v>
      </c>
      <c r="D692" t="inlineStr">
        <is>
          <t>VÄSTERNORRLANDS LÄN</t>
        </is>
      </c>
      <c r="E692" t="inlineStr">
        <is>
          <t>TIMRÅ</t>
        </is>
      </c>
      <c r="G692" t="n">
        <v>4.2</v>
      </c>
      <c r="H692" t="n">
        <v>0</v>
      </c>
      <c r="I692" t="n">
        <v>0</v>
      </c>
      <c r="J692" t="n">
        <v>0</v>
      </c>
      <c r="K692" t="n">
        <v>0</v>
      </c>
      <c r="L692" t="n">
        <v>0</v>
      </c>
      <c r="M692" t="n">
        <v>0</v>
      </c>
      <c r="N692" t="n">
        <v>0</v>
      </c>
      <c r="O692" t="n">
        <v>0</v>
      </c>
      <c r="P692" t="n">
        <v>0</v>
      </c>
      <c r="Q692" t="n">
        <v>0</v>
      </c>
      <c r="R692" s="2" t="inlineStr"/>
    </row>
    <row r="693" ht="15" customHeight="1">
      <c r="A693" t="inlineStr">
        <is>
          <t>A 30612-2024</t>
        </is>
      </c>
      <c r="B693" s="1" t="n">
        <v>45495</v>
      </c>
      <c r="C693" s="1" t="n">
        <v>45670</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30680-2024</t>
        </is>
      </c>
      <c r="B694" s="1" t="n">
        <v>45495</v>
      </c>
      <c r="C694" s="1" t="n">
        <v>45670</v>
      </c>
      <c r="D694" t="inlineStr">
        <is>
          <t>VÄSTERNORRLANDS LÄN</t>
        </is>
      </c>
      <c r="E694" t="inlineStr">
        <is>
          <t>TIMRÅ</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30907-2024</t>
        </is>
      </c>
      <c r="B695" s="1" t="n">
        <v>45498</v>
      </c>
      <c r="C695" s="1" t="n">
        <v>45670</v>
      </c>
      <c r="D695" t="inlineStr">
        <is>
          <t>VÄSTERNORRLANDS LÄN</t>
        </is>
      </c>
      <c r="E695" t="inlineStr">
        <is>
          <t>TIMRÅ</t>
        </is>
      </c>
      <c r="G695" t="n">
        <v>6.6</v>
      </c>
      <c r="H695" t="n">
        <v>0</v>
      </c>
      <c r="I695" t="n">
        <v>0</v>
      </c>
      <c r="J695" t="n">
        <v>0</v>
      </c>
      <c r="K695" t="n">
        <v>0</v>
      </c>
      <c r="L695" t="n">
        <v>0</v>
      </c>
      <c r="M695" t="n">
        <v>0</v>
      </c>
      <c r="N695" t="n">
        <v>0</v>
      </c>
      <c r="O695" t="n">
        <v>0</v>
      </c>
      <c r="P695" t="n">
        <v>0</v>
      </c>
      <c r="Q695" t="n">
        <v>0</v>
      </c>
      <c r="R695" s="2" t="inlineStr"/>
    </row>
    <row r="696" ht="15" customHeight="1">
      <c r="A696" t="inlineStr">
        <is>
          <t>A 31711-2024</t>
        </is>
      </c>
      <c r="B696" s="1" t="n">
        <v>45508</v>
      </c>
      <c r="C696" s="1" t="n">
        <v>45670</v>
      </c>
      <c r="D696" t="inlineStr">
        <is>
          <t>VÄSTERNORRLANDS LÄN</t>
        </is>
      </c>
      <c r="E696" t="inlineStr">
        <is>
          <t>TIMRÅ</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32048-2024</t>
        </is>
      </c>
      <c r="B697" s="1" t="n">
        <v>45510</v>
      </c>
      <c r="C697" s="1" t="n">
        <v>45670</v>
      </c>
      <c r="D697" t="inlineStr">
        <is>
          <t>VÄSTERNORRLANDS LÄN</t>
        </is>
      </c>
      <c r="E697" t="inlineStr">
        <is>
          <t>TIMRÅ</t>
        </is>
      </c>
      <c r="G697" t="n">
        <v>2.7</v>
      </c>
      <c r="H697" t="n">
        <v>0</v>
      </c>
      <c r="I697" t="n">
        <v>0</v>
      </c>
      <c r="J697" t="n">
        <v>0</v>
      </c>
      <c r="K697" t="n">
        <v>0</v>
      </c>
      <c r="L697" t="n">
        <v>0</v>
      </c>
      <c r="M697" t="n">
        <v>0</v>
      </c>
      <c r="N697" t="n">
        <v>0</v>
      </c>
      <c r="O697" t="n">
        <v>0</v>
      </c>
      <c r="P697" t="n">
        <v>0</v>
      </c>
      <c r="Q697" t="n">
        <v>0</v>
      </c>
      <c r="R697" s="2" t="inlineStr"/>
    </row>
    <row r="698" ht="15" customHeight="1">
      <c r="A698" t="inlineStr">
        <is>
          <t>A 32112-2024</t>
        </is>
      </c>
      <c r="B698" s="1" t="n">
        <v>45511</v>
      </c>
      <c r="C698" s="1" t="n">
        <v>45670</v>
      </c>
      <c r="D698" t="inlineStr">
        <is>
          <t>VÄSTERNORRLANDS LÄN</t>
        </is>
      </c>
      <c r="E698" t="inlineStr">
        <is>
          <t>TIMRÅ</t>
        </is>
      </c>
      <c r="G698" t="n">
        <v>2.7</v>
      </c>
      <c r="H698" t="n">
        <v>0</v>
      </c>
      <c r="I698" t="n">
        <v>0</v>
      </c>
      <c r="J698" t="n">
        <v>0</v>
      </c>
      <c r="K698" t="n">
        <v>0</v>
      </c>
      <c r="L698" t="n">
        <v>0</v>
      </c>
      <c r="M698" t="n">
        <v>0</v>
      </c>
      <c r="N698" t="n">
        <v>0</v>
      </c>
      <c r="O698" t="n">
        <v>0</v>
      </c>
      <c r="P698" t="n">
        <v>0</v>
      </c>
      <c r="Q698" t="n">
        <v>0</v>
      </c>
      <c r="R698" s="2" t="inlineStr"/>
    </row>
    <row r="699" ht="15" customHeight="1">
      <c r="A699" t="inlineStr">
        <is>
          <t>A 32105-2024</t>
        </is>
      </c>
      <c r="B699" s="1" t="n">
        <v>45511</v>
      </c>
      <c r="C699" s="1" t="n">
        <v>45670</v>
      </c>
      <c r="D699" t="inlineStr">
        <is>
          <t>VÄSTERNORRLANDS LÄN</t>
        </is>
      </c>
      <c r="E699" t="inlineStr">
        <is>
          <t>TIMRÅ</t>
        </is>
      </c>
      <c r="G699" t="n">
        <v>6.4</v>
      </c>
      <c r="H699" t="n">
        <v>0</v>
      </c>
      <c r="I699" t="n">
        <v>0</v>
      </c>
      <c r="J699" t="n">
        <v>0</v>
      </c>
      <c r="K699" t="n">
        <v>0</v>
      </c>
      <c r="L699" t="n">
        <v>0</v>
      </c>
      <c r="M699" t="n">
        <v>0</v>
      </c>
      <c r="N699" t="n">
        <v>0</v>
      </c>
      <c r="O699" t="n">
        <v>0</v>
      </c>
      <c r="P699" t="n">
        <v>0</v>
      </c>
      <c r="Q699" t="n">
        <v>0</v>
      </c>
      <c r="R699" s="2" t="inlineStr"/>
    </row>
    <row r="700" ht="15" customHeight="1">
      <c r="A700" t="inlineStr">
        <is>
          <t>A 32454-2024</t>
        </is>
      </c>
      <c r="B700" s="1" t="n">
        <v>45512</v>
      </c>
      <c r="C700" s="1" t="n">
        <v>45670</v>
      </c>
      <c r="D700" t="inlineStr">
        <is>
          <t>VÄSTERNORRLANDS LÄN</t>
        </is>
      </c>
      <c r="E700" t="inlineStr">
        <is>
          <t>TIMRÅ</t>
        </is>
      </c>
      <c r="F700" t="inlineStr">
        <is>
          <t>SCA</t>
        </is>
      </c>
      <c r="G700" t="n">
        <v>5.7</v>
      </c>
      <c r="H700" t="n">
        <v>0</v>
      </c>
      <c r="I700" t="n">
        <v>0</v>
      </c>
      <c r="J700" t="n">
        <v>0</v>
      </c>
      <c r="K700" t="n">
        <v>0</v>
      </c>
      <c r="L700" t="n">
        <v>0</v>
      </c>
      <c r="M700" t="n">
        <v>0</v>
      </c>
      <c r="N700" t="n">
        <v>0</v>
      </c>
      <c r="O700" t="n">
        <v>0</v>
      </c>
      <c r="P700" t="n">
        <v>0</v>
      </c>
      <c r="Q700" t="n">
        <v>0</v>
      </c>
      <c r="R700" s="2" t="inlineStr"/>
    </row>
    <row r="701" ht="15" customHeight="1">
      <c r="A701" t="inlineStr">
        <is>
          <t>A 32445-2024</t>
        </is>
      </c>
      <c r="B701" s="1" t="n">
        <v>45512</v>
      </c>
      <c r="C701" s="1" t="n">
        <v>45670</v>
      </c>
      <c r="D701" t="inlineStr">
        <is>
          <t>VÄSTERNORRLANDS LÄN</t>
        </is>
      </c>
      <c r="E701" t="inlineStr">
        <is>
          <t>TIMRÅ</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33287-2024</t>
        </is>
      </c>
      <c r="B702" s="1" t="n">
        <v>45518</v>
      </c>
      <c r="C702" s="1" t="n">
        <v>45670</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33567-2024</t>
        </is>
      </c>
      <c r="B703" s="1" t="n">
        <v>45520</v>
      </c>
      <c r="C703" s="1" t="n">
        <v>45670</v>
      </c>
      <c r="D703" t="inlineStr">
        <is>
          <t>VÄSTERNORRLANDS LÄN</t>
        </is>
      </c>
      <c r="E703" t="inlineStr">
        <is>
          <t>TIMRÅ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33749-2024</t>
        </is>
      </c>
      <c r="B704" s="1" t="n">
        <v>45520</v>
      </c>
      <c r="C704" s="1" t="n">
        <v>45670</v>
      </c>
      <c r="D704" t="inlineStr">
        <is>
          <t>VÄSTERNORRLANDS LÄN</t>
        </is>
      </c>
      <c r="E704" t="inlineStr">
        <is>
          <t>TIMRÅ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37676-2024</t>
        </is>
      </c>
      <c r="B705" s="1" t="n">
        <v>45541</v>
      </c>
      <c r="C705" s="1" t="n">
        <v>45670</v>
      </c>
      <c r="D705" t="inlineStr">
        <is>
          <t>VÄSTERNORRLANDS LÄN</t>
        </is>
      </c>
      <c r="E705" t="inlineStr">
        <is>
          <t>TIMRÅ</t>
        </is>
      </c>
      <c r="G705" t="n">
        <v>15</v>
      </c>
      <c r="H705" t="n">
        <v>0</v>
      </c>
      <c r="I705" t="n">
        <v>0</v>
      </c>
      <c r="J705" t="n">
        <v>0</v>
      </c>
      <c r="K705" t="n">
        <v>0</v>
      </c>
      <c r="L705" t="n">
        <v>0</v>
      </c>
      <c r="M705" t="n">
        <v>0</v>
      </c>
      <c r="N705" t="n">
        <v>0</v>
      </c>
      <c r="O705" t="n">
        <v>0</v>
      </c>
      <c r="P705" t="n">
        <v>0</v>
      </c>
      <c r="Q705" t="n">
        <v>0</v>
      </c>
      <c r="R705" s="2" t="inlineStr"/>
    </row>
    <row r="706" ht="15" customHeight="1">
      <c r="A706" t="inlineStr">
        <is>
          <t>A 37841-2024</t>
        </is>
      </c>
      <c r="B706" s="1" t="n">
        <v>45544</v>
      </c>
      <c r="C706" s="1" t="n">
        <v>45670</v>
      </c>
      <c r="D706" t="inlineStr">
        <is>
          <t>VÄSTERNORRLANDS LÄN</t>
        </is>
      </c>
      <c r="E706" t="inlineStr">
        <is>
          <t>TIMRÅ</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37861-2024</t>
        </is>
      </c>
      <c r="B707" s="1" t="n">
        <v>45544</v>
      </c>
      <c r="C707" s="1" t="n">
        <v>45670</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37862-2024</t>
        </is>
      </c>
      <c r="B708" s="1" t="n">
        <v>45544</v>
      </c>
      <c r="C708" s="1" t="n">
        <v>45670</v>
      </c>
      <c r="D708" t="inlineStr">
        <is>
          <t>VÄSTERNORRLANDS LÄN</t>
        </is>
      </c>
      <c r="E708" t="inlineStr">
        <is>
          <t>TIMRÅ</t>
        </is>
      </c>
      <c r="G708" t="n">
        <v>0.9</v>
      </c>
      <c r="H708" t="n">
        <v>0</v>
      </c>
      <c r="I708" t="n">
        <v>0</v>
      </c>
      <c r="J708" t="n">
        <v>0</v>
      </c>
      <c r="K708" t="n">
        <v>0</v>
      </c>
      <c r="L708" t="n">
        <v>0</v>
      </c>
      <c r="M708" t="n">
        <v>0</v>
      </c>
      <c r="N708" t="n">
        <v>0</v>
      </c>
      <c r="O708" t="n">
        <v>0</v>
      </c>
      <c r="P708" t="n">
        <v>0</v>
      </c>
      <c r="Q708" t="n">
        <v>0</v>
      </c>
      <c r="R708" s="2" t="inlineStr"/>
    </row>
    <row r="709" ht="15" customHeight="1">
      <c r="A709" t="inlineStr">
        <is>
          <t>A 38286-2024</t>
        </is>
      </c>
      <c r="B709" s="1" t="n">
        <v>45545</v>
      </c>
      <c r="C709" s="1" t="n">
        <v>45670</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38288-2024</t>
        </is>
      </c>
      <c r="B710" s="1" t="n">
        <v>45545</v>
      </c>
      <c r="C710" s="1" t="n">
        <v>45670</v>
      </c>
      <c r="D710" t="inlineStr">
        <is>
          <t>VÄSTERNORRLANDS LÄN</t>
        </is>
      </c>
      <c r="E710" t="inlineStr">
        <is>
          <t>TIMRÅ</t>
        </is>
      </c>
      <c r="G710" t="n">
        <v>1.6</v>
      </c>
      <c r="H710" t="n">
        <v>0</v>
      </c>
      <c r="I710" t="n">
        <v>0</v>
      </c>
      <c r="J710" t="n">
        <v>0</v>
      </c>
      <c r="K710" t="n">
        <v>0</v>
      </c>
      <c r="L710" t="n">
        <v>0</v>
      </c>
      <c r="M710" t="n">
        <v>0</v>
      </c>
      <c r="N710" t="n">
        <v>0</v>
      </c>
      <c r="O710" t="n">
        <v>0</v>
      </c>
      <c r="P710" t="n">
        <v>0</v>
      </c>
      <c r="Q710" t="n">
        <v>0</v>
      </c>
      <c r="R710" s="2" t="inlineStr"/>
    </row>
    <row r="711" ht="15" customHeight="1">
      <c r="A711" t="inlineStr">
        <is>
          <t>A 38684-2024</t>
        </is>
      </c>
      <c r="B711" s="1" t="n">
        <v>45547</v>
      </c>
      <c r="C711" s="1" t="n">
        <v>45670</v>
      </c>
      <c r="D711" t="inlineStr">
        <is>
          <t>VÄSTERNORRLANDS LÄN</t>
        </is>
      </c>
      <c r="E711" t="inlineStr">
        <is>
          <t>TIMRÅ</t>
        </is>
      </c>
      <c r="G711" t="n">
        <v>1</v>
      </c>
      <c r="H711" t="n">
        <v>0</v>
      </c>
      <c r="I711" t="n">
        <v>0</v>
      </c>
      <c r="J711" t="n">
        <v>0</v>
      </c>
      <c r="K711" t="n">
        <v>0</v>
      </c>
      <c r="L711" t="n">
        <v>0</v>
      </c>
      <c r="M711" t="n">
        <v>0</v>
      </c>
      <c r="N711" t="n">
        <v>0</v>
      </c>
      <c r="O711" t="n">
        <v>0</v>
      </c>
      <c r="P711" t="n">
        <v>0</v>
      </c>
      <c r="Q711" t="n">
        <v>0</v>
      </c>
      <c r="R711" s="2" t="inlineStr"/>
    </row>
    <row r="712" ht="15" customHeight="1">
      <c r="A712" t="inlineStr">
        <is>
          <t>A 39094-2024</t>
        </is>
      </c>
      <c r="B712" s="1" t="n">
        <v>45548</v>
      </c>
      <c r="C712" s="1" t="n">
        <v>45670</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39110-2024</t>
        </is>
      </c>
      <c r="B713" s="1" t="n">
        <v>45548</v>
      </c>
      <c r="C713" s="1" t="n">
        <v>45670</v>
      </c>
      <c r="D713" t="inlineStr">
        <is>
          <t>VÄSTERNORRLANDS LÄN</t>
        </is>
      </c>
      <c r="E713" t="inlineStr">
        <is>
          <t>TIMRÅ</t>
        </is>
      </c>
      <c r="G713" t="n">
        <v>1.1</v>
      </c>
      <c r="H713" t="n">
        <v>0</v>
      </c>
      <c r="I713" t="n">
        <v>0</v>
      </c>
      <c r="J713" t="n">
        <v>0</v>
      </c>
      <c r="K713" t="n">
        <v>0</v>
      </c>
      <c r="L713" t="n">
        <v>0</v>
      </c>
      <c r="M713" t="n">
        <v>0</v>
      </c>
      <c r="N713" t="n">
        <v>0</v>
      </c>
      <c r="O713" t="n">
        <v>0</v>
      </c>
      <c r="P713" t="n">
        <v>0</v>
      </c>
      <c r="Q713" t="n">
        <v>0</v>
      </c>
      <c r="R713" s="2" t="inlineStr"/>
    </row>
    <row r="714" ht="15" customHeight="1">
      <c r="A714" t="inlineStr">
        <is>
          <t>A 38992-2024</t>
        </is>
      </c>
      <c r="B714" s="1" t="n">
        <v>45548</v>
      </c>
      <c r="C714" s="1" t="n">
        <v>45670</v>
      </c>
      <c r="D714" t="inlineStr">
        <is>
          <t>VÄSTERNORRLANDS LÄN</t>
        </is>
      </c>
      <c r="E714" t="inlineStr">
        <is>
          <t>TIMRÅ</t>
        </is>
      </c>
      <c r="G714" t="n">
        <v>1.4</v>
      </c>
      <c r="H714" t="n">
        <v>0</v>
      </c>
      <c r="I714" t="n">
        <v>0</v>
      </c>
      <c r="J714" t="n">
        <v>0</v>
      </c>
      <c r="K714" t="n">
        <v>0</v>
      </c>
      <c r="L714" t="n">
        <v>0</v>
      </c>
      <c r="M714" t="n">
        <v>0</v>
      </c>
      <c r="N714" t="n">
        <v>0</v>
      </c>
      <c r="O714" t="n">
        <v>0</v>
      </c>
      <c r="P714" t="n">
        <v>0</v>
      </c>
      <c r="Q714" t="n">
        <v>0</v>
      </c>
      <c r="R714" s="2" t="inlineStr"/>
    </row>
    <row r="715" ht="15" customHeight="1">
      <c r="A715" t="inlineStr">
        <is>
          <t>A 38996-2024</t>
        </is>
      </c>
      <c r="B715" s="1" t="n">
        <v>45548</v>
      </c>
      <c r="C715" s="1" t="n">
        <v>45670</v>
      </c>
      <c r="D715" t="inlineStr">
        <is>
          <t>VÄSTERNORRLANDS LÄN</t>
        </is>
      </c>
      <c r="E715" t="inlineStr">
        <is>
          <t>TIMRÅ</t>
        </is>
      </c>
      <c r="G715" t="n">
        <v>8.5</v>
      </c>
      <c r="H715" t="n">
        <v>0</v>
      </c>
      <c r="I715" t="n">
        <v>0</v>
      </c>
      <c r="J715" t="n">
        <v>0</v>
      </c>
      <c r="K715" t="n">
        <v>0</v>
      </c>
      <c r="L715" t="n">
        <v>0</v>
      </c>
      <c r="M715" t="n">
        <v>0</v>
      </c>
      <c r="N715" t="n">
        <v>0</v>
      </c>
      <c r="O715" t="n">
        <v>0</v>
      </c>
      <c r="P715" t="n">
        <v>0</v>
      </c>
      <c r="Q715" t="n">
        <v>0</v>
      </c>
      <c r="R715" s="2" t="inlineStr"/>
    </row>
    <row r="716" ht="15" customHeight="1">
      <c r="A716" t="inlineStr">
        <is>
          <t>A 39127-2024</t>
        </is>
      </c>
      <c r="B716" s="1" t="n">
        <v>45548</v>
      </c>
      <c r="C716" s="1" t="n">
        <v>45670</v>
      </c>
      <c r="D716" t="inlineStr">
        <is>
          <t>VÄSTERNORRLANDS LÄN</t>
        </is>
      </c>
      <c r="E716" t="inlineStr">
        <is>
          <t>TIMRÅ</t>
        </is>
      </c>
      <c r="G716" t="n">
        <v>5.1</v>
      </c>
      <c r="H716" t="n">
        <v>0</v>
      </c>
      <c r="I716" t="n">
        <v>0</v>
      </c>
      <c r="J716" t="n">
        <v>0</v>
      </c>
      <c r="K716" t="n">
        <v>0</v>
      </c>
      <c r="L716" t="n">
        <v>0</v>
      </c>
      <c r="M716" t="n">
        <v>0</v>
      </c>
      <c r="N716" t="n">
        <v>0</v>
      </c>
      <c r="O716" t="n">
        <v>0</v>
      </c>
      <c r="P716" t="n">
        <v>0</v>
      </c>
      <c r="Q716" t="n">
        <v>0</v>
      </c>
      <c r="R716" s="2" t="inlineStr"/>
    </row>
    <row r="717" ht="15" customHeight="1">
      <c r="A717" t="inlineStr">
        <is>
          <t>A 40014-2024</t>
        </is>
      </c>
      <c r="B717" s="1" t="n">
        <v>45553</v>
      </c>
      <c r="C717" s="1" t="n">
        <v>45670</v>
      </c>
      <c r="D717" t="inlineStr">
        <is>
          <t>VÄSTERNORRLANDS LÄN</t>
        </is>
      </c>
      <c r="E717" t="inlineStr">
        <is>
          <t>TIMRÅ</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40593-2024</t>
        </is>
      </c>
      <c r="B718" s="1" t="n">
        <v>45555</v>
      </c>
      <c r="C718" s="1" t="n">
        <v>45670</v>
      </c>
      <c r="D718" t="inlineStr">
        <is>
          <t>VÄSTERNORRLANDS LÄN</t>
        </is>
      </c>
      <c r="E718" t="inlineStr">
        <is>
          <t>TIMRÅ</t>
        </is>
      </c>
      <c r="G718" t="n">
        <v>3.6</v>
      </c>
      <c r="H718" t="n">
        <v>0</v>
      </c>
      <c r="I718" t="n">
        <v>0</v>
      </c>
      <c r="J718" t="n">
        <v>0</v>
      </c>
      <c r="K718" t="n">
        <v>0</v>
      </c>
      <c r="L718" t="n">
        <v>0</v>
      </c>
      <c r="M718" t="n">
        <v>0</v>
      </c>
      <c r="N718" t="n">
        <v>0</v>
      </c>
      <c r="O718" t="n">
        <v>0</v>
      </c>
      <c r="P718" t="n">
        <v>0</v>
      </c>
      <c r="Q718" t="n">
        <v>0</v>
      </c>
      <c r="R718" s="2" t="inlineStr"/>
    </row>
    <row r="719" ht="15" customHeight="1">
      <c r="A719" t="inlineStr">
        <is>
          <t>A 40664-2024</t>
        </is>
      </c>
      <c r="B719" s="1" t="n">
        <v>45558</v>
      </c>
      <c r="C719" s="1" t="n">
        <v>45670</v>
      </c>
      <c r="D719" t="inlineStr">
        <is>
          <t>VÄSTERNORRLANDS LÄN</t>
        </is>
      </c>
      <c r="E719" t="inlineStr">
        <is>
          <t>TIMRÅ</t>
        </is>
      </c>
      <c r="G719" t="n">
        <v>1.6</v>
      </c>
      <c r="H719" t="n">
        <v>0</v>
      </c>
      <c r="I719" t="n">
        <v>0</v>
      </c>
      <c r="J719" t="n">
        <v>0</v>
      </c>
      <c r="K719" t="n">
        <v>0</v>
      </c>
      <c r="L719" t="n">
        <v>0</v>
      </c>
      <c r="M719" t="n">
        <v>0</v>
      </c>
      <c r="N719" t="n">
        <v>0</v>
      </c>
      <c r="O719" t="n">
        <v>0</v>
      </c>
      <c r="P719" t="n">
        <v>0</v>
      </c>
      <c r="Q719" t="n">
        <v>0</v>
      </c>
      <c r="R719" s="2" t="inlineStr"/>
    </row>
    <row r="720" ht="15" customHeight="1">
      <c r="A720" t="inlineStr">
        <is>
          <t>A 40762-2024</t>
        </is>
      </c>
      <c r="B720" s="1" t="n">
        <v>45558</v>
      </c>
      <c r="C720" s="1" t="n">
        <v>45670</v>
      </c>
      <c r="D720" t="inlineStr">
        <is>
          <t>VÄSTERNORRLANDS LÄN</t>
        </is>
      </c>
      <c r="E720" t="inlineStr">
        <is>
          <t>TIMRÅ</t>
        </is>
      </c>
      <c r="F720" t="inlineStr">
        <is>
          <t>SCA</t>
        </is>
      </c>
      <c r="G720" t="n">
        <v>7.9</v>
      </c>
      <c r="H720" t="n">
        <v>0</v>
      </c>
      <c r="I720" t="n">
        <v>0</v>
      </c>
      <c r="J720" t="n">
        <v>0</v>
      </c>
      <c r="K720" t="n">
        <v>0</v>
      </c>
      <c r="L720" t="n">
        <v>0</v>
      </c>
      <c r="M720" t="n">
        <v>0</v>
      </c>
      <c r="N720" t="n">
        <v>0</v>
      </c>
      <c r="O720" t="n">
        <v>0</v>
      </c>
      <c r="P720" t="n">
        <v>0</v>
      </c>
      <c r="Q720" t="n">
        <v>0</v>
      </c>
      <c r="R720" s="2" t="inlineStr"/>
    </row>
    <row r="721" ht="15" customHeight="1">
      <c r="A721" t="inlineStr">
        <is>
          <t>A 41596-2024</t>
        </is>
      </c>
      <c r="B721" s="1" t="n">
        <v>45560</v>
      </c>
      <c r="C721" s="1" t="n">
        <v>45670</v>
      </c>
      <c r="D721" t="inlineStr">
        <is>
          <t>VÄSTERNORRLANDS LÄN</t>
        </is>
      </c>
      <c r="E721" t="inlineStr">
        <is>
          <t>TIMRÅ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42112-2024</t>
        </is>
      </c>
      <c r="B722" s="1" t="n">
        <v>45562</v>
      </c>
      <c r="C722" s="1" t="n">
        <v>45670</v>
      </c>
      <c r="D722" t="inlineStr">
        <is>
          <t>VÄSTERNORRLANDS LÄN</t>
        </is>
      </c>
      <c r="E722" t="inlineStr">
        <is>
          <t>TIMRÅ</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42094-2024</t>
        </is>
      </c>
      <c r="B723" s="1" t="n">
        <v>45562</v>
      </c>
      <c r="C723" s="1" t="n">
        <v>45670</v>
      </c>
      <c r="D723" t="inlineStr">
        <is>
          <t>VÄSTERNORRLANDS LÄN</t>
        </is>
      </c>
      <c r="E723" t="inlineStr">
        <is>
          <t>TIMRÅ</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42855-2024</t>
        </is>
      </c>
      <c r="B724" s="1" t="n">
        <v>45566</v>
      </c>
      <c r="C724" s="1" t="n">
        <v>45670</v>
      </c>
      <c r="D724" t="inlineStr">
        <is>
          <t>VÄSTERNORRLANDS LÄN</t>
        </is>
      </c>
      <c r="E724" t="inlineStr">
        <is>
          <t>TIMRÅ</t>
        </is>
      </c>
      <c r="G724" t="n">
        <v>2.5</v>
      </c>
      <c r="H724" t="n">
        <v>0</v>
      </c>
      <c r="I724" t="n">
        <v>0</v>
      </c>
      <c r="J724" t="n">
        <v>0</v>
      </c>
      <c r="K724" t="n">
        <v>0</v>
      </c>
      <c r="L724" t="n">
        <v>0</v>
      </c>
      <c r="M724" t="n">
        <v>0</v>
      </c>
      <c r="N724" t="n">
        <v>0</v>
      </c>
      <c r="O724" t="n">
        <v>0</v>
      </c>
      <c r="P724" t="n">
        <v>0</v>
      </c>
      <c r="Q724" t="n">
        <v>0</v>
      </c>
      <c r="R724" s="2" t="inlineStr"/>
    </row>
    <row r="725" ht="15" customHeight="1">
      <c r="A725" t="inlineStr">
        <is>
          <t>A 42860-2024</t>
        </is>
      </c>
      <c r="B725" s="1" t="n">
        <v>45566</v>
      </c>
      <c r="C725" s="1" t="n">
        <v>45670</v>
      </c>
      <c r="D725" t="inlineStr">
        <is>
          <t>VÄSTERNORRLANDS LÄN</t>
        </is>
      </c>
      <c r="E725" t="inlineStr">
        <is>
          <t>TIMRÅ</t>
        </is>
      </c>
      <c r="G725" t="n">
        <v>3.9</v>
      </c>
      <c r="H725" t="n">
        <v>0</v>
      </c>
      <c r="I725" t="n">
        <v>0</v>
      </c>
      <c r="J725" t="n">
        <v>0</v>
      </c>
      <c r="K725" t="n">
        <v>0</v>
      </c>
      <c r="L725" t="n">
        <v>0</v>
      </c>
      <c r="M725" t="n">
        <v>0</v>
      </c>
      <c r="N725" t="n">
        <v>0</v>
      </c>
      <c r="O725" t="n">
        <v>0</v>
      </c>
      <c r="P725" t="n">
        <v>0</v>
      </c>
      <c r="Q725" t="n">
        <v>0</v>
      </c>
      <c r="R725" s="2" t="inlineStr"/>
    </row>
    <row r="726" ht="15" customHeight="1">
      <c r="A726" t="inlineStr">
        <is>
          <t>A 43167-2024</t>
        </is>
      </c>
      <c r="B726" s="1" t="n">
        <v>45567</v>
      </c>
      <c r="C726" s="1" t="n">
        <v>45670</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43172-2024</t>
        </is>
      </c>
      <c r="B727" s="1" t="n">
        <v>45567</v>
      </c>
      <c r="C727" s="1" t="n">
        <v>45670</v>
      </c>
      <c r="D727" t="inlineStr">
        <is>
          <t>VÄSTERNORRLANDS LÄN</t>
        </is>
      </c>
      <c r="E727" t="inlineStr">
        <is>
          <t>TIMRÅ</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43006-2024</t>
        </is>
      </c>
      <c r="B728" s="1" t="n">
        <v>45567</v>
      </c>
      <c r="C728" s="1" t="n">
        <v>45670</v>
      </c>
      <c r="D728" t="inlineStr">
        <is>
          <t>VÄSTERNORRLANDS LÄN</t>
        </is>
      </c>
      <c r="E728" t="inlineStr">
        <is>
          <t>TIMRÅ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43345-2024</t>
        </is>
      </c>
      <c r="B729" s="1" t="n">
        <v>45568</v>
      </c>
      <c r="C729" s="1" t="n">
        <v>45670</v>
      </c>
      <c r="D729" t="inlineStr">
        <is>
          <t>VÄSTERNORRLANDS LÄN</t>
        </is>
      </c>
      <c r="E729" t="inlineStr">
        <is>
          <t>TIMRÅ</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43344-2024</t>
        </is>
      </c>
      <c r="B730" s="1" t="n">
        <v>45568</v>
      </c>
      <c r="C730" s="1" t="n">
        <v>45670</v>
      </c>
      <c r="D730" t="inlineStr">
        <is>
          <t>VÄSTERNORRLANDS LÄN</t>
        </is>
      </c>
      <c r="E730" t="inlineStr">
        <is>
          <t>TIMRÅ</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43526-2024</t>
        </is>
      </c>
      <c r="B731" s="1" t="n">
        <v>45569</v>
      </c>
      <c r="C731" s="1" t="n">
        <v>45670</v>
      </c>
      <c r="D731" t="inlineStr">
        <is>
          <t>VÄSTERNORRLANDS LÄN</t>
        </is>
      </c>
      <c r="E731" t="inlineStr">
        <is>
          <t>TIMRÅ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43527-2024</t>
        </is>
      </c>
      <c r="B732" s="1" t="n">
        <v>45569</v>
      </c>
      <c r="C732" s="1" t="n">
        <v>45670</v>
      </c>
      <c r="D732" t="inlineStr">
        <is>
          <t>VÄSTERNORRLANDS LÄN</t>
        </is>
      </c>
      <c r="E732" t="inlineStr">
        <is>
          <t>TIMRÅ</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43868-2024</t>
        </is>
      </c>
      <c r="B733" s="1" t="n">
        <v>45569</v>
      </c>
      <c r="C733" s="1" t="n">
        <v>45670</v>
      </c>
      <c r="D733" t="inlineStr">
        <is>
          <t>VÄSTERNORRLANDS LÄN</t>
        </is>
      </c>
      <c r="E733" t="inlineStr">
        <is>
          <t>TIMRÅ</t>
        </is>
      </c>
      <c r="G733" t="n">
        <v>1.8</v>
      </c>
      <c r="H733" t="n">
        <v>0</v>
      </c>
      <c r="I733" t="n">
        <v>0</v>
      </c>
      <c r="J733" t="n">
        <v>0</v>
      </c>
      <c r="K733" t="n">
        <v>0</v>
      </c>
      <c r="L733" t="n">
        <v>0</v>
      </c>
      <c r="M733" t="n">
        <v>0</v>
      </c>
      <c r="N733" t="n">
        <v>0</v>
      </c>
      <c r="O733" t="n">
        <v>0</v>
      </c>
      <c r="P733" t="n">
        <v>0</v>
      </c>
      <c r="Q733" t="n">
        <v>0</v>
      </c>
      <c r="R733" s="2" t="inlineStr"/>
    </row>
    <row r="734" ht="15" customHeight="1">
      <c r="A734" t="inlineStr">
        <is>
          <t>A 43568-2024</t>
        </is>
      </c>
      <c r="B734" s="1" t="n">
        <v>45569</v>
      </c>
      <c r="C734" s="1" t="n">
        <v>45670</v>
      </c>
      <c r="D734" t="inlineStr">
        <is>
          <t>VÄSTERNORRLANDS LÄN</t>
        </is>
      </c>
      <c r="E734" t="inlineStr">
        <is>
          <t>TIMRÅ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44011-2024</t>
        </is>
      </c>
      <c r="B735" s="1" t="n">
        <v>45572</v>
      </c>
      <c r="C735" s="1" t="n">
        <v>45670</v>
      </c>
      <c r="D735" t="inlineStr">
        <is>
          <t>VÄSTERNORRLANDS LÄN</t>
        </is>
      </c>
      <c r="E735" t="inlineStr">
        <is>
          <t>TIMRÅ</t>
        </is>
      </c>
      <c r="G735" t="n">
        <v>7.6</v>
      </c>
      <c r="H735" t="n">
        <v>0</v>
      </c>
      <c r="I735" t="n">
        <v>0</v>
      </c>
      <c r="J735" t="n">
        <v>0</v>
      </c>
      <c r="K735" t="n">
        <v>0</v>
      </c>
      <c r="L735" t="n">
        <v>0</v>
      </c>
      <c r="M735" t="n">
        <v>0</v>
      </c>
      <c r="N735" t="n">
        <v>0</v>
      </c>
      <c r="O735" t="n">
        <v>0</v>
      </c>
      <c r="P735" t="n">
        <v>0</v>
      </c>
      <c r="Q735" t="n">
        <v>0</v>
      </c>
      <c r="R735" s="2" t="inlineStr"/>
    </row>
    <row r="736" ht="15" customHeight="1">
      <c r="A736" t="inlineStr">
        <is>
          <t>A 44030-2024</t>
        </is>
      </c>
      <c r="B736" s="1" t="n">
        <v>45572</v>
      </c>
      <c r="C736" s="1" t="n">
        <v>45670</v>
      </c>
      <c r="D736" t="inlineStr">
        <is>
          <t>VÄSTERNORRLANDS LÄN</t>
        </is>
      </c>
      <c r="E736" t="inlineStr">
        <is>
          <t>TIMRÅ</t>
        </is>
      </c>
      <c r="G736" t="n">
        <v>2.1</v>
      </c>
      <c r="H736" t="n">
        <v>0</v>
      </c>
      <c r="I736" t="n">
        <v>0</v>
      </c>
      <c r="J736" t="n">
        <v>0</v>
      </c>
      <c r="K736" t="n">
        <v>0</v>
      </c>
      <c r="L736" t="n">
        <v>0</v>
      </c>
      <c r="M736" t="n">
        <v>0</v>
      </c>
      <c r="N736" t="n">
        <v>0</v>
      </c>
      <c r="O736" t="n">
        <v>0</v>
      </c>
      <c r="P736" t="n">
        <v>0</v>
      </c>
      <c r="Q736" t="n">
        <v>0</v>
      </c>
      <c r="R736" s="2" t="inlineStr"/>
    </row>
    <row r="737" ht="15" customHeight="1">
      <c r="A737" t="inlineStr">
        <is>
          <t>A 44664-2024</t>
        </is>
      </c>
      <c r="B737" s="1" t="n">
        <v>45574</v>
      </c>
      <c r="C737" s="1" t="n">
        <v>45670</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45608-2024</t>
        </is>
      </c>
      <c r="B738" s="1" t="n">
        <v>45579</v>
      </c>
      <c r="C738" s="1" t="n">
        <v>45670</v>
      </c>
      <c r="D738" t="inlineStr">
        <is>
          <t>VÄSTERNORRLANDS LÄN</t>
        </is>
      </c>
      <c r="E738" t="inlineStr">
        <is>
          <t>TIMRÅ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45685-2024</t>
        </is>
      </c>
      <c r="B739" s="1" t="n">
        <v>45579</v>
      </c>
      <c r="C739" s="1" t="n">
        <v>45670</v>
      </c>
      <c r="D739" t="inlineStr">
        <is>
          <t>VÄSTERNORRLANDS LÄN</t>
        </is>
      </c>
      <c r="E739" t="inlineStr">
        <is>
          <t>TIMRÅ</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45673-2024</t>
        </is>
      </c>
      <c r="B740" s="1" t="n">
        <v>45579</v>
      </c>
      <c r="C740" s="1" t="n">
        <v>45670</v>
      </c>
      <c r="D740" t="inlineStr">
        <is>
          <t>VÄSTERNORRLANDS LÄN</t>
        </is>
      </c>
      <c r="E740" t="inlineStr">
        <is>
          <t>TIMRÅ</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45627-2024</t>
        </is>
      </c>
      <c r="B741" s="1" t="n">
        <v>45579</v>
      </c>
      <c r="C741" s="1" t="n">
        <v>45670</v>
      </c>
      <c r="D741" t="inlineStr">
        <is>
          <t>VÄSTERNORRLANDS LÄN</t>
        </is>
      </c>
      <c r="E741" t="inlineStr">
        <is>
          <t>TIMRÅ</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45586-2024</t>
        </is>
      </c>
      <c r="B742" s="1" t="n">
        <v>45579</v>
      </c>
      <c r="C742" s="1" t="n">
        <v>45670</v>
      </c>
      <c r="D742" t="inlineStr">
        <is>
          <t>VÄSTERNORRLANDS LÄN</t>
        </is>
      </c>
      <c r="E742" t="inlineStr">
        <is>
          <t>TIMRÅ</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45629-2024</t>
        </is>
      </c>
      <c r="B743" s="1" t="n">
        <v>45579</v>
      </c>
      <c r="C743" s="1" t="n">
        <v>45670</v>
      </c>
      <c r="D743" t="inlineStr">
        <is>
          <t>VÄSTERNORRLANDS LÄN</t>
        </is>
      </c>
      <c r="E743" t="inlineStr">
        <is>
          <t>TIMRÅ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45720-2024</t>
        </is>
      </c>
      <c r="B744" s="1" t="n">
        <v>45579</v>
      </c>
      <c r="C744" s="1" t="n">
        <v>45670</v>
      </c>
      <c r="D744" t="inlineStr">
        <is>
          <t>VÄSTERNORRLANDS LÄN</t>
        </is>
      </c>
      <c r="E744" t="inlineStr">
        <is>
          <t>TIMRÅ</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45630-2024</t>
        </is>
      </c>
      <c r="B745" s="1" t="n">
        <v>45579</v>
      </c>
      <c r="C745" s="1" t="n">
        <v>45670</v>
      </c>
      <c r="D745" t="inlineStr">
        <is>
          <t>VÄSTERNORRLANDS LÄN</t>
        </is>
      </c>
      <c r="E745" t="inlineStr">
        <is>
          <t>TIMRÅ</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45886-2024</t>
        </is>
      </c>
      <c r="B746" s="1" t="n">
        <v>45580</v>
      </c>
      <c r="C746" s="1" t="n">
        <v>45670</v>
      </c>
      <c r="D746" t="inlineStr">
        <is>
          <t>VÄSTERNORRLANDS LÄN</t>
        </is>
      </c>
      <c r="E746" t="inlineStr">
        <is>
          <t>TIMRÅ</t>
        </is>
      </c>
      <c r="G746" t="n">
        <v>1.1</v>
      </c>
      <c r="H746" t="n">
        <v>0</v>
      </c>
      <c r="I746" t="n">
        <v>0</v>
      </c>
      <c r="J746" t="n">
        <v>0</v>
      </c>
      <c r="K746" t="n">
        <v>0</v>
      </c>
      <c r="L746" t="n">
        <v>0</v>
      </c>
      <c r="M746" t="n">
        <v>0</v>
      </c>
      <c r="N746" t="n">
        <v>0</v>
      </c>
      <c r="O746" t="n">
        <v>0</v>
      </c>
      <c r="P746" t="n">
        <v>0</v>
      </c>
      <c r="Q746" t="n">
        <v>0</v>
      </c>
      <c r="R746" s="2" t="inlineStr"/>
    </row>
    <row r="747" ht="15" customHeight="1">
      <c r="A747" t="inlineStr">
        <is>
          <t>A 45942-2024</t>
        </is>
      </c>
      <c r="B747" s="1" t="n">
        <v>45580</v>
      </c>
      <c r="C747" s="1" t="n">
        <v>45670</v>
      </c>
      <c r="D747" t="inlineStr">
        <is>
          <t>VÄSTERNORRLANDS LÄN</t>
        </is>
      </c>
      <c r="E747" t="inlineStr">
        <is>
          <t>TIMRÅ</t>
        </is>
      </c>
      <c r="G747" t="n">
        <v>2.1</v>
      </c>
      <c r="H747" t="n">
        <v>0</v>
      </c>
      <c r="I747" t="n">
        <v>0</v>
      </c>
      <c r="J747" t="n">
        <v>0</v>
      </c>
      <c r="K747" t="n">
        <v>0</v>
      </c>
      <c r="L747" t="n">
        <v>0</v>
      </c>
      <c r="M747" t="n">
        <v>0</v>
      </c>
      <c r="N747" t="n">
        <v>0</v>
      </c>
      <c r="O747" t="n">
        <v>0</v>
      </c>
      <c r="P747" t="n">
        <v>0</v>
      </c>
      <c r="Q747" t="n">
        <v>0</v>
      </c>
      <c r="R747" s="2" t="inlineStr"/>
    </row>
    <row r="748" ht="15" customHeight="1">
      <c r="A748" t="inlineStr">
        <is>
          <t>A 46131-2024</t>
        </is>
      </c>
      <c r="B748" s="1" t="n">
        <v>45581</v>
      </c>
      <c r="C748" s="1" t="n">
        <v>45670</v>
      </c>
      <c r="D748" t="inlineStr">
        <is>
          <t>VÄSTERNORRLANDS LÄN</t>
        </is>
      </c>
      <c r="E748" t="inlineStr">
        <is>
          <t>TIMRÅ</t>
        </is>
      </c>
      <c r="G748" t="n">
        <v>2.4</v>
      </c>
      <c r="H748" t="n">
        <v>0</v>
      </c>
      <c r="I748" t="n">
        <v>0</v>
      </c>
      <c r="J748" t="n">
        <v>0</v>
      </c>
      <c r="K748" t="n">
        <v>0</v>
      </c>
      <c r="L748" t="n">
        <v>0</v>
      </c>
      <c r="M748" t="n">
        <v>0</v>
      </c>
      <c r="N748" t="n">
        <v>0</v>
      </c>
      <c r="O748" t="n">
        <v>0</v>
      </c>
      <c r="P748" t="n">
        <v>0</v>
      </c>
      <c r="Q748" t="n">
        <v>0</v>
      </c>
      <c r="R748" s="2" t="inlineStr"/>
    </row>
    <row r="749" ht="15" customHeight="1">
      <c r="A749" t="inlineStr">
        <is>
          <t>A 47089-2024</t>
        </is>
      </c>
      <c r="B749" s="1" t="n">
        <v>45586</v>
      </c>
      <c r="C749" s="1" t="n">
        <v>45670</v>
      </c>
      <c r="D749" t="inlineStr">
        <is>
          <t>VÄSTERNORRLANDS LÄN</t>
        </is>
      </c>
      <c r="E749" t="inlineStr">
        <is>
          <t>TIMRÅ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47341-2024</t>
        </is>
      </c>
      <c r="B750" s="1" t="n">
        <v>45587</v>
      </c>
      <c r="C750" s="1" t="n">
        <v>45670</v>
      </c>
      <c r="D750" t="inlineStr">
        <is>
          <t>VÄSTERNORRLANDS LÄN</t>
        </is>
      </c>
      <c r="E750" t="inlineStr">
        <is>
          <t>TIMRÅ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47848-2024</t>
        </is>
      </c>
      <c r="B751" s="1" t="n">
        <v>45588</v>
      </c>
      <c r="C751" s="1" t="n">
        <v>45670</v>
      </c>
      <c r="D751" t="inlineStr">
        <is>
          <t>VÄSTERNORRLANDS LÄN</t>
        </is>
      </c>
      <c r="E751" t="inlineStr">
        <is>
          <t>TIMRÅ</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48031-2024</t>
        </is>
      </c>
      <c r="B752" s="1" t="n">
        <v>45589</v>
      </c>
      <c r="C752" s="1" t="n">
        <v>45670</v>
      </c>
      <c r="D752" t="inlineStr">
        <is>
          <t>VÄSTERNORRLANDS LÄN</t>
        </is>
      </c>
      <c r="E752" t="inlineStr">
        <is>
          <t>TIMRÅ</t>
        </is>
      </c>
      <c r="G752" t="n">
        <v>8.9</v>
      </c>
      <c r="H752" t="n">
        <v>0</v>
      </c>
      <c r="I752" t="n">
        <v>0</v>
      </c>
      <c r="J752" t="n">
        <v>0</v>
      </c>
      <c r="K752" t="n">
        <v>0</v>
      </c>
      <c r="L752" t="n">
        <v>0</v>
      </c>
      <c r="M752" t="n">
        <v>0</v>
      </c>
      <c r="N752" t="n">
        <v>0</v>
      </c>
      <c r="O752" t="n">
        <v>0</v>
      </c>
      <c r="P752" t="n">
        <v>0</v>
      </c>
      <c r="Q752" t="n">
        <v>0</v>
      </c>
      <c r="R752" s="2" t="inlineStr"/>
    </row>
    <row r="753" ht="15" customHeight="1">
      <c r="A753" t="inlineStr">
        <is>
          <t>A 48005-2024</t>
        </is>
      </c>
      <c r="B753" s="1" t="n">
        <v>45589</v>
      </c>
      <c r="C753" s="1" t="n">
        <v>45670</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47952-2024</t>
        </is>
      </c>
      <c r="B754" s="1" t="n">
        <v>45589</v>
      </c>
      <c r="C754" s="1" t="n">
        <v>45670</v>
      </c>
      <c r="D754" t="inlineStr">
        <is>
          <t>VÄSTERNORRLANDS LÄN</t>
        </is>
      </c>
      <c r="E754" t="inlineStr">
        <is>
          <t>TIMRÅ</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48397-2024</t>
        </is>
      </c>
      <c r="B755" s="1" t="n">
        <v>45590</v>
      </c>
      <c r="C755" s="1" t="n">
        <v>45670</v>
      </c>
      <c r="D755" t="inlineStr">
        <is>
          <t>VÄSTERNORRLANDS LÄN</t>
        </is>
      </c>
      <c r="E755" t="inlineStr">
        <is>
          <t>TIMRÅ</t>
        </is>
      </c>
      <c r="G755" t="n">
        <v>4.2</v>
      </c>
      <c r="H755" t="n">
        <v>0</v>
      </c>
      <c r="I755" t="n">
        <v>0</v>
      </c>
      <c r="J755" t="n">
        <v>0</v>
      </c>
      <c r="K755" t="n">
        <v>0</v>
      </c>
      <c r="L755" t="n">
        <v>0</v>
      </c>
      <c r="M755" t="n">
        <v>0</v>
      </c>
      <c r="N755" t="n">
        <v>0</v>
      </c>
      <c r="O755" t="n">
        <v>0</v>
      </c>
      <c r="P755" t="n">
        <v>0</v>
      </c>
      <c r="Q755" t="n">
        <v>0</v>
      </c>
      <c r="R755" s="2" t="inlineStr"/>
    </row>
    <row r="756" ht="15" customHeight="1">
      <c r="A756" t="inlineStr">
        <is>
          <t>A 48704-2024</t>
        </is>
      </c>
      <c r="B756" s="1" t="n">
        <v>45593</v>
      </c>
      <c r="C756" s="1" t="n">
        <v>45670</v>
      </c>
      <c r="D756" t="inlineStr">
        <is>
          <t>VÄSTERNORRLANDS LÄN</t>
        </is>
      </c>
      <c r="E756" t="inlineStr">
        <is>
          <t>TIMRÅ</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48669-2024</t>
        </is>
      </c>
      <c r="B757" s="1" t="n">
        <v>45593</v>
      </c>
      <c r="C757" s="1" t="n">
        <v>45670</v>
      </c>
      <c r="D757" t="inlineStr">
        <is>
          <t>VÄSTERNORRLANDS LÄN</t>
        </is>
      </c>
      <c r="E757" t="inlineStr">
        <is>
          <t>TIMRÅ</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48694-2024</t>
        </is>
      </c>
      <c r="B758" s="1" t="n">
        <v>45593</v>
      </c>
      <c r="C758" s="1" t="n">
        <v>45670</v>
      </c>
      <c r="D758" t="inlineStr">
        <is>
          <t>VÄSTERNORRLANDS LÄN</t>
        </is>
      </c>
      <c r="E758" t="inlineStr">
        <is>
          <t>TIMRÅ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48563-2024</t>
        </is>
      </c>
      <c r="B759" s="1" t="n">
        <v>45593</v>
      </c>
      <c r="C759" s="1" t="n">
        <v>45670</v>
      </c>
      <c r="D759" t="inlineStr">
        <is>
          <t>VÄSTERNORRLANDS LÄN</t>
        </is>
      </c>
      <c r="E759" t="inlineStr">
        <is>
          <t>TIMRÅ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49072-2024</t>
        </is>
      </c>
      <c r="B760" s="1" t="n">
        <v>45594</v>
      </c>
      <c r="C760" s="1" t="n">
        <v>45670</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49061-2024</t>
        </is>
      </c>
      <c r="B761" s="1" t="n">
        <v>45594</v>
      </c>
      <c r="C761" s="1" t="n">
        <v>45670</v>
      </c>
      <c r="D761" t="inlineStr">
        <is>
          <t>VÄSTERNORRLANDS LÄN</t>
        </is>
      </c>
      <c r="E761" t="inlineStr">
        <is>
          <t>TIMRÅ</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49310-2024</t>
        </is>
      </c>
      <c r="B762" s="1" t="n">
        <v>45595</v>
      </c>
      <c r="C762" s="1" t="n">
        <v>45670</v>
      </c>
      <c r="D762" t="inlineStr">
        <is>
          <t>VÄSTERNORRLANDS LÄN</t>
        </is>
      </c>
      <c r="E762" t="inlineStr">
        <is>
          <t>TIMRÅ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49495-2024</t>
        </is>
      </c>
      <c r="B763" s="1" t="n">
        <v>45596</v>
      </c>
      <c r="C763" s="1" t="n">
        <v>45670</v>
      </c>
      <c r="D763" t="inlineStr">
        <is>
          <t>VÄSTERNORRLANDS LÄN</t>
        </is>
      </c>
      <c r="E763" t="inlineStr">
        <is>
          <t>TIMRÅ</t>
        </is>
      </c>
      <c r="F763" t="inlineStr">
        <is>
          <t>SCA</t>
        </is>
      </c>
      <c r="G763" t="n">
        <v>6.9</v>
      </c>
      <c r="H763" t="n">
        <v>0</v>
      </c>
      <c r="I763" t="n">
        <v>0</v>
      </c>
      <c r="J763" t="n">
        <v>0</v>
      </c>
      <c r="K763" t="n">
        <v>0</v>
      </c>
      <c r="L763" t="n">
        <v>0</v>
      </c>
      <c r="M763" t="n">
        <v>0</v>
      </c>
      <c r="N763" t="n">
        <v>0</v>
      </c>
      <c r="O763" t="n">
        <v>0</v>
      </c>
      <c r="P763" t="n">
        <v>0</v>
      </c>
      <c r="Q763" t="n">
        <v>0</v>
      </c>
      <c r="R763" s="2" t="inlineStr"/>
    </row>
    <row r="764" ht="15" customHeight="1">
      <c r="A764" t="inlineStr">
        <is>
          <t>A 50699-2024</t>
        </is>
      </c>
      <c r="B764" s="1" t="n">
        <v>45602</v>
      </c>
      <c r="C764" s="1" t="n">
        <v>45670</v>
      </c>
      <c r="D764" t="inlineStr">
        <is>
          <t>VÄSTERNORRLANDS LÄN</t>
        </is>
      </c>
      <c r="E764" t="inlineStr">
        <is>
          <t>TIMRÅ</t>
        </is>
      </c>
      <c r="G764" t="n">
        <v>1.4</v>
      </c>
      <c r="H764" t="n">
        <v>0</v>
      </c>
      <c r="I764" t="n">
        <v>0</v>
      </c>
      <c r="J764" t="n">
        <v>0</v>
      </c>
      <c r="K764" t="n">
        <v>0</v>
      </c>
      <c r="L764" t="n">
        <v>0</v>
      </c>
      <c r="M764" t="n">
        <v>0</v>
      </c>
      <c r="N764" t="n">
        <v>0</v>
      </c>
      <c r="O764" t="n">
        <v>0</v>
      </c>
      <c r="P764" t="n">
        <v>0</v>
      </c>
      <c r="Q764" t="n">
        <v>0</v>
      </c>
      <c r="R764" s="2" t="inlineStr"/>
    </row>
    <row r="765" ht="15" customHeight="1">
      <c r="A765" t="inlineStr">
        <is>
          <t>A 51196-2024</t>
        </is>
      </c>
      <c r="B765" s="1" t="n">
        <v>45603</v>
      </c>
      <c r="C765" s="1" t="n">
        <v>45670</v>
      </c>
      <c r="D765" t="inlineStr">
        <is>
          <t>VÄSTERNORRLANDS LÄN</t>
        </is>
      </c>
      <c r="E765" t="inlineStr">
        <is>
          <t>TIMRÅ</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51490-2024</t>
        </is>
      </c>
      <c r="B766" s="1" t="n">
        <v>45604</v>
      </c>
      <c r="C766" s="1" t="n">
        <v>45670</v>
      </c>
      <c r="D766" t="inlineStr">
        <is>
          <t>VÄSTERNORRLANDS LÄN</t>
        </is>
      </c>
      <c r="E766" t="inlineStr">
        <is>
          <t>TIMRÅ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52346-2024</t>
        </is>
      </c>
      <c r="B767" s="1" t="n">
        <v>45609</v>
      </c>
      <c r="C767" s="1" t="n">
        <v>45670</v>
      </c>
      <c r="D767" t="inlineStr">
        <is>
          <t>VÄSTERNORRLANDS LÄN</t>
        </is>
      </c>
      <c r="E767" t="inlineStr">
        <is>
          <t>TIMRÅ</t>
        </is>
      </c>
      <c r="F767" t="inlineStr">
        <is>
          <t>SCA</t>
        </is>
      </c>
      <c r="G767" t="n">
        <v>1.7</v>
      </c>
      <c r="H767" t="n">
        <v>0</v>
      </c>
      <c r="I767" t="n">
        <v>0</v>
      </c>
      <c r="J767" t="n">
        <v>0</v>
      </c>
      <c r="K767" t="n">
        <v>0</v>
      </c>
      <c r="L767" t="n">
        <v>0</v>
      </c>
      <c r="M767" t="n">
        <v>0</v>
      </c>
      <c r="N767" t="n">
        <v>0</v>
      </c>
      <c r="O767" t="n">
        <v>0</v>
      </c>
      <c r="P767" t="n">
        <v>0</v>
      </c>
      <c r="Q767" t="n">
        <v>0</v>
      </c>
      <c r="R767" s="2" t="inlineStr"/>
      <c r="U767">
        <f>HYPERLINK("https://klasma.github.io/Logging_2262/knärot/A 52346-2024 karta knärot.png", "A 52346-2024")</f>
        <v/>
      </c>
      <c r="V767">
        <f>HYPERLINK("https://klasma.github.io/Logging_2262/klagomål/A 52346-2024 FSC-klagomål.docx", "A 52346-2024")</f>
        <v/>
      </c>
      <c r="W767">
        <f>HYPERLINK("https://klasma.github.io/Logging_2262/klagomålsmail/A 52346-2024 FSC-klagomål mail.docx", "A 52346-2024")</f>
        <v/>
      </c>
      <c r="X767">
        <f>HYPERLINK("https://klasma.github.io/Logging_2262/tillsyn/A 52346-2024 tillsynsbegäran.docx", "A 52346-2024")</f>
        <v/>
      </c>
      <c r="Y767">
        <f>HYPERLINK("https://klasma.github.io/Logging_2262/tillsynsmail/A 52346-2024 tillsynsbegäran mail.docx", "A 52346-2024")</f>
        <v/>
      </c>
    </row>
    <row r="768" ht="15" customHeight="1">
      <c r="A768" t="inlineStr">
        <is>
          <t>A 52474-2024</t>
        </is>
      </c>
      <c r="B768" s="1" t="n">
        <v>45609</v>
      </c>
      <c r="C768" s="1" t="n">
        <v>45670</v>
      </c>
      <c r="D768" t="inlineStr">
        <is>
          <t>VÄSTERNORRLANDS LÄN</t>
        </is>
      </c>
      <c r="E768" t="inlineStr">
        <is>
          <t>TIMRÅ</t>
        </is>
      </c>
      <c r="G768" t="n">
        <v>0.7</v>
      </c>
      <c r="H768" t="n">
        <v>0</v>
      </c>
      <c r="I768" t="n">
        <v>0</v>
      </c>
      <c r="J768" t="n">
        <v>0</v>
      </c>
      <c r="K768" t="n">
        <v>0</v>
      </c>
      <c r="L768" t="n">
        <v>0</v>
      </c>
      <c r="M768" t="n">
        <v>0</v>
      </c>
      <c r="N768" t="n">
        <v>0</v>
      </c>
      <c r="O768" t="n">
        <v>0</v>
      </c>
      <c r="P768" t="n">
        <v>0</v>
      </c>
      <c r="Q768" t="n">
        <v>0</v>
      </c>
      <c r="R768" s="2" t="inlineStr"/>
    </row>
    <row r="769" ht="15" customHeight="1">
      <c r="A769" t="inlineStr">
        <is>
          <t>A 52761-2024</t>
        </is>
      </c>
      <c r="B769" s="1" t="n">
        <v>45610</v>
      </c>
      <c r="C769" s="1" t="n">
        <v>45670</v>
      </c>
      <c r="D769" t="inlineStr">
        <is>
          <t>VÄSTERNORRLANDS LÄN</t>
        </is>
      </c>
      <c r="E769" t="inlineStr">
        <is>
          <t>TIMRÅ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52909-2024</t>
        </is>
      </c>
      <c r="B770" s="1" t="n">
        <v>45610</v>
      </c>
      <c r="C770" s="1" t="n">
        <v>45670</v>
      </c>
      <c r="D770" t="inlineStr">
        <is>
          <t>VÄSTERNORRLANDS LÄN</t>
        </is>
      </c>
      <c r="E770" t="inlineStr">
        <is>
          <t>TIMRÅ</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53303-2024</t>
        </is>
      </c>
      <c r="B771" s="1" t="n">
        <v>45614</v>
      </c>
      <c r="C771" s="1" t="n">
        <v>45670</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53299-2024</t>
        </is>
      </c>
      <c r="B772" s="1" t="n">
        <v>45614</v>
      </c>
      <c r="C772" s="1" t="n">
        <v>45670</v>
      </c>
      <c r="D772" t="inlineStr">
        <is>
          <t>VÄSTERNORRLANDS LÄN</t>
        </is>
      </c>
      <c r="E772" t="inlineStr">
        <is>
          <t>TIMRÅ</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53292-2024</t>
        </is>
      </c>
      <c r="B773" s="1" t="n">
        <v>45614</v>
      </c>
      <c r="C773" s="1" t="n">
        <v>45670</v>
      </c>
      <c r="D773" t="inlineStr">
        <is>
          <t>VÄSTERNORRLANDS LÄN</t>
        </is>
      </c>
      <c r="E773" t="inlineStr">
        <is>
          <t>TIMRÅ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53302-2024</t>
        </is>
      </c>
      <c r="B774" s="1" t="n">
        <v>45614</v>
      </c>
      <c r="C774" s="1" t="n">
        <v>45670</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53298-2024</t>
        </is>
      </c>
      <c r="B775" s="1" t="n">
        <v>45614</v>
      </c>
      <c r="C775" s="1" t="n">
        <v>45670</v>
      </c>
      <c r="D775" t="inlineStr">
        <is>
          <t>VÄSTERNORRLANDS LÄN</t>
        </is>
      </c>
      <c r="E775" t="inlineStr">
        <is>
          <t>TIMRÅ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53294-2024</t>
        </is>
      </c>
      <c r="B776" s="1" t="n">
        <v>45614</v>
      </c>
      <c r="C776" s="1" t="n">
        <v>45670</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53289-2024</t>
        </is>
      </c>
      <c r="B777" s="1" t="n">
        <v>45614</v>
      </c>
      <c r="C777" s="1" t="n">
        <v>45670</v>
      </c>
      <c r="D777" t="inlineStr">
        <is>
          <t>VÄSTERNORRLANDS LÄN</t>
        </is>
      </c>
      <c r="E777" t="inlineStr">
        <is>
          <t>TIMRÅ</t>
        </is>
      </c>
      <c r="F777" t="inlineStr">
        <is>
          <t>SCA</t>
        </is>
      </c>
      <c r="G777" t="n">
        <v>7.8</v>
      </c>
      <c r="H777" t="n">
        <v>0</v>
      </c>
      <c r="I777" t="n">
        <v>0</v>
      </c>
      <c r="J777" t="n">
        <v>0</v>
      </c>
      <c r="K777" t="n">
        <v>0</v>
      </c>
      <c r="L777" t="n">
        <v>0</v>
      </c>
      <c r="M777" t="n">
        <v>0</v>
      </c>
      <c r="N777" t="n">
        <v>0</v>
      </c>
      <c r="O777" t="n">
        <v>0</v>
      </c>
      <c r="P777" t="n">
        <v>0</v>
      </c>
      <c r="Q777" t="n">
        <v>0</v>
      </c>
      <c r="R777" s="2" t="inlineStr"/>
    </row>
    <row r="778" ht="15" customHeight="1">
      <c r="A778" t="inlineStr">
        <is>
          <t>A 53301-2024</t>
        </is>
      </c>
      <c r="B778" s="1" t="n">
        <v>45614</v>
      </c>
      <c r="C778" s="1" t="n">
        <v>45670</v>
      </c>
      <c r="D778" t="inlineStr">
        <is>
          <t>VÄSTERNORRLANDS LÄN</t>
        </is>
      </c>
      <c r="E778" t="inlineStr">
        <is>
          <t>TIMRÅ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53293-2024</t>
        </is>
      </c>
      <c r="B779" s="1" t="n">
        <v>45614</v>
      </c>
      <c r="C779" s="1" t="n">
        <v>45670</v>
      </c>
      <c r="D779" t="inlineStr">
        <is>
          <t>VÄSTERNORRLANDS LÄN</t>
        </is>
      </c>
      <c r="E779" t="inlineStr">
        <is>
          <t>TIMRÅ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53288-2024</t>
        </is>
      </c>
      <c r="B780" s="1" t="n">
        <v>45614</v>
      </c>
      <c r="C780" s="1" t="n">
        <v>45670</v>
      </c>
      <c r="D780" t="inlineStr">
        <is>
          <t>VÄSTERNORRLANDS LÄN</t>
        </is>
      </c>
      <c r="E780" t="inlineStr">
        <is>
          <t>TIMRÅ</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54236-2024</t>
        </is>
      </c>
      <c r="B781" s="1" t="n">
        <v>45616</v>
      </c>
      <c r="C781" s="1" t="n">
        <v>45670</v>
      </c>
      <c r="D781" t="inlineStr">
        <is>
          <t>VÄSTERNORRLANDS LÄN</t>
        </is>
      </c>
      <c r="E781" t="inlineStr">
        <is>
          <t>TIMRÅ</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54547-2024</t>
        </is>
      </c>
      <c r="B782" s="1" t="n">
        <v>45617</v>
      </c>
      <c r="C782" s="1" t="n">
        <v>45670</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54322-2024</t>
        </is>
      </c>
      <c r="B783" s="1" t="n">
        <v>45617</v>
      </c>
      <c r="C783" s="1" t="n">
        <v>45670</v>
      </c>
      <c r="D783" t="inlineStr">
        <is>
          <t>VÄSTERNORRLANDS LÄN</t>
        </is>
      </c>
      <c r="E783" t="inlineStr">
        <is>
          <t>TIMRÅ</t>
        </is>
      </c>
      <c r="G783" t="n">
        <v>8</v>
      </c>
      <c r="H783" t="n">
        <v>0</v>
      </c>
      <c r="I783" t="n">
        <v>0</v>
      </c>
      <c r="J783" t="n">
        <v>0</v>
      </c>
      <c r="K783" t="n">
        <v>0</v>
      </c>
      <c r="L783" t="n">
        <v>0</v>
      </c>
      <c r="M783" t="n">
        <v>0</v>
      </c>
      <c r="N783" t="n">
        <v>0</v>
      </c>
      <c r="O783" t="n">
        <v>0</v>
      </c>
      <c r="P783" t="n">
        <v>0</v>
      </c>
      <c r="Q783" t="n">
        <v>0</v>
      </c>
      <c r="R783" s="2" t="inlineStr"/>
    </row>
    <row r="784" ht="15" customHeight="1">
      <c r="A784" t="inlineStr">
        <is>
          <t>A 54723-2024</t>
        </is>
      </c>
      <c r="B784" s="1" t="n">
        <v>45618</v>
      </c>
      <c r="C784" s="1" t="n">
        <v>45670</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54993-2024</t>
        </is>
      </c>
      <c r="B785" s="1" t="n">
        <v>45620</v>
      </c>
      <c r="C785" s="1" t="n">
        <v>45670</v>
      </c>
      <c r="D785" t="inlineStr">
        <is>
          <t>VÄSTERNORRLANDS LÄN</t>
        </is>
      </c>
      <c r="E785" t="inlineStr">
        <is>
          <t>TIMRÅ</t>
        </is>
      </c>
      <c r="G785" t="n">
        <v>1.9</v>
      </c>
      <c r="H785" t="n">
        <v>0</v>
      </c>
      <c r="I785" t="n">
        <v>0</v>
      </c>
      <c r="J785" t="n">
        <v>0</v>
      </c>
      <c r="K785" t="n">
        <v>0</v>
      </c>
      <c r="L785" t="n">
        <v>0</v>
      </c>
      <c r="M785" t="n">
        <v>0</v>
      </c>
      <c r="N785" t="n">
        <v>0</v>
      </c>
      <c r="O785" t="n">
        <v>0</v>
      </c>
      <c r="P785" t="n">
        <v>0</v>
      </c>
      <c r="Q785" t="n">
        <v>0</v>
      </c>
      <c r="R785" s="2" t="inlineStr"/>
    </row>
    <row r="786" ht="15" customHeight="1">
      <c r="A786" t="inlineStr">
        <is>
          <t>A 55080-2024</t>
        </is>
      </c>
      <c r="B786" s="1" t="n">
        <v>45621</v>
      </c>
      <c r="C786" s="1" t="n">
        <v>45670</v>
      </c>
      <c r="D786" t="inlineStr">
        <is>
          <t>VÄSTERNORRLANDS LÄN</t>
        </is>
      </c>
      <c r="E786" t="inlineStr">
        <is>
          <t>TIMRÅ</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55576-2024</t>
        </is>
      </c>
      <c r="B787" s="1" t="n">
        <v>45622</v>
      </c>
      <c r="C787" s="1" t="n">
        <v>45670</v>
      </c>
      <c r="D787" t="inlineStr">
        <is>
          <t>VÄSTERNORRLANDS LÄN</t>
        </is>
      </c>
      <c r="E787" t="inlineStr">
        <is>
          <t>TIMRÅ</t>
        </is>
      </c>
      <c r="G787" t="n">
        <v>5.1</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45670</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55618-2024</t>
        </is>
      </c>
      <c r="B789" s="1" t="n">
        <v>45622</v>
      </c>
      <c r="C789" s="1" t="n">
        <v>45670</v>
      </c>
      <c r="D789" t="inlineStr">
        <is>
          <t>VÄSTERNORRLANDS LÄN</t>
        </is>
      </c>
      <c r="E789" t="inlineStr">
        <is>
          <t>TIMRÅ</t>
        </is>
      </c>
      <c r="G789" t="n">
        <v>4.3</v>
      </c>
      <c r="H789" t="n">
        <v>0</v>
      </c>
      <c r="I789" t="n">
        <v>0</v>
      </c>
      <c r="J789" t="n">
        <v>0</v>
      </c>
      <c r="K789" t="n">
        <v>0</v>
      </c>
      <c r="L789" t="n">
        <v>0</v>
      </c>
      <c r="M789" t="n">
        <v>0</v>
      </c>
      <c r="N789" t="n">
        <v>0</v>
      </c>
      <c r="O789" t="n">
        <v>0</v>
      </c>
      <c r="P789" t="n">
        <v>0</v>
      </c>
      <c r="Q789" t="n">
        <v>0</v>
      </c>
      <c r="R789" s="2" t="inlineStr"/>
    </row>
    <row r="790" ht="15" customHeight="1">
      <c r="A790" t="inlineStr">
        <is>
          <t>A 55588-2024</t>
        </is>
      </c>
      <c r="B790" s="1" t="n">
        <v>45622</v>
      </c>
      <c r="C790" s="1" t="n">
        <v>45670</v>
      </c>
      <c r="D790" t="inlineStr">
        <is>
          <t>VÄSTERNORRLANDS LÄN</t>
        </is>
      </c>
      <c r="E790" t="inlineStr">
        <is>
          <t>TIMRÅ</t>
        </is>
      </c>
      <c r="G790" t="n">
        <v>2.9</v>
      </c>
      <c r="H790" t="n">
        <v>0</v>
      </c>
      <c r="I790" t="n">
        <v>0</v>
      </c>
      <c r="J790" t="n">
        <v>0</v>
      </c>
      <c r="K790" t="n">
        <v>0</v>
      </c>
      <c r="L790" t="n">
        <v>0</v>
      </c>
      <c r="M790" t="n">
        <v>0</v>
      </c>
      <c r="N790" t="n">
        <v>0</v>
      </c>
      <c r="O790" t="n">
        <v>0</v>
      </c>
      <c r="P790" t="n">
        <v>0</v>
      </c>
      <c r="Q790" t="n">
        <v>0</v>
      </c>
      <c r="R790" s="2" t="inlineStr"/>
    </row>
    <row r="791" ht="15" customHeight="1">
      <c r="A791" t="inlineStr">
        <is>
          <t>A 55729-2024</t>
        </is>
      </c>
      <c r="B791" s="1" t="n">
        <v>45622</v>
      </c>
      <c r="C791" s="1" t="n">
        <v>45670</v>
      </c>
      <c r="D791" t="inlineStr">
        <is>
          <t>VÄSTERNORRLANDS LÄN</t>
        </is>
      </c>
      <c r="E791" t="inlineStr">
        <is>
          <t>TIMRÅ</t>
        </is>
      </c>
      <c r="G791" t="n">
        <v>3.1</v>
      </c>
      <c r="H791" t="n">
        <v>0</v>
      </c>
      <c r="I791" t="n">
        <v>0</v>
      </c>
      <c r="J791" t="n">
        <v>0</v>
      </c>
      <c r="K791" t="n">
        <v>0</v>
      </c>
      <c r="L791" t="n">
        <v>0</v>
      </c>
      <c r="M791" t="n">
        <v>0</v>
      </c>
      <c r="N791" t="n">
        <v>0</v>
      </c>
      <c r="O791" t="n">
        <v>0</v>
      </c>
      <c r="P791" t="n">
        <v>0</v>
      </c>
      <c r="Q791" t="n">
        <v>0</v>
      </c>
      <c r="R791" s="2" t="inlineStr"/>
    </row>
    <row r="792" ht="15" customHeight="1">
      <c r="A792" t="inlineStr">
        <is>
          <t>A 55874-2024</t>
        </is>
      </c>
      <c r="B792" s="1" t="n">
        <v>45623</v>
      </c>
      <c r="C792" s="1" t="n">
        <v>45670</v>
      </c>
      <c r="D792" t="inlineStr">
        <is>
          <t>VÄSTERNORRLANDS LÄN</t>
        </is>
      </c>
      <c r="E792" t="inlineStr">
        <is>
          <t>TIMRÅ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55873-2024</t>
        </is>
      </c>
      <c r="B793" s="1" t="n">
        <v>45623</v>
      </c>
      <c r="C793" s="1" t="n">
        <v>45670</v>
      </c>
      <c r="D793" t="inlineStr">
        <is>
          <t>VÄSTERNORRLANDS LÄN</t>
        </is>
      </c>
      <c r="E793" t="inlineStr">
        <is>
          <t>TIMRÅ</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56046-2024</t>
        </is>
      </c>
      <c r="B794" s="1" t="n">
        <v>45624</v>
      </c>
      <c r="C794" s="1" t="n">
        <v>45670</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56284-2024</t>
        </is>
      </c>
      <c r="B795" s="1" t="n">
        <v>45624</v>
      </c>
      <c r="C795" s="1" t="n">
        <v>45670</v>
      </c>
      <c r="D795" t="inlineStr">
        <is>
          <t>VÄSTERNORRLANDS LÄN</t>
        </is>
      </c>
      <c r="E795" t="inlineStr">
        <is>
          <t>TIMRÅ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56288-2024</t>
        </is>
      </c>
      <c r="B796" s="1" t="n">
        <v>45624</v>
      </c>
      <c r="C796" s="1" t="n">
        <v>45670</v>
      </c>
      <c r="D796" t="inlineStr">
        <is>
          <t>VÄSTERNORRLANDS LÄN</t>
        </is>
      </c>
      <c r="E796" t="inlineStr">
        <is>
          <t>TIMRÅ</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56286-2024</t>
        </is>
      </c>
      <c r="B797" s="1" t="n">
        <v>45624</v>
      </c>
      <c r="C797" s="1" t="n">
        <v>45670</v>
      </c>
      <c r="D797" t="inlineStr">
        <is>
          <t>VÄSTERNORRLANDS LÄN</t>
        </is>
      </c>
      <c r="E797" t="inlineStr">
        <is>
          <t>TIMRÅ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56155-2024</t>
        </is>
      </c>
      <c r="B798" s="1" t="n">
        <v>45624</v>
      </c>
      <c r="C798" s="1" t="n">
        <v>45670</v>
      </c>
      <c r="D798" t="inlineStr">
        <is>
          <t>VÄSTERNORRLANDS LÄN</t>
        </is>
      </c>
      <c r="E798" t="inlineStr">
        <is>
          <t>TIMRÅ</t>
        </is>
      </c>
      <c r="G798" t="n">
        <v>5.9</v>
      </c>
      <c r="H798" t="n">
        <v>0</v>
      </c>
      <c r="I798" t="n">
        <v>0</v>
      </c>
      <c r="J798" t="n">
        <v>0</v>
      </c>
      <c r="K798" t="n">
        <v>0</v>
      </c>
      <c r="L798" t="n">
        <v>0</v>
      </c>
      <c r="M798" t="n">
        <v>0</v>
      </c>
      <c r="N798" t="n">
        <v>0</v>
      </c>
      <c r="O798" t="n">
        <v>0</v>
      </c>
      <c r="P798" t="n">
        <v>0</v>
      </c>
      <c r="Q798" t="n">
        <v>0</v>
      </c>
      <c r="R798" s="2" t="inlineStr"/>
    </row>
    <row r="799" ht="15" customHeight="1">
      <c r="A799" t="inlineStr">
        <is>
          <t>A 56285-2024</t>
        </is>
      </c>
      <c r="B799" s="1" t="n">
        <v>45624</v>
      </c>
      <c r="C799" s="1" t="n">
        <v>45670</v>
      </c>
      <c r="D799" t="inlineStr">
        <is>
          <t>VÄSTERNORRLANDS LÄN</t>
        </is>
      </c>
      <c r="E799" t="inlineStr">
        <is>
          <t>TIMRÅ</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56442-2024</t>
        </is>
      </c>
      <c r="B800" s="1" t="n">
        <v>45625</v>
      </c>
      <c r="C800" s="1" t="n">
        <v>45670</v>
      </c>
      <c r="D800" t="inlineStr">
        <is>
          <t>VÄSTERNORRLANDS LÄN</t>
        </is>
      </c>
      <c r="E800" t="inlineStr">
        <is>
          <t>TIMRÅ</t>
        </is>
      </c>
      <c r="G800" t="n">
        <v>2.6</v>
      </c>
      <c r="H800" t="n">
        <v>0</v>
      </c>
      <c r="I800" t="n">
        <v>0</v>
      </c>
      <c r="J800" t="n">
        <v>0</v>
      </c>
      <c r="K800" t="n">
        <v>0</v>
      </c>
      <c r="L800" t="n">
        <v>0</v>
      </c>
      <c r="M800" t="n">
        <v>0</v>
      </c>
      <c r="N800" t="n">
        <v>0</v>
      </c>
      <c r="O800" t="n">
        <v>0</v>
      </c>
      <c r="P800" t="n">
        <v>0</v>
      </c>
      <c r="Q800" t="n">
        <v>0</v>
      </c>
      <c r="R800" s="2" t="inlineStr"/>
    </row>
    <row r="801" ht="15" customHeight="1">
      <c r="A801" t="inlineStr">
        <is>
          <t>A 56443-2024</t>
        </is>
      </c>
      <c r="B801" s="1" t="n">
        <v>45625</v>
      </c>
      <c r="C801" s="1" t="n">
        <v>45670</v>
      </c>
      <c r="D801" t="inlineStr">
        <is>
          <t>VÄSTERNORRLANDS LÄN</t>
        </is>
      </c>
      <c r="E801" t="inlineStr">
        <is>
          <t>TIMRÅ</t>
        </is>
      </c>
      <c r="G801" t="n">
        <v>2.6</v>
      </c>
      <c r="H801" t="n">
        <v>0</v>
      </c>
      <c r="I801" t="n">
        <v>0</v>
      </c>
      <c r="J801" t="n">
        <v>0</v>
      </c>
      <c r="K801" t="n">
        <v>0</v>
      </c>
      <c r="L801" t="n">
        <v>0</v>
      </c>
      <c r="M801" t="n">
        <v>0</v>
      </c>
      <c r="N801" t="n">
        <v>0</v>
      </c>
      <c r="O801" t="n">
        <v>0</v>
      </c>
      <c r="P801" t="n">
        <v>0</v>
      </c>
      <c r="Q801" t="n">
        <v>0</v>
      </c>
      <c r="R801" s="2" t="inlineStr"/>
    </row>
    <row r="802" ht="15" customHeight="1">
      <c r="A802" t="inlineStr">
        <is>
          <t>A 57063-2024</t>
        </is>
      </c>
      <c r="B802" s="1" t="n">
        <v>45629</v>
      </c>
      <c r="C802" s="1" t="n">
        <v>45670</v>
      </c>
      <c r="D802" t="inlineStr">
        <is>
          <t>VÄSTERNORRLANDS LÄN</t>
        </is>
      </c>
      <c r="E802" t="inlineStr">
        <is>
          <t>TIMRÅ</t>
        </is>
      </c>
      <c r="G802" t="n">
        <v>2.7</v>
      </c>
      <c r="H802" t="n">
        <v>0</v>
      </c>
      <c r="I802" t="n">
        <v>0</v>
      </c>
      <c r="J802" t="n">
        <v>0</v>
      </c>
      <c r="K802" t="n">
        <v>0</v>
      </c>
      <c r="L802" t="n">
        <v>0</v>
      </c>
      <c r="M802" t="n">
        <v>0</v>
      </c>
      <c r="N802" t="n">
        <v>0</v>
      </c>
      <c r="O802" t="n">
        <v>0</v>
      </c>
      <c r="P802" t="n">
        <v>0</v>
      </c>
      <c r="Q802" t="n">
        <v>0</v>
      </c>
      <c r="R802" s="2" t="inlineStr"/>
    </row>
    <row r="803" ht="15" customHeight="1">
      <c r="A803" t="inlineStr">
        <is>
          <t>A 57316-2024</t>
        </is>
      </c>
      <c r="B803" s="1" t="n">
        <v>45629</v>
      </c>
      <c r="C803" s="1" t="n">
        <v>45670</v>
      </c>
      <c r="D803" t="inlineStr">
        <is>
          <t>VÄSTERNORRLANDS LÄN</t>
        </is>
      </c>
      <c r="E803" t="inlineStr">
        <is>
          <t>TIMRÅ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58755-2024</t>
        </is>
      </c>
      <c r="B804" s="1" t="n">
        <v>45635</v>
      </c>
      <c r="C804" s="1" t="n">
        <v>45670</v>
      </c>
      <c r="D804" t="inlineStr">
        <is>
          <t>VÄSTERNORRLANDS LÄN</t>
        </is>
      </c>
      <c r="E804" t="inlineStr">
        <is>
          <t>TIMRÅ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58759-2024</t>
        </is>
      </c>
      <c r="B805" s="1" t="n">
        <v>45635</v>
      </c>
      <c r="C805" s="1" t="n">
        <v>45670</v>
      </c>
      <c r="D805" t="inlineStr">
        <is>
          <t>VÄSTERNORRLANDS LÄN</t>
        </is>
      </c>
      <c r="E805" t="inlineStr">
        <is>
          <t>TIMRÅ</t>
        </is>
      </c>
      <c r="F805" t="inlineStr">
        <is>
          <t>SCA</t>
        </is>
      </c>
      <c r="G805" t="n">
        <v>5</v>
      </c>
      <c r="H805" t="n">
        <v>0</v>
      </c>
      <c r="I805" t="n">
        <v>0</v>
      </c>
      <c r="J805" t="n">
        <v>0</v>
      </c>
      <c r="K805" t="n">
        <v>0</v>
      </c>
      <c r="L805" t="n">
        <v>0</v>
      </c>
      <c r="M805" t="n">
        <v>0</v>
      </c>
      <c r="N805" t="n">
        <v>0</v>
      </c>
      <c r="O805" t="n">
        <v>0</v>
      </c>
      <c r="P805" t="n">
        <v>0</v>
      </c>
      <c r="Q805" t="n">
        <v>0</v>
      </c>
      <c r="R805" s="2" t="inlineStr"/>
    </row>
    <row r="806" ht="15" customHeight="1">
      <c r="A806" t="inlineStr">
        <is>
          <t>A 58752-2024</t>
        </is>
      </c>
      <c r="B806" s="1" t="n">
        <v>45635</v>
      </c>
      <c r="C806" s="1" t="n">
        <v>45670</v>
      </c>
      <c r="D806" t="inlineStr">
        <is>
          <t>VÄSTERNORRLANDS LÄN</t>
        </is>
      </c>
      <c r="E806" t="inlineStr">
        <is>
          <t>TIMRÅ</t>
        </is>
      </c>
      <c r="F806" t="inlineStr">
        <is>
          <t>SCA</t>
        </is>
      </c>
      <c r="G806" t="n">
        <v>4.4</v>
      </c>
      <c r="H806" t="n">
        <v>0</v>
      </c>
      <c r="I806" t="n">
        <v>0</v>
      </c>
      <c r="J806" t="n">
        <v>0</v>
      </c>
      <c r="K806" t="n">
        <v>0</v>
      </c>
      <c r="L806" t="n">
        <v>0</v>
      </c>
      <c r="M806" t="n">
        <v>0</v>
      </c>
      <c r="N806" t="n">
        <v>0</v>
      </c>
      <c r="O806" t="n">
        <v>0</v>
      </c>
      <c r="P806" t="n">
        <v>0</v>
      </c>
      <c r="Q806" t="n">
        <v>0</v>
      </c>
      <c r="R806" s="2" t="inlineStr"/>
    </row>
    <row r="807" ht="15" customHeight="1">
      <c r="A807" t="inlineStr">
        <is>
          <t>A 58760-2024</t>
        </is>
      </c>
      <c r="B807" s="1" t="n">
        <v>45635</v>
      </c>
      <c r="C807" s="1" t="n">
        <v>45670</v>
      </c>
      <c r="D807" t="inlineStr">
        <is>
          <t>VÄSTERNORRLANDS LÄN</t>
        </is>
      </c>
      <c r="E807" t="inlineStr">
        <is>
          <t>TIMRÅ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58754-2024</t>
        </is>
      </c>
      <c r="B808" s="1" t="n">
        <v>45635</v>
      </c>
      <c r="C808" s="1" t="n">
        <v>45670</v>
      </c>
      <c r="D808" t="inlineStr">
        <is>
          <t>VÄSTERNORRLANDS LÄN</t>
        </is>
      </c>
      <c r="E808" t="inlineStr">
        <is>
          <t>TIMRÅ</t>
        </is>
      </c>
      <c r="F808" t="inlineStr">
        <is>
          <t>SCA</t>
        </is>
      </c>
      <c r="G808" t="n">
        <v>9.1</v>
      </c>
      <c r="H808" t="n">
        <v>0</v>
      </c>
      <c r="I808" t="n">
        <v>0</v>
      </c>
      <c r="J808" t="n">
        <v>0</v>
      </c>
      <c r="K808" t="n">
        <v>0</v>
      </c>
      <c r="L808" t="n">
        <v>0</v>
      </c>
      <c r="M808" t="n">
        <v>0</v>
      </c>
      <c r="N808" t="n">
        <v>0</v>
      </c>
      <c r="O808" t="n">
        <v>0</v>
      </c>
      <c r="P808" t="n">
        <v>0</v>
      </c>
      <c r="Q808" t="n">
        <v>0</v>
      </c>
      <c r="R808" s="2" t="inlineStr"/>
    </row>
    <row r="809" ht="15" customHeight="1">
      <c r="A809" t="inlineStr">
        <is>
          <t>A 58930-2024</t>
        </is>
      </c>
      <c r="B809" s="1" t="n">
        <v>45636</v>
      </c>
      <c r="C809" s="1" t="n">
        <v>45670</v>
      </c>
      <c r="D809" t="inlineStr">
        <is>
          <t>VÄSTERNORRLANDS LÄN</t>
        </is>
      </c>
      <c r="E809" t="inlineStr">
        <is>
          <t>TIMRÅ</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58879-2024</t>
        </is>
      </c>
      <c r="B810" s="1" t="n">
        <v>45636</v>
      </c>
      <c r="C810" s="1" t="n">
        <v>45670</v>
      </c>
      <c r="D810" t="inlineStr">
        <is>
          <t>VÄSTERNORRLANDS LÄN</t>
        </is>
      </c>
      <c r="E810" t="inlineStr">
        <is>
          <t>TIMRÅ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58866-2024</t>
        </is>
      </c>
      <c r="B811" s="1" t="n">
        <v>45636</v>
      </c>
      <c r="C811" s="1" t="n">
        <v>45670</v>
      </c>
      <c r="D811" t="inlineStr">
        <is>
          <t>VÄSTERNORRLANDS LÄN</t>
        </is>
      </c>
      <c r="E811" t="inlineStr">
        <is>
          <t>TIMRÅ</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59189-2024</t>
        </is>
      </c>
      <c r="B812" s="1" t="n">
        <v>45637</v>
      </c>
      <c r="C812" s="1" t="n">
        <v>45670</v>
      </c>
      <c r="D812" t="inlineStr">
        <is>
          <t>VÄSTERNORRLANDS LÄN</t>
        </is>
      </c>
      <c r="E812" t="inlineStr">
        <is>
          <t>TIMRÅ</t>
        </is>
      </c>
      <c r="G812" t="n">
        <v>1.7</v>
      </c>
      <c r="H812" t="n">
        <v>0</v>
      </c>
      <c r="I812" t="n">
        <v>0</v>
      </c>
      <c r="J812" t="n">
        <v>0</v>
      </c>
      <c r="K812" t="n">
        <v>0</v>
      </c>
      <c r="L812" t="n">
        <v>0</v>
      </c>
      <c r="M812" t="n">
        <v>0</v>
      </c>
      <c r="N812" t="n">
        <v>0</v>
      </c>
      <c r="O812" t="n">
        <v>0</v>
      </c>
      <c r="P812" t="n">
        <v>0</v>
      </c>
      <c r="Q812" t="n">
        <v>0</v>
      </c>
      <c r="R812" s="2" t="inlineStr"/>
    </row>
    <row r="813" ht="15" customHeight="1">
      <c r="A813" t="inlineStr">
        <is>
          <t>A 59894-2024</t>
        </is>
      </c>
      <c r="B813" s="1" t="n">
        <v>45641</v>
      </c>
      <c r="C813" s="1" t="n">
        <v>45670</v>
      </c>
      <c r="D813" t="inlineStr">
        <is>
          <t>VÄSTERNORRLANDS LÄN</t>
        </is>
      </c>
      <c r="E813" t="inlineStr">
        <is>
          <t>TIMRÅ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59948-2024</t>
        </is>
      </c>
      <c r="B814" s="1" t="n">
        <v>45642</v>
      </c>
      <c r="C814" s="1" t="n">
        <v>45670</v>
      </c>
      <c r="D814" t="inlineStr">
        <is>
          <t>VÄSTERNORRLANDS LÄN</t>
        </is>
      </c>
      <c r="E814" t="inlineStr">
        <is>
          <t>TIMRÅ</t>
        </is>
      </c>
      <c r="F814" t="inlineStr">
        <is>
          <t>SCA</t>
        </is>
      </c>
      <c r="G814" t="n">
        <v>46</v>
      </c>
      <c r="H814" t="n">
        <v>0</v>
      </c>
      <c r="I814" t="n">
        <v>0</v>
      </c>
      <c r="J814" t="n">
        <v>0</v>
      </c>
      <c r="K814" t="n">
        <v>0</v>
      </c>
      <c r="L814" t="n">
        <v>0</v>
      </c>
      <c r="M814" t="n">
        <v>0</v>
      </c>
      <c r="N814" t="n">
        <v>0</v>
      </c>
      <c r="O814" t="n">
        <v>0</v>
      </c>
      <c r="P814" t="n">
        <v>0</v>
      </c>
      <c r="Q814" t="n">
        <v>0</v>
      </c>
      <c r="R814" s="2" t="inlineStr"/>
    </row>
    <row r="815" ht="15" customHeight="1">
      <c r="A815" t="inlineStr">
        <is>
          <t>A 59995-2024</t>
        </is>
      </c>
      <c r="B815" s="1" t="n">
        <v>45642</v>
      </c>
      <c r="C815" s="1" t="n">
        <v>45670</v>
      </c>
      <c r="D815" t="inlineStr">
        <is>
          <t>VÄSTERNORRLANDS LÄN</t>
        </is>
      </c>
      <c r="E815" t="inlineStr">
        <is>
          <t>TIMRÅ</t>
        </is>
      </c>
      <c r="F815" t="inlineStr">
        <is>
          <t>SCA</t>
        </is>
      </c>
      <c r="G815" t="n">
        <v>19.6</v>
      </c>
      <c r="H815" t="n">
        <v>0</v>
      </c>
      <c r="I815" t="n">
        <v>0</v>
      </c>
      <c r="J815" t="n">
        <v>0</v>
      </c>
      <c r="K815" t="n">
        <v>0</v>
      </c>
      <c r="L815" t="n">
        <v>0</v>
      </c>
      <c r="M815" t="n">
        <v>0</v>
      </c>
      <c r="N815" t="n">
        <v>0</v>
      </c>
      <c r="O815" t="n">
        <v>0</v>
      </c>
      <c r="P815" t="n">
        <v>0</v>
      </c>
      <c r="Q815" t="n">
        <v>0</v>
      </c>
      <c r="R815" s="2" t="inlineStr"/>
    </row>
    <row r="816" ht="15" customHeight="1">
      <c r="A816" t="inlineStr">
        <is>
          <t>A 60111-2024</t>
        </is>
      </c>
      <c r="B816" s="1" t="n">
        <v>45642</v>
      </c>
      <c r="C816" s="1" t="n">
        <v>45670</v>
      </c>
      <c r="D816" t="inlineStr">
        <is>
          <t>VÄSTERNORRLANDS LÄN</t>
        </is>
      </c>
      <c r="E816" t="inlineStr">
        <is>
          <t>TIMRÅ</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60110-2024</t>
        </is>
      </c>
      <c r="B817" s="1" t="n">
        <v>45642</v>
      </c>
      <c r="C817" s="1" t="n">
        <v>45670</v>
      </c>
      <c r="D817" t="inlineStr">
        <is>
          <t>VÄSTERNORRLANDS LÄN</t>
        </is>
      </c>
      <c r="E817" t="inlineStr">
        <is>
          <t>TIMRÅ</t>
        </is>
      </c>
      <c r="F817" t="inlineStr">
        <is>
          <t>SCA</t>
        </is>
      </c>
      <c r="G817" t="n">
        <v>4.6</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45670</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45670</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60761-2024</t>
        </is>
      </c>
      <c r="B820" s="1" t="n">
        <v>45644</v>
      </c>
      <c r="C820" s="1" t="n">
        <v>45670</v>
      </c>
      <c r="D820" t="inlineStr">
        <is>
          <t>VÄSTERNORRLANDS LÄN</t>
        </is>
      </c>
      <c r="E820" t="inlineStr">
        <is>
          <t>TIMRÅ</t>
        </is>
      </c>
      <c r="F820" t="inlineStr">
        <is>
          <t>SCA</t>
        </is>
      </c>
      <c r="G820" t="n">
        <v>8.5</v>
      </c>
      <c r="H820" t="n">
        <v>0</v>
      </c>
      <c r="I820" t="n">
        <v>0</v>
      </c>
      <c r="J820" t="n">
        <v>0</v>
      </c>
      <c r="K820" t="n">
        <v>0</v>
      </c>
      <c r="L820" t="n">
        <v>0</v>
      </c>
      <c r="M820" t="n">
        <v>0</v>
      </c>
      <c r="N820" t="n">
        <v>0</v>
      </c>
      <c r="O820" t="n">
        <v>0</v>
      </c>
      <c r="P820" t="n">
        <v>0</v>
      </c>
      <c r="Q820" t="n">
        <v>0</v>
      </c>
      <c r="R820" s="2" t="inlineStr"/>
    </row>
    <row r="821" ht="15" customHeight="1">
      <c r="A821" t="inlineStr">
        <is>
          <t>A 60751-2024</t>
        </is>
      </c>
      <c r="B821" s="1" t="n">
        <v>45644</v>
      </c>
      <c r="C821" s="1" t="n">
        <v>45670</v>
      </c>
      <c r="D821" t="inlineStr">
        <is>
          <t>VÄSTERNORRLANDS LÄN</t>
        </is>
      </c>
      <c r="E821" t="inlineStr">
        <is>
          <t>TIMRÅ</t>
        </is>
      </c>
      <c r="G821" t="n">
        <v>3.1</v>
      </c>
      <c r="H821" t="n">
        <v>0</v>
      </c>
      <c r="I821" t="n">
        <v>0</v>
      </c>
      <c r="J821" t="n">
        <v>0</v>
      </c>
      <c r="K821" t="n">
        <v>0</v>
      </c>
      <c r="L821" t="n">
        <v>0</v>
      </c>
      <c r="M821" t="n">
        <v>0</v>
      </c>
      <c r="N821" t="n">
        <v>0</v>
      </c>
      <c r="O821" t="n">
        <v>0</v>
      </c>
      <c r="P821" t="n">
        <v>0</v>
      </c>
      <c r="Q821" t="n">
        <v>0</v>
      </c>
      <c r="R821" s="2" t="inlineStr"/>
    </row>
    <row r="822" ht="15" customHeight="1">
      <c r="A822" t="inlineStr">
        <is>
          <t>A 61166-2024</t>
        </is>
      </c>
      <c r="B822" s="1" t="n">
        <v>45645</v>
      </c>
      <c r="C822" s="1" t="n">
        <v>45670</v>
      </c>
      <c r="D822" t="inlineStr">
        <is>
          <t>VÄSTERNORRLANDS LÄN</t>
        </is>
      </c>
      <c r="E822" t="inlineStr">
        <is>
          <t>TIMRÅ</t>
        </is>
      </c>
      <c r="G822" t="n">
        <v>2</v>
      </c>
      <c r="H822" t="n">
        <v>0</v>
      </c>
      <c r="I822" t="n">
        <v>0</v>
      </c>
      <c r="J822" t="n">
        <v>0</v>
      </c>
      <c r="K822" t="n">
        <v>0</v>
      </c>
      <c r="L822" t="n">
        <v>0</v>
      </c>
      <c r="M822" t="n">
        <v>0</v>
      </c>
      <c r="N822" t="n">
        <v>0</v>
      </c>
      <c r="O822" t="n">
        <v>0</v>
      </c>
      <c r="P822" t="n">
        <v>0</v>
      </c>
      <c r="Q822" t="n">
        <v>0</v>
      </c>
      <c r="R822" s="2" t="inlineStr"/>
    </row>
    <row r="823" ht="15" customHeight="1">
      <c r="A823" t="inlineStr">
        <is>
          <t>A 61484-2024</t>
        </is>
      </c>
      <c r="B823" s="1" t="n">
        <v>45646</v>
      </c>
      <c r="C823" s="1" t="n">
        <v>45670</v>
      </c>
      <c r="D823" t="inlineStr">
        <is>
          <t>VÄSTERNORRLANDS LÄN</t>
        </is>
      </c>
      <c r="E823" t="inlineStr">
        <is>
          <t>TIMRÅ</t>
        </is>
      </c>
      <c r="F823" t="inlineStr">
        <is>
          <t>SCA</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61620-2024</t>
        </is>
      </c>
      <c r="B824" s="1" t="n">
        <v>45646</v>
      </c>
      <c r="C824" s="1" t="n">
        <v>45670</v>
      </c>
      <c r="D824" t="inlineStr">
        <is>
          <t>VÄSTERNORRLANDS LÄN</t>
        </is>
      </c>
      <c r="E824" t="inlineStr">
        <is>
          <t>TIMRÅ</t>
        </is>
      </c>
      <c r="G824" t="n">
        <v>1.4</v>
      </c>
      <c r="H824" t="n">
        <v>0</v>
      </c>
      <c r="I824" t="n">
        <v>0</v>
      </c>
      <c r="J824" t="n">
        <v>0</v>
      </c>
      <c r="K824" t="n">
        <v>0</v>
      </c>
      <c r="L824" t="n">
        <v>0</v>
      </c>
      <c r="M824" t="n">
        <v>0</v>
      </c>
      <c r="N824" t="n">
        <v>0</v>
      </c>
      <c r="O824" t="n">
        <v>0</v>
      </c>
      <c r="P824" t="n">
        <v>0</v>
      </c>
      <c r="Q824" t="n">
        <v>0</v>
      </c>
      <c r="R824" s="2" t="inlineStr"/>
    </row>
    <row r="825" ht="15" customHeight="1">
      <c r="A825" t="inlineStr">
        <is>
          <t>A 61821-2024</t>
        </is>
      </c>
      <c r="B825" s="1" t="n">
        <v>45649</v>
      </c>
      <c r="C825" s="1" t="n">
        <v>45670</v>
      </c>
      <c r="D825" t="inlineStr">
        <is>
          <t>VÄSTERNORRLANDS LÄN</t>
        </is>
      </c>
      <c r="E825" t="inlineStr">
        <is>
          <t>TIMRÅ</t>
        </is>
      </c>
      <c r="F825" t="inlineStr">
        <is>
          <t>SCA</t>
        </is>
      </c>
      <c r="G825" t="n">
        <v>5.7</v>
      </c>
      <c r="H825" t="n">
        <v>0</v>
      </c>
      <c r="I825" t="n">
        <v>0</v>
      </c>
      <c r="J825" t="n">
        <v>0</v>
      </c>
      <c r="K825" t="n">
        <v>0</v>
      </c>
      <c r="L825" t="n">
        <v>0</v>
      </c>
      <c r="M825" t="n">
        <v>0</v>
      </c>
      <c r="N825" t="n">
        <v>0</v>
      </c>
      <c r="O825" t="n">
        <v>0</v>
      </c>
      <c r="P825" t="n">
        <v>0</v>
      </c>
      <c r="Q825" t="n">
        <v>0</v>
      </c>
      <c r="R825" s="2" t="inlineStr"/>
    </row>
    <row r="826" ht="15" customHeight="1">
      <c r="A826" t="inlineStr">
        <is>
          <t>A 62133-2024</t>
        </is>
      </c>
      <c r="B826" s="1" t="n">
        <v>45656</v>
      </c>
      <c r="C826" s="1" t="n">
        <v>45670</v>
      </c>
      <c r="D826" t="inlineStr">
        <is>
          <t>VÄSTERNORRLANDS LÄN</t>
        </is>
      </c>
      <c r="E826" t="inlineStr">
        <is>
          <t>TIMRÅ</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472-2025</t>
        </is>
      </c>
      <c r="B827" s="1" t="n">
        <v>45664</v>
      </c>
      <c r="C827" s="1" t="n">
        <v>45670</v>
      </c>
      <c r="D827" t="inlineStr">
        <is>
          <t>VÄSTERNORRLANDS LÄN</t>
        </is>
      </c>
      <c r="E827" t="inlineStr">
        <is>
          <t>TIMRÅ</t>
        </is>
      </c>
      <c r="G827" t="n">
        <v>14.3</v>
      </c>
      <c r="H827" t="n">
        <v>0</v>
      </c>
      <c r="I827" t="n">
        <v>0</v>
      </c>
      <c r="J827" t="n">
        <v>0</v>
      </c>
      <c r="K827" t="n">
        <v>0</v>
      </c>
      <c r="L827" t="n">
        <v>0</v>
      </c>
      <c r="M827" t="n">
        <v>0</v>
      </c>
      <c r="N827" t="n">
        <v>0</v>
      </c>
      <c r="O827" t="n">
        <v>0</v>
      </c>
      <c r="P827" t="n">
        <v>0</v>
      </c>
      <c r="Q827" t="n">
        <v>0</v>
      </c>
      <c r="R827" s="2" t="inlineStr"/>
    </row>
    <row r="828" ht="15" customHeight="1">
      <c r="A828" t="inlineStr">
        <is>
          <t>A 465-2025</t>
        </is>
      </c>
      <c r="B828" s="1" t="n">
        <v>45664</v>
      </c>
      <c r="C828" s="1" t="n">
        <v>45670</v>
      </c>
      <c r="D828" t="inlineStr">
        <is>
          <t>VÄSTERNORRLANDS LÄN</t>
        </is>
      </c>
      <c r="E828" t="inlineStr">
        <is>
          <t>TIMRÅ</t>
        </is>
      </c>
      <c r="G828" t="n">
        <v>2.2</v>
      </c>
      <c r="H828" t="n">
        <v>0</v>
      </c>
      <c r="I828" t="n">
        <v>0</v>
      </c>
      <c r="J828" t="n">
        <v>0</v>
      </c>
      <c r="K828" t="n">
        <v>0</v>
      </c>
      <c r="L828" t="n">
        <v>0</v>
      </c>
      <c r="M828" t="n">
        <v>0</v>
      </c>
      <c r="N828" t="n">
        <v>0</v>
      </c>
      <c r="O828" t="n">
        <v>0</v>
      </c>
      <c r="P828" t="n">
        <v>0</v>
      </c>
      <c r="Q828" t="n">
        <v>0</v>
      </c>
      <c r="R828" s="2" t="inlineStr"/>
    </row>
    <row r="829" ht="15" customHeight="1">
      <c r="A829" t="inlineStr">
        <is>
          <t>A 1386-2025</t>
        </is>
      </c>
      <c r="B829" s="1" t="n">
        <v>45667</v>
      </c>
      <c r="C829" s="1" t="n">
        <v>45670</v>
      </c>
      <c r="D829" t="inlineStr">
        <is>
          <t>VÄSTERNORRLANDS LÄN</t>
        </is>
      </c>
      <c r="E829" t="inlineStr">
        <is>
          <t>TIMRÅ</t>
        </is>
      </c>
      <c r="G829" t="n">
        <v>0.7</v>
      </c>
      <c r="H829" t="n">
        <v>0</v>
      </c>
      <c r="I829" t="n">
        <v>0</v>
      </c>
      <c r="J829" t="n">
        <v>0</v>
      </c>
      <c r="K829" t="n">
        <v>0</v>
      </c>
      <c r="L829" t="n">
        <v>0</v>
      </c>
      <c r="M829" t="n">
        <v>0</v>
      </c>
      <c r="N829" t="n">
        <v>0</v>
      </c>
      <c r="O829" t="n">
        <v>0</v>
      </c>
      <c r="P829" t="n">
        <v>0</v>
      </c>
      <c r="Q829" t="n">
        <v>0</v>
      </c>
      <c r="R829" s="2" t="inlineStr"/>
    </row>
    <row r="830" ht="15" customHeight="1">
      <c r="A830" t="inlineStr">
        <is>
          <t>A 1380-2025</t>
        </is>
      </c>
      <c r="B830" s="1" t="n">
        <v>45667</v>
      </c>
      <c r="C830" s="1" t="n">
        <v>45670</v>
      </c>
      <c r="D830" t="inlineStr">
        <is>
          <t>VÄSTERNORRLANDS LÄN</t>
        </is>
      </c>
      <c r="E830" t="inlineStr">
        <is>
          <t>TIMRÅ</t>
        </is>
      </c>
      <c r="G830" t="n">
        <v>2</v>
      </c>
      <c r="H830" t="n">
        <v>0</v>
      </c>
      <c r="I830" t="n">
        <v>0</v>
      </c>
      <c r="J830" t="n">
        <v>0</v>
      </c>
      <c r="K830" t="n">
        <v>0</v>
      </c>
      <c r="L830" t="n">
        <v>0</v>
      </c>
      <c r="M830" t="n">
        <v>0</v>
      </c>
      <c r="N830" t="n">
        <v>0</v>
      </c>
      <c r="O830" t="n">
        <v>0</v>
      </c>
      <c r="P830" t="n">
        <v>0</v>
      </c>
      <c r="Q830" t="n">
        <v>0</v>
      </c>
      <c r="R830" s="2" t="inlineStr"/>
    </row>
    <row r="831">
      <c r="A831" t="inlineStr">
        <is>
          <t>A 1388-2025</t>
        </is>
      </c>
      <c r="B831" s="1" t="n">
        <v>45667</v>
      </c>
      <c r="C831" s="1" t="n">
        <v>45670</v>
      </c>
      <c r="D831" t="inlineStr">
        <is>
          <t>VÄSTERNORRLANDS LÄN</t>
        </is>
      </c>
      <c r="E831" t="inlineStr">
        <is>
          <t>TIMRÅ</t>
        </is>
      </c>
      <c r="G831" t="n">
        <v>0.8</v>
      </c>
      <c r="H831" t="n">
        <v>0</v>
      </c>
      <c r="I831" t="n">
        <v>0</v>
      </c>
      <c r="J831" t="n">
        <v>0</v>
      </c>
      <c r="K831" t="n">
        <v>0</v>
      </c>
      <c r="L831" t="n">
        <v>0</v>
      </c>
      <c r="M831" t="n">
        <v>0</v>
      </c>
      <c r="N831" t="n">
        <v>0</v>
      </c>
      <c r="O831" t="n">
        <v>0</v>
      </c>
      <c r="P831" t="n">
        <v>0</v>
      </c>
      <c r="Q831" t="n">
        <v>0</v>
      </c>
      <c r="R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2025-01-13T15:51:09Z</dcterms:created>
  <dcterms:modified xmlns:dcterms="http://purl.org/dc/terms/" xmlns:xsi="http://www.w3.org/2001/XMLSchema-instance" xsi:type="dcterms:W3CDTF">2025-01-13T15:51:10Z</dcterms:modified>
</cp:coreProperties>
</file>