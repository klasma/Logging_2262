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45744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45744</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45744</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45744</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45744</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45744</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45744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45744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45744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45744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45744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45744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45744</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45744</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45744</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45744</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45744</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45744</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45744</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45744</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45744</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45744</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45744</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45744</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45744</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45744</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45744</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45744</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45744</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45744</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45744</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45744</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45744</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45744</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45744</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45744</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45744</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45744</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45744</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45744</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HYPERLINK("https://klasma.github.io/Logging_2262/artfynd/A 13439-2025 artfynd.xlsx", "A 13439-2025")</f>
        <v/>
      </c>
      <c r="T41">
        <f>HYPERLINK("https://klasma.github.io/Logging_2262/kartor/A 13439-2025 karta.png", "A 13439-2025")</f>
        <v/>
      </c>
      <c r="V41">
        <f>HYPERLINK("https://klasma.github.io/Logging_2262/klagomål/A 13439-2025 FSC-klagomål.docx", "A 13439-2025")</f>
        <v/>
      </c>
      <c r="W41">
        <f>HYPERLINK("https://klasma.github.io/Logging_2262/klagomålsmail/A 13439-2025 FSC-klagomål mail.docx", "A 13439-2025")</f>
        <v/>
      </c>
      <c r="X41">
        <f>HYPERLINK("https://klasma.github.io/Logging_2262/tillsyn/A 13439-2025 tillsynsbegäran.docx", "A 13439-2025")</f>
        <v/>
      </c>
      <c r="Y41">
        <f>HYPERLINK("https://klasma.github.io/Logging_2262/tillsynsmail/A 13439-2025 tillsynsbegäran mail.docx", "A 13439-2025")</f>
        <v/>
      </c>
    </row>
    <row r="42" ht="15" customHeight="1">
      <c r="A42" t="inlineStr">
        <is>
          <t>A 18510-2021</t>
        </is>
      </c>
      <c r="B42" s="1" t="n">
        <v>44306</v>
      </c>
      <c r="C42" s="1" t="n">
        <v>45744</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45744</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45744</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45744</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45744</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45744</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45744</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45744</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45744</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45744</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45744</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45744</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45744</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45744</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45744</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45744</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45744</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45744</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45744</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45744</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45744</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45744</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45744</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45744</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45744</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45744</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45744</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45744</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45744</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45744</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45744</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45744</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45744</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45744</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45744</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45744</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45744</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45744</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45744</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45744</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45744</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45744</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45744</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45744</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45744</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45744</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45744</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45744</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45744</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45744</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45744</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45744</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45744</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45744</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45744</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45744</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45744</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45744</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45744</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45744</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45744</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45744</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45744</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45744</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45744</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45744</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45744</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45744</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45744</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45744</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45744</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45744</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45744</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45744</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45744</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45744</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45744</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45744</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45744</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45744</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45744</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45744</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45744</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45744</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45744</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45744</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45744</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45744</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45744</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45744</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45744</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45744</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45744</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45744</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45744</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45744</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45744</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45744</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45744</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45744</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45744</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45744</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45744</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45744</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45744</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45744</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45744</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45744</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45744</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45744</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45744</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45744</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45744</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45744</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45744</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45744</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45744</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45744</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45744</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45744</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45744</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45744</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45744</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45744</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45744</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45744</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45744</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45744</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45744</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45744</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45744</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45744</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45744</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45744</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45744</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45744</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45744</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45744</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45744</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45744</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45744</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45744</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45744</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45744</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45744</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45744</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45744</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45744</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45744</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45744</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45744</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45744</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45744</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45744</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45744</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45744</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45744</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45744</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45744</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45744</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45744</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45744</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45744</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45744</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45744</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45744</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45744</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45744</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45744</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45744</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45744</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45744</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45744</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45744</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45744</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45744</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45744</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45744</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45744</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45744</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45744</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45744</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45744</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45744</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45744</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45744</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45744</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45744</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45744</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45744</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45744</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45744</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45744</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45744</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45744</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45744</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45744</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45744</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45744</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45744</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45744</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45744</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45744</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45744</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45744</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45744</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45744</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45744</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45744</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45744</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45744</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45744</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45744</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45744</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45744</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45744</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45744</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45744</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45744</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45744</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45744</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45744</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45744</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45744</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45744</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45744</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45744</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45744</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45744</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45744</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45744</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45744</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45744</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45744</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45744</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45744</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45744</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45744</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45744</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45744</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45744</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45744</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45744</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45744</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45744</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45744</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45744</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45744</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45744</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45744</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45744</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45744</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45744</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45744</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45744</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45744</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45744</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45744</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45744</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45744</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45744</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45744</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45744</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45744</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45744</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45744</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45744</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45744</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45744</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45744</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45744</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45744</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45744</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45744</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45744</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45744</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45744</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45744</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45744</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45744</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45744</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45744</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45744</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45744</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45744</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45744</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45744</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45744</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45744</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45744</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45744</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45744</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45744</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45744</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45744</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45744</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45744</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45744</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45744</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45744</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45744</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45744</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45744</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45744</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45744</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45744</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45744</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45744</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45744</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45744</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45744</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45744</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45744</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45744</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45744</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45744</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45744</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45744</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45744</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45744</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45744</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45744</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45744</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45744</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45744</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45744</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45744</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45744</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45744</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45744</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45744</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45744</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45744</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45744</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45744</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45744</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45744</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45744</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45744</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45744</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45744</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45744</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45744</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45744</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45744</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45744</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45744</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45744</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45744</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45744</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45744</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45744</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45744</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45744</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45744</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45744</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45744</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45744</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45744</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45744</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45744</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45744</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45744</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45744</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45744</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45744</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45744</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45744</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45744</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45744</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45744</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45744</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45744</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45744</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45744</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45744</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45744</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45744</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45744</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45744</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45744</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45744</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45744</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45744</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45744</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45744</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45744</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45744</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45744</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45744</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45744</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45744</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45744</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45744</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45744</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45744</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45744</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45744</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45744</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45744</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45744</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45744</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45744</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45744</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45744</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45744</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45744</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45744</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45744</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45744</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45744</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45744</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45744</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45744</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45744</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45744</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45744</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45744</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45744</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45744</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45744</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45744</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45744</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45744</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45744</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45744</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45744</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45744</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45744</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45744</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45744</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45744</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45744</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45744</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45744</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45744</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45744</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45744</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45744</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45744</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45744</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45744</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45744</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45744</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45744</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45744</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45744</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45744</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45744</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45744</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45744</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45744</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45744</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45744</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45744</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45744</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45744</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45744</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45744</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45744</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45744</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45744</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45744</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45744</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45744</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45744</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45744</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45744</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45744</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45744</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45744</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45744</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45744</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45744</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45744</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45744</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45744</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45744</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45744</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45744</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45744</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45744</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45744</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45744</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45744</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45744</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45744</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45744</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45744</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45744</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45744</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45744</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45744</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45744</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45744</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45744</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45744</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45744</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45744</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45744</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45744</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45744</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45744</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45744</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45744</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45744</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45744</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45744</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45744</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45744</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45744</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45744</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45744</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45744</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45744</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45744</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45744</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45744</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45744</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45744</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45744</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45744</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45744</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45744</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45744</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45744</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45744</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45744</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45744</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45744</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45744</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45744</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45744</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45744</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45744</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45744</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45744</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45744</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45744</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45744</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45744</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45744</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45744</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45744</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45744</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45744</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45744</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45744</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45744</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45744</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45744</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45744</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45744</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45744</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45744</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45744</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45744</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45744</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45744</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45744</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45744</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45744</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45744</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45744</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45744</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45744</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45744</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45744</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45744</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45744</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45744</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45744</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45744</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45744</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45744</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45744</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45744</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45744</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45744</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45744</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45744</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45744</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45744</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45744</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45744</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45744</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45744</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45744</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45744</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45744</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45744</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45744</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45744</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45744</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45744</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45744</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45744</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45744</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45744</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45744</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45744</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45744</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45744</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45744</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45744</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45744</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45744</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45744</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45744</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45744</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45744</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45744</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45744</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45744</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45744</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45744</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45744</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45744</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45744</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45744</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45744</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45744</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45744</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45744</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45744</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45744</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45744</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45744</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45744</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45744</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45744</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45744</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45744</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45744</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45744</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45744</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45744</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45744</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45744</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45744</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45744</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45744</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45744</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45744</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45744</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45744</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45744</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45744</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45744</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45744</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45744</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45744</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45744</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45744</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45744</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45744</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45744</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45744</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45744</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45744</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45744</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45744</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45744</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45744</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45744</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45744</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45744</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45744</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45744</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45744</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45744</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45744</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45744</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45744</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45744</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45744</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45744</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45744</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45744</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45744</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45744</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45744</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45744</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45744</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45744</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45744</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45744</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45744</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45744</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45744</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45744</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45744</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45744</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45744</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45744</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45744</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45744</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45744</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45744</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45744</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45744</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45744</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45744</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45744</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45744</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45744</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45744</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45744</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45744</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45744</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45744</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45744</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45744</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45744</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45744</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45744</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45744</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45744</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45744</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45744</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45744</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45744</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45744</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45744</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45744</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45744</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45744</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45744</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45744</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45744</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45744</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45744</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45744</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45744</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45744</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45744</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45744</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45744</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45744</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45744</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45744</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45744</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45744</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45744</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45744</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45744</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45744</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45744</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45744</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45744</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45744</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45744</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45744</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45744</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45744</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45744</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45744</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45744</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45744</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45744</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45744</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45744</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45744</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45744</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45744</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45744</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45744</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45744</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45744</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45744</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45744</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45744</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45744</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45744</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45744</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45744</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45744</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45744</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45744</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45744</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45744</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45744</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45744</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45744</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45744</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45744</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45744</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45744</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45744</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45744</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45744</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45744</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45744</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45744</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45744</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45744</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45744</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45744</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45744</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45744</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45744</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45744</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45744</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45744</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45744</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45744</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45744</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45744</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45744</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45744</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45744</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45744</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45744</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45744</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45744</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45744</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45744</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45744</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45744</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45744</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45744</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45744</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45744</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10947-2025</t>
        </is>
      </c>
      <c r="B865" s="1" t="n">
        <v>45723</v>
      </c>
      <c r="C865" s="1" t="n">
        <v>45744</v>
      </c>
      <c r="D865" t="inlineStr">
        <is>
          <t>VÄSTERNORRLANDS LÄN</t>
        </is>
      </c>
      <c r="E865" t="inlineStr">
        <is>
          <t>TIMRÅ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45744</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45744</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45744</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45744</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45744</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13218-2025</t>
        </is>
      </c>
      <c r="B871" s="1" t="n">
        <v>45735</v>
      </c>
      <c r="C871" s="1" t="n">
        <v>45744</v>
      </c>
      <c r="D871" t="inlineStr">
        <is>
          <t>VÄSTERNORRLANDS LÄN</t>
        </is>
      </c>
      <c r="E871" t="inlineStr">
        <is>
          <t>TIMRÅ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13316-2025</t>
        </is>
      </c>
      <c r="B872" s="1" t="n">
        <v>45735</v>
      </c>
      <c r="C872" s="1" t="n">
        <v>45744</v>
      </c>
      <c r="D872" t="inlineStr">
        <is>
          <t>VÄSTERNORRLANDS LÄN</t>
        </is>
      </c>
      <c r="E872" t="inlineStr">
        <is>
          <t>TIMRÅ</t>
        </is>
      </c>
      <c r="F872" t="inlineStr">
        <is>
          <t>SCA</t>
        </is>
      </c>
      <c r="G872" t="n">
        <v>11.7</v>
      </c>
      <c r="H872" t="n">
        <v>0</v>
      </c>
      <c r="I872" t="n">
        <v>0</v>
      </c>
      <c r="J872" t="n">
        <v>0</v>
      </c>
      <c r="K872" t="n">
        <v>0</v>
      </c>
      <c r="L872" t="n">
        <v>0</v>
      </c>
      <c r="M872" t="n">
        <v>0</v>
      </c>
      <c r="N872" t="n">
        <v>0</v>
      </c>
      <c r="O872" t="n">
        <v>0</v>
      </c>
      <c r="P872" t="n">
        <v>0</v>
      </c>
      <c r="Q872" t="n">
        <v>0</v>
      </c>
      <c r="R872" s="2" t="inlineStr"/>
    </row>
    <row r="873" ht="15" customHeight="1">
      <c r="A873" t="inlineStr">
        <is>
          <t>A 13251-2025</t>
        </is>
      </c>
      <c r="B873" s="1" t="n">
        <v>45735</v>
      </c>
      <c r="C873" s="1" t="n">
        <v>45744</v>
      </c>
      <c r="D873" t="inlineStr">
        <is>
          <t>VÄSTERNORRLANDS LÄN</t>
        </is>
      </c>
      <c r="E873" t="inlineStr">
        <is>
          <t>TIMRÅ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13642-2025</t>
        </is>
      </c>
      <c r="B874" s="1" t="n">
        <v>45736</v>
      </c>
      <c r="C874" s="1" t="n">
        <v>45744</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row r="875" ht="15" customHeight="1">
      <c r="A875" t="inlineStr">
        <is>
          <t>A 13861-2025</t>
        </is>
      </c>
      <c r="B875" s="1" t="n">
        <v>45737</v>
      </c>
      <c r="C875" s="1" t="n">
        <v>45744</v>
      </c>
      <c r="D875" t="inlineStr">
        <is>
          <t>VÄSTERNORRLANDS LÄN</t>
        </is>
      </c>
      <c r="E875" t="inlineStr">
        <is>
          <t>TIMRÅ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45744</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14955-2025</t>
        </is>
      </c>
      <c r="B877" s="1" t="n">
        <v>45743</v>
      </c>
      <c r="C877" s="1" t="n">
        <v>45744</v>
      </c>
      <c r="D877" t="inlineStr">
        <is>
          <t>VÄSTERNORRLANDS LÄN</t>
        </is>
      </c>
      <c r="E877" t="inlineStr">
        <is>
          <t>TIMRÅ</t>
        </is>
      </c>
      <c r="G877" t="n">
        <v>0.8</v>
      </c>
      <c r="H877" t="n">
        <v>0</v>
      </c>
      <c r="I877" t="n">
        <v>0</v>
      </c>
      <c r="J877" t="n">
        <v>0</v>
      </c>
      <c r="K877" t="n">
        <v>0</v>
      </c>
      <c r="L877" t="n">
        <v>0</v>
      </c>
      <c r="M877" t="n">
        <v>0</v>
      </c>
      <c r="N877" t="n">
        <v>0</v>
      </c>
      <c r="O877" t="n">
        <v>0</v>
      </c>
      <c r="P877" t="n">
        <v>0</v>
      </c>
      <c r="Q877" t="n">
        <v>0</v>
      </c>
      <c r="R877" s="2" t="inlineStr"/>
    </row>
    <row r="878">
      <c r="A878" t="inlineStr">
        <is>
          <t>A 14926-2025</t>
        </is>
      </c>
      <c r="B878" s="1" t="n">
        <v>45743</v>
      </c>
      <c r="C878" s="1" t="n">
        <v>45744</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2025-03-28T18:27:49Z</dcterms:created>
  <dcterms:modified xmlns:dcterms="http://purl.org/dc/terms/" xmlns:xsi="http://www.w3.org/2001/XMLSchema-instance" xsi:type="dcterms:W3CDTF">2025-03-28T18:27:49Z</dcterms:modified>
</cp:coreProperties>
</file>