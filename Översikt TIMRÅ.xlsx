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45349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45349</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45349</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45349</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45349</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45349</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45349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45349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45349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45349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45349</v>
      </c>
      <c r="D12" t="inlineStr">
        <is>
          <t>VÄSTERNORRLANDS LÄN</t>
        </is>
      </c>
      <c r="E12" t="inlineStr">
        <is>
          <t>TIMRÅ</t>
        </is>
      </c>
      <c r="G12" t="n">
        <v>18</v>
      </c>
      <c r="H12" t="n">
        <v>3</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45349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45349</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45349</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45349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45349</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45349</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45349</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45349</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45349</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45349</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45349</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45349</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45349</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45349</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45349</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45349</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45349</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45349</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45349</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45349</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45349</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45349</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45349</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45349</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45349</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45349</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45349</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45349</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16852-2019</t>
        </is>
      </c>
      <c r="B41" s="1" t="n">
        <v>43549</v>
      </c>
      <c r="C41" s="1" t="n">
        <v>45349</v>
      </c>
      <c r="D41" t="inlineStr">
        <is>
          <t>VÄSTERNORRLANDS LÄN</t>
        </is>
      </c>
      <c r="E41" t="inlineStr">
        <is>
          <t>TIMRÅ</t>
        </is>
      </c>
      <c r="G41" t="n">
        <v>1.7</v>
      </c>
      <c r="H41" t="n">
        <v>1</v>
      </c>
      <c r="I41" t="n">
        <v>0</v>
      </c>
      <c r="J41" t="n">
        <v>1</v>
      </c>
      <c r="K41" t="n">
        <v>0</v>
      </c>
      <c r="L41" t="n">
        <v>0</v>
      </c>
      <c r="M41" t="n">
        <v>0</v>
      </c>
      <c r="N41" t="n">
        <v>0</v>
      </c>
      <c r="O41" t="n">
        <v>1</v>
      </c>
      <c r="P41" t="n">
        <v>0</v>
      </c>
      <c r="Q41" t="n">
        <v>1</v>
      </c>
      <c r="R41" s="2" t="inlineStr">
        <is>
          <t>Grönsångare</t>
        </is>
      </c>
      <c r="S41">
        <f>HYPERLINK("https://klasma.github.io/Logging_2262/artfynd/A 16852-2019 artfynd.xlsx", "A 16852-2019")</f>
        <v/>
      </c>
      <c r="T41">
        <f>HYPERLINK("https://klasma.github.io/Logging_2262/kartor/A 16852-2019 karta.png", "A 16852-2019")</f>
        <v/>
      </c>
      <c r="V41">
        <f>HYPERLINK("https://klasma.github.io/Logging_2262/klagomål/A 16852-2019 FSC-klagomål.docx", "A 16852-2019")</f>
        <v/>
      </c>
      <c r="W41">
        <f>HYPERLINK("https://klasma.github.io/Logging_2262/klagomålsmail/A 16852-2019 FSC-klagomål mail.docx", "A 16852-2019")</f>
        <v/>
      </c>
      <c r="X41">
        <f>HYPERLINK("https://klasma.github.io/Logging_2262/tillsyn/A 16852-2019 tillsynsbegäran.docx", "A 16852-2019")</f>
        <v/>
      </c>
      <c r="Y41">
        <f>HYPERLINK("https://klasma.github.io/Logging_2262/tillsynsmail/A 16852-2019 tillsynsbegäran mail.docx", "A 16852-2019")</f>
        <v/>
      </c>
    </row>
    <row r="42" ht="15" customHeight="1">
      <c r="A42" t="inlineStr">
        <is>
          <t>A 16858-2019</t>
        </is>
      </c>
      <c r="B42" s="1" t="n">
        <v>43549</v>
      </c>
      <c r="C42" s="1" t="n">
        <v>45349</v>
      </c>
      <c r="D42" t="inlineStr">
        <is>
          <t>VÄSTERNORRLANDS LÄN</t>
        </is>
      </c>
      <c r="E42" t="inlineStr">
        <is>
          <t>TIMRÅ</t>
        </is>
      </c>
      <c r="G42" t="n">
        <v>3.2</v>
      </c>
      <c r="H42" t="n">
        <v>0</v>
      </c>
      <c r="I42" t="n">
        <v>0</v>
      </c>
      <c r="J42" t="n">
        <v>1</v>
      </c>
      <c r="K42" t="n">
        <v>0</v>
      </c>
      <c r="L42" t="n">
        <v>0</v>
      </c>
      <c r="M42" t="n">
        <v>0</v>
      </c>
      <c r="N42" t="n">
        <v>0</v>
      </c>
      <c r="O42" t="n">
        <v>1</v>
      </c>
      <c r="P42" t="n">
        <v>0</v>
      </c>
      <c r="Q42" t="n">
        <v>1</v>
      </c>
      <c r="R42" s="2" t="inlineStr">
        <is>
          <t>Violettgrå tagellav</t>
        </is>
      </c>
      <c r="S42">
        <f>HYPERLINK("https://klasma.github.io/Logging_2262/artfynd/A 16858-2019 artfynd.xlsx", "A 16858-2019")</f>
        <v/>
      </c>
      <c r="T42">
        <f>HYPERLINK("https://klasma.github.io/Logging_2262/kartor/A 16858-2019 karta.png", "A 16858-2019")</f>
        <v/>
      </c>
      <c r="V42">
        <f>HYPERLINK("https://klasma.github.io/Logging_2262/klagomål/A 16858-2019 FSC-klagomål.docx", "A 16858-2019")</f>
        <v/>
      </c>
      <c r="W42">
        <f>HYPERLINK("https://klasma.github.io/Logging_2262/klagomålsmail/A 16858-2019 FSC-klagomål mail.docx", "A 16858-2019")</f>
        <v/>
      </c>
      <c r="X42">
        <f>HYPERLINK("https://klasma.github.io/Logging_2262/tillsyn/A 16858-2019 tillsynsbegäran.docx", "A 16858-2019")</f>
        <v/>
      </c>
      <c r="Y42">
        <f>HYPERLINK("https://klasma.github.io/Logging_2262/tillsynsmail/A 16858-2019 tillsynsbegäran mail.docx", "A 16858-2019")</f>
        <v/>
      </c>
    </row>
    <row r="43" ht="15" customHeight="1">
      <c r="A43" t="inlineStr">
        <is>
          <t>A 66710-2019</t>
        </is>
      </c>
      <c r="B43" s="1" t="n">
        <v>43809</v>
      </c>
      <c r="C43" s="1" t="n">
        <v>45349</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45349</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45349</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45349</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45349</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45349</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45349</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45349</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23222-2022</t>
        </is>
      </c>
      <c r="B51" s="1" t="n">
        <v>44719</v>
      </c>
      <c r="C51" s="1" t="n">
        <v>45349</v>
      </c>
      <c r="D51" t="inlineStr">
        <is>
          <t>VÄSTERNORRLANDS LÄN</t>
        </is>
      </c>
      <c r="E51" t="inlineStr">
        <is>
          <t>TIMRÅ</t>
        </is>
      </c>
      <c r="F51" t="inlineStr">
        <is>
          <t>SCA</t>
        </is>
      </c>
      <c r="G51" t="n">
        <v>4</v>
      </c>
      <c r="H51" t="n">
        <v>0</v>
      </c>
      <c r="I51" t="n">
        <v>0</v>
      </c>
      <c r="J51" t="n">
        <v>1</v>
      </c>
      <c r="K51" t="n">
        <v>0</v>
      </c>
      <c r="L51" t="n">
        <v>0</v>
      </c>
      <c r="M51" t="n">
        <v>0</v>
      </c>
      <c r="N51" t="n">
        <v>0</v>
      </c>
      <c r="O51" t="n">
        <v>1</v>
      </c>
      <c r="P51" t="n">
        <v>0</v>
      </c>
      <c r="Q51" t="n">
        <v>1</v>
      </c>
      <c r="R51" s="2" t="inlineStr">
        <is>
          <t>Garnlav</t>
        </is>
      </c>
      <c r="S51">
        <f>HYPERLINK("https://klasma.github.io/Logging_2262/artfynd/A 23222-2022 artfynd.xlsx", "A 23222-2022")</f>
        <v/>
      </c>
      <c r="T51">
        <f>HYPERLINK("https://klasma.github.io/Logging_2262/kartor/A 23222-2022 karta.png", "A 23222-2022")</f>
        <v/>
      </c>
      <c r="V51">
        <f>HYPERLINK("https://klasma.github.io/Logging_2262/klagomål/A 23222-2022 FSC-klagomål.docx", "A 23222-2022")</f>
        <v/>
      </c>
      <c r="W51">
        <f>HYPERLINK("https://klasma.github.io/Logging_2262/klagomålsmail/A 23222-2022 FSC-klagomål mail.docx", "A 23222-2022")</f>
        <v/>
      </c>
      <c r="X51">
        <f>HYPERLINK("https://klasma.github.io/Logging_2262/tillsyn/A 23222-2022 tillsynsbegäran.docx", "A 23222-2022")</f>
        <v/>
      </c>
      <c r="Y51">
        <f>HYPERLINK("https://klasma.github.io/Logging_2262/tillsynsmail/A 23222-2022 tillsynsbegäran mail.docx", "A 23222-2022")</f>
        <v/>
      </c>
    </row>
    <row r="52" ht="15" customHeight="1">
      <c r="A52" t="inlineStr">
        <is>
          <t>A 57242-2022</t>
        </is>
      </c>
      <c r="B52" s="1" t="n">
        <v>44889</v>
      </c>
      <c r="C52" s="1" t="n">
        <v>45349</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45349</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45349</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45349</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45349</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45349</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45349</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45349</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45349</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45349</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45349</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63171-2023</t>
        </is>
      </c>
      <c r="B63" s="1" t="n">
        <v>45273</v>
      </c>
      <c r="C63" s="1" t="n">
        <v>45349</v>
      </c>
      <c r="D63" t="inlineStr">
        <is>
          <t>VÄSTERNORRLANDS LÄN</t>
        </is>
      </c>
      <c r="E63" t="inlineStr">
        <is>
          <t>TIMRÅ</t>
        </is>
      </c>
      <c r="F63" t="inlineStr">
        <is>
          <t>Kommuner</t>
        </is>
      </c>
      <c r="G63" t="n">
        <v>8.300000000000001</v>
      </c>
      <c r="H63" t="n">
        <v>0</v>
      </c>
      <c r="I63" t="n">
        <v>0</v>
      </c>
      <c r="J63" t="n">
        <v>1</v>
      </c>
      <c r="K63" t="n">
        <v>0</v>
      </c>
      <c r="L63" t="n">
        <v>0</v>
      </c>
      <c r="M63" t="n">
        <v>0</v>
      </c>
      <c r="N63" t="n">
        <v>0</v>
      </c>
      <c r="O63" t="n">
        <v>1</v>
      </c>
      <c r="P63" t="n">
        <v>0</v>
      </c>
      <c r="Q63" t="n">
        <v>1</v>
      </c>
      <c r="R63" s="2" t="inlineStr">
        <is>
          <t>Rödprick</t>
        </is>
      </c>
      <c r="S63">
        <f>HYPERLINK("https://klasma.github.io/Logging_2262/artfynd/A 63171-2023 artfynd.xlsx", "A 63171-2023")</f>
        <v/>
      </c>
      <c r="T63">
        <f>HYPERLINK("https://klasma.github.io/Logging_2262/kartor/A 63171-2023 karta.png", "A 63171-2023")</f>
        <v/>
      </c>
      <c r="V63">
        <f>HYPERLINK("https://klasma.github.io/Logging_2262/klagomål/A 63171-2023 FSC-klagomål.docx", "A 63171-2023")</f>
        <v/>
      </c>
      <c r="W63">
        <f>HYPERLINK("https://klasma.github.io/Logging_2262/klagomålsmail/A 63171-2023 FSC-klagomål mail.docx", "A 63171-2023")</f>
        <v/>
      </c>
      <c r="X63">
        <f>HYPERLINK("https://klasma.github.io/Logging_2262/tillsyn/A 63171-2023 tillsynsbegäran.docx", "A 63171-2023")</f>
        <v/>
      </c>
      <c r="Y63">
        <f>HYPERLINK("https://klasma.github.io/Logging_2262/tillsynsmail/A 63171-2023 tillsynsbegäran mail.docx", "A 63171-2023")</f>
        <v/>
      </c>
    </row>
    <row r="64" ht="15" customHeight="1">
      <c r="A64" t="inlineStr">
        <is>
          <t>A 54637-2018</t>
        </is>
      </c>
      <c r="B64" s="1" t="n">
        <v>43389</v>
      </c>
      <c r="C64" s="1" t="n">
        <v>45349</v>
      </c>
      <c r="D64" t="inlineStr">
        <is>
          <t>VÄSTERNORRLANDS LÄN</t>
        </is>
      </c>
      <c r="E64" t="inlineStr">
        <is>
          <t>TIMRÅ</t>
        </is>
      </c>
      <c r="G64" t="n">
        <v>1.3</v>
      </c>
      <c r="H64" t="n">
        <v>0</v>
      </c>
      <c r="I64" t="n">
        <v>0</v>
      </c>
      <c r="J64" t="n">
        <v>0</v>
      </c>
      <c r="K64" t="n">
        <v>0</v>
      </c>
      <c r="L64" t="n">
        <v>0</v>
      </c>
      <c r="M64" t="n">
        <v>0</v>
      </c>
      <c r="N64" t="n">
        <v>0</v>
      </c>
      <c r="O64" t="n">
        <v>0</v>
      </c>
      <c r="P64" t="n">
        <v>0</v>
      </c>
      <c r="Q64" t="n">
        <v>0</v>
      </c>
      <c r="R64" s="2" t="inlineStr"/>
    </row>
    <row r="65" ht="15" customHeight="1">
      <c r="A65" t="inlineStr">
        <is>
          <t>A 56900-2018</t>
        </is>
      </c>
      <c r="B65" s="1" t="n">
        <v>43403</v>
      </c>
      <c r="C65" s="1" t="n">
        <v>45349</v>
      </c>
      <c r="D65" t="inlineStr">
        <is>
          <t>VÄSTERNORRLANDS LÄN</t>
        </is>
      </c>
      <c r="E65" t="inlineStr">
        <is>
          <t>TIMRÅ</t>
        </is>
      </c>
      <c r="G65" t="n">
        <v>4.6</v>
      </c>
      <c r="H65" t="n">
        <v>0</v>
      </c>
      <c r="I65" t="n">
        <v>0</v>
      </c>
      <c r="J65" t="n">
        <v>0</v>
      </c>
      <c r="K65" t="n">
        <v>0</v>
      </c>
      <c r="L65" t="n">
        <v>0</v>
      </c>
      <c r="M65" t="n">
        <v>0</v>
      </c>
      <c r="N65" t="n">
        <v>0</v>
      </c>
      <c r="O65" t="n">
        <v>0</v>
      </c>
      <c r="P65" t="n">
        <v>0</v>
      </c>
      <c r="Q65" t="n">
        <v>0</v>
      </c>
      <c r="R65" s="2" t="inlineStr"/>
    </row>
    <row r="66" ht="15" customHeight="1">
      <c r="A66" t="inlineStr">
        <is>
          <t>A 60068-2018</t>
        </is>
      </c>
      <c r="B66" s="1" t="n">
        <v>43412</v>
      </c>
      <c r="C66" s="1" t="n">
        <v>45349</v>
      </c>
      <c r="D66" t="inlineStr">
        <is>
          <t>VÄSTERNORRLANDS LÄN</t>
        </is>
      </c>
      <c r="E66" t="inlineStr">
        <is>
          <t>TIMRÅ</t>
        </is>
      </c>
      <c r="G66" t="n">
        <v>0.8</v>
      </c>
      <c r="H66" t="n">
        <v>0</v>
      </c>
      <c r="I66" t="n">
        <v>0</v>
      </c>
      <c r="J66" t="n">
        <v>0</v>
      </c>
      <c r="K66" t="n">
        <v>0</v>
      </c>
      <c r="L66" t="n">
        <v>0</v>
      </c>
      <c r="M66" t="n">
        <v>0</v>
      </c>
      <c r="N66" t="n">
        <v>0</v>
      </c>
      <c r="O66" t="n">
        <v>0</v>
      </c>
      <c r="P66" t="n">
        <v>0</v>
      </c>
      <c r="Q66" t="n">
        <v>0</v>
      </c>
      <c r="R66" s="2" t="inlineStr"/>
    </row>
    <row r="67" ht="15" customHeight="1">
      <c r="A67" t="inlineStr">
        <is>
          <t>A 60995-2018</t>
        </is>
      </c>
      <c r="B67" s="1" t="n">
        <v>43423</v>
      </c>
      <c r="C67" s="1" t="n">
        <v>45349</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65661-2018</t>
        </is>
      </c>
      <c r="B68" s="1" t="n">
        <v>43426</v>
      </c>
      <c r="C68" s="1" t="n">
        <v>45349</v>
      </c>
      <c r="D68" t="inlineStr">
        <is>
          <t>VÄSTERNORRLANDS LÄN</t>
        </is>
      </c>
      <c r="E68" t="inlineStr">
        <is>
          <t>TIMRÅ</t>
        </is>
      </c>
      <c r="G68" t="n">
        <v>2.5</v>
      </c>
      <c r="H68" t="n">
        <v>0</v>
      </c>
      <c r="I68" t="n">
        <v>0</v>
      </c>
      <c r="J68" t="n">
        <v>0</v>
      </c>
      <c r="K68" t="n">
        <v>0</v>
      </c>
      <c r="L68" t="n">
        <v>0</v>
      </c>
      <c r="M68" t="n">
        <v>0</v>
      </c>
      <c r="N68" t="n">
        <v>0</v>
      </c>
      <c r="O68" t="n">
        <v>0</v>
      </c>
      <c r="P68" t="n">
        <v>0</v>
      </c>
      <c r="Q68" t="n">
        <v>0</v>
      </c>
      <c r="R68" s="2" t="inlineStr"/>
    </row>
    <row r="69" ht="15" customHeight="1">
      <c r="A69" t="inlineStr">
        <is>
          <t>A 70560-2018</t>
        </is>
      </c>
      <c r="B69" s="1" t="n">
        <v>43451</v>
      </c>
      <c r="C69" s="1" t="n">
        <v>45349</v>
      </c>
      <c r="D69" t="inlineStr">
        <is>
          <t>VÄSTERNORRLANDS LÄN</t>
        </is>
      </c>
      <c r="E69" t="inlineStr">
        <is>
          <t>TIMRÅ</t>
        </is>
      </c>
      <c r="G69" t="n">
        <v>2</v>
      </c>
      <c r="H69" t="n">
        <v>0</v>
      </c>
      <c r="I69" t="n">
        <v>0</v>
      </c>
      <c r="J69" t="n">
        <v>0</v>
      </c>
      <c r="K69" t="n">
        <v>0</v>
      </c>
      <c r="L69" t="n">
        <v>0</v>
      </c>
      <c r="M69" t="n">
        <v>0</v>
      </c>
      <c r="N69" t="n">
        <v>0</v>
      </c>
      <c r="O69" t="n">
        <v>0</v>
      </c>
      <c r="P69" t="n">
        <v>0</v>
      </c>
      <c r="Q69" t="n">
        <v>0</v>
      </c>
      <c r="R69" s="2" t="inlineStr"/>
    </row>
    <row r="70" ht="15" customHeight="1">
      <c r="A70" t="inlineStr">
        <is>
          <t>A 72482-2018</t>
        </is>
      </c>
      <c r="B70" s="1" t="n">
        <v>43461</v>
      </c>
      <c r="C70" s="1" t="n">
        <v>45349</v>
      </c>
      <c r="D70" t="inlineStr">
        <is>
          <t>VÄSTERNORRLANDS LÄN</t>
        </is>
      </c>
      <c r="E70" t="inlineStr">
        <is>
          <t>TIMRÅ</t>
        </is>
      </c>
      <c r="G70" t="n">
        <v>2</v>
      </c>
      <c r="H70" t="n">
        <v>0</v>
      </c>
      <c r="I70" t="n">
        <v>0</v>
      </c>
      <c r="J70" t="n">
        <v>0</v>
      </c>
      <c r="K70" t="n">
        <v>0</v>
      </c>
      <c r="L70" t="n">
        <v>0</v>
      </c>
      <c r="M70" t="n">
        <v>0</v>
      </c>
      <c r="N70" t="n">
        <v>0</v>
      </c>
      <c r="O70" t="n">
        <v>0</v>
      </c>
      <c r="P70" t="n">
        <v>0</v>
      </c>
      <c r="Q70" t="n">
        <v>0</v>
      </c>
      <c r="R70" s="2" t="inlineStr"/>
    </row>
    <row r="71" ht="15" customHeight="1">
      <c r="A71" t="inlineStr">
        <is>
          <t>A 5416-2019</t>
        </is>
      </c>
      <c r="B71" s="1" t="n">
        <v>43488</v>
      </c>
      <c r="C71" s="1" t="n">
        <v>45349</v>
      </c>
      <c r="D71" t="inlineStr">
        <is>
          <t>VÄSTERNORRLANDS LÄN</t>
        </is>
      </c>
      <c r="E71" t="inlineStr">
        <is>
          <t>TIMRÅ</t>
        </is>
      </c>
      <c r="G71" t="n">
        <v>14.5</v>
      </c>
      <c r="H71" t="n">
        <v>0</v>
      </c>
      <c r="I71" t="n">
        <v>0</v>
      </c>
      <c r="J71" t="n">
        <v>0</v>
      </c>
      <c r="K71" t="n">
        <v>0</v>
      </c>
      <c r="L71" t="n">
        <v>0</v>
      </c>
      <c r="M71" t="n">
        <v>0</v>
      </c>
      <c r="N71" t="n">
        <v>0</v>
      </c>
      <c r="O71" t="n">
        <v>0</v>
      </c>
      <c r="P71" t="n">
        <v>0</v>
      </c>
      <c r="Q71" t="n">
        <v>0</v>
      </c>
      <c r="R71" s="2" t="inlineStr"/>
    </row>
    <row r="72" ht="15" customHeight="1">
      <c r="A72" t="inlineStr">
        <is>
          <t>A 5417-2019</t>
        </is>
      </c>
      <c r="B72" s="1" t="n">
        <v>43488</v>
      </c>
      <c r="C72" s="1" t="n">
        <v>45349</v>
      </c>
      <c r="D72" t="inlineStr">
        <is>
          <t>VÄSTERNORRLANDS LÄN</t>
        </is>
      </c>
      <c r="E72" t="inlineStr">
        <is>
          <t>TIMRÅ</t>
        </is>
      </c>
      <c r="G72" t="n">
        <v>4.3</v>
      </c>
      <c r="H72" t="n">
        <v>0</v>
      </c>
      <c r="I72" t="n">
        <v>0</v>
      </c>
      <c r="J72" t="n">
        <v>0</v>
      </c>
      <c r="K72" t="n">
        <v>0</v>
      </c>
      <c r="L72" t="n">
        <v>0</v>
      </c>
      <c r="M72" t="n">
        <v>0</v>
      </c>
      <c r="N72" t="n">
        <v>0</v>
      </c>
      <c r="O72" t="n">
        <v>0</v>
      </c>
      <c r="P72" t="n">
        <v>0</v>
      </c>
      <c r="Q72" t="n">
        <v>0</v>
      </c>
      <c r="R72" s="2" t="inlineStr"/>
    </row>
    <row r="73" ht="15" customHeight="1">
      <c r="A73" t="inlineStr">
        <is>
          <t>A 14388-2019</t>
        </is>
      </c>
      <c r="B73" s="1" t="n">
        <v>43536</v>
      </c>
      <c r="C73" s="1" t="n">
        <v>45349</v>
      </c>
      <c r="D73" t="inlineStr">
        <is>
          <t>VÄSTERNORRLANDS LÄN</t>
        </is>
      </c>
      <c r="E73" t="inlineStr">
        <is>
          <t>TIMRÅ</t>
        </is>
      </c>
      <c r="G73" t="n">
        <v>7.9</v>
      </c>
      <c r="H73" t="n">
        <v>0</v>
      </c>
      <c r="I73" t="n">
        <v>0</v>
      </c>
      <c r="J73" t="n">
        <v>0</v>
      </c>
      <c r="K73" t="n">
        <v>0</v>
      </c>
      <c r="L73" t="n">
        <v>0</v>
      </c>
      <c r="M73" t="n">
        <v>0</v>
      </c>
      <c r="N73" t="n">
        <v>0</v>
      </c>
      <c r="O73" t="n">
        <v>0</v>
      </c>
      <c r="P73" t="n">
        <v>0</v>
      </c>
      <c r="Q73" t="n">
        <v>0</v>
      </c>
      <c r="R73" s="2" t="inlineStr"/>
    </row>
    <row r="74" ht="15" customHeight="1">
      <c r="A74" t="inlineStr">
        <is>
          <t>A 14389-2019</t>
        </is>
      </c>
      <c r="B74" s="1" t="n">
        <v>43536</v>
      </c>
      <c r="C74" s="1" t="n">
        <v>45349</v>
      </c>
      <c r="D74" t="inlineStr">
        <is>
          <t>VÄSTERNORRLANDS LÄN</t>
        </is>
      </c>
      <c r="E74" t="inlineStr">
        <is>
          <t>TIMRÅ</t>
        </is>
      </c>
      <c r="G74" t="n">
        <v>7.9</v>
      </c>
      <c r="H74" t="n">
        <v>0</v>
      </c>
      <c r="I74" t="n">
        <v>0</v>
      </c>
      <c r="J74" t="n">
        <v>0</v>
      </c>
      <c r="K74" t="n">
        <v>0</v>
      </c>
      <c r="L74" t="n">
        <v>0</v>
      </c>
      <c r="M74" t="n">
        <v>0</v>
      </c>
      <c r="N74" t="n">
        <v>0</v>
      </c>
      <c r="O74" t="n">
        <v>0</v>
      </c>
      <c r="P74" t="n">
        <v>0</v>
      </c>
      <c r="Q74" t="n">
        <v>0</v>
      </c>
      <c r="R74" s="2" t="inlineStr"/>
    </row>
    <row r="75" ht="15" customHeight="1">
      <c r="A75" t="inlineStr">
        <is>
          <t>A 16848-2019</t>
        </is>
      </c>
      <c r="B75" s="1" t="n">
        <v>43549</v>
      </c>
      <c r="C75" s="1" t="n">
        <v>45349</v>
      </c>
      <c r="D75" t="inlineStr">
        <is>
          <t>VÄSTERNORRLANDS LÄN</t>
        </is>
      </c>
      <c r="E75" t="inlineStr">
        <is>
          <t>TIMRÅ</t>
        </is>
      </c>
      <c r="G75" t="n">
        <v>6.3</v>
      </c>
      <c r="H75" t="n">
        <v>0</v>
      </c>
      <c r="I75" t="n">
        <v>0</v>
      </c>
      <c r="J75" t="n">
        <v>0</v>
      </c>
      <c r="K75" t="n">
        <v>0</v>
      </c>
      <c r="L75" t="n">
        <v>0</v>
      </c>
      <c r="M75" t="n">
        <v>0</v>
      </c>
      <c r="N75" t="n">
        <v>0</v>
      </c>
      <c r="O75" t="n">
        <v>0</v>
      </c>
      <c r="P75" t="n">
        <v>0</v>
      </c>
      <c r="Q75" t="n">
        <v>0</v>
      </c>
      <c r="R75" s="2" t="inlineStr"/>
    </row>
    <row r="76" ht="15" customHeight="1">
      <c r="A76" t="inlineStr">
        <is>
          <t>A 16857-2019</t>
        </is>
      </c>
      <c r="B76" s="1" t="n">
        <v>43549</v>
      </c>
      <c r="C76" s="1" t="n">
        <v>45349</v>
      </c>
      <c r="D76" t="inlineStr">
        <is>
          <t>VÄSTERNORRLANDS LÄN</t>
        </is>
      </c>
      <c r="E76" t="inlineStr">
        <is>
          <t>TIMRÅ</t>
        </is>
      </c>
      <c r="G76" t="n">
        <v>2.7</v>
      </c>
      <c r="H76" t="n">
        <v>0</v>
      </c>
      <c r="I76" t="n">
        <v>0</v>
      </c>
      <c r="J76" t="n">
        <v>0</v>
      </c>
      <c r="K76" t="n">
        <v>0</v>
      </c>
      <c r="L76" t="n">
        <v>0</v>
      </c>
      <c r="M76" t="n">
        <v>0</v>
      </c>
      <c r="N76" t="n">
        <v>0</v>
      </c>
      <c r="O76" t="n">
        <v>0</v>
      </c>
      <c r="P76" t="n">
        <v>0</v>
      </c>
      <c r="Q76" t="n">
        <v>0</v>
      </c>
      <c r="R76" s="2" t="inlineStr"/>
    </row>
    <row r="77" ht="15" customHeight="1">
      <c r="A77" t="inlineStr">
        <is>
          <t>A 16855-2019</t>
        </is>
      </c>
      <c r="B77" s="1" t="n">
        <v>43549</v>
      </c>
      <c r="C77" s="1" t="n">
        <v>45349</v>
      </c>
      <c r="D77" t="inlineStr">
        <is>
          <t>VÄSTERNORRLANDS LÄN</t>
        </is>
      </c>
      <c r="E77" t="inlineStr">
        <is>
          <t>TIMRÅ</t>
        </is>
      </c>
      <c r="G77" t="n">
        <v>3.7</v>
      </c>
      <c r="H77" t="n">
        <v>0</v>
      </c>
      <c r="I77" t="n">
        <v>0</v>
      </c>
      <c r="J77" t="n">
        <v>0</v>
      </c>
      <c r="K77" t="n">
        <v>0</v>
      </c>
      <c r="L77" t="n">
        <v>0</v>
      </c>
      <c r="M77" t="n">
        <v>0</v>
      </c>
      <c r="N77" t="n">
        <v>0</v>
      </c>
      <c r="O77" t="n">
        <v>0</v>
      </c>
      <c r="P77" t="n">
        <v>0</v>
      </c>
      <c r="Q77" t="n">
        <v>0</v>
      </c>
      <c r="R77" s="2" t="inlineStr"/>
    </row>
    <row r="78" ht="15" customHeight="1">
      <c r="A78" t="inlineStr">
        <is>
          <t>A 16847-2019</t>
        </is>
      </c>
      <c r="B78" s="1" t="n">
        <v>43549</v>
      </c>
      <c r="C78" s="1" t="n">
        <v>45349</v>
      </c>
      <c r="D78" t="inlineStr">
        <is>
          <t>VÄSTERNORRLANDS LÄN</t>
        </is>
      </c>
      <c r="E78" t="inlineStr">
        <is>
          <t>TIMRÅ</t>
        </is>
      </c>
      <c r="G78" t="n">
        <v>3.6</v>
      </c>
      <c r="H78" t="n">
        <v>0</v>
      </c>
      <c r="I78" t="n">
        <v>0</v>
      </c>
      <c r="J78" t="n">
        <v>0</v>
      </c>
      <c r="K78" t="n">
        <v>0</v>
      </c>
      <c r="L78" t="n">
        <v>0</v>
      </c>
      <c r="M78" t="n">
        <v>0</v>
      </c>
      <c r="N78" t="n">
        <v>0</v>
      </c>
      <c r="O78" t="n">
        <v>0</v>
      </c>
      <c r="P78" t="n">
        <v>0</v>
      </c>
      <c r="Q78" t="n">
        <v>0</v>
      </c>
      <c r="R78" s="2" t="inlineStr"/>
    </row>
    <row r="79" ht="15" customHeight="1">
      <c r="A79" t="inlineStr">
        <is>
          <t>A 17405-2019</t>
        </is>
      </c>
      <c r="B79" s="1" t="n">
        <v>43552</v>
      </c>
      <c r="C79" s="1" t="n">
        <v>45349</v>
      </c>
      <c r="D79" t="inlineStr">
        <is>
          <t>VÄSTERNORRLANDS LÄN</t>
        </is>
      </c>
      <c r="E79" t="inlineStr">
        <is>
          <t>TIMRÅ</t>
        </is>
      </c>
      <c r="F79" t="inlineStr">
        <is>
          <t>SCA</t>
        </is>
      </c>
      <c r="G79" t="n">
        <v>41.9</v>
      </c>
      <c r="H79" t="n">
        <v>0</v>
      </c>
      <c r="I79" t="n">
        <v>0</v>
      </c>
      <c r="J79" t="n">
        <v>0</v>
      </c>
      <c r="K79" t="n">
        <v>0</v>
      </c>
      <c r="L79" t="n">
        <v>0</v>
      </c>
      <c r="M79" t="n">
        <v>0</v>
      </c>
      <c r="N79" t="n">
        <v>0</v>
      </c>
      <c r="O79" t="n">
        <v>0</v>
      </c>
      <c r="P79" t="n">
        <v>0</v>
      </c>
      <c r="Q79" t="n">
        <v>0</v>
      </c>
      <c r="R79" s="2" t="inlineStr"/>
    </row>
    <row r="80" ht="15" customHeight="1">
      <c r="A80" t="inlineStr">
        <is>
          <t>A 17592-2019</t>
        </is>
      </c>
      <c r="B80" s="1" t="n">
        <v>43553</v>
      </c>
      <c r="C80" s="1" t="n">
        <v>45349</v>
      </c>
      <c r="D80" t="inlineStr">
        <is>
          <t>VÄSTERNORRLANDS LÄN</t>
        </is>
      </c>
      <c r="E80" t="inlineStr">
        <is>
          <t>TIMRÅ</t>
        </is>
      </c>
      <c r="G80" t="n">
        <v>7.2</v>
      </c>
      <c r="H80" t="n">
        <v>0</v>
      </c>
      <c r="I80" t="n">
        <v>0</v>
      </c>
      <c r="J80" t="n">
        <v>0</v>
      </c>
      <c r="K80" t="n">
        <v>0</v>
      </c>
      <c r="L80" t="n">
        <v>0</v>
      </c>
      <c r="M80" t="n">
        <v>0</v>
      </c>
      <c r="N80" t="n">
        <v>0</v>
      </c>
      <c r="O80" t="n">
        <v>0</v>
      </c>
      <c r="P80" t="n">
        <v>0</v>
      </c>
      <c r="Q80" t="n">
        <v>0</v>
      </c>
      <c r="R80" s="2" t="inlineStr"/>
    </row>
    <row r="81" ht="15" customHeight="1">
      <c r="A81" t="inlineStr">
        <is>
          <t>A 17858-2019</t>
        </is>
      </c>
      <c r="B81" s="1" t="n">
        <v>43556</v>
      </c>
      <c r="C81" s="1" t="n">
        <v>45349</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45349</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45349</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45349</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45349</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45349</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45349</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45349</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45349</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45349</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45349</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45349</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45349</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45349</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45349</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45349</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45349</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45349</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45349</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45349</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45349</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45349</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45349</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45349</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45349</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45349</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45349</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45349</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45349</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45349</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45349</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45349</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45349</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45349</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45349</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45349</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45349</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45349</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45349</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45349</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45349</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45349</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45349</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45349</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45349</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45349</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45349</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45349</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45349</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45349</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45349</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45349</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45349</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45349</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45349</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45349</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45349</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45349</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45349</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45349</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45349</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45349</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45349</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45349</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45349</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45349</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45349</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45349</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45349</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45349</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45349</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45349</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45349</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45349</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45349</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45349</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45349</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45349</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45349</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45349</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45349</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45349</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45349</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45349</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45349</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45349</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45349</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45349</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45349</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45349</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45349</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45349</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45349</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45349</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45349</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45349</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45349</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45349</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45349</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45349</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45349</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45349</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45349</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45349</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45349</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45349</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45349</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45349</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45349</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45349</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45349</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45349</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20679-2021</t>
        </is>
      </c>
      <c r="B193" s="1" t="n">
        <v>44316</v>
      </c>
      <c r="C193" s="1" t="n">
        <v>45349</v>
      </c>
      <c r="D193" t="inlineStr">
        <is>
          <t>VÄSTERNORRLANDS LÄN</t>
        </is>
      </c>
      <c r="E193" t="inlineStr">
        <is>
          <t>TIMRÅ</t>
        </is>
      </c>
      <c r="G193" t="n">
        <v>12.6</v>
      </c>
      <c r="H193" t="n">
        <v>0</v>
      </c>
      <c r="I193" t="n">
        <v>0</v>
      </c>
      <c r="J193" t="n">
        <v>0</v>
      </c>
      <c r="K193" t="n">
        <v>0</v>
      </c>
      <c r="L193" t="n">
        <v>0</v>
      </c>
      <c r="M193" t="n">
        <v>0</v>
      </c>
      <c r="N193" t="n">
        <v>0</v>
      </c>
      <c r="O193" t="n">
        <v>0</v>
      </c>
      <c r="P193" t="n">
        <v>0</v>
      </c>
      <c r="Q193" t="n">
        <v>0</v>
      </c>
      <c r="R193" s="2" t="inlineStr"/>
    </row>
    <row r="194" ht="15" customHeight="1">
      <c r="A194" t="inlineStr">
        <is>
          <t>A 20732-2021</t>
        </is>
      </c>
      <c r="B194" s="1" t="n">
        <v>44316</v>
      </c>
      <c r="C194" s="1" t="n">
        <v>45349</v>
      </c>
      <c r="D194" t="inlineStr">
        <is>
          <t>VÄSTERNORRLANDS LÄN</t>
        </is>
      </c>
      <c r="E194" t="inlineStr">
        <is>
          <t>TIMRÅ</t>
        </is>
      </c>
      <c r="G194" t="n">
        <v>3.8</v>
      </c>
      <c r="H194" t="n">
        <v>0</v>
      </c>
      <c r="I194" t="n">
        <v>0</v>
      </c>
      <c r="J194" t="n">
        <v>0</v>
      </c>
      <c r="K194" t="n">
        <v>0</v>
      </c>
      <c r="L194" t="n">
        <v>0</v>
      </c>
      <c r="M194" t="n">
        <v>0</v>
      </c>
      <c r="N194" t="n">
        <v>0</v>
      </c>
      <c r="O194" t="n">
        <v>0</v>
      </c>
      <c r="P194" t="n">
        <v>0</v>
      </c>
      <c r="Q194" t="n">
        <v>0</v>
      </c>
      <c r="R194" s="2" t="inlineStr"/>
    </row>
    <row r="195" ht="15" customHeight="1">
      <c r="A195" t="inlineStr">
        <is>
          <t>A 23611-2021</t>
        </is>
      </c>
      <c r="B195" s="1" t="n">
        <v>44334</v>
      </c>
      <c r="C195" s="1" t="n">
        <v>45349</v>
      </c>
      <c r="D195" t="inlineStr">
        <is>
          <t>VÄSTERNORRLANDS LÄN</t>
        </is>
      </c>
      <c r="E195" t="inlineStr">
        <is>
          <t>TIMRÅ</t>
        </is>
      </c>
      <c r="G195" t="n">
        <v>13.7</v>
      </c>
      <c r="H195" t="n">
        <v>0</v>
      </c>
      <c r="I195" t="n">
        <v>0</v>
      </c>
      <c r="J195" t="n">
        <v>0</v>
      </c>
      <c r="K195" t="n">
        <v>0</v>
      </c>
      <c r="L195" t="n">
        <v>0</v>
      </c>
      <c r="M195" t="n">
        <v>0</v>
      </c>
      <c r="N195" t="n">
        <v>0</v>
      </c>
      <c r="O195" t="n">
        <v>0</v>
      </c>
      <c r="P195" t="n">
        <v>0</v>
      </c>
      <c r="Q195" t="n">
        <v>0</v>
      </c>
      <c r="R195" s="2" t="inlineStr"/>
    </row>
    <row r="196" ht="15" customHeight="1">
      <c r="A196" t="inlineStr">
        <is>
          <t>A 24513-2021</t>
        </is>
      </c>
      <c r="B196" s="1" t="n">
        <v>44338</v>
      </c>
      <c r="C196" s="1" t="n">
        <v>45349</v>
      </c>
      <c r="D196" t="inlineStr">
        <is>
          <t>VÄSTERNORRLANDS LÄN</t>
        </is>
      </c>
      <c r="E196" t="inlineStr">
        <is>
          <t>TIMRÅ</t>
        </is>
      </c>
      <c r="G196" t="n">
        <v>2.6</v>
      </c>
      <c r="H196" t="n">
        <v>0</v>
      </c>
      <c r="I196" t="n">
        <v>0</v>
      </c>
      <c r="J196" t="n">
        <v>0</v>
      </c>
      <c r="K196" t="n">
        <v>0</v>
      </c>
      <c r="L196" t="n">
        <v>0</v>
      </c>
      <c r="M196" t="n">
        <v>0</v>
      </c>
      <c r="N196" t="n">
        <v>0</v>
      </c>
      <c r="O196" t="n">
        <v>0</v>
      </c>
      <c r="P196" t="n">
        <v>0</v>
      </c>
      <c r="Q196" t="n">
        <v>0</v>
      </c>
      <c r="R196" s="2" t="inlineStr"/>
    </row>
    <row r="197" ht="15" customHeight="1">
      <c r="A197" t="inlineStr">
        <is>
          <t>A 26588-2021</t>
        </is>
      </c>
      <c r="B197" s="1" t="n">
        <v>44348</v>
      </c>
      <c r="C197" s="1" t="n">
        <v>45349</v>
      </c>
      <c r="D197" t="inlineStr">
        <is>
          <t>VÄSTERNORRLANDS LÄN</t>
        </is>
      </c>
      <c r="E197" t="inlineStr">
        <is>
          <t>TIMRÅ</t>
        </is>
      </c>
      <c r="F197" t="inlineStr">
        <is>
          <t>Kyrkan</t>
        </is>
      </c>
      <c r="G197" t="n">
        <v>1.1</v>
      </c>
      <c r="H197" t="n">
        <v>0</v>
      </c>
      <c r="I197" t="n">
        <v>0</v>
      </c>
      <c r="J197" t="n">
        <v>0</v>
      </c>
      <c r="K197" t="n">
        <v>0</v>
      </c>
      <c r="L197" t="n">
        <v>0</v>
      </c>
      <c r="M197" t="n">
        <v>0</v>
      </c>
      <c r="N197" t="n">
        <v>0</v>
      </c>
      <c r="O197" t="n">
        <v>0</v>
      </c>
      <c r="P197" t="n">
        <v>0</v>
      </c>
      <c r="Q197" t="n">
        <v>0</v>
      </c>
      <c r="R197" s="2" t="inlineStr"/>
    </row>
    <row r="198" ht="15" customHeight="1">
      <c r="A198" t="inlineStr">
        <is>
          <t>A 26921-2021</t>
        </is>
      </c>
      <c r="B198" s="1" t="n">
        <v>44349</v>
      </c>
      <c r="C198" s="1" t="n">
        <v>45349</v>
      </c>
      <c r="D198" t="inlineStr">
        <is>
          <t>VÄSTERNORRLANDS LÄN</t>
        </is>
      </c>
      <c r="E198" t="inlineStr">
        <is>
          <t>TIMRÅ</t>
        </is>
      </c>
      <c r="G198" t="n">
        <v>6.6</v>
      </c>
      <c r="H198" t="n">
        <v>0</v>
      </c>
      <c r="I198" t="n">
        <v>0</v>
      </c>
      <c r="J198" t="n">
        <v>0</v>
      </c>
      <c r="K198" t="n">
        <v>0</v>
      </c>
      <c r="L198" t="n">
        <v>0</v>
      </c>
      <c r="M198" t="n">
        <v>0</v>
      </c>
      <c r="N198" t="n">
        <v>0</v>
      </c>
      <c r="O198" t="n">
        <v>0</v>
      </c>
      <c r="P198" t="n">
        <v>0</v>
      </c>
      <c r="Q198" t="n">
        <v>0</v>
      </c>
      <c r="R198" s="2" t="inlineStr"/>
    </row>
    <row r="199" ht="15" customHeight="1">
      <c r="A199" t="inlineStr">
        <is>
          <t>A 26936-2021</t>
        </is>
      </c>
      <c r="B199" s="1" t="n">
        <v>44349</v>
      </c>
      <c r="C199" s="1" t="n">
        <v>45349</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27243-2021</t>
        </is>
      </c>
      <c r="B200" s="1" t="n">
        <v>44350</v>
      </c>
      <c r="C200" s="1" t="n">
        <v>45349</v>
      </c>
      <c r="D200" t="inlineStr">
        <is>
          <t>VÄSTERNORRLANDS LÄN</t>
        </is>
      </c>
      <c r="E200" t="inlineStr">
        <is>
          <t>TIMRÅ</t>
        </is>
      </c>
      <c r="G200" t="n">
        <v>1.4</v>
      </c>
      <c r="H200" t="n">
        <v>0</v>
      </c>
      <c r="I200" t="n">
        <v>0</v>
      </c>
      <c r="J200" t="n">
        <v>0</v>
      </c>
      <c r="K200" t="n">
        <v>0</v>
      </c>
      <c r="L200" t="n">
        <v>0</v>
      </c>
      <c r="M200" t="n">
        <v>0</v>
      </c>
      <c r="N200" t="n">
        <v>0</v>
      </c>
      <c r="O200" t="n">
        <v>0</v>
      </c>
      <c r="P200" t="n">
        <v>0</v>
      </c>
      <c r="Q200" t="n">
        <v>0</v>
      </c>
      <c r="R200" s="2" t="inlineStr"/>
    </row>
    <row r="201" ht="15" customHeight="1">
      <c r="A201" t="inlineStr">
        <is>
          <t>A 28695-2021</t>
        </is>
      </c>
      <c r="B201" s="1" t="n">
        <v>44357</v>
      </c>
      <c r="C201" s="1" t="n">
        <v>45349</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28706-2021</t>
        </is>
      </c>
      <c r="B202" s="1" t="n">
        <v>44357</v>
      </c>
      <c r="C202" s="1" t="n">
        <v>45349</v>
      </c>
      <c r="D202" t="inlineStr">
        <is>
          <t>VÄSTERNORRLANDS LÄN</t>
        </is>
      </c>
      <c r="E202" t="inlineStr">
        <is>
          <t>TIMRÅ</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28650-2021</t>
        </is>
      </c>
      <c r="B203" s="1" t="n">
        <v>44357</v>
      </c>
      <c r="C203" s="1" t="n">
        <v>45349</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28702-2021</t>
        </is>
      </c>
      <c r="B204" s="1" t="n">
        <v>44357</v>
      </c>
      <c r="C204" s="1" t="n">
        <v>45349</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30098-2021</t>
        </is>
      </c>
      <c r="B205" s="1" t="n">
        <v>44363</v>
      </c>
      <c r="C205" s="1" t="n">
        <v>45349</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30091-2021</t>
        </is>
      </c>
      <c r="B206" s="1" t="n">
        <v>44363</v>
      </c>
      <c r="C206" s="1" t="n">
        <v>45349</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30591-2021</t>
        </is>
      </c>
      <c r="B207" s="1" t="n">
        <v>44364</v>
      </c>
      <c r="C207" s="1" t="n">
        <v>45349</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32287-2021</t>
        </is>
      </c>
      <c r="B208" s="1" t="n">
        <v>44371</v>
      </c>
      <c r="C208" s="1" t="n">
        <v>45349</v>
      </c>
      <c r="D208" t="inlineStr">
        <is>
          <t>VÄSTERNORRLANDS LÄN</t>
        </is>
      </c>
      <c r="E208" t="inlineStr">
        <is>
          <t>TIMRÅ</t>
        </is>
      </c>
      <c r="F208" t="inlineStr">
        <is>
          <t>Kyrkan</t>
        </is>
      </c>
      <c r="G208" t="n">
        <v>5</v>
      </c>
      <c r="H208" t="n">
        <v>0</v>
      </c>
      <c r="I208" t="n">
        <v>0</v>
      </c>
      <c r="J208" t="n">
        <v>0</v>
      </c>
      <c r="K208" t="n">
        <v>0</v>
      </c>
      <c r="L208" t="n">
        <v>0</v>
      </c>
      <c r="M208" t="n">
        <v>0</v>
      </c>
      <c r="N208" t="n">
        <v>0</v>
      </c>
      <c r="O208" t="n">
        <v>0</v>
      </c>
      <c r="P208" t="n">
        <v>0</v>
      </c>
      <c r="Q208" t="n">
        <v>0</v>
      </c>
      <c r="R208" s="2" t="inlineStr"/>
    </row>
    <row r="209" ht="15" customHeight="1">
      <c r="A209" t="inlineStr">
        <is>
          <t>A 32210-2021</t>
        </is>
      </c>
      <c r="B209" s="1" t="n">
        <v>44371</v>
      </c>
      <c r="C209" s="1" t="n">
        <v>45349</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32484-2021</t>
        </is>
      </c>
      <c r="B210" s="1" t="n">
        <v>44371</v>
      </c>
      <c r="C210" s="1" t="n">
        <v>45349</v>
      </c>
      <c r="D210" t="inlineStr">
        <is>
          <t>VÄSTERNORRLANDS LÄN</t>
        </is>
      </c>
      <c r="E210" t="inlineStr">
        <is>
          <t>TIMRÅ</t>
        </is>
      </c>
      <c r="F210" t="inlineStr">
        <is>
          <t>SCA</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32487-2021</t>
        </is>
      </c>
      <c r="B211" s="1" t="n">
        <v>44371</v>
      </c>
      <c r="C211" s="1" t="n">
        <v>45349</v>
      </c>
      <c r="D211" t="inlineStr">
        <is>
          <t>VÄSTERNORRLANDS LÄN</t>
        </is>
      </c>
      <c r="E211" t="inlineStr">
        <is>
          <t>TIMRÅ</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32483-2021</t>
        </is>
      </c>
      <c r="B212" s="1" t="n">
        <v>44371</v>
      </c>
      <c r="C212" s="1" t="n">
        <v>45349</v>
      </c>
      <c r="D212" t="inlineStr">
        <is>
          <t>VÄSTERNORRLANDS LÄN</t>
        </is>
      </c>
      <c r="E212" t="inlineStr">
        <is>
          <t>TIMRÅ</t>
        </is>
      </c>
      <c r="F212" t="inlineStr">
        <is>
          <t>Kyrkan</t>
        </is>
      </c>
      <c r="G212" t="n">
        <v>6.3</v>
      </c>
      <c r="H212" t="n">
        <v>0</v>
      </c>
      <c r="I212" t="n">
        <v>0</v>
      </c>
      <c r="J212" t="n">
        <v>0</v>
      </c>
      <c r="K212" t="n">
        <v>0</v>
      </c>
      <c r="L212" t="n">
        <v>0</v>
      </c>
      <c r="M212" t="n">
        <v>0</v>
      </c>
      <c r="N212" t="n">
        <v>0</v>
      </c>
      <c r="O212" t="n">
        <v>0</v>
      </c>
      <c r="P212" t="n">
        <v>0</v>
      </c>
      <c r="Q212" t="n">
        <v>0</v>
      </c>
      <c r="R212" s="2" t="inlineStr"/>
    </row>
    <row r="213" ht="15" customHeight="1">
      <c r="A213" t="inlineStr">
        <is>
          <t>A 34035-2021</t>
        </is>
      </c>
      <c r="B213" s="1" t="n">
        <v>44378</v>
      </c>
      <c r="C213" s="1" t="n">
        <v>45349</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34767-2021</t>
        </is>
      </c>
      <c r="B214" s="1" t="n">
        <v>44382</v>
      </c>
      <c r="C214" s="1" t="n">
        <v>45349</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35262-2021</t>
        </is>
      </c>
      <c r="B215" s="1" t="n">
        <v>44384</v>
      </c>
      <c r="C215" s="1" t="n">
        <v>45349</v>
      </c>
      <c r="D215" t="inlineStr">
        <is>
          <t>VÄSTERNORRLANDS LÄN</t>
        </is>
      </c>
      <c r="E215" t="inlineStr">
        <is>
          <t>TIMRÅ</t>
        </is>
      </c>
      <c r="G215" t="n">
        <v>2.1</v>
      </c>
      <c r="H215" t="n">
        <v>0</v>
      </c>
      <c r="I215" t="n">
        <v>0</v>
      </c>
      <c r="J215" t="n">
        <v>0</v>
      </c>
      <c r="K215" t="n">
        <v>0</v>
      </c>
      <c r="L215" t="n">
        <v>0</v>
      </c>
      <c r="M215" t="n">
        <v>0</v>
      </c>
      <c r="N215" t="n">
        <v>0</v>
      </c>
      <c r="O215" t="n">
        <v>0</v>
      </c>
      <c r="P215" t="n">
        <v>0</v>
      </c>
      <c r="Q215" t="n">
        <v>0</v>
      </c>
      <c r="R215" s="2" t="inlineStr"/>
    </row>
    <row r="216" ht="15" customHeight="1">
      <c r="A216" t="inlineStr">
        <is>
          <t>A 35413-2021</t>
        </is>
      </c>
      <c r="B216" s="1" t="n">
        <v>44385</v>
      </c>
      <c r="C216" s="1" t="n">
        <v>45349</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35417-2021</t>
        </is>
      </c>
      <c r="B217" s="1" t="n">
        <v>44385</v>
      </c>
      <c r="C217" s="1" t="n">
        <v>45349</v>
      </c>
      <c r="D217" t="inlineStr">
        <is>
          <t>VÄSTERNORRLANDS LÄN</t>
        </is>
      </c>
      <c r="E217" t="inlineStr">
        <is>
          <t>TIMRÅ</t>
        </is>
      </c>
      <c r="G217" t="n">
        <v>4.9</v>
      </c>
      <c r="H217" t="n">
        <v>0</v>
      </c>
      <c r="I217" t="n">
        <v>0</v>
      </c>
      <c r="J217" t="n">
        <v>0</v>
      </c>
      <c r="K217" t="n">
        <v>0</v>
      </c>
      <c r="L217" t="n">
        <v>0</v>
      </c>
      <c r="M217" t="n">
        <v>0</v>
      </c>
      <c r="N217" t="n">
        <v>0</v>
      </c>
      <c r="O217" t="n">
        <v>0</v>
      </c>
      <c r="P217" t="n">
        <v>0</v>
      </c>
      <c r="Q217" t="n">
        <v>0</v>
      </c>
      <c r="R217" s="2" t="inlineStr"/>
    </row>
    <row r="218" ht="15" customHeight="1">
      <c r="A218" t="inlineStr">
        <is>
          <t>A 36987-2021</t>
        </is>
      </c>
      <c r="B218" s="1" t="n">
        <v>44393</v>
      </c>
      <c r="C218" s="1" t="n">
        <v>45349</v>
      </c>
      <c r="D218" t="inlineStr">
        <is>
          <t>VÄSTERNORRLANDS LÄN</t>
        </is>
      </c>
      <c r="E218" t="inlineStr">
        <is>
          <t>TIMRÅ</t>
        </is>
      </c>
      <c r="G218" t="n">
        <v>1.6</v>
      </c>
      <c r="H218" t="n">
        <v>0</v>
      </c>
      <c r="I218" t="n">
        <v>0</v>
      </c>
      <c r="J218" t="n">
        <v>0</v>
      </c>
      <c r="K218" t="n">
        <v>0</v>
      </c>
      <c r="L218" t="n">
        <v>0</v>
      </c>
      <c r="M218" t="n">
        <v>0</v>
      </c>
      <c r="N218" t="n">
        <v>0</v>
      </c>
      <c r="O218" t="n">
        <v>0</v>
      </c>
      <c r="P218" t="n">
        <v>0</v>
      </c>
      <c r="Q218" t="n">
        <v>0</v>
      </c>
      <c r="R218" s="2" t="inlineStr"/>
    </row>
    <row r="219" ht="15" customHeight="1">
      <c r="A219" t="inlineStr">
        <is>
          <t>A 37165-2021</t>
        </is>
      </c>
      <c r="B219" s="1" t="n">
        <v>44396</v>
      </c>
      <c r="C219" s="1" t="n">
        <v>45349</v>
      </c>
      <c r="D219" t="inlineStr">
        <is>
          <t>VÄSTERNORRLANDS LÄN</t>
        </is>
      </c>
      <c r="E219" t="inlineStr">
        <is>
          <t>TIMRÅ</t>
        </is>
      </c>
      <c r="G219" t="n">
        <v>6.8</v>
      </c>
      <c r="H219" t="n">
        <v>0</v>
      </c>
      <c r="I219" t="n">
        <v>0</v>
      </c>
      <c r="J219" t="n">
        <v>0</v>
      </c>
      <c r="K219" t="n">
        <v>0</v>
      </c>
      <c r="L219" t="n">
        <v>0</v>
      </c>
      <c r="M219" t="n">
        <v>0</v>
      </c>
      <c r="N219" t="n">
        <v>0</v>
      </c>
      <c r="O219" t="n">
        <v>0</v>
      </c>
      <c r="P219" t="n">
        <v>0</v>
      </c>
      <c r="Q219" t="n">
        <v>0</v>
      </c>
      <c r="R219" s="2" t="inlineStr"/>
    </row>
    <row r="220" ht="15" customHeight="1">
      <c r="A220" t="inlineStr">
        <is>
          <t>A 39534-2021</t>
        </is>
      </c>
      <c r="B220" s="1" t="n">
        <v>44416</v>
      </c>
      <c r="C220" s="1" t="n">
        <v>45349</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39821-2021</t>
        </is>
      </c>
      <c r="B221" s="1" t="n">
        <v>44417</v>
      </c>
      <c r="C221" s="1" t="n">
        <v>45349</v>
      </c>
      <c r="D221" t="inlineStr">
        <is>
          <t>VÄSTERNORRLANDS LÄN</t>
        </is>
      </c>
      <c r="E221" t="inlineStr">
        <is>
          <t>TIMRÅ</t>
        </is>
      </c>
      <c r="G221" t="n">
        <v>0.4</v>
      </c>
      <c r="H221" t="n">
        <v>0</v>
      </c>
      <c r="I221" t="n">
        <v>0</v>
      </c>
      <c r="J221" t="n">
        <v>0</v>
      </c>
      <c r="K221" t="n">
        <v>0</v>
      </c>
      <c r="L221" t="n">
        <v>0</v>
      </c>
      <c r="M221" t="n">
        <v>0</v>
      </c>
      <c r="N221" t="n">
        <v>0</v>
      </c>
      <c r="O221" t="n">
        <v>0</v>
      </c>
      <c r="P221" t="n">
        <v>0</v>
      </c>
      <c r="Q221" t="n">
        <v>0</v>
      </c>
      <c r="R221" s="2" t="inlineStr"/>
    </row>
    <row r="222" ht="15" customHeight="1">
      <c r="A222" t="inlineStr">
        <is>
          <t>A 40519-2021</t>
        </is>
      </c>
      <c r="B222" s="1" t="n">
        <v>44420</v>
      </c>
      <c r="C222" s="1" t="n">
        <v>45349</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43848-2021</t>
        </is>
      </c>
      <c r="B223" s="1" t="n">
        <v>44434</v>
      </c>
      <c r="C223" s="1" t="n">
        <v>45349</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45441-2021</t>
        </is>
      </c>
      <c r="B224" s="1" t="n">
        <v>44440</v>
      </c>
      <c r="C224" s="1" t="n">
        <v>45349</v>
      </c>
      <c r="D224" t="inlineStr">
        <is>
          <t>VÄSTERNORRLANDS LÄN</t>
        </is>
      </c>
      <c r="E224" t="inlineStr">
        <is>
          <t>TIMRÅ</t>
        </is>
      </c>
      <c r="G224" t="n">
        <v>2</v>
      </c>
      <c r="H224" t="n">
        <v>0</v>
      </c>
      <c r="I224" t="n">
        <v>0</v>
      </c>
      <c r="J224" t="n">
        <v>0</v>
      </c>
      <c r="K224" t="n">
        <v>0</v>
      </c>
      <c r="L224" t="n">
        <v>0</v>
      </c>
      <c r="M224" t="n">
        <v>0</v>
      </c>
      <c r="N224" t="n">
        <v>0</v>
      </c>
      <c r="O224" t="n">
        <v>0</v>
      </c>
      <c r="P224" t="n">
        <v>0</v>
      </c>
      <c r="Q224" t="n">
        <v>0</v>
      </c>
      <c r="R224" s="2" t="inlineStr"/>
    </row>
    <row r="225" ht="15" customHeight="1">
      <c r="A225" t="inlineStr">
        <is>
          <t>A 47203-2021</t>
        </is>
      </c>
      <c r="B225" s="1" t="n">
        <v>44447</v>
      </c>
      <c r="C225" s="1" t="n">
        <v>45349</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47569-2021</t>
        </is>
      </c>
      <c r="B226" s="1" t="n">
        <v>44447</v>
      </c>
      <c r="C226" s="1" t="n">
        <v>45349</v>
      </c>
      <c r="D226" t="inlineStr">
        <is>
          <t>VÄSTERNORRLANDS LÄN</t>
        </is>
      </c>
      <c r="E226" t="inlineStr">
        <is>
          <t>TIMRÅ</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47570-2021</t>
        </is>
      </c>
      <c r="B227" s="1" t="n">
        <v>44448</v>
      </c>
      <c r="C227" s="1" t="n">
        <v>45349</v>
      </c>
      <c r="D227" t="inlineStr">
        <is>
          <t>VÄSTERNORRLANDS LÄN</t>
        </is>
      </c>
      <c r="E227" t="inlineStr">
        <is>
          <t>TIMRÅ</t>
        </is>
      </c>
      <c r="F227" t="inlineStr">
        <is>
          <t>SCA</t>
        </is>
      </c>
      <c r="G227" t="n">
        <v>1.9</v>
      </c>
      <c r="H227" t="n">
        <v>0</v>
      </c>
      <c r="I227" t="n">
        <v>0</v>
      </c>
      <c r="J227" t="n">
        <v>0</v>
      </c>
      <c r="K227" t="n">
        <v>0</v>
      </c>
      <c r="L227" t="n">
        <v>0</v>
      </c>
      <c r="M227" t="n">
        <v>0</v>
      </c>
      <c r="N227" t="n">
        <v>0</v>
      </c>
      <c r="O227" t="n">
        <v>0</v>
      </c>
      <c r="P227" t="n">
        <v>0</v>
      </c>
      <c r="Q227" t="n">
        <v>0</v>
      </c>
      <c r="R227" s="2" t="inlineStr"/>
    </row>
    <row r="228" ht="15" customHeight="1">
      <c r="A228" t="inlineStr">
        <is>
          <t>A 49056-2021</t>
        </is>
      </c>
      <c r="B228" s="1" t="n">
        <v>44453</v>
      </c>
      <c r="C228" s="1" t="n">
        <v>45349</v>
      </c>
      <c r="D228" t="inlineStr">
        <is>
          <t>VÄSTERNORRLANDS LÄN</t>
        </is>
      </c>
      <c r="E228" t="inlineStr">
        <is>
          <t>TIMRÅ</t>
        </is>
      </c>
      <c r="G228" t="n">
        <v>3.4</v>
      </c>
      <c r="H228" t="n">
        <v>0</v>
      </c>
      <c r="I228" t="n">
        <v>0</v>
      </c>
      <c r="J228" t="n">
        <v>0</v>
      </c>
      <c r="K228" t="n">
        <v>0</v>
      </c>
      <c r="L228" t="n">
        <v>0</v>
      </c>
      <c r="M228" t="n">
        <v>0</v>
      </c>
      <c r="N228" t="n">
        <v>0</v>
      </c>
      <c r="O228" t="n">
        <v>0</v>
      </c>
      <c r="P228" t="n">
        <v>0</v>
      </c>
      <c r="Q228" t="n">
        <v>0</v>
      </c>
      <c r="R228" s="2" t="inlineStr"/>
    </row>
    <row r="229" ht="15" customHeight="1">
      <c r="A229" t="inlineStr">
        <is>
          <t>A 49486-2021</t>
        </is>
      </c>
      <c r="B229" s="1" t="n">
        <v>44455</v>
      </c>
      <c r="C229" s="1" t="n">
        <v>45349</v>
      </c>
      <c r="D229" t="inlineStr">
        <is>
          <t>VÄSTERNORRLANDS LÄN</t>
        </is>
      </c>
      <c r="E229" t="inlineStr">
        <is>
          <t>TIMRÅ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53305-2021</t>
        </is>
      </c>
      <c r="B230" s="1" t="n">
        <v>44467</v>
      </c>
      <c r="C230" s="1" t="n">
        <v>45349</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53699-2021</t>
        </is>
      </c>
      <c r="B231" s="1" t="n">
        <v>44469</v>
      </c>
      <c r="C231" s="1" t="n">
        <v>45349</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53703-2021</t>
        </is>
      </c>
      <c r="B232" s="1" t="n">
        <v>44469</v>
      </c>
      <c r="C232" s="1" t="n">
        <v>45349</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57553-2021</t>
        </is>
      </c>
      <c r="B233" s="1" t="n">
        <v>44484</v>
      </c>
      <c r="C233" s="1" t="n">
        <v>45349</v>
      </c>
      <c r="D233" t="inlineStr">
        <is>
          <t>VÄSTERNORRLANDS LÄN</t>
        </is>
      </c>
      <c r="E233" t="inlineStr">
        <is>
          <t>TIMRÅ</t>
        </is>
      </c>
      <c r="F233" t="inlineStr">
        <is>
          <t>SCA</t>
        </is>
      </c>
      <c r="G233" t="n">
        <v>17.9</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45349</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45349</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45349</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45349</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45349</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45349</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45349</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45349</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45349</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45349</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45349</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45349</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45349</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45349</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45349</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45349</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45349</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45349</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45349</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45349</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45349</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45349</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45349</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45349</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45349</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45349</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45349</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45349</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45349</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45349</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45349</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45349</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45349</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45349</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45349</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45349</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45349</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45349</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45349</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45349</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45349</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45349</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45349</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45349</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45349</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45349</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45349</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45349</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45349</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45349</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45349</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45349</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45349</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45349</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45349</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45349</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45349</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45349</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45349</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45349</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45349</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45349</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45349</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45349</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45349</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45349</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45349</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45349</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45349</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45349</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45349</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45349</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45349</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45349</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45349</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45349</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45349</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45349</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45349</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45349</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45349</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45349</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45349</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45349</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45349</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45349</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45349</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45349</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45349</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45349</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45349</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45349</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45349</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45349</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45349</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45349</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45349</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45349</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45349</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45349</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45349</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45349</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45349</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45349</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45349</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45349</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45349</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45349</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45349</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45349</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45349</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45349</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45349</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45349</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45349</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45349</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45349</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45349</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45349</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45349</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45349</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45349</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45349</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45349</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45349</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45349</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45349</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45349</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45349</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45349</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45349</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45349</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45349</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45349</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45349</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45349</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45349</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45349</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45349</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45349</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45349</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45349</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45349</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45349</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45349</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45349</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45349</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45349</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45349</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45349</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45349</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45349</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45349</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45349</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45349</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45349</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45349</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45349</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45349</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45349</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45349</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45349</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45349</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45349</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45349</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45349</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45349</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45349</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45349</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45349</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45349</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45349</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45349</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45349</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45349</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45349</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45349</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45349</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45349</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45349</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45349</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45349</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45349</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45349</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45349</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45349</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45349</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45349</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45349</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45349</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45349</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45349</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45349</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45349</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45349</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45349</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45349</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45349</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45349</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45349</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45349</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45349</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45349</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45349</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45349</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45349</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45349</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45349</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45349</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45349</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45349</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45349</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45349</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45349</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45349</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45349</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45349</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45349</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45349</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45349</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45349</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45349</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45349</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45349</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45349</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45349</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45349</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45349</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45349</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45349</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45349</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45349</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45349</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45349</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45349</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45349</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45349</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45349</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45349</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45349</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45349</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45349</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45349</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45349</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45349</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45349</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45349</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45349</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45349</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45349</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45349</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45349</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45349</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45349</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45349</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45349</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45349</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45349</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45349</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45349</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45349</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45349</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45349</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45349</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45349</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45349</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45349</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45349</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45349</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45349</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45349</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45349</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45349</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45349</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45349</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45349</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45349</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45349</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45349</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45349</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45349</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45349</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45349</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45349</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45349</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45349</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45349</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45349</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45349</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45349</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45349</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45349</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45349</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45349</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45349</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45349</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45349</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45349</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45349</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45349</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45349</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45349</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45349</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45349</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45349</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45349</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45349</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45349</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45349</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45349</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45349</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45349</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45349</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45349</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45349</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45349</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45349</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45349</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45349</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45349</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45349</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45349</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45349</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45349</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45349</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45349</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45349</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45349</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45349</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45349</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45349</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45349</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45349</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45349</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45349</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61613-2023</t>
        </is>
      </c>
      <c r="B569" s="1" t="n">
        <v>45261</v>
      </c>
      <c r="C569" s="1" t="n">
        <v>45349</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45349</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61463-2023</t>
        </is>
      </c>
      <c r="B571" s="1" t="n">
        <v>45264</v>
      </c>
      <c r="C571" s="1" t="n">
        <v>45349</v>
      </c>
      <c r="D571" t="inlineStr">
        <is>
          <t>VÄSTERNORRLANDS LÄN</t>
        </is>
      </c>
      <c r="E571" t="inlineStr">
        <is>
          <t>TIMRÅ</t>
        </is>
      </c>
      <c r="G571" t="n">
        <v>2.1</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45349</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45349</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45349</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63812-2023</t>
        </is>
      </c>
      <c r="B575" s="1" t="n">
        <v>45278</v>
      </c>
      <c r="C575" s="1" t="n">
        <v>45349</v>
      </c>
      <c r="D575" t="inlineStr">
        <is>
          <t>VÄSTERNORRLANDS LÄN</t>
        </is>
      </c>
      <c r="E575" t="inlineStr">
        <is>
          <t>TIMRÅ</t>
        </is>
      </c>
      <c r="G575" t="n">
        <v>3</v>
      </c>
      <c r="H575" t="n">
        <v>0</v>
      </c>
      <c r="I575" t="n">
        <v>0</v>
      </c>
      <c r="J575" t="n">
        <v>0</v>
      </c>
      <c r="K575" t="n">
        <v>0</v>
      </c>
      <c r="L575" t="n">
        <v>0</v>
      </c>
      <c r="M575" t="n">
        <v>0</v>
      </c>
      <c r="N575" t="n">
        <v>0</v>
      </c>
      <c r="O575" t="n">
        <v>0</v>
      </c>
      <c r="P575" t="n">
        <v>0</v>
      </c>
      <c r="Q575" t="n">
        <v>0</v>
      </c>
      <c r="R575" s="2" t="inlineStr"/>
    </row>
    <row r="576" ht="15" customHeight="1">
      <c r="A576" t="inlineStr">
        <is>
          <t>A 64031-2023</t>
        </is>
      </c>
      <c r="B576" s="1" t="n">
        <v>45278</v>
      </c>
      <c r="C576" s="1" t="n">
        <v>45349</v>
      </c>
      <c r="D576" t="inlineStr">
        <is>
          <t>VÄSTERNORRLANDS LÄN</t>
        </is>
      </c>
      <c r="E576" t="inlineStr">
        <is>
          <t>TIMRÅ</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64732-2023</t>
        </is>
      </c>
      <c r="B577" s="1" t="n">
        <v>45281</v>
      </c>
      <c r="C577" s="1" t="n">
        <v>45349</v>
      </c>
      <c r="D577" t="inlineStr">
        <is>
          <t>VÄSTERNORRLANDS LÄN</t>
        </is>
      </c>
      <c r="E577" t="inlineStr">
        <is>
          <t>TIMRÅ</t>
        </is>
      </c>
      <c r="G577" t="n">
        <v>2.3</v>
      </c>
      <c r="H577" t="n">
        <v>0</v>
      </c>
      <c r="I577" t="n">
        <v>0</v>
      </c>
      <c r="J577" t="n">
        <v>0</v>
      </c>
      <c r="K577" t="n">
        <v>0</v>
      </c>
      <c r="L577" t="n">
        <v>0</v>
      </c>
      <c r="M577" t="n">
        <v>0</v>
      </c>
      <c r="N577" t="n">
        <v>0</v>
      </c>
      <c r="O577" t="n">
        <v>0</v>
      </c>
      <c r="P577" t="n">
        <v>0</v>
      </c>
      <c r="Q577" t="n">
        <v>0</v>
      </c>
      <c r="R577" s="2" t="inlineStr"/>
    </row>
    <row r="578" ht="15" customHeight="1">
      <c r="A578" t="inlineStr">
        <is>
          <t>A 64756-2023</t>
        </is>
      </c>
      <c r="B578" s="1" t="n">
        <v>45281</v>
      </c>
      <c r="C578" s="1" t="n">
        <v>45349</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row r="579" ht="15" customHeight="1">
      <c r="A579" t="inlineStr">
        <is>
          <t>A 64755-2023</t>
        </is>
      </c>
      <c r="B579" s="1" t="n">
        <v>45281</v>
      </c>
      <c r="C579" s="1" t="n">
        <v>45349</v>
      </c>
      <c r="D579" t="inlineStr">
        <is>
          <t>VÄSTERNORRLANDS LÄN</t>
        </is>
      </c>
      <c r="E579" t="inlineStr">
        <is>
          <t>TIMRÅ</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252-2024</t>
        </is>
      </c>
      <c r="B580" s="1" t="n">
        <v>45295</v>
      </c>
      <c r="C580" s="1" t="n">
        <v>45349</v>
      </c>
      <c r="D580" t="inlineStr">
        <is>
          <t>VÄSTERNORRLANDS LÄN</t>
        </is>
      </c>
      <c r="E580" t="inlineStr">
        <is>
          <t>TIMRÅ</t>
        </is>
      </c>
      <c r="F580" t="inlineStr">
        <is>
          <t>SCA</t>
        </is>
      </c>
      <c r="G580" t="n">
        <v>12.7</v>
      </c>
      <c r="H580" t="n">
        <v>0</v>
      </c>
      <c r="I580" t="n">
        <v>0</v>
      </c>
      <c r="J580" t="n">
        <v>0</v>
      </c>
      <c r="K580" t="n">
        <v>0</v>
      </c>
      <c r="L580" t="n">
        <v>0</v>
      </c>
      <c r="M580" t="n">
        <v>0</v>
      </c>
      <c r="N580" t="n">
        <v>0</v>
      </c>
      <c r="O580" t="n">
        <v>0</v>
      </c>
      <c r="P580" t="n">
        <v>0</v>
      </c>
      <c r="Q580" t="n">
        <v>0</v>
      </c>
      <c r="R580" s="2" t="inlineStr"/>
    </row>
    <row r="581" ht="15" customHeight="1">
      <c r="A581" t="inlineStr">
        <is>
          <t>A 290-2024</t>
        </is>
      </c>
      <c r="B581" s="1" t="n">
        <v>45295</v>
      </c>
      <c r="C581" s="1" t="n">
        <v>45349</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661-2024</t>
        </is>
      </c>
      <c r="B582" s="1" t="n">
        <v>45300</v>
      </c>
      <c r="C582" s="1" t="n">
        <v>45349</v>
      </c>
      <c r="D582" t="inlineStr">
        <is>
          <t>VÄSTERNORRLANDS LÄN</t>
        </is>
      </c>
      <c r="E582" t="inlineStr">
        <is>
          <t>TIMRÅ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1273-2024</t>
        </is>
      </c>
      <c r="B583" s="1" t="n">
        <v>45302</v>
      </c>
      <c r="C583" s="1" t="n">
        <v>45349</v>
      </c>
      <c r="D583" t="inlineStr">
        <is>
          <t>VÄSTERNORRLANDS LÄN</t>
        </is>
      </c>
      <c r="E583" t="inlineStr">
        <is>
          <t>TIMRÅ</t>
        </is>
      </c>
      <c r="G583" t="n">
        <v>2.1</v>
      </c>
      <c r="H583" t="n">
        <v>0</v>
      </c>
      <c r="I583" t="n">
        <v>0</v>
      </c>
      <c r="J583" t="n">
        <v>0</v>
      </c>
      <c r="K583" t="n">
        <v>0</v>
      </c>
      <c r="L583" t="n">
        <v>0</v>
      </c>
      <c r="M583" t="n">
        <v>0</v>
      </c>
      <c r="N583" t="n">
        <v>0</v>
      </c>
      <c r="O583" t="n">
        <v>0</v>
      </c>
      <c r="P583" t="n">
        <v>0</v>
      </c>
      <c r="Q583" t="n">
        <v>0</v>
      </c>
      <c r="R583" s="2" t="inlineStr"/>
    </row>
    <row r="584" ht="15" customHeight="1">
      <c r="A584" t="inlineStr">
        <is>
          <t>A 1152-2024</t>
        </is>
      </c>
      <c r="B584" s="1" t="n">
        <v>45302</v>
      </c>
      <c r="C584" s="1" t="n">
        <v>45349</v>
      </c>
      <c r="D584" t="inlineStr">
        <is>
          <t>VÄSTERNORRLANDS LÄN</t>
        </is>
      </c>
      <c r="E584" t="inlineStr">
        <is>
          <t>TIMRÅ</t>
        </is>
      </c>
      <c r="G584" t="n">
        <v>5.8</v>
      </c>
      <c r="H584" t="n">
        <v>0</v>
      </c>
      <c r="I584" t="n">
        <v>0</v>
      </c>
      <c r="J584" t="n">
        <v>0</v>
      </c>
      <c r="K584" t="n">
        <v>0</v>
      </c>
      <c r="L584" t="n">
        <v>0</v>
      </c>
      <c r="M584" t="n">
        <v>0</v>
      </c>
      <c r="N584" t="n">
        <v>0</v>
      </c>
      <c r="O584" t="n">
        <v>0</v>
      </c>
      <c r="P584" t="n">
        <v>0</v>
      </c>
      <c r="Q584" t="n">
        <v>0</v>
      </c>
      <c r="R584" s="2" t="inlineStr"/>
    </row>
    <row r="585" ht="15" customHeight="1">
      <c r="A585" t="inlineStr">
        <is>
          <t>A 1185-2024</t>
        </is>
      </c>
      <c r="B585" s="1" t="n">
        <v>45302</v>
      </c>
      <c r="C585" s="1" t="n">
        <v>45349</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1272-2024</t>
        </is>
      </c>
      <c r="B586" s="1" t="n">
        <v>45302</v>
      </c>
      <c r="C586" s="1" t="n">
        <v>45349</v>
      </c>
      <c r="D586" t="inlineStr">
        <is>
          <t>VÄSTERNORRLANDS LÄN</t>
        </is>
      </c>
      <c r="E586" t="inlineStr">
        <is>
          <t>TIMRÅ</t>
        </is>
      </c>
      <c r="G586" t="n">
        <v>4.3</v>
      </c>
      <c r="H586" t="n">
        <v>0</v>
      </c>
      <c r="I586" t="n">
        <v>0</v>
      </c>
      <c r="J586" t="n">
        <v>0</v>
      </c>
      <c r="K586" t="n">
        <v>0</v>
      </c>
      <c r="L586" t="n">
        <v>0</v>
      </c>
      <c r="M586" t="n">
        <v>0</v>
      </c>
      <c r="N586" t="n">
        <v>0</v>
      </c>
      <c r="O586" t="n">
        <v>0</v>
      </c>
      <c r="P586" t="n">
        <v>0</v>
      </c>
      <c r="Q586" t="n">
        <v>0</v>
      </c>
      <c r="R586" s="2" t="inlineStr"/>
    </row>
    <row r="587" ht="15" customHeight="1">
      <c r="A587" t="inlineStr">
        <is>
          <t>A 1467-2024</t>
        </is>
      </c>
      <c r="B587" s="1" t="n">
        <v>45303</v>
      </c>
      <c r="C587" s="1" t="n">
        <v>45349</v>
      </c>
      <c r="D587" t="inlineStr">
        <is>
          <t>VÄSTERNORRLANDS LÄN</t>
        </is>
      </c>
      <c r="E587" t="inlineStr">
        <is>
          <t>TIMRÅ</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1675-2024</t>
        </is>
      </c>
      <c r="B588" s="1" t="n">
        <v>45306</v>
      </c>
      <c r="C588" s="1" t="n">
        <v>45349</v>
      </c>
      <c r="D588" t="inlineStr">
        <is>
          <t>VÄSTERNORRLANDS LÄN</t>
        </is>
      </c>
      <c r="E588" t="inlineStr">
        <is>
          <t>TIMRÅ</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1683-2024</t>
        </is>
      </c>
      <c r="B589" s="1" t="n">
        <v>45307</v>
      </c>
      <c r="C589" s="1" t="n">
        <v>45349</v>
      </c>
      <c r="D589" t="inlineStr">
        <is>
          <t>VÄSTERNORRLANDS LÄN</t>
        </is>
      </c>
      <c r="E589" t="inlineStr">
        <is>
          <t>TIMRÅ</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2062-2024</t>
        </is>
      </c>
      <c r="B590" s="1" t="n">
        <v>45308</v>
      </c>
      <c r="C590" s="1" t="n">
        <v>45349</v>
      </c>
      <c r="D590" t="inlineStr">
        <is>
          <t>VÄSTERNORRLANDS LÄN</t>
        </is>
      </c>
      <c r="E590" t="inlineStr">
        <is>
          <t>TIMRÅ</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2949-2024</t>
        </is>
      </c>
      <c r="B591" s="1" t="n">
        <v>45315</v>
      </c>
      <c r="C591" s="1" t="n">
        <v>45349</v>
      </c>
      <c r="D591" t="inlineStr">
        <is>
          <t>VÄSTERNORRLANDS LÄN</t>
        </is>
      </c>
      <c r="E591" t="inlineStr">
        <is>
          <t>TIMRÅ</t>
        </is>
      </c>
      <c r="G591" t="n">
        <v>7</v>
      </c>
      <c r="H591" t="n">
        <v>0</v>
      </c>
      <c r="I591" t="n">
        <v>0</v>
      </c>
      <c r="J591" t="n">
        <v>0</v>
      </c>
      <c r="K591" t="n">
        <v>0</v>
      </c>
      <c r="L591" t="n">
        <v>0</v>
      </c>
      <c r="M591" t="n">
        <v>0</v>
      </c>
      <c r="N591" t="n">
        <v>0</v>
      </c>
      <c r="O591" t="n">
        <v>0</v>
      </c>
      <c r="P591" t="n">
        <v>0</v>
      </c>
      <c r="Q591" t="n">
        <v>0</v>
      </c>
      <c r="R591" s="2" t="inlineStr"/>
    </row>
    <row r="592" ht="15" customHeight="1">
      <c r="A592" t="inlineStr">
        <is>
          <t>A 3229-2024</t>
        </is>
      </c>
      <c r="B592" s="1" t="n">
        <v>45316</v>
      </c>
      <c r="C592" s="1" t="n">
        <v>45349</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3444-2024</t>
        </is>
      </c>
      <c r="B593" s="1" t="n">
        <v>45317</v>
      </c>
      <c r="C593" s="1" t="n">
        <v>45349</v>
      </c>
      <c r="D593" t="inlineStr">
        <is>
          <t>VÄSTERNORRLANDS LÄN</t>
        </is>
      </c>
      <c r="E593" t="inlineStr">
        <is>
          <t>TIMRÅ</t>
        </is>
      </c>
      <c r="G593" t="n">
        <v>10.5</v>
      </c>
      <c r="H593" t="n">
        <v>0</v>
      </c>
      <c r="I593" t="n">
        <v>0</v>
      </c>
      <c r="J593" t="n">
        <v>0</v>
      </c>
      <c r="K593" t="n">
        <v>0</v>
      </c>
      <c r="L593" t="n">
        <v>0</v>
      </c>
      <c r="M593" t="n">
        <v>0</v>
      </c>
      <c r="N593" t="n">
        <v>0</v>
      </c>
      <c r="O593" t="n">
        <v>0</v>
      </c>
      <c r="P593" t="n">
        <v>0</v>
      </c>
      <c r="Q593" t="n">
        <v>0</v>
      </c>
      <c r="R593" s="2" t="inlineStr"/>
    </row>
    <row r="594" ht="15" customHeight="1">
      <c r="A594" t="inlineStr">
        <is>
          <t>A 3804-2024</t>
        </is>
      </c>
      <c r="B594" s="1" t="n">
        <v>45321</v>
      </c>
      <c r="C594" s="1" t="n">
        <v>45349</v>
      </c>
      <c r="D594" t="inlineStr">
        <is>
          <t>VÄSTERNORRLANDS LÄN</t>
        </is>
      </c>
      <c r="E594" t="inlineStr">
        <is>
          <t>TIMRÅ</t>
        </is>
      </c>
      <c r="G594" t="n">
        <v>2</v>
      </c>
      <c r="H594" t="n">
        <v>0</v>
      </c>
      <c r="I594" t="n">
        <v>0</v>
      </c>
      <c r="J594" t="n">
        <v>0</v>
      </c>
      <c r="K594" t="n">
        <v>0</v>
      </c>
      <c r="L594" t="n">
        <v>0</v>
      </c>
      <c r="M594" t="n">
        <v>0</v>
      </c>
      <c r="N594" t="n">
        <v>0</v>
      </c>
      <c r="O594" t="n">
        <v>0</v>
      </c>
      <c r="P594" t="n">
        <v>0</v>
      </c>
      <c r="Q594" t="n">
        <v>0</v>
      </c>
      <c r="R594" s="2" t="inlineStr"/>
    </row>
    <row r="595" ht="15" customHeight="1">
      <c r="A595" t="inlineStr">
        <is>
          <t>A 3989-2024</t>
        </is>
      </c>
      <c r="B595" s="1" t="n">
        <v>45322</v>
      </c>
      <c r="C595" s="1" t="n">
        <v>45349</v>
      </c>
      <c r="D595" t="inlineStr">
        <is>
          <t>VÄSTERNORRLANDS LÄN</t>
        </is>
      </c>
      <c r="E595" t="inlineStr">
        <is>
          <t>TIMRÅ</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4596-2024</t>
        </is>
      </c>
      <c r="B596" s="1" t="n">
        <v>45327</v>
      </c>
      <c r="C596" s="1" t="n">
        <v>45349</v>
      </c>
      <c r="D596" t="inlineStr">
        <is>
          <t>VÄSTERNORRLANDS LÄN</t>
        </is>
      </c>
      <c r="E596" t="inlineStr">
        <is>
          <t>TIMRÅ</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4821-2024</t>
        </is>
      </c>
      <c r="B597" s="1" t="n">
        <v>45328</v>
      </c>
      <c r="C597" s="1" t="n">
        <v>45349</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5265-2024</t>
        </is>
      </c>
      <c r="B598" s="1" t="n">
        <v>45330</v>
      </c>
      <c r="C598" s="1" t="n">
        <v>45349</v>
      </c>
      <c r="D598" t="inlineStr">
        <is>
          <t>VÄSTERNORRLANDS LÄN</t>
        </is>
      </c>
      <c r="E598" t="inlineStr">
        <is>
          <t>TIMRÅ</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5271-2024</t>
        </is>
      </c>
      <c r="B599" s="1" t="n">
        <v>45330</v>
      </c>
      <c r="C599" s="1" t="n">
        <v>45349</v>
      </c>
      <c r="D599" t="inlineStr">
        <is>
          <t>VÄSTERNORRLANDS LÄN</t>
        </is>
      </c>
      <c r="E599" t="inlineStr">
        <is>
          <t>TIMRÅ</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5722-2024</t>
        </is>
      </c>
      <c r="B600" s="1" t="n">
        <v>45334</v>
      </c>
      <c r="C600" s="1" t="n">
        <v>45349</v>
      </c>
      <c r="D600" t="inlineStr">
        <is>
          <t>VÄSTERNORRLANDS LÄN</t>
        </is>
      </c>
      <c r="E600" t="inlineStr">
        <is>
          <t>TIMRÅ</t>
        </is>
      </c>
      <c r="G600" t="n">
        <v>2.2</v>
      </c>
      <c r="H600" t="n">
        <v>0</v>
      </c>
      <c r="I600" t="n">
        <v>0</v>
      </c>
      <c r="J600" t="n">
        <v>0</v>
      </c>
      <c r="K600" t="n">
        <v>0</v>
      </c>
      <c r="L600" t="n">
        <v>0</v>
      </c>
      <c r="M600" t="n">
        <v>0</v>
      </c>
      <c r="N600" t="n">
        <v>0</v>
      </c>
      <c r="O600" t="n">
        <v>0</v>
      </c>
      <c r="P600" t="n">
        <v>0</v>
      </c>
      <c r="Q600" t="n">
        <v>0</v>
      </c>
      <c r="R600" s="2" t="inlineStr"/>
    </row>
    <row r="601" ht="15" customHeight="1">
      <c r="A601" t="inlineStr">
        <is>
          <t>A 5921-2024</t>
        </is>
      </c>
      <c r="B601" s="1" t="n">
        <v>45335</v>
      </c>
      <c r="C601" s="1" t="n">
        <v>45349</v>
      </c>
      <c r="D601" t="inlineStr">
        <is>
          <t>VÄSTERNORRLANDS LÄN</t>
        </is>
      </c>
      <c r="E601" t="inlineStr">
        <is>
          <t>TIMRÅ</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6088-2024</t>
        </is>
      </c>
      <c r="B602" s="1" t="n">
        <v>45336</v>
      </c>
      <c r="C602" s="1" t="n">
        <v>45349</v>
      </c>
      <c r="D602" t="inlineStr">
        <is>
          <t>VÄSTERNORRLANDS LÄN</t>
        </is>
      </c>
      <c r="E602" t="inlineStr">
        <is>
          <t>TIMRÅ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6893-2024</t>
        </is>
      </c>
      <c r="B603" s="1" t="n">
        <v>45342</v>
      </c>
      <c r="C603" s="1" t="n">
        <v>45349</v>
      </c>
      <c r="D603" t="inlineStr">
        <is>
          <t>VÄSTERNORRLANDS LÄN</t>
        </is>
      </c>
      <c r="E603" t="inlineStr">
        <is>
          <t>TIMRÅ</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7151-2024</t>
        </is>
      </c>
      <c r="B604" s="1" t="n">
        <v>45344</v>
      </c>
      <c r="C604" s="1" t="n">
        <v>45349</v>
      </c>
      <c r="D604" t="inlineStr">
        <is>
          <t>VÄSTERNORRLANDS LÄN</t>
        </is>
      </c>
      <c r="E604" t="inlineStr">
        <is>
          <t>TIMRÅ</t>
        </is>
      </c>
      <c r="G604" t="n">
        <v>2.9</v>
      </c>
      <c r="H604" t="n">
        <v>0</v>
      </c>
      <c r="I604" t="n">
        <v>0</v>
      </c>
      <c r="J604" t="n">
        <v>0</v>
      </c>
      <c r="K604" t="n">
        <v>0</v>
      </c>
      <c r="L604" t="n">
        <v>0</v>
      </c>
      <c r="M604" t="n">
        <v>0</v>
      </c>
      <c r="N604" t="n">
        <v>0</v>
      </c>
      <c r="O604" t="n">
        <v>0</v>
      </c>
      <c r="P604" t="n">
        <v>0</v>
      </c>
      <c r="Q604" t="n">
        <v>0</v>
      </c>
      <c r="R604" s="2" t="inlineStr"/>
    </row>
    <row r="605" ht="15" customHeight="1">
      <c r="A605" t="inlineStr">
        <is>
          <t>A 7291-2024</t>
        </is>
      </c>
      <c r="B605" s="1" t="n">
        <v>45344</v>
      </c>
      <c r="C605" s="1" t="n">
        <v>45349</v>
      </c>
      <c r="D605" t="inlineStr">
        <is>
          <t>VÄSTERNORRLANDS LÄN</t>
        </is>
      </c>
      <c r="E605" t="inlineStr">
        <is>
          <t>TIMRÅ</t>
        </is>
      </c>
      <c r="F605" t="inlineStr">
        <is>
          <t>SCA</t>
        </is>
      </c>
      <c r="G605" t="n">
        <v>7.6</v>
      </c>
      <c r="H605" t="n">
        <v>0</v>
      </c>
      <c r="I605" t="n">
        <v>0</v>
      </c>
      <c r="J605" t="n">
        <v>0</v>
      </c>
      <c r="K605" t="n">
        <v>0</v>
      </c>
      <c r="L605" t="n">
        <v>0</v>
      </c>
      <c r="M605" t="n">
        <v>0</v>
      </c>
      <c r="N605" t="n">
        <v>0</v>
      </c>
      <c r="O605" t="n">
        <v>0</v>
      </c>
      <c r="P605" t="n">
        <v>0</v>
      </c>
      <c r="Q605" t="n">
        <v>0</v>
      </c>
      <c r="R605" s="2" t="inlineStr"/>
    </row>
    <row r="606" ht="15" customHeight="1">
      <c r="A606" t="inlineStr">
        <is>
          <t>A 7299-2024</t>
        </is>
      </c>
      <c r="B606" s="1" t="n">
        <v>45344</v>
      </c>
      <c r="C606" s="1" t="n">
        <v>45349</v>
      </c>
      <c r="D606" t="inlineStr">
        <is>
          <t>VÄSTERNORRLANDS LÄN</t>
        </is>
      </c>
      <c r="E606" t="inlineStr">
        <is>
          <t>TIMRÅ</t>
        </is>
      </c>
      <c r="F606" t="inlineStr">
        <is>
          <t>SCA</t>
        </is>
      </c>
      <c r="G606" t="n">
        <v>16.3</v>
      </c>
      <c r="H606" t="n">
        <v>0</v>
      </c>
      <c r="I606" t="n">
        <v>0</v>
      </c>
      <c r="J606" t="n">
        <v>0</v>
      </c>
      <c r="K606" t="n">
        <v>0</v>
      </c>
      <c r="L606" t="n">
        <v>0</v>
      </c>
      <c r="M606" t="n">
        <v>0</v>
      </c>
      <c r="N606" t="n">
        <v>0</v>
      </c>
      <c r="O606" t="n">
        <v>0</v>
      </c>
      <c r="P606" t="n">
        <v>0</v>
      </c>
      <c r="Q606" t="n">
        <v>0</v>
      </c>
      <c r="R606" s="2" t="inlineStr"/>
    </row>
    <row r="607" ht="15" customHeight="1">
      <c r="A607" t="inlineStr">
        <is>
          <t>A 7292-2024</t>
        </is>
      </c>
      <c r="B607" s="1" t="n">
        <v>45344</v>
      </c>
      <c r="C607" s="1" t="n">
        <v>45349</v>
      </c>
      <c r="D607" t="inlineStr">
        <is>
          <t>VÄSTERNORRLANDS LÄN</t>
        </is>
      </c>
      <c r="E607" t="inlineStr">
        <is>
          <t>TIMRÅ</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7478-2024</t>
        </is>
      </c>
      <c r="B608" s="1" t="n">
        <v>45345</v>
      </c>
      <c r="C608" s="1" t="n">
        <v>45349</v>
      </c>
      <c r="D608" t="inlineStr">
        <is>
          <t>VÄSTERNORRLANDS LÄN</t>
        </is>
      </c>
      <c r="E608" t="inlineStr">
        <is>
          <t>TIMRÅ</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7477-2024</t>
        </is>
      </c>
      <c r="B609" s="1" t="n">
        <v>45345</v>
      </c>
      <c r="C609" s="1" t="n">
        <v>45349</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7416-2024</t>
        </is>
      </c>
      <c r="B610" s="1" t="n">
        <v>45345</v>
      </c>
      <c r="C610" s="1" t="n">
        <v>45349</v>
      </c>
      <c r="D610" t="inlineStr">
        <is>
          <t>VÄSTERNORRLANDS LÄN</t>
        </is>
      </c>
      <c r="E610" t="inlineStr">
        <is>
          <t>TIMRÅ</t>
        </is>
      </c>
      <c r="F610" t="inlineStr">
        <is>
          <t>Kommuner</t>
        </is>
      </c>
      <c r="G610" t="n">
        <v>2.5</v>
      </c>
      <c r="H610" t="n">
        <v>0</v>
      </c>
      <c r="I610" t="n">
        <v>0</v>
      </c>
      <c r="J610" t="n">
        <v>0</v>
      </c>
      <c r="K610" t="n">
        <v>0</v>
      </c>
      <c r="L610" t="n">
        <v>0</v>
      </c>
      <c r="M610" t="n">
        <v>0</v>
      </c>
      <c r="N610" t="n">
        <v>0</v>
      </c>
      <c r="O610" t="n">
        <v>0</v>
      </c>
      <c r="P610" t="n">
        <v>0</v>
      </c>
      <c r="Q610" t="n">
        <v>0</v>
      </c>
      <c r="R610" s="2" t="inlineStr"/>
    </row>
    <row r="611" ht="15" customHeight="1">
      <c r="A611" t="inlineStr">
        <is>
          <t>A 7476-2024</t>
        </is>
      </c>
      <c r="B611" s="1" t="n">
        <v>45345</v>
      </c>
      <c r="C611" s="1" t="n">
        <v>45349</v>
      </c>
      <c r="D611" t="inlineStr">
        <is>
          <t>VÄSTERNORRLANDS LÄN</t>
        </is>
      </c>
      <c r="E611" t="inlineStr">
        <is>
          <t>TIMRÅ</t>
        </is>
      </c>
      <c r="F611" t="inlineStr">
        <is>
          <t>SCA</t>
        </is>
      </c>
      <c r="G611" t="n">
        <v>1.3</v>
      </c>
      <c r="H611" t="n">
        <v>0</v>
      </c>
      <c r="I611" t="n">
        <v>0</v>
      </c>
      <c r="J611" t="n">
        <v>0</v>
      </c>
      <c r="K611" t="n">
        <v>0</v>
      </c>
      <c r="L611" t="n">
        <v>0</v>
      </c>
      <c r="M611" t="n">
        <v>0</v>
      </c>
      <c r="N611" t="n">
        <v>0</v>
      </c>
      <c r="O611" t="n">
        <v>0</v>
      </c>
      <c r="P611" t="n">
        <v>0</v>
      </c>
      <c r="Q611" t="n">
        <v>0</v>
      </c>
      <c r="R611" s="2" t="inlineStr"/>
    </row>
    <row r="612">
      <c r="A612" t="inlineStr">
        <is>
          <t>A 7507-2024</t>
        </is>
      </c>
      <c r="B612" s="1" t="n">
        <v>45347</v>
      </c>
      <c r="C612" s="1" t="n">
        <v>45349</v>
      </c>
      <c r="D612" t="inlineStr">
        <is>
          <t>VÄSTERNORRLANDS LÄN</t>
        </is>
      </c>
      <c r="E612" t="inlineStr">
        <is>
          <t>TIMRÅ</t>
        </is>
      </c>
      <c r="F612" t="inlineStr">
        <is>
          <t>SCA</t>
        </is>
      </c>
      <c r="G612" t="n">
        <v>15.5</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2024-02-27T13:11:29Z</dcterms:created>
  <dcterms:modified xmlns:dcterms="http://purl.org/dc/terms/" xmlns:xsi="http://www.w3.org/2001/XMLSchema-instance" xsi:type="dcterms:W3CDTF">2024-02-27T13:11:30Z</dcterms:modified>
</cp:coreProperties>
</file>