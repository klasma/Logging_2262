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46233</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46233</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46233</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46233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46233</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46233</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46233</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46233</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46233</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46233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46233</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46233</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46233</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46233</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46233</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46233</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46233</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46233</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46233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46233</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46233</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46233</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46233</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46233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46233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46233</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46233</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46233</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46233</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46233</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25940-2025</t>
        </is>
      </c>
      <c r="B36" t="inlineStr">
        <is>
          <t>avverkningsanmälan</t>
        </is>
      </c>
      <c r="C36" t="inlineStr">
        <is>
          <t>Föryngringsavverkning</t>
        </is>
      </c>
      <c r="D36" s="1" t="n">
        <v>45804</v>
      </c>
      <c r="E36" s="1" t="n">
        <v>46233</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46233</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46233</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46233</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46233</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46233</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46233</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46233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46233</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53296-2024</t>
        </is>
      </c>
      <c r="B46" t="inlineStr">
        <is>
          <t>avverkningsanmälan</t>
        </is>
      </c>
      <c r="C46" t="inlineStr">
        <is>
          <t>Avverkning för att bevara och utveckla /försöksver</t>
        </is>
      </c>
      <c r="D46" s="1" t="n">
        <v>45614</v>
      </c>
      <c r="E46" s="1" t="n">
        <v>46233</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46233</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52150-2025</t>
        </is>
      </c>
      <c r="B48" t="inlineStr">
        <is>
          <t>avverkningsanmälan</t>
        </is>
      </c>
      <c r="C48" t="inlineStr">
        <is>
          <t>Föryngringsavverkning</t>
        </is>
      </c>
      <c r="D48" s="1" t="n">
        <v>45953</v>
      </c>
      <c r="E48" s="1" t="n">
        <v>46233</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46233</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12977-2026</t>
        </is>
      </c>
      <c r="B50" t="inlineStr">
        <is>
          <t>avverkningsanmälan</t>
        </is>
      </c>
      <c r="C50" t="inlineStr">
        <is>
          <t>Föryngringsavverkning</t>
        </is>
      </c>
      <c r="D50" s="1" t="n">
        <v>46092</v>
      </c>
      <c r="E50" s="1" t="n">
        <v>46233</v>
      </c>
      <c r="F50" t="inlineStr">
        <is>
          <t>VÄSTERNORRLANDS LÄN</t>
        </is>
      </c>
      <c r="G50" t="inlineStr">
        <is>
          <t>TIMRÅ</t>
        </is>
      </c>
      <c r="H50" t="inlineStr">
        <is>
          <t>SCA</t>
        </is>
      </c>
      <c r="I50" t="n">
        <v>0.5</v>
      </c>
      <c r="J50" t="n">
        <v>0</v>
      </c>
      <c r="K50" t="n">
        <v>0</v>
      </c>
      <c r="L50" t="n">
        <v>3</v>
      </c>
      <c r="M50" t="n">
        <v>1</v>
      </c>
      <c r="N50" t="n">
        <v>0</v>
      </c>
      <c r="O50" t="n">
        <v>0</v>
      </c>
      <c r="P50" t="n">
        <v>0</v>
      </c>
      <c r="Q50" t="n">
        <v>4</v>
      </c>
      <c r="R50" t="n">
        <v>1</v>
      </c>
      <c r="S50" t="n">
        <v>4</v>
      </c>
      <c r="T50" t="n">
        <v>4</v>
      </c>
      <c r="U50" t="n">
        <v>0</v>
      </c>
      <c r="V50" s="2" t="inlineStr">
        <is>
          <t>Gränsticka
Rosenticka
Ullticka
Vedtrappmossa</t>
        </is>
      </c>
      <c r="W50">
        <f>HYPERLINK("https://klasma.github.io/Logging_2262/artfynd/A 12977-2026 artfynd.xlsx", "A 12977-2026")</f>
        <v/>
      </c>
      <c r="X50">
        <f>HYPERLINK("https://klasma.github.io/Logging_2262/kartor/A 12977-2026 karta.png", "A 12977-2026")</f>
        <v/>
      </c>
      <c r="Y50">
        <f>HYPERLINK("https://klasma.github.io/Logging_2262/kartor_geotiff/A 12977-2026 georefererad karta.tif", "A 12977-2026")</f>
        <v/>
      </c>
      <c r="AA50">
        <f>HYPERLINK("https://klasma.github.io/Logging_2262/klagomål/A 12977-2026 FSC-klagomål.docx", "A 12977-2026")</f>
        <v/>
      </c>
      <c r="AB50">
        <f>HYPERLINK("https://klasma.github.io/Logging_2262/klagomålsmail/A 12977-2026 FSC-klagomål mail.docx", "A 12977-2026")</f>
        <v/>
      </c>
      <c r="AC50">
        <f>HYPERLINK("https://klasma.github.io/Logging_2262/tillsyn/A 12977-2026 tillsynsbegäran.docx", "A 12977-2026")</f>
        <v/>
      </c>
      <c r="AD50">
        <f>HYPERLINK("https://klasma.github.io/Logging_2262/tillsynsmail/A 12977-2026 tillsynsbegäran mail.docx", "A 12977-2026")</f>
        <v/>
      </c>
    </row>
    <row r="51" ht="15" customHeight="1">
      <c r="A51" t="inlineStr">
        <is>
          <t>A 28007-2023</t>
        </is>
      </c>
      <c r="B51" t="inlineStr">
        <is>
          <t>avverkningsanmälan</t>
        </is>
      </c>
      <c r="C51" t="inlineStr">
        <is>
          <t>Föryngringsavverkning</t>
        </is>
      </c>
      <c r="D51" s="1" t="n">
        <v>45098</v>
      </c>
      <c r="E51" s="1" t="n">
        <v>46233</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46233</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46233</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46233</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46233</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46233</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46233</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33503-2023</t>
        </is>
      </c>
      <c r="B58" t="inlineStr">
        <is>
          <t>avverkningsanmälan</t>
        </is>
      </c>
      <c r="C58" t="inlineStr">
        <is>
          <t>Föryngringsavverkning</t>
        </is>
      </c>
      <c r="D58" s="1" t="n">
        <v>45131</v>
      </c>
      <c r="E58" s="1" t="n">
        <v>46233</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46233</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46233</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46233</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46233</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46233</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46233</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36127-2025</t>
        </is>
      </c>
      <c r="B65" t="inlineStr">
        <is>
          <t>avverkningsanmälan</t>
        </is>
      </c>
      <c r="C65" t="inlineStr">
        <is>
          <t>Avverkning för att bevara och utveckla /försöksver</t>
        </is>
      </c>
      <c r="D65" s="1" t="n">
        <v>45866</v>
      </c>
      <c r="E65" s="1" t="n">
        <v>46233</v>
      </c>
      <c r="F65" t="inlineStr">
        <is>
          <t>VÄSTERNORRLANDS LÄN</t>
        </is>
      </c>
      <c r="G65" t="inlineStr">
        <is>
          <t>TIMRÅ</t>
        </is>
      </c>
      <c r="H65" t="inlineStr">
        <is>
          <t>SCA</t>
        </is>
      </c>
      <c r="I65" t="n">
        <v>1</v>
      </c>
      <c r="J65" t="n">
        <v>1</v>
      </c>
      <c r="K65" t="n">
        <v>0</v>
      </c>
      <c r="L65" t="n">
        <v>2</v>
      </c>
      <c r="M65" t="n">
        <v>1</v>
      </c>
      <c r="N65" t="n">
        <v>0</v>
      </c>
      <c r="O65" t="n">
        <v>0</v>
      </c>
      <c r="P65" t="n">
        <v>0</v>
      </c>
      <c r="Q65" t="n">
        <v>3</v>
      </c>
      <c r="R65" t="n">
        <v>1</v>
      </c>
      <c r="S65" t="n">
        <v>3</v>
      </c>
      <c r="T65" t="n">
        <v>4</v>
      </c>
      <c r="U65" t="n">
        <v>0</v>
      </c>
      <c r="V65" s="2" t="inlineStr">
        <is>
          <t>Knärot
Rosenticka
Violettgrå tagellav</t>
        </is>
      </c>
      <c r="W65">
        <f>HYPERLINK("https://klasma.github.io/Logging_2262/artfynd/A 36127-2025 artfynd.xlsx", "A 36127-2025")</f>
        <v/>
      </c>
      <c r="X65">
        <f>HYPERLINK("https://klasma.github.io/Logging_2262/kartor/A 36127-2025 karta.png", "A 36127-2025")</f>
        <v/>
      </c>
      <c r="Y65">
        <f>HYPERLINK("https://klasma.github.io/Logging_2262/kartor_geotiff/A 36127-2025 georefererad karta.tif", "A 36127-2025")</f>
        <v/>
      </c>
      <c r="Z65">
        <f>HYPERLINK("https://klasma.github.io/Logging_2262/knärot/A 36127-2025 karta knärot.png", "A 36127-2025")</f>
        <v/>
      </c>
      <c r="AA65">
        <f>HYPERLINK("https://klasma.github.io/Logging_2262/klagomål/A 36127-2025 FSC-klagomål.docx", "A 36127-2025")</f>
        <v/>
      </c>
      <c r="AB65">
        <f>HYPERLINK("https://klasma.github.io/Logging_2262/klagomålsmail/A 36127-2025 FSC-klagomål mail.docx", "A 36127-2025")</f>
        <v/>
      </c>
      <c r="AC65">
        <f>HYPERLINK("https://klasma.github.io/Logging_2262/tillsyn/A 36127-2025 tillsynsbegäran.docx", "A 36127-2025")</f>
        <v/>
      </c>
      <c r="AD65">
        <f>HYPERLINK("https://klasma.github.io/Logging_2262/tillsynsmail/A 36127-2025 tillsynsbegäran mail.docx", "A 36127-2025")</f>
        <v/>
      </c>
    </row>
    <row r="66" ht="15" customHeight="1">
      <c r="A66" t="inlineStr">
        <is>
          <t>A 36204-2025</t>
        </is>
      </c>
      <c r="B66" t="inlineStr">
        <is>
          <t>avverkningsanmälan</t>
        </is>
      </c>
      <c r="C66" t="inlineStr">
        <is>
          <t>Föryngringsavverkning</t>
        </is>
      </c>
      <c r="D66" s="1" t="n">
        <v>45867</v>
      </c>
      <c r="E66" s="1" t="n">
        <v>46233</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5069-2024</t>
        </is>
      </c>
      <c r="B67" t="inlineStr">
        <is>
          <t>avverkningsanmälan</t>
        </is>
      </c>
      <c r="C67" t="inlineStr">
        <is>
          <t>Avverkning för att bevara och utveckla /försöksver</t>
        </is>
      </c>
      <c r="D67" s="1" t="n">
        <v>45329</v>
      </c>
      <c r="E67" s="1" t="n">
        <v>46233</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53303-2024</t>
        </is>
      </c>
      <c r="B68" t="inlineStr">
        <is>
          <t>avverkningsanmälan</t>
        </is>
      </c>
      <c r="C68" t="inlineStr">
        <is>
          <t>Föryngringsavverkning</t>
        </is>
      </c>
      <c r="D68" s="1" t="n">
        <v>45614</v>
      </c>
      <c r="E68" s="1" t="n">
        <v>46233</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46233</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28230-2026</t>
        </is>
      </c>
      <c r="B70" t="inlineStr">
        <is>
          <t>avverkningsanmälan</t>
        </is>
      </c>
      <c r="C70" t="inlineStr">
        <is>
          <t>Föryngringsavverkning</t>
        </is>
      </c>
      <c r="D70" s="1" t="n">
        <v>46196</v>
      </c>
      <c r="E70" s="1" t="n">
        <v>46233</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29972-2026</t>
        </is>
      </c>
      <c r="B71" t="inlineStr">
        <is>
          <t>avverkningsanmälan</t>
        </is>
      </c>
      <c r="C71" t="inlineStr">
        <is>
          <t>Föryngringsavverkning</t>
        </is>
      </c>
      <c r="D71" s="1" t="n">
        <v>46205</v>
      </c>
      <c r="E71" s="1" t="n">
        <v>46233</v>
      </c>
      <c r="F71" t="inlineStr">
        <is>
          <t>VÄSTERNORRLANDS LÄN</t>
        </is>
      </c>
      <c r="G71" t="inlineStr">
        <is>
          <t>TIMRÅ</t>
        </is>
      </c>
      <c r="H71" t="inlineStr">
        <is>
          <t>SCA</t>
        </is>
      </c>
      <c r="I71" t="n">
        <v>1.8</v>
      </c>
      <c r="J71" t="n">
        <v>0</v>
      </c>
      <c r="K71" t="n">
        <v>0</v>
      </c>
      <c r="L71" t="n">
        <v>2</v>
      </c>
      <c r="M71" t="n">
        <v>1</v>
      </c>
      <c r="N71" t="n">
        <v>0</v>
      </c>
      <c r="O71" t="n">
        <v>0</v>
      </c>
      <c r="P71" t="n">
        <v>0</v>
      </c>
      <c r="Q71" t="n">
        <v>3</v>
      </c>
      <c r="R71" t="n">
        <v>1</v>
      </c>
      <c r="S71" t="n">
        <v>3</v>
      </c>
      <c r="T71" t="n">
        <v>4</v>
      </c>
      <c r="U71" t="n">
        <v>0</v>
      </c>
      <c r="V71" s="2" t="inlineStr">
        <is>
          <t>Garnlav
Gammelgransskål
Vitgrynig nållav</t>
        </is>
      </c>
      <c r="W71">
        <f>HYPERLINK("https://klasma.github.io/Logging_2262/artfynd/A 29972-2026 artfynd.xlsx", "A 29972-2026")</f>
        <v/>
      </c>
      <c r="X71">
        <f>HYPERLINK("https://klasma.github.io/Logging_2262/kartor/A 29972-2026 karta.png", "A 29972-2026")</f>
        <v/>
      </c>
      <c r="Y71">
        <f>HYPERLINK("https://klasma.github.io/Logging_2262/kartor_geotiff/A 29972-2026 georefererad karta.tif", "A 29972-2026")</f>
        <v/>
      </c>
      <c r="AA71">
        <f>HYPERLINK("https://klasma.github.io/Logging_2262/klagomål/A 29972-2026 FSC-klagomål.docx", "A 29972-2026")</f>
        <v/>
      </c>
      <c r="AB71">
        <f>HYPERLINK("https://klasma.github.io/Logging_2262/klagomålsmail/A 29972-2026 FSC-klagomål mail.docx", "A 29972-2026")</f>
        <v/>
      </c>
      <c r="AC71">
        <f>HYPERLINK("https://klasma.github.io/Logging_2262/tillsyn/A 29972-2026 tillsynsbegäran.docx", "A 29972-2026")</f>
        <v/>
      </c>
      <c r="AD71">
        <f>HYPERLINK("https://klasma.github.io/Logging_2262/tillsynsmail/A 29972-2026 tillsynsbegäran mail.docx", "A 29972-2026")</f>
        <v/>
      </c>
    </row>
    <row r="72" ht="15" customHeight="1">
      <c r="A72" t="inlineStr">
        <is>
          <t>A 41784-2024</t>
        </is>
      </c>
      <c r="B72" t="inlineStr">
        <is>
          <t>avverkningsanmälan</t>
        </is>
      </c>
      <c r="C72" t="inlineStr">
        <is>
          <t>Föryngringsavverkning</t>
        </is>
      </c>
      <c r="D72" s="1" t="n">
        <v>45561</v>
      </c>
      <c r="E72" s="1" t="n">
        <v>46233</v>
      </c>
      <c r="F72" t="inlineStr">
        <is>
          <t>VÄSTERNORRLANDS LÄN</t>
        </is>
      </c>
      <c r="G72" t="inlineStr">
        <is>
          <t>TIMRÅ</t>
        </is>
      </c>
      <c r="H72" t="inlineStr">
        <is>
          <t>SCA</t>
        </is>
      </c>
      <c r="I72" t="n">
        <v>10.7</v>
      </c>
      <c r="J72" t="n">
        <v>1</v>
      </c>
      <c r="K72" t="n">
        <v>0</v>
      </c>
      <c r="L72" t="n">
        <v>2</v>
      </c>
      <c r="M72" t="n">
        <v>1</v>
      </c>
      <c r="N72" t="n">
        <v>0</v>
      </c>
      <c r="O72" t="n">
        <v>0</v>
      </c>
      <c r="P72" t="n">
        <v>0</v>
      </c>
      <c r="Q72" t="n">
        <v>3</v>
      </c>
      <c r="R72" t="n">
        <v>1</v>
      </c>
      <c r="S72" t="n">
        <v>3</v>
      </c>
      <c r="T72" t="n">
        <v>3</v>
      </c>
      <c r="U72" t="n">
        <v>0</v>
      </c>
      <c r="V72" s="2" t="inlineStr">
        <is>
          <t>Knärot
Doftskinn
Koralltaggsvamp</t>
        </is>
      </c>
      <c r="W72">
        <f>HYPERLINK("https://klasma.github.io/Logging_2262/artfynd/A 41784-2024 artfynd.xlsx", "A 41784-2024")</f>
        <v/>
      </c>
      <c r="X72">
        <f>HYPERLINK("https://klasma.github.io/Logging_2262/kartor/A 41784-2024 karta.png", "A 41784-2024")</f>
        <v/>
      </c>
      <c r="Y72">
        <f>HYPERLINK("https://klasma.github.io/Logging_2262/kartor_geotiff/A 41784-2024 georefererad karta.tif", "A 41784-2024")</f>
        <v/>
      </c>
      <c r="Z72">
        <f>HYPERLINK("https://klasma.github.io/Logging_2262/knärot/A 41784-2024 karta knärot.png", "A 41784-2024")</f>
        <v/>
      </c>
      <c r="AA72">
        <f>HYPERLINK("https://klasma.github.io/Logging_2262/klagomål/A 41784-2024 FSC-klagomål.docx", "A 41784-2024")</f>
        <v/>
      </c>
      <c r="AB72">
        <f>HYPERLINK("https://klasma.github.io/Logging_2262/klagomålsmail/A 41784-2024 FSC-klagomål mail.docx", "A 41784-2024")</f>
        <v/>
      </c>
      <c r="AC72">
        <f>HYPERLINK("https://klasma.github.io/Logging_2262/tillsyn/A 41784-2024 tillsynsbegäran.docx", "A 41784-2024")</f>
        <v/>
      </c>
      <c r="AD72">
        <f>HYPERLINK("https://klasma.github.io/Logging_2262/tillsynsmail/A 41784-2024 tillsynsbegäran mail.docx", "A 41784-2024")</f>
        <v/>
      </c>
    </row>
    <row r="73" ht="15" customHeight="1">
      <c r="A73" t="inlineStr">
        <is>
          <t>A 25617-2026</t>
        </is>
      </c>
      <c r="B73" t="inlineStr">
        <is>
          <t>avverkningsanmälan</t>
        </is>
      </c>
      <c r="C73" t="inlineStr">
        <is>
          <t>Föryngringsavverkning</t>
        </is>
      </c>
      <c r="D73" s="1" t="n">
        <v>46177</v>
      </c>
      <c r="E73" s="1" t="n">
        <v>46233</v>
      </c>
      <c r="F73" t="inlineStr">
        <is>
          <t>VÄSTERNORRLANDS LÄN</t>
        </is>
      </c>
      <c r="G73" t="inlineStr">
        <is>
          <t>TIMRÅ</t>
        </is>
      </c>
      <c r="H73" t="inlineStr">
        <is>
          <t>SCA</t>
        </is>
      </c>
      <c r="I73" t="n">
        <v>2.4</v>
      </c>
      <c r="J73" t="n">
        <v>0</v>
      </c>
      <c r="K73" t="n">
        <v>1</v>
      </c>
      <c r="L73" t="n">
        <v>2</v>
      </c>
      <c r="M73" t="n">
        <v>0</v>
      </c>
      <c r="N73" t="n">
        <v>0</v>
      </c>
      <c r="O73" t="n">
        <v>0</v>
      </c>
      <c r="P73" t="n">
        <v>0</v>
      </c>
      <c r="Q73" t="n">
        <v>2</v>
      </c>
      <c r="R73" t="n">
        <v>0</v>
      </c>
      <c r="S73" t="n">
        <v>3</v>
      </c>
      <c r="T73" t="n">
        <v>3</v>
      </c>
      <c r="U73" t="n">
        <v>0</v>
      </c>
      <c r="V73" s="2" t="inlineStr">
        <is>
          <t>Lunglav
Oljetagging
Stuplav</t>
        </is>
      </c>
      <c r="W73">
        <f>HYPERLINK("https://klasma.github.io/Logging_2262/artfynd/A 25617-2026 artfynd.xlsx", "A 25617-2026")</f>
        <v/>
      </c>
      <c r="X73">
        <f>HYPERLINK("https://klasma.github.io/Logging_2262/kartor/A 25617-2026 karta.png", "A 25617-2026")</f>
        <v/>
      </c>
      <c r="Y73">
        <f>HYPERLINK("https://klasma.github.io/Logging_2262/kartor_geotiff/A 25617-2026 georefererad karta.tif", "A 25617-2026")</f>
        <v/>
      </c>
      <c r="AA73">
        <f>HYPERLINK("https://klasma.github.io/Logging_2262/klagomål/A 25617-2026 FSC-klagomål.docx", "A 25617-2026")</f>
        <v/>
      </c>
      <c r="AB73">
        <f>HYPERLINK("https://klasma.github.io/Logging_2262/klagomålsmail/A 25617-2026 FSC-klagomål mail.docx", "A 25617-2026")</f>
        <v/>
      </c>
      <c r="AC73">
        <f>HYPERLINK("https://klasma.github.io/Logging_2262/tillsyn/A 25617-2026 tillsynsbegäran.docx", "A 25617-2026")</f>
        <v/>
      </c>
      <c r="AD73">
        <f>HYPERLINK("https://klasma.github.io/Logging_2262/tillsynsmail/A 25617-2026 tillsynsbegäran mail.docx", "A 25617-2026")</f>
        <v/>
      </c>
    </row>
    <row r="74" ht="15" customHeight="1">
      <c r="A74" t="inlineStr">
        <is>
          <t>A 26471-2026</t>
        </is>
      </c>
      <c r="B74" t="inlineStr">
        <is>
          <t>avverkningsanmälan</t>
        </is>
      </c>
      <c r="C74" t="inlineStr">
        <is>
          <t>Avverkning för att bevara och utveckla /försöksver</t>
        </is>
      </c>
      <c r="D74" s="1" t="n">
        <v>46183</v>
      </c>
      <c r="E74" s="1" t="n">
        <v>46233</v>
      </c>
      <c r="F74" t="inlineStr">
        <is>
          <t>VÄSTERNORRLANDS LÄN</t>
        </is>
      </c>
      <c r="G74" t="inlineStr">
        <is>
          <t>TIMRÅ</t>
        </is>
      </c>
      <c r="H74" t="inlineStr">
        <is>
          <t>SCA</t>
        </is>
      </c>
      <c r="I74" t="n">
        <v>4.2</v>
      </c>
      <c r="J74" t="n">
        <v>0</v>
      </c>
      <c r="K74" t="n">
        <v>0</v>
      </c>
      <c r="L74" t="n">
        <v>2</v>
      </c>
      <c r="M74" t="n">
        <v>1</v>
      </c>
      <c r="N74" t="n">
        <v>0</v>
      </c>
      <c r="O74" t="n">
        <v>0</v>
      </c>
      <c r="P74" t="n">
        <v>0</v>
      </c>
      <c r="Q74" t="n">
        <v>3</v>
      </c>
      <c r="R74" t="n">
        <v>1</v>
      </c>
      <c r="S74" t="n">
        <v>3</v>
      </c>
      <c r="T74" t="n">
        <v>3</v>
      </c>
      <c r="U74" t="n">
        <v>0</v>
      </c>
      <c r="V74" s="2" t="inlineStr">
        <is>
          <t>Garnlav
Lunglav
Violettgrå tagellav</t>
        </is>
      </c>
      <c r="W74">
        <f>HYPERLINK("https://klasma.github.io/Logging_2262/artfynd/A 26471-2026 artfynd.xlsx", "A 26471-2026")</f>
        <v/>
      </c>
      <c r="X74">
        <f>HYPERLINK("https://klasma.github.io/Logging_2262/kartor/A 26471-2026 karta.png", "A 26471-2026")</f>
        <v/>
      </c>
      <c r="Y74">
        <f>HYPERLINK("https://klasma.github.io/Logging_2262/kartor_geotiff/A 26471-2026 georefererad karta.tif", "A 26471-2026")</f>
        <v/>
      </c>
      <c r="AA74">
        <f>HYPERLINK("https://klasma.github.io/Logging_2262/klagomål/A 26471-2026 FSC-klagomål.docx", "A 26471-2026")</f>
        <v/>
      </c>
      <c r="AB74">
        <f>HYPERLINK("https://klasma.github.io/Logging_2262/klagomålsmail/A 26471-2026 FSC-klagomål mail.docx", "A 26471-2026")</f>
        <v/>
      </c>
      <c r="AC74">
        <f>HYPERLINK("https://klasma.github.io/Logging_2262/tillsyn/A 26471-2026 tillsynsbegäran.docx", "A 26471-2026")</f>
        <v/>
      </c>
      <c r="AD74">
        <f>HYPERLINK("https://klasma.github.io/Logging_2262/tillsynsmail/A 26471-2026 tillsynsbegäran mail.docx", "A 26471-2026")</f>
        <v/>
      </c>
    </row>
    <row r="75" ht="15" customHeight="1">
      <c r="A75" t="inlineStr">
        <is>
          <t>A 21621-2025</t>
        </is>
      </c>
      <c r="B75" t="inlineStr">
        <is>
          <t>avverkningsanmälan</t>
        </is>
      </c>
      <c r="C75" t="inlineStr">
        <is>
          <t>Föryngringsavverkning</t>
        </is>
      </c>
      <c r="D75" s="1" t="n">
        <v>45783</v>
      </c>
      <c r="E75" s="1" t="n">
        <v>46233</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46233</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42283-2022</t>
        </is>
      </c>
      <c r="B77" t="inlineStr">
        <is>
          <t>avverkningsanmälan</t>
        </is>
      </c>
      <c r="C77" t="inlineStr">
        <is>
          <t>Avverkning för att bevara och utveckla /försöksver</t>
        </is>
      </c>
      <c r="D77" s="1" t="n">
        <v>44830</v>
      </c>
      <c r="E77" s="1" t="n">
        <v>46233</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46233</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39356-2025</t>
        </is>
      </c>
      <c r="B79" t="inlineStr">
        <is>
          <t>avverkningsanmälan</t>
        </is>
      </c>
      <c r="C79" t="inlineStr">
        <is>
          <t>Föryngringsavverkning</t>
        </is>
      </c>
      <c r="D79" s="1" t="n">
        <v>45889</v>
      </c>
      <c r="E79" s="1" t="n">
        <v>46233</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30187-2025</t>
        </is>
      </c>
      <c r="B80" t="inlineStr">
        <is>
          <t>avverkningsanmälan</t>
        </is>
      </c>
      <c r="C80" t="inlineStr">
        <is>
          <t>Avverkning för att bevara och utveckla /försöksver</t>
        </is>
      </c>
      <c r="D80" s="1" t="n">
        <v>45827</v>
      </c>
      <c r="E80" s="1" t="n">
        <v>46233</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41077-2025</t>
        </is>
      </c>
      <c r="B81" t="inlineStr">
        <is>
          <t>avverkningsanmälan</t>
        </is>
      </c>
      <c r="C81" t="inlineStr">
        <is>
          <t>Föryngringsavverkning</t>
        </is>
      </c>
      <c r="D81" s="1" t="n">
        <v>45898</v>
      </c>
      <c r="E81" s="1" t="n">
        <v>46233</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45343-2023</t>
        </is>
      </c>
      <c r="B82" t="inlineStr">
        <is>
          <t>avverkningsanmälan</t>
        </is>
      </c>
      <c r="C82" t="inlineStr">
        <is>
          <t>Föryngringsavverkning</t>
        </is>
      </c>
      <c r="D82" s="1" t="n">
        <v>45191</v>
      </c>
      <c r="E82" s="1" t="n">
        <v>46233</v>
      </c>
      <c r="F82" t="inlineStr">
        <is>
          <t>VÄSTERNORRLANDS LÄN</t>
        </is>
      </c>
      <c r="G82" t="inlineStr">
        <is>
          <t>TIMRÅ</t>
        </is>
      </c>
      <c r="H82" t="inlineStr">
        <is>
          <t>SCA</t>
        </is>
      </c>
      <c r="I82" t="n">
        <v>9.5</v>
      </c>
      <c r="J82" t="n">
        <v>1</v>
      </c>
      <c r="K82" t="n">
        <v>1</v>
      </c>
      <c r="L82" t="n">
        <v>0</v>
      </c>
      <c r="M82" t="n">
        <v>1</v>
      </c>
      <c r="N82" t="n">
        <v>0</v>
      </c>
      <c r="O82" t="n">
        <v>0</v>
      </c>
      <c r="P82" t="n">
        <v>0</v>
      </c>
      <c r="Q82" t="n">
        <v>1</v>
      </c>
      <c r="R82" t="n">
        <v>1</v>
      </c>
      <c r="S82" t="n">
        <v>2</v>
      </c>
      <c r="T82" t="n">
        <v>2</v>
      </c>
      <c r="U82" t="n">
        <v>0</v>
      </c>
      <c r="V82" s="2" t="inlineStr">
        <is>
          <t>Garnlav
Plattlummer</t>
        </is>
      </c>
      <c r="W82">
        <f>HYPERLINK("https://klasma.github.io/Logging_2262/artfynd/A 45343-2023 artfynd.xlsx", "A 45343-2023")</f>
        <v/>
      </c>
      <c r="X82">
        <f>HYPERLINK("https://klasma.github.io/Logging_2262/kartor/A 45343-2023 karta.png", "A 45343-2023")</f>
        <v/>
      </c>
      <c r="Y82">
        <f>HYPERLINK("https://klasma.github.io/Logging_2262/kartor_geotiff/A 45343-2023 georefererad karta.tif", "A 45343-2023")</f>
        <v/>
      </c>
      <c r="AA82">
        <f>HYPERLINK("https://klasma.github.io/Logging_2262/klagomål/A 45343-2023 FSC-klagomål.docx", "A 45343-2023")</f>
        <v/>
      </c>
      <c r="AB82">
        <f>HYPERLINK("https://klasma.github.io/Logging_2262/klagomålsmail/A 45343-2023 FSC-klagomål mail.docx", "A 45343-2023")</f>
        <v/>
      </c>
      <c r="AC82">
        <f>HYPERLINK("https://klasma.github.io/Logging_2262/tillsyn/A 45343-2023 tillsynsbegäran.docx", "A 45343-2023")</f>
        <v/>
      </c>
      <c r="AD82">
        <f>HYPERLINK("https://klasma.github.io/Logging_2262/tillsynsmail/A 45343-2023 tillsynsbegäran mail.docx", "A 45343-2023")</f>
        <v/>
      </c>
    </row>
    <row r="83" ht="15" customHeight="1">
      <c r="A83" t="inlineStr">
        <is>
          <t>A 54723-2024</t>
        </is>
      </c>
      <c r="B83" t="inlineStr">
        <is>
          <t>avverkningsanmälan</t>
        </is>
      </c>
      <c r="C83" t="inlineStr">
        <is>
          <t>Föryngringsavverkning</t>
        </is>
      </c>
      <c r="D83" s="1" t="n">
        <v>45618</v>
      </c>
      <c r="E83" s="1" t="n">
        <v>46233</v>
      </c>
      <c r="F83" t="inlineStr">
        <is>
          <t>VÄSTERNORRLANDS LÄN</t>
        </is>
      </c>
      <c r="G83" t="inlineStr">
        <is>
          <t>TIMRÅ</t>
        </is>
      </c>
      <c r="H83" t="inlineStr">
        <is>
          <t>SCA</t>
        </is>
      </c>
      <c r="I83" t="n">
        <v>1.5</v>
      </c>
      <c r="J83" t="n">
        <v>0</v>
      </c>
      <c r="K83" t="n">
        <v>0</v>
      </c>
      <c r="L83" t="n">
        <v>2</v>
      </c>
      <c r="M83" t="n">
        <v>0</v>
      </c>
      <c r="N83" t="n">
        <v>0</v>
      </c>
      <c r="O83" t="n">
        <v>0</v>
      </c>
      <c r="P83" t="n">
        <v>0</v>
      </c>
      <c r="Q83" t="n">
        <v>2</v>
      </c>
      <c r="R83" t="n">
        <v>0</v>
      </c>
      <c r="S83" t="n">
        <v>2</v>
      </c>
      <c r="T83" t="n">
        <v>2</v>
      </c>
      <c r="U83" t="n">
        <v>0</v>
      </c>
      <c r="V83" s="2" t="inlineStr">
        <is>
          <t>Rosenticka
Ullticka</t>
        </is>
      </c>
      <c r="W83">
        <f>HYPERLINK("https://klasma.github.io/Logging_2262/artfynd/A 54723-2024 artfynd.xlsx", "A 54723-2024")</f>
        <v/>
      </c>
      <c r="X83">
        <f>HYPERLINK("https://klasma.github.io/Logging_2262/kartor/A 54723-2024 karta.png", "A 54723-2024")</f>
        <v/>
      </c>
      <c r="Y83">
        <f>HYPERLINK("https://klasma.github.io/Logging_2262/kartor_geotiff/A 54723-2024 georefererad karta.tif", "A 54723-2024")</f>
        <v/>
      </c>
      <c r="AA83">
        <f>HYPERLINK("https://klasma.github.io/Logging_2262/klagomål/A 54723-2024 FSC-klagomål.docx", "A 54723-2024")</f>
        <v/>
      </c>
      <c r="AB83">
        <f>HYPERLINK("https://klasma.github.io/Logging_2262/klagomålsmail/A 54723-2024 FSC-klagomål mail.docx", "A 54723-2024")</f>
        <v/>
      </c>
      <c r="AC83">
        <f>HYPERLINK("https://klasma.github.io/Logging_2262/tillsyn/A 54723-2024 tillsynsbegäran.docx", "A 54723-2024")</f>
        <v/>
      </c>
      <c r="AD83">
        <f>HYPERLINK("https://klasma.github.io/Logging_2262/tillsynsmail/A 54723-2024 tillsynsbegäran mail.docx", "A 54723-2024")</f>
        <v/>
      </c>
    </row>
    <row r="84" ht="15" customHeight="1">
      <c r="A84" t="inlineStr">
        <is>
          <t>A 35003-2023</t>
        </is>
      </c>
      <c r="B84" t="inlineStr">
        <is>
          <t>avverkningsanmälan</t>
        </is>
      </c>
      <c r="C84" t="inlineStr">
        <is>
          <t>Föryngringsavverkning</t>
        </is>
      </c>
      <c r="D84" s="1" t="n">
        <v>45142</v>
      </c>
      <c r="E84" s="1" t="n">
        <v>46233</v>
      </c>
      <c r="F84" t="inlineStr">
        <is>
          <t>VÄSTERNORRLANDS LÄN</t>
        </is>
      </c>
      <c r="G84" t="inlineStr">
        <is>
          <t>TIMRÅ</t>
        </is>
      </c>
      <c r="H84" t="inlineStr">
        <is>
          <t>SCA</t>
        </is>
      </c>
      <c r="I84" t="n">
        <v>1.9</v>
      </c>
      <c r="J84" t="n">
        <v>0</v>
      </c>
      <c r="K84" t="n">
        <v>0</v>
      </c>
      <c r="L84" t="n">
        <v>2</v>
      </c>
      <c r="M84" t="n">
        <v>0</v>
      </c>
      <c r="N84" t="n">
        <v>0</v>
      </c>
      <c r="O84" t="n">
        <v>0</v>
      </c>
      <c r="P84" t="n">
        <v>0</v>
      </c>
      <c r="Q84" t="n">
        <v>2</v>
      </c>
      <c r="R84" t="n">
        <v>0</v>
      </c>
      <c r="S84" t="n">
        <v>2</v>
      </c>
      <c r="T84" t="n">
        <v>2</v>
      </c>
      <c r="U84" t="n">
        <v>0</v>
      </c>
      <c r="V84" s="2" t="inlineStr">
        <is>
          <t>Lunglav
Ullticka</t>
        </is>
      </c>
      <c r="W84">
        <f>HYPERLINK("https://klasma.github.io/Logging_2262/artfynd/A 35003-2023 artfynd.xlsx", "A 35003-2023")</f>
        <v/>
      </c>
      <c r="X84">
        <f>HYPERLINK("https://klasma.github.io/Logging_2262/kartor/A 35003-2023 karta.png", "A 35003-2023")</f>
        <v/>
      </c>
      <c r="Y84">
        <f>HYPERLINK("https://klasma.github.io/Logging_2262/kartor_geotiff/A 35003-2023 georefererad karta.tif", "A 35003-2023")</f>
        <v/>
      </c>
      <c r="AA84">
        <f>HYPERLINK("https://klasma.github.io/Logging_2262/klagomål/A 35003-2023 FSC-klagomål.docx", "A 35003-2023")</f>
        <v/>
      </c>
      <c r="AB84">
        <f>HYPERLINK("https://klasma.github.io/Logging_2262/klagomålsmail/A 35003-2023 FSC-klagomål mail.docx", "A 35003-2023")</f>
        <v/>
      </c>
      <c r="AC84">
        <f>HYPERLINK("https://klasma.github.io/Logging_2262/tillsyn/A 35003-2023 tillsynsbegäran.docx", "A 35003-2023")</f>
        <v/>
      </c>
      <c r="AD84">
        <f>HYPERLINK("https://klasma.github.io/Logging_2262/tillsynsmail/A 35003-2023 tillsynsbegäran mail.docx", "A 35003-2023")</f>
        <v/>
      </c>
    </row>
    <row r="85" ht="15" customHeight="1">
      <c r="A85" t="inlineStr">
        <is>
          <t>A 43413-2023</t>
        </is>
      </c>
      <c r="B85" t="inlineStr">
        <is>
          <t>avverkningsanmälan</t>
        </is>
      </c>
      <c r="C85" t="inlineStr">
        <is>
          <t>Avverkning för att bevara och utveckla /försöksver</t>
        </is>
      </c>
      <c r="D85" s="1" t="n">
        <v>45183</v>
      </c>
      <c r="E85" s="1" t="n">
        <v>46233</v>
      </c>
      <c r="F85" t="inlineStr">
        <is>
          <t>VÄSTERNORRLANDS LÄN</t>
        </is>
      </c>
      <c r="G85" t="inlineStr">
        <is>
          <t>TIMRÅ</t>
        </is>
      </c>
      <c r="H85" t="inlineStr">
        <is>
          <t>SCA</t>
        </is>
      </c>
      <c r="I85" t="n">
        <v>4.1</v>
      </c>
      <c r="J85" t="n">
        <v>0</v>
      </c>
      <c r="K85" t="n">
        <v>0</v>
      </c>
      <c r="L85" t="n">
        <v>1</v>
      </c>
      <c r="M85" t="n">
        <v>1</v>
      </c>
      <c r="N85" t="n">
        <v>0</v>
      </c>
      <c r="O85" t="n">
        <v>0</v>
      </c>
      <c r="P85" t="n">
        <v>0</v>
      </c>
      <c r="Q85" t="n">
        <v>2</v>
      </c>
      <c r="R85" t="n">
        <v>1</v>
      </c>
      <c r="S85" t="n">
        <v>2</v>
      </c>
      <c r="T85" t="n">
        <v>2</v>
      </c>
      <c r="U85" t="n">
        <v>0</v>
      </c>
      <c r="V85" s="2" t="inlineStr">
        <is>
          <t>Garnlav
Harticka</t>
        </is>
      </c>
      <c r="W85">
        <f>HYPERLINK("https://klasma.github.io/Logging_2262/artfynd/A 43413-2023 artfynd.xlsx", "A 43413-2023")</f>
        <v/>
      </c>
      <c r="X85">
        <f>HYPERLINK("https://klasma.github.io/Logging_2262/kartor/A 43413-2023 karta.png", "A 43413-2023")</f>
        <v/>
      </c>
      <c r="Y85">
        <f>HYPERLINK("https://klasma.github.io/Logging_2262/kartor_geotiff/A 43413-2023 georefererad karta.tif", "A 43413-2023")</f>
        <v/>
      </c>
      <c r="AA85">
        <f>HYPERLINK("https://klasma.github.io/Logging_2262/klagomål/A 43413-2023 FSC-klagomål.docx", "A 43413-2023")</f>
        <v/>
      </c>
      <c r="AB85">
        <f>HYPERLINK("https://klasma.github.io/Logging_2262/klagomålsmail/A 43413-2023 FSC-klagomål mail.docx", "A 43413-2023")</f>
        <v/>
      </c>
      <c r="AC85">
        <f>HYPERLINK("https://klasma.github.io/Logging_2262/tillsyn/A 43413-2023 tillsynsbegäran.docx", "A 43413-2023")</f>
        <v/>
      </c>
      <c r="AD85">
        <f>HYPERLINK("https://klasma.github.io/Logging_2262/tillsynsmail/A 43413-2023 tillsynsbegäran mail.docx", "A 43413-2023")</f>
        <v/>
      </c>
    </row>
    <row r="86" ht="15" customHeight="1">
      <c r="A86" t="inlineStr">
        <is>
          <t>A 43964-2023</t>
        </is>
      </c>
      <c r="B86" t="inlineStr">
        <is>
          <t>avverkningsanmälan</t>
        </is>
      </c>
      <c r="C86" t="inlineStr">
        <is>
          <t>Föryngringsavverkning</t>
        </is>
      </c>
      <c r="D86" s="1" t="n">
        <v>45187</v>
      </c>
      <c r="E86" s="1" t="n">
        <v>46233</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39302-2025</t>
        </is>
      </c>
      <c r="B87" t="inlineStr">
        <is>
          <t>avverkningsanmälan</t>
        </is>
      </c>
      <c r="C87" t="inlineStr">
        <is>
          <t>Föryngringsavverkning</t>
        </is>
      </c>
      <c r="D87" s="1" t="n">
        <v>45889</v>
      </c>
      <c r="E87" s="1" t="n">
        <v>46233</v>
      </c>
      <c r="F87" t="inlineStr">
        <is>
          <t>VÄSTERNORRLANDS LÄN</t>
        </is>
      </c>
      <c r="G87" t="inlineStr">
        <is>
          <t>TIMRÅ</t>
        </is>
      </c>
      <c r="H87" t="inlineStr">
        <is>
          <t>SCA</t>
        </is>
      </c>
      <c r="I87" t="n">
        <v>6.2</v>
      </c>
      <c r="J87" t="n">
        <v>1</v>
      </c>
      <c r="K87" t="n">
        <v>0</v>
      </c>
      <c r="L87" t="n">
        <v>1</v>
      </c>
      <c r="M87" t="n">
        <v>0</v>
      </c>
      <c r="N87" t="n">
        <v>0</v>
      </c>
      <c r="O87" t="n">
        <v>0</v>
      </c>
      <c r="P87" t="n">
        <v>0</v>
      </c>
      <c r="Q87" t="n">
        <v>1</v>
      </c>
      <c r="R87" t="n">
        <v>0</v>
      </c>
      <c r="S87" t="n">
        <v>2</v>
      </c>
      <c r="T87" t="n">
        <v>2</v>
      </c>
      <c r="U87" t="n">
        <v>0</v>
      </c>
      <c r="V87" s="2" t="inlineStr">
        <is>
          <t>Rosenticka
Spillkråka</t>
        </is>
      </c>
      <c r="W87">
        <f>HYPERLINK("https://klasma.github.io/Logging_2262/artfynd/A 39302-2025 artfynd.xlsx", "A 39302-2025")</f>
        <v/>
      </c>
      <c r="X87">
        <f>HYPERLINK("https://klasma.github.io/Logging_2262/kartor/A 39302-2025 karta.png", "A 39302-2025")</f>
        <v/>
      </c>
      <c r="Y87">
        <f>HYPERLINK("https://klasma.github.io/Logging_2262/kartor_geotiff/A 39302-2025 georefererad karta.tif", "A 39302-2025")</f>
        <v/>
      </c>
      <c r="AA87">
        <f>HYPERLINK("https://klasma.github.io/Logging_2262/klagomål/A 39302-2025 FSC-klagomål.docx", "A 39302-2025")</f>
        <v/>
      </c>
      <c r="AB87">
        <f>HYPERLINK("https://klasma.github.io/Logging_2262/klagomålsmail/A 39302-2025 FSC-klagomål mail.docx", "A 39302-2025")</f>
        <v/>
      </c>
      <c r="AC87">
        <f>HYPERLINK("https://klasma.github.io/Logging_2262/tillsyn/A 39302-2025 tillsynsbegäran.docx", "A 39302-2025")</f>
        <v/>
      </c>
      <c r="AD87">
        <f>HYPERLINK("https://klasma.github.io/Logging_2262/tillsynsmail/A 39302-2025 tillsynsbegäran mail.docx", "A 39302-2025")</f>
        <v/>
      </c>
      <c r="AE87">
        <f>HYPERLINK("https://klasma.github.io/Logging_2262/fåglar/A 39302-2025 prioriterade fågelarter.docx", "A 39302-2025")</f>
        <v/>
      </c>
    </row>
    <row r="88" ht="15" customHeight="1">
      <c r="A88" t="inlineStr">
        <is>
          <t>A 14644-2026</t>
        </is>
      </c>
      <c r="B88" t="inlineStr">
        <is>
          <t>avverkningsanmälan</t>
        </is>
      </c>
      <c r="C88" t="inlineStr">
        <is>
          <t>Föryngringsavverkning</t>
        </is>
      </c>
      <c r="D88" s="1" t="n">
        <v>46101</v>
      </c>
      <c r="E88" s="1" t="n">
        <v>46233</v>
      </c>
      <c r="F88" t="inlineStr">
        <is>
          <t>VÄSTERNORRLANDS LÄN</t>
        </is>
      </c>
      <c r="G88" t="inlineStr">
        <is>
          <t>TIMRÅ</t>
        </is>
      </c>
      <c r="I88" t="n">
        <v>28</v>
      </c>
      <c r="J88" t="n">
        <v>2</v>
      </c>
      <c r="K88" t="n">
        <v>0</v>
      </c>
      <c r="L88" t="n">
        <v>1</v>
      </c>
      <c r="M88" t="n">
        <v>0</v>
      </c>
      <c r="N88" t="n">
        <v>0</v>
      </c>
      <c r="O88" t="n">
        <v>0</v>
      </c>
      <c r="P88" t="n">
        <v>0</v>
      </c>
      <c r="Q88" t="n">
        <v>1</v>
      </c>
      <c r="R88" t="n">
        <v>0</v>
      </c>
      <c r="S88" t="n">
        <v>2</v>
      </c>
      <c r="T88" t="n">
        <v>2</v>
      </c>
      <c r="U88" t="n">
        <v>0</v>
      </c>
      <c r="V88" s="2" t="inlineStr">
        <is>
          <t>Enkelbeckasin
Järpe</t>
        </is>
      </c>
      <c r="W88">
        <f>HYPERLINK("https://klasma.github.io/Logging_2262/artfynd/A 14644-2026 artfynd.xlsx", "A 14644-2026")</f>
        <v/>
      </c>
      <c r="X88">
        <f>HYPERLINK("https://klasma.github.io/Logging_2262/kartor/A 14644-2026 karta.png", "A 14644-2026")</f>
        <v/>
      </c>
      <c r="Y88">
        <f>HYPERLINK("https://klasma.github.io/Logging_2262/kartor_geotiff/A 14644-2026 georefererad karta.tif", "A 14644-2026")</f>
        <v/>
      </c>
      <c r="AA88">
        <f>HYPERLINK("https://klasma.github.io/Logging_2262/klagomål/A 14644-2026 FSC-klagomål.docx", "A 14644-2026")</f>
        <v/>
      </c>
      <c r="AB88">
        <f>HYPERLINK("https://klasma.github.io/Logging_2262/klagomålsmail/A 14644-2026 FSC-klagomål mail.docx", "A 14644-2026")</f>
        <v/>
      </c>
      <c r="AC88">
        <f>HYPERLINK("https://klasma.github.io/Logging_2262/tillsyn/A 14644-2026 tillsynsbegäran.docx", "A 14644-2026")</f>
        <v/>
      </c>
      <c r="AD88">
        <f>HYPERLINK("https://klasma.github.io/Logging_2262/tillsynsmail/A 14644-2026 tillsynsbegäran mail.docx", "A 14644-2026")</f>
        <v/>
      </c>
      <c r="AE88">
        <f>HYPERLINK("https://klasma.github.io/Logging_2262/fåglar/A 14644-2026 prioriterade fågelarter.docx", "A 14644-2026")</f>
        <v/>
      </c>
    </row>
    <row r="89" ht="15" customHeight="1">
      <c r="A89" t="inlineStr">
        <is>
          <t>A 16302-2025</t>
        </is>
      </c>
      <c r="B89" t="inlineStr">
        <is>
          <t>avverkningsanmälan</t>
        </is>
      </c>
      <c r="C89" t="inlineStr">
        <is>
          <t>Avverkning för att bevara och utveckla /försöksver</t>
        </is>
      </c>
      <c r="D89" s="1" t="n">
        <v>45751</v>
      </c>
      <c r="E89" s="1" t="n">
        <v>46233</v>
      </c>
      <c r="F89" t="inlineStr">
        <is>
          <t>VÄSTERNORRLANDS LÄN</t>
        </is>
      </c>
      <c r="G89" t="inlineStr">
        <is>
          <t>TIMRÅ</t>
        </is>
      </c>
      <c r="H89" t="inlineStr">
        <is>
          <t>SCA</t>
        </is>
      </c>
      <c r="I89" t="n">
        <v>0.3</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16302-2025 artfynd.xlsx", "A 16302-2025")</f>
        <v/>
      </c>
      <c r="X89">
        <f>HYPERLINK("https://klasma.github.io/Logging_2262/kartor/A 16302-2025 karta.png", "A 16302-2025")</f>
        <v/>
      </c>
      <c r="Y89">
        <f>HYPERLINK("https://klasma.github.io/Logging_2262/kartor_geotiff/A 16302-2025 georefererad karta.tif", "A 16302-2025")</f>
        <v/>
      </c>
      <c r="AA89">
        <f>HYPERLINK("https://klasma.github.io/Logging_2262/klagomål/A 16302-2025 FSC-klagomål.docx", "A 16302-2025")</f>
        <v/>
      </c>
      <c r="AB89">
        <f>HYPERLINK("https://klasma.github.io/Logging_2262/klagomålsmail/A 16302-2025 FSC-klagomål mail.docx", "A 16302-2025")</f>
        <v/>
      </c>
      <c r="AC89">
        <f>HYPERLINK("https://klasma.github.io/Logging_2262/tillsyn/A 16302-2025 tillsynsbegäran.docx", "A 16302-2025")</f>
        <v/>
      </c>
      <c r="AD89">
        <f>HYPERLINK("https://klasma.github.io/Logging_2262/tillsynsmail/A 16302-2025 tillsynsbegäran mail.docx", "A 16302-2025")</f>
        <v/>
      </c>
    </row>
    <row r="90" ht="15" customHeight="1">
      <c r="A90" t="inlineStr">
        <is>
          <t>A 54994-2025</t>
        </is>
      </c>
      <c r="B90" t="inlineStr">
        <is>
          <t>avverkningsanmälan</t>
        </is>
      </c>
      <c r="C90" t="inlineStr">
        <is>
          <t>Föryngringsavverkning</t>
        </is>
      </c>
      <c r="D90" s="1" t="n">
        <v>45967</v>
      </c>
      <c r="E90" s="1" t="n">
        <v>46233</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36160-2025</t>
        </is>
      </c>
      <c r="B91" t="inlineStr">
        <is>
          <t>avverkningsanmälan</t>
        </is>
      </c>
      <c r="C91" t="inlineStr">
        <is>
          <t>Föryngringsavverkning</t>
        </is>
      </c>
      <c r="D91" s="1" t="n">
        <v>45867</v>
      </c>
      <c r="E91" s="1" t="n">
        <v>46233</v>
      </c>
      <c r="F91" t="inlineStr">
        <is>
          <t>VÄSTERNORRLANDS LÄN</t>
        </is>
      </c>
      <c r="G91" t="inlineStr">
        <is>
          <t>TIMRÅ</t>
        </is>
      </c>
      <c r="H91" t="inlineStr">
        <is>
          <t>SCA</t>
        </is>
      </c>
      <c r="I91" t="n">
        <v>2.5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36160-2025 artfynd.xlsx", "A 36160-2025")</f>
        <v/>
      </c>
      <c r="X91">
        <f>HYPERLINK("https://klasma.github.io/Logging_2262/kartor/A 36160-2025 karta.png", "A 36160-2025")</f>
        <v/>
      </c>
      <c r="Y91">
        <f>HYPERLINK("https://klasma.github.io/Logging_2262/kartor_geotiff/A 36160-2025 georefererad karta.tif", "A 36160-2025")</f>
        <v/>
      </c>
      <c r="AA91">
        <f>HYPERLINK("https://klasma.github.io/Logging_2262/klagomål/A 36160-2025 FSC-klagomål.docx", "A 36160-2025")</f>
        <v/>
      </c>
      <c r="AB91">
        <f>HYPERLINK("https://klasma.github.io/Logging_2262/klagomålsmail/A 36160-2025 FSC-klagomål mail.docx", "A 36160-2025")</f>
        <v/>
      </c>
      <c r="AC91">
        <f>HYPERLINK("https://klasma.github.io/Logging_2262/tillsyn/A 36160-2025 tillsynsbegäran.docx", "A 36160-2025")</f>
        <v/>
      </c>
      <c r="AD91">
        <f>HYPERLINK("https://klasma.github.io/Logging_2262/tillsynsmail/A 36160-2025 tillsynsbegäran mail.docx", "A 36160-2025")</f>
        <v/>
      </c>
    </row>
    <row r="92" ht="15" customHeight="1">
      <c r="A92" t="inlineStr">
        <is>
          <t>A 35680-2025</t>
        </is>
      </c>
      <c r="B92" t="inlineStr">
        <is>
          <t>avverkningsanmälan</t>
        </is>
      </c>
      <c r="C92" t="inlineStr">
        <is>
          <t>Föryngringsavverkning</t>
        </is>
      </c>
      <c r="D92" s="1" t="n">
        <v>45859</v>
      </c>
      <c r="E92" s="1" t="n">
        <v>46233</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36126-2025</t>
        </is>
      </c>
      <c r="B93" t="inlineStr">
        <is>
          <t>avverkningsanmälan</t>
        </is>
      </c>
      <c r="C93" t="inlineStr">
        <is>
          <t>Föryngringsavverkning</t>
        </is>
      </c>
      <c r="D93" s="1" t="n">
        <v>45866</v>
      </c>
      <c r="E93" s="1" t="n">
        <v>46233</v>
      </c>
      <c r="F93" t="inlineStr">
        <is>
          <t>VÄSTERNORRLANDS LÄN</t>
        </is>
      </c>
      <c r="G93" t="inlineStr">
        <is>
          <t>TIMRÅ</t>
        </is>
      </c>
      <c r="H93" t="inlineStr">
        <is>
          <t>SCA</t>
        </is>
      </c>
      <c r="I93" t="n">
        <v>3.5</v>
      </c>
      <c r="J93" t="n">
        <v>1</v>
      </c>
      <c r="K93" t="n">
        <v>0</v>
      </c>
      <c r="L93" t="n">
        <v>1</v>
      </c>
      <c r="M93" t="n">
        <v>1</v>
      </c>
      <c r="N93" t="n">
        <v>0</v>
      </c>
      <c r="O93" t="n">
        <v>0</v>
      </c>
      <c r="P93" t="n">
        <v>0</v>
      </c>
      <c r="Q93" t="n">
        <v>2</v>
      </c>
      <c r="R93" t="n">
        <v>1</v>
      </c>
      <c r="S93" t="n">
        <v>2</v>
      </c>
      <c r="T93" t="n">
        <v>2</v>
      </c>
      <c r="U93" t="n">
        <v>0</v>
      </c>
      <c r="V93" s="2" t="inlineStr">
        <is>
          <t>Knärot
Violettgrå tagellav</t>
        </is>
      </c>
      <c r="W93">
        <f>HYPERLINK("https://klasma.github.io/Logging_2262/artfynd/A 36126-2025 artfynd.xlsx", "A 36126-2025")</f>
        <v/>
      </c>
      <c r="X93">
        <f>HYPERLINK("https://klasma.github.io/Logging_2262/kartor/A 36126-2025 karta.png", "A 36126-2025")</f>
        <v/>
      </c>
      <c r="Y93">
        <f>HYPERLINK("https://klasma.github.io/Logging_2262/kartor_geotiff/A 36126-2025 georefererad karta.tif", "A 36126-2025")</f>
        <v/>
      </c>
      <c r="Z93">
        <f>HYPERLINK("https://klasma.github.io/Logging_2262/knärot/A 36126-2025 karta knärot.png", "A 36126-2025")</f>
        <v/>
      </c>
      <c r="AA93">
        <f>HYPERLINK("https://klasma.github.io/Logging_2262/klagomål/A 36126-2025 FSC-klagomål.docx", "A 36126-2025")</f>
        <v/>
      </c>
      <c r="AB93">
        <f>HYPERLINK("https://klasma.github.io/Logging_2262/klagomålsmail/A 36126-2025 FSC-klagomål mail.docx", "A 36126-2025")</f>
        <v/>
      </c>
      <c r="AC93">
        <f>HYPERLINK("https://klasma.github.io/Logging_2262/tillsyn/A 36126-2025 tillsynsbegäran.docx", "A 36126-2025")</f>
        <v/>
      </c>
      <c r="AD93">
        <f>HYPERLINK("https://klasma.github.io/Logging_2262/tillsynsmail/A 36126-2025 tillsynsbegäran mail.docx", "A 36126-2025")</f>
        <v/>
      </c>
    </row>
    <row r="94" ht="15" customHeight="1">
      <c r="A94" t="inlineStr">
        <is>
          <t>A 53302-2024</t>
        </is>
      </c>
      <c r="B94" t="inlineStr">
        <is>
          <t>avverkningsanmälan</t>
        </is>
      </c>
      <c r="C94" t="inlineStr">
        <is>
          <t>Föryngringsavverkning</t>
        </is>
      </c>
      <c r="D94" s="1" t="n">
        <v>45614</v>
      </c>
      <c r="E94" s="1" t="n">
        <v>46233</v>
      </c>
      <c r="F94" t="inlineStr">
        <is>
          <t>VÄSTERNORRLANDS LÄN</t>
        </is>
      </c>
      <c r="G94" t="inlineStr">
        <is>
          <t>TIMRÅ</t>
        </is>
      </c>
      <c r="H94" t="inlineStr">
        <is>
          <t>SCA</t>
        </is>
      </c>
      <c r="I94" t="n">
        <v>1.1</v>
      </c>
      <c r="J94" t="n">
        <v>0</v>
      </c>
      <c r="K94" t="n">
        <v>0</v>
      </c>
      <c r="L94" t="n">
        <v>1</v>
      </c>
      <c r="M94" t="n">
        <v>1</v>
      </c>
      <c r="N94" t="n">
        <v>0</v>
      </c>
      <c r="O94" t="n">
        <v>0</v>
      </c>
      <c r="P94" t="n">
        <v>0</v>
      </c>
      <c r="Q94" t="n">
        <v>2</v>
      </c>
      <c r="R94" t="n">
        <v>1</v>
      </c>
      <c r="S94" t="n">
        <v>2</v>
      </c>
      <c r="T94" t="n">
        <v>2</v>
      </c>
      <c r="U94" t="n">
        <v>0</v>
      </c>
      <c r="V94" s="2" t="inlineStr">
        <is>
          <t>Garnlav
Rynkskinn</t>
        </is>
      </c>
      <c r="W94">
        <f>HYPERLINK("https://klasma.github.io/Logging_2262/artfynd/A 53302-2024 artfynd.xlsx", "A 53302-2024")</f>
        <v/>
      </c>
      <c r="X94">
        <f>HYPERLINK("https://klasma.github.io/Logging_2262/kartor/A 53302-2024 karta.png", "A 53302-2024")</f>
        <v/>
      </c>
      <c r="Y94">
        <f>HYPERLINK("https://klasma.github.io/Logging_2262/kartor_geotiff/A 53302-2024 georefererad karta.tif", "A 53302-2024")</f>
        <v/>
      </c>
      <c r="AA94">
        <f>HYPERLINK("https://klasma.github.io/Logging_2262/klagomål/A 53302-2024 FSC-klagomål.docx", "A 53302-2024")</f>
        <v/>
      </c>
      <c r="AB94">
        <f>HYPERLINK("https://klasma.github.io/Logging_2262/klagomålsmail/A 53302-2024 FSC-klagomål mail.docx", "A 53302-2024")</f>
        <v/>
      </c>
      <c r="AC94">
        <f>HYPERLINK("https://klasma.github.io/Logging_2262/tillsyn/A 53302-2024 tillsynsbegäran.docx", "A 53302-2024")</f>
        <v/>
      </c>
      <c r="AD94">
        <f>HYPERLINK("https://klasma.github.io/Logging_2262/tillsynsmail/A 53302-2024 tillsynsbegäran mail.docx", "A 53302-2024")</f>
        <v/>
      </c>
    </row>
    <row r="95" ht="15" customHeight="1">
      <c r="A95" t="inlineStr">
        <is>
          <t>A 18399-2025</t>
        </is>
      </c>
      <c r="B95" t="inlineStr">
        <is>
          <t>avverkningsanmälan</t>
        </is>
      </c>
      <c r="C95" t="inlineStr">
        <is>
          <t>Föryngringsavverkning</t>
        </is>
      </c>
      <c r="D95" s="1" t="n">
        <v>45762</v>
      </c>
      <c r="E95" s="1" t="n">
        <v>46233</v>
      </c>
      <c r="F95" t="inlineStr">
        <is>
          <t>VÄSTERNORRLANDS LÄN</t>
        </is>
      </c>
      <c r="G95" t="inlineStr">
        <is>
          <t>TIMRÅ</t>
        </is>
      </c>
      <c r="I95" t="n">
        <v>1.8</v>
      </c>
      <c r="J95" t="n">
        <v>1</v>
      </c>
      <c r="K95" t="n">
        <v>0</v>
      </c>
      <c r="L95" t="n">
        <v>1</v>
      </c>
      <c r="M95" t="n">
        <v>0</v>
      </c>
      <c r="N95" t="n">
        <v>0</v>
      </c>
      <c r="O95" t="n">
        <v>0</v>
      </c>
      <c r="P95" t="n">
        <v>0</v>
      </c>
      <c r="Q95" t="n">
        <v>1</v>
      </c>
      <c r="R95" t="n">
        <v>0</v>
      </c>
      <c r="S95" t="n">
        <v>2</v>
      </c>
      <c r="T95" t="n">
        <v>2</v>
      </c>
      <c r="U95" t="n">
        <v>0</v>
      </c>
      <c r="V95" s="2" t="inlineStr">
        <is>
          <t>Slåtterfibbla
Kopparödla</t>
        </is>
      </c>
      <c r="W95">
        <f>HYPERLINK("https://klasma.github.io/Logging_2262/artfynd/A 18399-2025 artfynd.xlsx", "A 18399-2025")</f>
        <v/>
      </c>
      <c r="X95">
        <f>HYPERLINK("https://klasma.github.io/Logging_2262/kartor/A 18399-2025 karta.png", "A 18399-2025")</f>
        <v/>
      </c>
      <c r="Y95">
        <f>HYPERLINK("https://klasma.github.io/Logging_2262/kartor_geotiff/A 18399-2025 georefererad karta.tif", "A 18399-2025")</f>
        <v/>
      </c>
      <c r="AA95">
        <f>HYPERLINK("https://klasma.github.io/Logging_2262/klagomål/A 18399-2025 FSC-klagomål.docx", "A 18399-2025")</f>
        <v/>
      </c>
      <c r="AB95">
        <f>HYPERLINK("https://klasma.github.io/Logging_2262/klagomålsmail/A 18399-2025 FSC-klagomål mail.docx", "A 18399-2025")</f>
        <v/>
      </c>
      <c r="AC95">
        <f>HYPERLINK("https://klasma.github.io/Logging_2262/tillsyn/A 18399-2025 tillsynsbegäran.docx", "A 18399-2025")</f>
        <v/>
      </c>
      <c r="AD95">
        <f>HYPERLINK("https://klasma.github.io/Logging_2262/tillsynsmail/A 18399-2025 tillsynsbegäran mail.docx", "A 18399-2025")</f>
        <v/>
      </c>
    </row>
    <row r="96" ht="15" customHeight="1">
      <c r="A96" t="inlineStr">
        <is>
          <t>A 55709-2024</t>
        </is>
      </c>
      <c r="B96" t="inlineStr">
        <is>
          <t>avverkningsanmälan</t>
        </is>
      </c>
      <c r="C96" t="inlineStr">
        <is>
          <t>Avverkning för att bevara och utveckla /försöksver</t>
        </is>
      </c>
      <c r="D96" s="1" t="n">
        <v>45622</v>
      </c>
      <c r="E96" s="1" t="n">
        <v>46233</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t="n">
        <v>0</v>
      </c>
      <c r="V96" s="2" t="inlineStr">
        <is>
          <t>Lunglav
Skinnlav</t>
        </is>
      </c>
      <c r="W96">
        <f>HYPERLINK("https://klasma.github.io/Logging_2262/artfynd/A 55709-2024 artfynd.xlsx", "A 55709-2024")</f>
        <v/>
      </c>
      <c r="X96">
        <f>HYPERLINK("https://klasma.github.io/Logging_2262/kartor/A 55709-2024 karta.png", "A 55709-2024")</f>
        <v/>
      </c>
      <c r="Y96">
        <f>HYPERLINK("https://klasma.github.io/Logging_2262/kartor_geotiff/A 55709-2024 georefererad karta.tif", "A 55709-2024")</f>
        <v/>
      </c>
      <c r="AA96">
        <f>HYPERLINK("https://klasma.github.io/Logging_2262/klagomål/A 55709-2024 FSC-klagomål.docx", "A 55709-2024")</f>
        <v/>
      </c>
      <c r="AB96">
        <f>HYPERLINK("https://klasma.github.io/Logging_2262/klagomålsmail/A 55709-2024 FSC-klagomål mail.docx", "A 55709-2024")</f>
        <v/>
      </c>
      <c r="AC96">
        <f>HYPERLINK("https://klasma.github.io/Logging_2262/tillsyn/A 55709-2024 tillsynsbegäran.docx", "A 55709-2024")</f>
        <v/>
      </c>
      <c r="AD96">
        <f>HYPERLINK("https://klasma.github.io/Logging_2262/tillsynsmail/A 55709-2024 tillsynsbegäran mail.docx", "A 55709-2024")</f>
        <v/>
      </c>
    </row>
    <row r="97" ht="15" customHeight="1">
      <c r="A97" t="inlineStr">
        <is>
          <t>A 21407-2026</t>
        </is>
      </c>
      <c r="B97" t="inlineStr">
        <is>
          <t>avverkningsanmälan</t>
        </is>
      </c>
      <c r="C97" t="inlineStr">
        <is>
          <t>Avverkning för att bevara och utveckla /försöksver</t>
        </is>
      </c>
      <c r="D97" s="1" t="n">
        <v>46148</v>
      </c>
      <c r="E97" s="1" t="n">
        <v>46233</v>
      </c>
      <c r="F97" t="inlineStr">
        <is>
          <t>VÄSTERNORRLANDS LÄN</t>
        </is>
      </c>
      <c r="G97" t="inlineStr">
        <is>
          <t>TIMRÅ</t>
        </is>
      </c>
      <c r="H97" t="inlineStr">
        <is>
          <t>SCA</t>
        </is>
      </c>
      <c r="I97" t="n">
        <v>1.1</v>
      </c>
      <c r="J97" t="n">
        <v>0</v>
      </c>
      <c r="K97" t="n">
        <v>0</v>
      </c>
      <c r="L97" t="n">
        <v>2</v>
      </c>
      <c r="M97" t="n">
        <v>0</v>
      </c>
      <c r="N97" t="n">
        <v>0</v>
      </c>
      <c r="O97" t="n">
        <v>0</v>
      </c>
      <c r="P97" t="n">
        <v>0</v>
      </c>
      <c r="Q97" t="n">
        <v>2</v>
      </c>
      <c r="R97" t="n">
        <v>0</v>
      </c>
      <c r="S97" t="n">
        <v>2</v>
      </c>
      <c r="T97" t="n">
        <v>2</v>
      </c>
      <c r="U97" t="n">
        <v>0</v>
      </c>
      <c r="V97" s="2" t="inlineStr">
        <is>
          <t>Gammelgransskål
Ullticka</t>
        </is>
      </c>
      <c r="W97">
        <f>HYPERLINK("https://klasma.github.io/Logging_2262/artfynd/A 21407-2026 artfynd.xlsx", "A 21407-2026")</f>
        <v/>
      </c>
      <c r="X97">
        <f>HYPERLINK("https://klasma.github.io/Logging_2262/kartor/A 21407-2026 karta.png", "A 21407-2026")</f>
        <v/>
      </c>
      <c r="Y97">
        <f>HYPERLINK("https://klasma.github.io/Logging_2262/kartor_geotiff/A 21407-2026 georefererad karta.tif", "A 21407-2026")</f>
        <v/>
      </c>
      <c r="AA97">
        <f>HYPERLINK("https://klasma.github.io/Logging_2262/klagomål/A 21407-2026 FSC-klagomål.docx", "A 21407-2026")</f>
        <v/>
      </c>
      <c r="AB97">
        <f>HYPERLINK("https://klasma.github.io/Logging_2262/klagomålsmail/A 21407-2026 FSC-klagomål mail.docx", "A 21407-2026")</f>
        <v/>
      </c>
      <c r="AC97">
        <f>HYPERLINK("https://klasma.github.io/Logging_2262/tillsyn/A 21407-2026 tillsynsbegäran.docx", "A 21407-2026")</f>
        <v/>
      </c>
      <c r="AD97">
        <f>HYPERLINK("https://klasma.github.io/Logging_2262/tillsynsmail/A 21407-2026 tillsynsbegäran mail.docx", "A 21407-2026")</f>
        <v/>
      </c>
    </row>
    <row r="98" ht="15" customHeight="1">
      <c r="A98" t="inlineStr">
        <is>
          <t>A 44404-2023</t>
        </is>
      </c>
      <c r="B98" t="inlineStr">
        <is>
          <t>avverkningsanmälan</t>
        </is>
      </c>
      <c r="C98" t="inlineStr">
        <is>
          <t>Avverkning för att bevara och utveckla /försöksver</t>
        </is>
      </c>
      <c r="D98" s="1" t="n">
        <v>45188</v>
      </c>
      <c r="E98" s="1" t="n">
        <v>46233</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38996-2024</t>
        </is>
      </c>
      <c r="B99" t="inlineStr">
        <is>
          <t>avverkningsanmälan</t>
        </is>
      </c>
      <c r="C99" t="inlineStr">
        <is>
          <t>Föryngringsavverkning</t>
        </is>
      </c>
      <c r="D99" s="1" t="n">
        <v>45548</v>
      </c>
      <c r="E99" s="1" t="n">
        <v>46233</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46233</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46233</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46233</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46233</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46233</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46233</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46233</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S 575-2026</t>
        </is>
      </c>
      <c r="B107" t="inlineStr">
        <is>
          <t>samrådsanmälan</t>
        </is>
      </c>
      <c r="C107" t="inlineStr">
        <is>
          <t>Annan skogsbruksåtgärd</t>
        </is>
      </c>
      <c r="D107" s="1" t="n">
        <v>46083</v>
      </c>
      <c r="E107" s="1" t="n">
        <v>46233</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46233</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46233</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46233</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46233</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40107-2025</t>
        </is>
      </c>
      <c r="B112" t="inlineStr">
        <is>
          <t>avverkningsanmälan</t>
        </is>
      </c>
      <c r="C112" t="inlineStr">
        <is>
          <t>Avverkning för att bevara och utveckla /försöksver</t>
        </is>
      </c>
      <c r="D112" s="1" t="n">
        <v>45894</v>
      </c>
      <c r="E112" s="1" t="n">
        <v>46233</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30072-2025</t>
        </is>
      </c>
      <c r="B113" t="inlineStr">
        <is>
          <t>avverkningsanmälan</t>
        </is>
      </c>
      <c r="C113" t="inlineStr">
        <is>
          <t>Föryngringsavverkning</t>
        </is>
      </c>
      <c r="D113" s="1" t="n">
        <v>45826</v>
      </c>
      <c r="E113" s="1" t="n">
        <v>46233</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56287-2024</t>
        </is>
      </c>
      <c r="B114" t="inlineStr">
        <is>
          <t>avverkningsanmälan</t>
        </is>
      </c>
      <c r="C114" t="inlineStr">
        <is>
          <t>Föryngringsavverkning</t>
        </is>
      </c>
      <c r="D114" s="1" t="n">
        <v>45624</v>
      </c>
      <c r="E114" s="1" t="n">
        <v>46233</v>
      </c>
      <c r="F114" t="inlineStr">
        <is>
          <t>VÄSTERNORRLANDS LÄN</t>
        </is>
      </c>
      <c r="G114" t="inlineStr">
        <is>
          <t>TIMRÅ</t>
        </is>
      </c>
      <c r="H114" t="inlineStr">
        <is>
          <t>SCA</t>
        </is>
      </c>
      <c r="I114" t="n">
        <v>10.2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56287-2024 artfynd.xlsx", "A 56287-2024")</f>
        <v/>
      </c>
      <c r="X114">
        <f>HYPERLINK("https://klasma.github.io/Logging_2262/kartor/A 56287-2024 karta.png", "A 56287-2024")</f>
        <v/>
      </c>
      <c r="Y114">
        <f>HYPERLINK("https://klasma.github.io/Logging_2262/kartor_geotiff/A 56287-2024 georefererad karta.tif", "A 56287-2024")</f>
        <v/>
      </c>
      <c r="AA114">
        <f>HYPERLINK("https://klasma.github.io/Logging_2262/klagomål/A 56287-2024 FSC-klagomål.docx", "A 56287-2024")</f>
        <v/>
      </c>
      <c r="AB114">
        <f>HYPERLINK("https://klasma.github.io/Logging_2262/klagomålsmail/A 56287-2024 FSC-klagomål mail.docx", "A 56287-2024")</f>
        <v/>
      </c>
      <c r="AC114">
        <f>HYPERLINK("https://klasma.github.io/Logging_2262/tillsyn/A 56287-2024 tillsynsbegäran.docx", "A 56287-2024")</f>
        <v/>
      </c>
      <c r="AD114">
        <f>HYPERLINK("https://klasma.github.io/Logging_2262/tillsynsmail/A 56287-2024 tillsynsbegäran mail.docx", "A 56287-2024")</f>
        <v/>
      </c>
    </row>
    <row r="115" ht="15" customHeight="1">
      <c r="A115" t="inlineStr">
        <is>
          <t>A 32366-2025</t>
        </is>
      </c>
      <c r="B115" t="inlineStr">
        <is>
          <t>avverkningsanmälan</t>
        </is>
      </c>
      <c r="C115" t="inlineStr">
        <is>
          <t>Föryngringsavverkning</t>
        </is>
      </c>
      <c r="D115" s="1" t="n">
        <v>45837</v>
      </c>
      <c r="E115" s="1" t="n">
        <v>46233</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32367-2025</t>
        </is>
      </c>
      <c r="B116" t="inlineStr">
        <is>
          <t>avverkningsanmälan</t>
        </is>
      </c>
      <c r="C116" t="inlineStr">
        <is>
          <t>Föryngringsavverkning</t>
        </is>
      </c>
      <c r="D116" s="1" t="n">
        <v>45837</v>
      </c>
      <c r="E116" s="1" t="n">
        <v>46233</v>
      </c>
      <c r="F116" t="inlineStr">
        <is>
          <t>VÄSTERNORRLANDS LÄN</t>
        </is>
      </c>
      <c r="G116" t="inlineStr">
        <is>
          <t>TIMRÅ</t>
        </is>
      </c>
      <c r="H116" t="inlineStr">
        <is>
          <t>SCA</t>
        </is>
      </c>
      <c r="I116" t="n">
        <v>11.8</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32367-2025 artfynd.xlsx", "A 32367-2025")</f>
        <v/>
      </c>
      <c r="X116">
        <f>HYPERLINK("https://klasma.github.io/Logging_2262/kartor/A 32367-2025 karta.png", "A 32367-2025")</f>
        <v/>
      </c>
      <c r="Y116">
        <f>HYPERLINK("https://klasma.github.io/Logging_2262/kartor_geotiff/A 32367-2025 georefererad karta.tif", "A 32367-2025")</f>
        <v/>
      </c>
      <c r="AA116">
        <f>HYPERLINK("https://klasma.github.io/Logging_2262/klagomål/A 32367-2025 FSC-klagomål.docx", "A 32367-2025")</f>
        <v/>
      </c>
      <c r="AB116">
        <f>HYPERLINK("https://klasma.github.io/Logging_2262/klagomålsmail/A 32367-2025 FSC-klagomål mail.docx", "A 32367-2025")</f>
        <v/>
      </c>
      <c r="AC116">
        <f>HYPERLINK("https://klasma.github.io/Logging_2262/tillsyn/A 32367-2025 tillsynsbegäran.docx", "A 32367-2025")</f>
        <v/>
      </c>
      <c r="AD116">
        <f>HYPERLINK("https://klasma.github.io/Logging_2262/tillsynsmail/A 32367-2025 tillsynsbegäran mail.docx", "A 32367-2025")</f>
        <v/>
      </c>
    </row>
    <row r="117" ht="15" customHeight="1">
      <c r="A117" t="inlineStr">
        <is>
          <t>A 22486-2024</t>
        </is>
      </c>
      <c r="B117" t="inlineStr">
        <is>
          <t>avverkningsanmälan</t>
        </is>
      </c>
      <c r="C117" t="inlineStr">
        <is>
          <t>Föryngringsavverkning</t>
        </is>
      </c>
      <c r="D117" s="1" t="n">
        <v>45446</v>
      </c>
      <c r="E117" s="1" t="n">
        <v>46233</v>
      </c>
      <c r="F117" t="inlineStr">
        <is>
          <t>VÄSTERNORRLANDS LÄN</t>
        </is>
      </c>
      <c r="G117" t="inlineStr">
        <is>
          <t>TIMRÅ</t>
        </is>
      </c>
      <c r="I117" t="n">
        <v>6.8</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HYPERLINK("https://klasma.github.io/Logging_2262/artfynd/A 22486-2024 artfynd.xlsx", "A 22486-2024")</f>
        <v/>
      </c>
      <c r="X117">
        <f>HYPERLINK("https://klasma.github.io/Logging_2262/kartor/A 22486-2024 karta.png", "A 22486-2024")</f>
        <v/>
      </c>
      <c r="Y117">
        <f>HYPERLINK("https://klasma.github.io/Logging_2262/kartor_geotiff/A 22486-2024 georefererad karta.tif", "A 22486-2024")</f>
        <v/>
      </c>
      <c r="AA117">
        <f>HYPERLINK("https://klasma.github.io/Logging_2262/klagomål/A 22486-2024 FSC-klagomål.docx", "A 22486-2024")</f>
        <v/>
      </c>
      <c r="AB117">
        <f>HYPERLINK("https://klasma.github.io/Logging_2262/klagomålsmail/A 22486-2024 FSC-klagomål mail.docx", "A 22486-2024")</f>
        <v/>
      </c>
      <c r="AC117">
        <f>HYPERLINK("https://klasma.github.io/Logging_2262/tillsyn/A 22486-2024 tillsynsbegäran.docx", "A 22486-2024")</f>
        <v/>
      </c>
      <c r="AD117">
        <f>HYPERLINK("https://klasma.github.io/Logging_2262/tillsynsmail/A 22486-2024 tillsynsbegäran mail.docx", "A 22486-2024")</f>
        <v/>
      </c>
      <c r="AE117">
        <f>HYPERLINK("https://klasma.github.io/Logging_2262/fåglar/A 22486-2024 prioriterade fågelarter.docx", "A 22486-2024")</f>
        <v/>
      </c>
    </row>
    <row r="118" ht="15" customHeight="1">
      <c r="A118" t="inlineStr">
        <is>
          <t>A 51584-2025</t>
        </is>
      </c>
      <c r="B118" t="inlineStr">
        <is>
          <t>avverkningsanmälan</t>
        </is>
      </c>
      <c r="C118" t="inlineStr">
        <is>
          <t>Föryngringsavverkning</t>
        </is>
      </c>
      <c r="D118" s="1" t="n">
        <v>45951</v>
      </c>
      <c r="E118" s="1" t="n">
        <v>46233</v>
      </c>
      <c r="F118" t="inlineStr">
        <is>
          <t>VÄSTERNORRLANDS LÄN</t>
        </is>
      </c>
      <c r="G118" t="inlineStr">
        <is>
          <t>TIMRÅ</t>
        </is>
      </c>
      <c r="I118" t="n">
        <v>3.1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HYPERLINK("https://klasma.github.io/Logging_2262/artfynd/A 51584-2025 artfynd.xlsx", "A 51584-2025")</f>
        <v/>
      </c>
      <c r="X118">
        <f>HYPERLINK("https://klasma.github.io/Logging_2262/kartor/A 51584-2025 karta.png", "A 51584-2025")</f>
        <v/>
      </c>
      <c r="Y118">
        <f>HYPERLINK("https://klasma.github.io/Logging_2262/kartor_geotiff/A 51584-2025 georefererad karta.tif", "A 51584-2025")</f>
        <v/>
      </c>
      <c r="AA118">
        <f>HYPERLINK("https://klasma.github.io/Logging_2262/klagomål/A 51584-2025 FSC-klagomål.docx", "A 51584-2025")</f>
        <v/>
      </c>
      <c r="AB118">
        <f>HYPERLINK("https://klasma.github.io/Logging_2262/klagomålsmail/A 51584-2025 FSC-klagomål mail.docx", "A 51584-2025")</f>
        <v/>
      </c>
      <c r="AC118">
        <f>HYPERLINK("https://klasma.github.io/Logging_2262/tillsyn/A 51584-2025 tillsynsbegäran.docx", "A 51584-2025")</f>
        <v/>
      </c>
      <c r="AD118">
        <f>HYPERLINK("https://klasma.github.io/Logging_2262/tillsynsmail/A 51584-2025 tillsynsbegäran mail.docx", "A 51584-2025")</f>
        <v/>
      </c>
    </row>
    <row r="119" ht="15" customHeight="1">
      <c r="A119" t="inlineStr">
        <is>
          <t>A 53508-2025</t>
        </is>
      </c>
      <c r="B119" t="inlineStr">
        <is>
          <t>avverkningsanmälan</t>
        </is>
      </c>
      <c r="C119" t="inlineStr">
        <is>
          <t>Avverkning för att bevara och utveckla /försöksver</t>
        </is>
      </c>
      <c r="D119" s="1" t="n">
        <v>45960</v>
      </c>
      <c r="E119" s="1" t="n">
        <v>46233</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9639-2026</t>
        </is>
      </c>
      <c r="B120" t="inlineStr">
        <is>
          <t>avverkningsanmälan</t>
        </is>
      </c>
      <c r="C120" t="inlineStr">
        <is>
          <t>Föryngringsavverkning</t>
        </is>
      </c>
      <c r="D120" s="1" t="n">
        <v>46072</v>
      </c>
      <c r="E120" s="1" t="n">
        <v>46233</v>
      </c>
      <c r="F120" t="inlineStr">
        <is>
          <t>VÄSTERNORRLANDS LÄN</t>
        </is>
      </c>
      <c r="G120" t="inlineStr">
        <is>
          <t>TIMRÅ</t>
        </is>
      </c>
      <c r="I120" t="n">
        <v>1.5</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9639-2026 artfynd.xlsx", "A 9639-2026")</f>
        <v/>
      </c>
      <c r="X120">
        <f>HYPERLINK("https://klasma.github.io/Logging_2262/kartor/A 9639-2026 karta.png", "A 9639-2026")</f>
        <v/>
      </c>
      <c r="Y120">
        <f>HYPERLINK("https://klasma.github.io/Logging_2262/kartor_geotiff/A 9639-2026 georefererad karta.tif", "A 9639-2026")</f>
        <v/>
      </c>
      <c r="AA120">
        <f>HYPERLINK("https://klasma.github.io/Logging_2262/klagomål/A 9639-2026 FSC-klagomål.docx", "A 9639-2026")</f>
        <v/>
      </c>
      <c r="AB120">
        <f>HYPERLINK("https://klasma.github.io/Logging_2262/klagomålsmail/A 9639-2026 FSC-klagomål mail.docx", "A 9639-2026")</f>
        <v/>
      </c>
      <c r="AC120">
        <f>HYPERLINK("https://klasma.github.io/Logging_2262/tillsyn/A 9639-2026 tillsynsbegäran.docx", "A 9639-2026")</f>
        <v/>
      </c>
      <c r="AD120">
        <f>HYPERLINK("https://klasma.github.io/Logging_2262/tillsynsmail/A 9639-2026 tillsynsbegäran mail.docx", "A 9639-2026")</f>
        <v/>
      </c>
    </row>
    <row r="121" ht="15" customHeight="1">
      <c r="A121" t="inlineStr">
        <is>
          <t>A 9634-2026</t>
        </is>
      </c>
      <c r="B121" t="inlineStr">
        <is>
          <t>avverkningsanmälan</t>
        </is>
      </c>
      <c r="C121" t="inlineStr">
        <is>
          <t>Föryngringsavverkning</t>
        </is>
      </c>
      <c r="D121" s="1" t="n">
        <v>46072</v>
      </c>
      <c r="E121" s="1" t="n">
        <v>46233</v>
      </c>
      <c r="F121" t="inlineStr">
        <is>
          <t>VÄSTERNORRLANDS LÄN</t>
        </is>
      </c>
      <c r="G121" t="inlineStr">
        <is>
          <t>TIMRÅ</t>
        </is>
      </c>
      <c r="I121" t="n">
        <v>5.6</v>
      </c>
      <c r="J121" t="n">
        <v>1</v>
      </c>
      <c r="K121" t="n">
        <v>0</v>
      </c>
      <c r="L121" t="n">
        <v>1</v>
      </c>
      <c r="M121" t="n">
        <v>0</v>
      </c>
      <c r="N121" t="n">
        <v>0</v>
      </c>
      <c r="O121" t="n">
        <v>0</v>
      </c>
      <c r="P121" t="n">
        <v>0</v>
      </c>
      <c r="Q121" t="n">
        <v>1</v>
      </c>
      <c r="R121" t="n">
        <v>0</v>
      </c>
      <c r="S121" t="n">
        <v>1</v>
      </c>
      <c r="T121" t="n">
        <v>1</v>
      </c>
      <c r="U121" t="n">
        <v>0</v>
      </c>
      <c r="V121" s="2" t="inlineStr">
        <is>
          <t>Tretåig hackspett</t>
        </is>
      </c>
      <c r="W121">
        <f>HYPERLINK("https://klasma.github.io/Logging_2262/artfynd/A 9634-2026 artfynd.xlsx", "A 9634-2026")</f>
        <v/>
      </c>
      <c r="X121">
        <f>HYPERLINK("https://klasma.github.io/Logging_2262/kartor/A 9634-2026 karta.png", "A 9634-2026")</f>
        <v/>
      </c>
      <c r="Y121">
        <f>HYPERLINK("https://klasma.github.io/Logging_2262/kartor_geotiff/A 9634-2026 georefererad karta.tif", "A 9634-2026")</f>
        <v/>
      </c>
      <c r="AA121">
        <f>HYPERLINK("https://klasma.github.io/Logging_2262/klagomål/A 9634-2026 FSC-klagomål.docx", "A 9634-2026")</f>
        <v/>
      </c>
      <c r="AB121">
        <f>HYPERLINK("https://klasma.github.io/Logging_2262/klagomålsmail/A 9634-2026 FSC-klagomål mail.docx", "A 9634-2026")</f>
        <v/>
      </c>
      <c r="AC121">
        <f>HYPERLINK("https://klasma.github.io/Logging_2262/tillsyn/A 9634-2026 tillsynsbegäran.docx", "A 9634-2026")</f>
        <v/>
      </c>
      <c r="AD121">
        <f>HYPERLINK("https://klasma.github.io/Logging_2262/tillsynsmail/A 9634-2026 tillsynsbegäran mail.docx", "A 9634-2026")</f>
        <v/>
      </c>
      <c r="AE121">
        <f>HYPERLINK("https://klasma.github.io/Logging_2262/fåglar/A 9634-2026 prioriterade fågelarter.docx", "A 9634-2026")</f>
        <v/>
      </c>
    </row>
    <row r="122" ht="15" customHeight="1">
      <c r="A122" t="inlineStr">
        <is>
          <t>A 9637-2026</t>
        </is>
      </c>
      <c r="B122" t="inlineStr">
        <is>
          <t>avverkningsanmälan</t>
        </is>
      </c>
      <c r="C122" t="inlineStr">
        <is>
          <t>Föryngringsavverkning</t>
        </is>
      </c>
      <c r="D122" s="1" t="n">
        <v>46072</v>
      </c>
      <c r="E122" s="1" t="n">
        <v>46233</v>
      </c>
      <c r="F122" t="inlineStr">
        <is>
          <t>VÄSTERNORRLANDS LÄN</t>
        </is>
      </c>
      <c r="G122" t="inlineStr">
        <is>
          <t>TIMRÅ</t>
        </is>
      </c>
      <c r="I122" t="n">
        <v>1.3</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9637-2026 artfynd.xlsx", "A 9637-2026")</f>
        <v/>
      </c>
      <c r="X122">
        <f>HYPERLINK("https://klasma.github.io/Logging_2262/kartor/A 9637-2026 karta.png", "A 9637-2026")</f>
        <v/>
      </c>
      <c r="Y122">
        <f>HYPERLINK("https://klasma.github.io/Logging_2262/kartor_geotiff/A 9637-2026 georefererad karta.tif", "A 9637-2026")</f>
        <v/>
      </c>
      <c r="AA122">
        <f>HYPERLINK("https://klasma.github.io/Logging_2262/klagomål/A 9637-2026 FSC-klagomål.docx", "A 9637-2026")</f>
        <v/>
      </c>
      <c r="AB122">
        <f>HYPERLINK("https://klasma.github.io/Logging_2262/klagomålsmail/A 9637-2026 FSC-klagomål mail.docx", "A 9637-2026")</f>
        <v/>
      </c>
      <c r="AC122">
        <f>HYPERLINK("https://klasma.github.io/Logging_2262/tillsyn/A 9637-2026 tillsynsbegäran.docx", "A 9637-2026")</f>
        <v/>
      </c>
      <c r="AD122">
        <f>HYPERLINK("https://klasma.github.io/Logging_2262/tillsynsmail/A 9637-2026 tillsynsbegäran mail.docx", "A 9637-2026")</f>
        <v/>
      </c>
    </row>
    <row r="123" ht="15" customHeight="1">
      <c r="A123" t="inlineStr">
        <is>
          <t>A 12975-2026</t>
        </is>
      </c>
      <c r="B123" t="inlineStr">
        <is>
          <t>avverkningsanmälan</t>
        </is>
      </c>
      <c r="C123" t="inlineStr">
        <is>
          <t>Föryngringsavverkning</t>
        </is>
      </c>
      <c r="D123" s="1" t="n">
        <v>46092</v>
      </c>
      <c r="E123" s="1" t="n">
        <v>46233</v>
      </c>
      <c r="F123" t="inlineStr">
        <is>
          <t>VÄSTERNORRLANDS LÄN</t>
        </is>
      </c>
      <c r="G123" t="inlineStr">
        <is>
          <t>TIMRÅ</t>
        </is>
      </c>
      <c r="H123" t="inlineStr">
        <is>
          <t>SCA</t>
        </is>
      </c>
      <c r="I123" t="n">
        <v>0.4</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HYPERLINK("https://klasma.github.io/Logging_2262/artfynd/A 12975-2026 artfynd.xlsx", "A 12975-2026")</f>
        <v/>
      </c>
      <c r="X123">
        <f>HYPERLINK("https://klasma.github.io/Logging_2262/kartor/A 12975-2026 karta.png", "A 12975-2026")</f>
        <v/>
      </c>
      <c r="Y123">
        <f>HYPERLINK("https://klasma.github.io/Logging_2262/kartor_geotiff/A 12975-2026 georefererad karta.tif", "A 12975-2026")</f>
        <v/>
      </c>
      <c r="AA123">
        <f>HYPERLINK("https://klasma.github.io/Logging_2262/klagomål/A 12975-2026 FSC-klagomål.docx", "A 12975-2026")</f>
        <v/>
      </c>
      <c r="AB123">
        <f>HYPERLINK("https://klasma.github.io/Logging_2262/klagomålsmail/A 12975-2026 FSC-klagomål mail.docx", "A 12975-2026")</f>
        <v/>
      </c>
      <c r="AC123">
        <f>HYPERLINK("https://klasma.github.io/Logging_2262/tillsyn/A 12975-2026 tillsynsbegäran.docx", "A 12975-2026")</f>
        <v/>
      </c>
      <c r="AD123">
        <f>HYPERLINK("https://klasma.github.io/Logging_2262/tillsynsmail/A 12975-2026 tillsynsbegäran mail.docx", "A 12975-2026")</f>
        <v/>
      </c>
    </row>
    <row r="124" ht="15" customHeight="1">
      <c r="A124" t="inlineStr">
        <is>
          <t>A 62081-2024</t>
        </is>
      </c>
      <c r="B124" t="inlineStr">
        <is>
          <t>avverkningsanmälan</t>
        </is>
      </c>
      <c r="C124" t="inlineStr">
        <is>
          <t>Föryngringsavverkning</t>
        </is>
      </c>
      <c r="D124" s="1" t="n">
        <v>45656</v>
      </c>
      <c r="E124" s="1" t="n">
        <v>46233</v>
      </c>
      <c r="F124" t="inlineStr">
        <is>
          <t>VÄSTERNORRLANDS LÄN</t>
        </is>
      </c>
      <c r="G124" t="inlineStr">
        <is>
          <t>TIMRÅ</t>
        </is>
      </c>
      <c r="H124" t="inlineStr">
        <is>
          <t>SCA</t>
        </is>
      </c>
      <c r="I124" t="n">
        <v>6.3</v>
      </c>
      <c r="J124" t="n">
        <v>1</v>
      </c>
      <c r="K124" t="n">
        <v>0</v>
      </c>
      <c r="L124" t="n">
        <v>0</v>
      </c>
      <c r="M124" t="n">
        <v>1</v>
      </c>
      <c r="N124" t="n">
        <v>0</v>
      </c>
      <c r="O124" t="n">
        <v>0</v>
      </c>
      <c r="P124" t="n">
        <v>0</v>
      </c>
      <c r="Q124" t="n">
        <v>1</v>
      </c>
      <c r="R124" t="n">
        <v>1</v>
      </c>
      <c r="S124" t="n">
        <v>1</v>
      </c>
      <c r="T124" t="n">
        <v>1</v>
      </c>
      <c r="U124" t="n">
        <v>0</v>
      </c>
      <c r="V124" s="2" t="inlineStr">
        <is>
          <t>Knärot</t>
        </is>
      </c>
      <c r="W124">
        <f>HYPERLINK("https://klasma.github.io/Logging_2262/artfynd/A 62081-2024 artfynd.xlsx", "A 62081-2024")</f>
        <v/>
      </c>
      <c r="X124">
        <f>HYPERLINK("https://klasma.github.io/Logging_2262/kartor/A 62081-2024 karta.png", "A 62081-2024")</f>
        <v/>
      </c>
      <c r="Y124">
        <f>HYPERLINK("https://klasma.github.io/Logging_2262/kartor_geotiff/A 62081-2024 georefererad karta.tif", "A 62081-2024")</f>
        <v/>
      </c>
      <c r="Z124">
        <f>HYPERLINK("https://klasma.github.io/Logging_2262/knärot/A 62081-2024 karta knärot.png", "A 62081-2024")</f>
        <v/>
      </c>
      <c r="AA124">
        <f>HYPERLINK("https://klasma.github.io/Logging_2262/klagomål/A 62081-2024 FSC-klagomål.docx", "A 62081-2024")</f>
        <v/>
      </c>
      <c r="AB124">
        <f>HYPERLINK("https://klasma.github.io/Logging_2262/klagomålsmail/A 62081-2024 FSC-klagomål mail.docx", "A 62081-2024")</f>
        <v/>
      </c>
      <c r="AC124">
        <f>HYPERLINK("https://klasma.github.io/Logging_2262/tillsyn/A 62081-2024 tillsynsbegäran.docx", "A 62081-2024")</f>
        <v/>
      </c>
      <c r="AD124">
        <f>HYPERLINK("https://klasma.github.io/Logging_2262/tillsynsmail/A 62081-2024 tillsynsbegäran mail.docx", "A 62081-2024")</f>
        <v/>
      </c>
    </row>
    <row r="125" ht="15" customHeight="1">
      <c r="A125" t="inlineStr">
        <is>
          <t>A 12785-2022</t>
        </is>
      </c>
      <c r="B125" t="inlineStr">
        <is>
          <t>avverkningsanmälan</t>
        </is>
      </c>
      <c r="C125" t="inlineStr">
        <is>
          <t>Avverkning för annat ändamål</t>
        </is>
      </c>
      <c r="D125" s="1" t="n">
        <v>44641</v>
      </c>
      <c r="E125" s="1" t="n">
        <v>46233</v>
      </c>
      <c r="F125" t="inlineStr">
        <is>
          <t>VÄSTERNORRLANDS LÄN</t>
        </is>
      </c>
      <c r="G125" t="inlineStr">
        <is>
          <t>TIMRÅ</t>
        </is>
      </c>
      <c r="I125" t="n">
        <v>2.2</v>
      </c>
      <c r="J125" t="n">
        <v>0</v>
      </c>
      <c r="K125" t="n">
        <v>1</v>
      </c>
      <c r="L125" t="n">
        <v>0</v>
      </c>
      <c r="M125" t="n">
        <v>0</v>
      </c>
      <c r="N125" t="n">
        <v>0</v>
      </c>
      <c r="O125" t="n">
        <v>0</v>
      </c>
      <c r="P125" t="n">
        <v>0</v>
      </c>
      <c r="Q125" t="n">
        <v>0</v>
      </c>
      <c r="R125" t="n">
        <v>0</v>
      </c>
      <c r="S125" t="n">
        <v>1</v>
      </c>
      <c r="T125" t="n">
        <v>2</v>
      </c>
      <c r="U125" t="n">
        <v>0</v>
      </c>
      <c r="V125" s="2" t="inlineStr">
        <is>
          <t>Ögonpyrola</t>
        </is>
      </c>
      <c r="W125">
        <f>HYPERLINK("https://klasma.github.io/Logging_2262/artfynd/A 12785-2022 artfynd.xlsx", "A 12785-2022")</f>
        <v/>
      </c>
      <c r="X125">
        <f>HYPERLINK("https://klasma.github.io/Logging_2262/kartor/A 12785-2022 karta.png", "A 12785-2022")</f>
        <v/>
      </c>
      <c r="Y125">
        <f>HYPERLINK("https://klasma.github.io/Logging_2262/kartor_geotiff/A 12785-2022 georefererad karta.tif", "A 12785-2022")</f>
        <v/>
      </c>
      <c r="AA125">
        <f>HYPERLINK("https://klasma.github.io/Logging_2262/klagomål/A 12785-2022 FSC-klagomål.docx", "A 12785-2022")</f>
        <v/>
      </c>
      <c r="AB125">
        <f>HYPERLINK("https://klasma.github.io/Logging_2262/klagomålsmail/A 12785-2022 FSC-klagomål mail.docx", "A 12785-2022")</f>
        <v/>
      </c>
      <c r="AC125">
        <f>HYPERLINK("https://klasma.github.io/Logging_2262/tillsyn/A 12785-2022 tillsynsbegäran.docx", "A 12785-2022")</f>
        <v/>
      </c>
      <c r="AD125">
        <f>HYPERLINK("https://klasma.github.io/Logging_2262/tillsynsmail/A 12785-2022 tillsynsbegäran mail.docx", "A 12785-2022")</f>
        <v/>
      </c>
    </row>
    <row r="126" ht="15" customHeight="1">
      <c r="A126" t="inlineStr">
        <is>
          <t>A 16301-2025</t>
        </is>
      </c>
      <c r="B126" t="inlineStr">
        <is>
          <t>avverkningsanmälan</t>
        </is>
      </c>
      <c r="C126" t="inlineStr">
        <is>
          <t>Avverkning för att bevara och utveckla /försöksver</t>
        </is>
      </c>
      <c r="D126" s="1" t="n">
        <v>45751</v>
      </c>
      <c r="E126" s="1" t="n">
        <v>46233</v>
      </c>
      <c r="F126" t="inlineStr">
        <is>
          <t>VÄSTERNORRLANDS LÄN</t>
        </is>
      </c>
      <c r="G126" t="inlineStr">
        <is>
          <t>TIMRÅ</t>
        </is>
      </c>
      <c r="H126" t="inlineStr">
        <is>
          <t>SCA</t>
        </is>
      </c>
      <c r="I126" t="n">
        <v>1.6</v>
      </c>
      <c r="J126" t="n">
        <v>0</v>
      </c>
      <c r="K126" t="n">
        <v>0</v>
      </c>
      <c r="L126" t="n">
        <v>1</v>
      </c>
      <c r="M126" t="n">
        <v>0</v>
      </c>
      <c r="N126" t="n">
        <v>0</v>
      </c>
      <c r="O126" t="n">
        <v>0</v>
      </c>
      <c r="P126" t="n">
        <v>0</v>
      </c>
      <c r="Q126" t="n">
        <v>1</v>
      </c>
      <c r="R126" t="n">
        <v>0</v>
      </c>
      <c r="S126" t="n">
        <v>1</v>
      </c>
      <c r="T126" t="n">
        <v>3</v>
      </c>
      <c r="U126" t="n">
        <v>0</v>
      </c>
      <c r="V126" s="2" t="inlineStr">
        <is>
          <t>Lunglav</t>
        </is>
      </c>
      <c r="W126">
        <f>HYPERLINK("https://klasma.github.io/Logging_2262/artfynd/A 16301-2025 artfynd.xlsx", "A 16301-2025")</f>
        <v/>
      </c>
      <c r="X126">
        <f>HYPERLINK("https://klasma.github.io/Logging_2262/kartor/A 16301-2025 karta.png", "A 16301-2025")</f>
        <v/>
      </c>
      <c r="Y126">
        <f>HYPERLINK("https://klasma.github.io/Logging_2262/kartor_geotiff/A 16301-2025 georefererad karta.tif", "A 16301-2025")</f>
        <v/>
      </c>
      <c r="Z126">
        <f>HYPERLINK("https://klasma.github.io/Logging_2262/knärot/A 16301-2025 karta knärot.png", "A 16301-2025")</f>
        <v/>
      </c>
      <c r="AA126">
        <f>HYPERLINK("https://klasma.github.io/Logging_2262/klagomål/A 16301-2025 FSC-klagomål.docx", "A 16301-2025")</f>
        <v/>
      </c>
      <c r="AB126">
        <f>HYPERLINK("https://klasma.github.io/Logging_2262/klagomålsmail/A 16301-2025 FSC-klagomål mail.docx", "A 16301-2025")</f>
        <v/>
      </c>
      <c r="AC126">
        <f>HYPERLINK("https://klasma.github.io/Logging_2262/tillsyn/A 16301-2025 tillsynsbegäran.docx", "A 16301-2025")</f>
        <v/>
      </c>
      <c r="AD126">
        <f>HYPERLINK("https://klasma.github.io/Logging_2262/tillsynsmail/A 16301-2025 tillsynsbegäran mail.docx", "A 16301-2025")</f>
        <v/>
      </c>
    </row>
    <row r="127" ht="15" customHeight="1">
      <c r="A127" t="inlineStr">
        <is>
          <t>A 30835-2023</t>
        </is>
      </c>
      <c r="B127" t="inlineStr">
        <is>
          <t>avverkningsanmälan</t>
        </is>
      </c>
      <c r="C127" t="inlineStr">
        <is>
          <t>Föryngringsavverkning</t>
        </is>
      </c>
      <c r="D127" s="1" t="n">
        <v>45112</v>
      </c>
      <c r="E127" s="1" t="n">
        <v>46233</v>
      </c>
      <c r="F127" t="inlineStr">
        <is>
          <t>VÄSTERNORRLANDS LÄN</t>
        </is>
      </c>
      <c r="G127" t="inlineStr">
        <is>
          <t>TIMRÅ</t>
        </is>
      </c>
      <c r="H127" t="inlineStr">
        <is>
          <t>SCA</t>
        </is>
      </c>
      <c r="I127" t="n">
        <v>4.6</v>
      </c>
      <c r="J127" t="n">
        <v>1</v>
      </c>
      <c r="K127" t="n">
        <v>0</v>
      </c>
      <c r="L127" t="n">
        <v>0</v>
      </c>
      <c r="M127" t="n">
        <v>0</v>
      </c>
      <c r="N127" t="n">
        <v>0</v>
      </c>
      <c r="O127" t="n">
        <v>0</v>
      </c>
      <c r="P127" t="n">
        <v>0</v>
      </c>
      <c r="Q127" t="n">
        <v>0</v>
      </c>
      <c r="R127" t="n">
        <v>0</v>
      </c>
      <c r="S127" t="n">
        <v>1</v>
      </c>
      <c r="T127" t="n">
        <v>1</v>
      </c>
      <c r="U127" t="n">
        <v>1</v>
      </c>
      <c r="V127" s="2" t="inlineStr">
        <is>
          <t>Orre</t>
        </is>
      </c>
      <c r="W127">
        <f>HYPERLINK("https://klasma.github.io/Logging_2262/artfynd/A 30835-2023 artfynd.xlsx", "A 30835-2023")</f>
        <v/>
      </c>
      <c r="X127">
        <f>HYPERLINK("https://klasma.github.io/Logging_2262/kartor/A 30835-2023 karta.png", "A 30835-2023")</f>
        <v/>
      </c>
      <c r="Y127">
        <f>HYPERLINK("https://klasma.github.io/Logging_2262/kartor_geotiff/A 30835-2023 georefererad karta.tif", "A 30835-2023")</f>
        <v/>
      </c>
      <c r="AA127">
        <f>HYPERLINK("https://klasma.github.io/Logging_2262/klagomål/A 30835-2023 FSC-klagomål.docx", "A 30835-2023")</f>
        <v/>
      </c>
      <c r="AB127">
        <f>HYPERLINK("https://klasma.github.io/Logging_2262/klagomålsmail/A 30835-2023 FSC-klagomål mail.docx", "A 30835-2023")</f>
        <v/>
      </c>
      <c r="AC127">
        <f>HYPERLINK("https://klasma.github.io/Logging_2262/tillsyn/A 30835-2023 tillsynsbegäran.docx", "A 30835-2023")</f>
        <v/>
      </c>
      <c r="AD127">
        <f>HYPERLINK("https://klasma.github.io/Logging_2262/tillsynsmail/A 30835-2023 tillsynsbegäran mail.docx", "A 30835-2023")</f>
        <v/>
      </c>
      <c r="AE127">
        <f>HYPERLINK("https://klasma.github.io/Logging_2262/fåglar/A 30835-2023 prioriterade fågelarter.docx", "A 30835-2023")</f>
        <v/>
      </c>
    </row>
    <row r="128" ht="15" customHeight="1">
      <c r="A128" t="inlineStr">
        <is>
          <t>A 63477-2025</t>
        </is>
      </c>
      <c r="B128" t="inlineStr">
        <is>
          <t>avverkningsanmälan</t>
        </is>
      </c>
      <c r="C128" t="inlineStr">
        <is>
          <t>Föryngringsavverkning</t>
        </is>
      </c>
      <c r="D128" s="1" t="n">
        <v>46013</v>
      </c>
      <c r="E128" s="1" t="n">
        <v>46233</v>
      </c>
      <c r="F128" t="inlineStr">
        <is>
          <t>VÄSTERNORRLANDS LÄN</t>
        </is>
      </c>
      <c r="G128" t="inlineStr">
        <is>
          <t>TIMRÅ</t>
        </is>
      </c>
      <c r="I128" t="n">
        <v>1</v>
      </c>
      <c r="J128" t="n">
        <v>0</v>
      </c>
      <c r="K128" t="n">
        <v>0</v>
      </c>
      <c r="L128" t="n">
        <v>1</v>
      </c>
      <c r="M128" t="n">
        <v>0</v>
      </c>
      <c r="N128" t="n">
        <v>0</v>
      </c>
      <c r="O128" t="n">
        <v>0</v>
      </c>
      <c r="P128" t="n">
        <v>0</v>
      </c>
      <c r="Q128" t="n">
        <v>1</v>
      </c>
      <c r="R128" t="n">
        <v>0</v>
      </c>
      <c r="S128" t="n">
        <v>1</v>
      </c>
      <c r="T128" t="n">
        <v>1</v>
      </c>
      <c r="U128" t="n">
        <v>0</v>
      </c>
      <c r="V128" s="2" t="inlineStr">
        <is>
          <t>Veckticka</t>
        </is>
      </c>
      <c r="W128">
        <f>HYPERLINK("https://klasma.github.io/Logging_2262/artfynd/A 63477-2025 artfynd.xlsx", "A 63477-2025")</f>
        <v/>
      </c>
      <c r="X128">
        <f>HYPERLINK("https://klasma.github.io/Logging_2262/kartor/A 63477-2025 karta.png", "A 63477-2025")</f>
        <v/>
      </c>
      <c r="Y128">
        <f>HYPERLINK("https://klasma.github.io/Logging_2262/kartor_geotiff/A 63477-2025 georefererad karta.tif", "A 63477-2025")</f>
        <v/>
      </c>
      <c r="AA128">
        <f>HYPERLINK("https://klasma.github.io/Logging_2262/klagomål/A 63477-2025 FSC-klagomål.docx", "A 63477-2025")</f>
        <v/>
      </c>
      <c r="AB128">
        <f>HYPERLINK("https://klasma.github.io/Logging_2262/klagomålsmail/A 63477-2025 FSC-klagomål mail.docx", "A 63477-2025")</f>
        <v/>
      </c>
      <c r="AC128">
        <f>HYPERLINK("https://klasma.github.io/Logging_2262/tillsyn/A 63477-2025 tillsynsbegäran.docx", "A 63477-2025")</f>
        <v/>
      </c>
      <c r="AD128">
        <f>HYPERLINK("https://klasma.github.io/Logging_2262/tillsynsmail/A 63477-2025 tillsynsbegäran mail.docx", "A 63477-2025")</f>
        <v/>
      </c>
    </row>
    <row r="129" ht="15" customHeight="1">
      <c r="A129" t="inlineStr">
        <is>
          <t>A 21845-2024</t>
        </is>
      </c>
      <c r="B129" t="inlineStr">
        <is>
          <t>avverkningsanmälan</t>
        </is>
      </c>
      <c r="C129" t="inlineStr">
        <is>
          <t>Avverkning för att bevara och utveckla /försöksver</t>
        </is>
      </c>
      <c r="D129" s="1" t="n">
        <v>45442</v>
      </c>
      <c r="E129" s="1" t="n">
        <v>46233</v>
      </c>
      <c r="F129" t="inlineStr">
        <is>
          <t>VÄSTERNORRLANDS LÄN</t>
        </is>
      </c>
      <c r="G129" t="inlineStr">
        <is>
          <t>TIMRÅ</t>
        </is>
      </c>
      <c r="H129" t="inlineStr">
        <is>
          <t>SCA</t>
        </is>
      </c>
      <c r="I129" t="n">
        <v>14.7</v>
      </c>
      <c r="J129" t="n">
        <v>0</v>
      </c>
      <c r="K129" t="n">
        <v>0</v>
      </c>
      <c r="L129" t="n">
        <v>1</v>
      </c>
      <c r="M129" t="n">
        <v>0</v>
      </c>
      <c r="N129" t="n">
        <v>0</v>
      </c>
      <c r="O129" t="n">
        <v>0</v>
      </c>
      <c r="P129" t="n">
        <v>0</v>
      </c>
      <c r="Q129" t="n">
        <v>1</v>
      </c>
      <c r="R129" t="n">
        <v>0</v>
      </c>
      <c r="S129" t="n">
        <v>1</v>
      </c>
      <c r="T129" t="n">
        <v>1</v>
      </c>
      <c r="U129" t="n">
        <v>0</v>
      </c>
      <c r="V129" s="2" t="inlineStr">
        <is>
          <t>Lunglav</t>
        </is>
      </c>
      <c r="W129">
        <f>HYPERLINK("https://klasma.github.io/Logging_2262/artfynd/A 21845-2024 artfynd.xlsx", "A 21845-2024")</f>
        <v/>
      </c>
      <c r="X129">
        <f>HYPERLINK("https://klasma.github.io/Logging_2262/kartor/A 21845-2024 karta.png", "A 21845-2024")</f>
        <v/>
      </c>
      <c r="Y129">
        <f>HYPERLINK("https://klasma.github.io/Logging_2262/kartor_geotiff/A 21845-2024 georefererad karta.tif", "A 21845-2024")</f>
        <v/>
      </c>
      <c r="AA129">
        <f>HYPERLINK("https://klasma.github.io/Logging_2262/klagomål/A 21845-2024 FSC-klagomål.docx", "A 21845-2024")</f>
        <v/>
      </c>
      <c r="AB129">
        <f>HYPERLINK("https://klasma.github.io/Logging_2262/klagomålsmail/A 21845-2024 FSC-klagomål mail.docx", "A 21845-2024")</f>
        <v/>
      </c>
      <c r="AC129">
        <f>HYPERLINK("https://klasma.github.io/Logging_2262/tillsyn/A 21845-2024 tillsynsbegäran.docx", "A 21845-2024")</f>
        <v/>
      </c>
      <c r="AD129">
        <f>HYPERLINK("https://klasma.github.io/Logging_2262/tillsynsmail/A 21845-2024 tillsynsbegäran mail.docx", "A 21845-2024")</f>
        <v/>
      </c>
    </row>
    <row r="130" ht="15" customHeight="1">
      <c r="A130" t="inlineStr">
        <is>
          <t>A 29971-2026</t>
        </is>
      </c>
      <c r="B130" t="inlineStr">
        <is>
          <t>avverkningsanmälan</t>
        </is>
      </c>
      <c r="C130" t="inlineStr">
        <is>
          <t>Föryngringsavverkning</t>
        </is>
      </c>
      <c r="D130" s="1" t="n">
        <v>46205</v>
      </c>
      <c r="E130" s="1" t="n">
        <v>46233</v>
      </c>
      <c r="F130" t="inlineStr">
        <is>
          <t>VÄSTERNORRLANDS LÄN</t>
        </is>
      </c>
      <c r="G130" t="inlineStr">
        <is>
          <t>TIMRÅ</t>
        </is>
      </c>
      <c r="H130" t="inlineStr">
        <is>
          <t>SCA</t>
        </is>
      </c>
      <c r="I130" t="n">
        <v>2.9</v>
      </c>
      <c r="J130" t="n">
        <v>0</v>
      </c>
      <c r="K130" t="n">
        <v>0</v>
      </c>
      <c r="L130" t="n">
        <v>0</v>
      </c>
      <c r="M130" t="n">
        <v>1</v>
      </c>
      <c r="N130" t="n">
        <v>0</v>
      </c>
      <c r="O130" t="n">
        <v>0</v>
      </c>
      <c r="P130" t="n">
        <v>0</v>
      </c>
      <c r="Q130" t="n">
        <v>1</v>
      </c>
      <c r="R130" t="n">
        <v>1</v>
      </c>
      <c r="S130" t="n">
        <v>1</v>
      </c>
      <c r="T130" t="n">
        <v>1</v>
      </c>
      <c r="U130" t="n">
        <v>0</v>
      </c>
      <c r="V130" s="2" t="inlineStr">
        <is>
          <t>Garnlav</t>
        </is>
      </c>
      <c r="W130">
        <f>HYPERLINK("https://klasma.github.io/Logging_2262/artfynd/A 29971-2026 artfynd.xlsx", "A 29971-2026")</f>
        <v/>
      </c>
      <c r="X130">
        <f>HYPERLINK("https://klasma.github.io/Logging_2262/kartor/A 29971-2026 karta.png", "A 29971-2026")</f>
        <v/>
      </c>
      <c r="Y130">
        <f>HYPERLINK("https://klasma.github.io/Logging_2262/kartor_geotiff/A 29971-2026 georefererad karta.tif", "A 29971-2026")</f>
        <v/>
      </c>
      <c r="AA130">
        <f>HYPERLINK("https://klasma.github.io/Logging_2262/klagomål/A 29971-2026 FSC-klagomål.docx", "A 29971-2026")</f>
        <v/>
      </c>
      <c r="AB130">
        <f>HYPERLINK("https://klasma.github.io/Logging_2262/klagomålsmail/A 29971-2026 FSC-klagomål mail.docx", "A 29971-2026")</f>
        <v/>
      </c>
      <c r="AC130">
        <f>HYPERLINK("https://klasma.github.io/Logging_2262/tillsyn/A 29971-2026 tillsynsbegäran.docx", "A 29971-2026")</f>
        <v/>
      </c>
      <c r="AD130">
        <f>HYPERLINK("https://klasma.github.io/Logging_2262/tillsynsmail/A 29971-2026 tillsynsbegäran mail.docx", "A 29971-2026")</f>
        <v/>
      </c>
    </row>
    <row r="131" ht="15" customHeight="1">
      <c r="A131" t="inlineStr">
        <is>
          <t>A 45721-2024</t>
        </is>
      </c>
      <c r="B131" t="inlineStr">
        <is>
          <t>avverkningsanmälan</t>
        </is>
      </c>
      <c r="C131" t="inlineStr">
        <is>
          <t>Avverkning för att bevara och utveckla /försöksver</t>
        </is>
      </c>
      <c r="D131" s="1" t="n">
        <v>45579</v>
      </c>
      <c r="E131" s="1" t="n">
        <v>46233</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t="n">
        <v>0</v>
      </c>
      <c r="V131" s="2" t="inlineStr">
        <is>
          <t>Gammelgransskål</t>
        </is>
      </c>
      <c r="W131">
        <f>HYPERLINK("https://klasma.github.io/Logging_2262/artfynd/A 45721-2024 artfynd.xlsx", "A 45721-2024")</f>
        <v/>
      </c>
      <c r="X131">
        <f>HYPERLINK("https://klasma.github.io/Logging_2262/kartor/A 45721-2024 karta.png", "A 45721-2024")</f>
        <v/>
      </c>
      <c r="Y131">
        <f>HYPERLINK("https://klasma.github.io/Logging_2262/kartor_geotiff/A 45721-2024 georefererad karta.tif", "A 45721-2024")</f>
        <v/>
      </c>
      <c r="AA131">
        <f>HYPERLINK("https://klasma.github.io/Logging_2262/klagomål/A 45721-2024 FSC-klagomål.docx", "A 45721-2024")</f>
        <v/>
      </c>
      <c r="AB131">
        <f>HYPERLINK("https://klasma.github.io/Logging_2262/klagomålsmail/A 45721-2024 FSC-klagomål mail.docx", "A 45721-2024")</f>
        <v/>
      </c>
      <c r="AC131">
        <f>HYPERLINK("https://klasma.github.io/Logging_2262/tillsyn/A 45721-2024 tillsynsbegäran.docx", "A 45721-2024")</f>
        <v/>
      </c>
      <c r="AD131">
        <f>HYPERLINK("https://klasma.github.io/Logging_2262/tillsynsmail/A 45721-2024 tillsynsbegäran mail.docx", "A 45721-2024")</f>
        <v/>
      </c>
    </row>
    <row r="132" ht="15" customHeight="1">
      <c r="A132" t="inlineStr">
        <is>
          <t>A 7692-2026</t>
        </is>
      </c>
      <c r="B132" t="inlineStr">
        <is>
          <t>avverkningsanmälan</t>
        </is>
      </c>
      <c r="C132" t="inlineStr">
        <is>
          <t>Föryngringsavverkning</t>
        </is>
      </c>
      <c r="D132" s="1" t="n">
        <v>46059</v>
      </c>
      <c r="E132" s="1" t="n">
        <v>46233</v>
      </c>
      <c r="F132" t="inlineStr">
        <is>
          <t>VÄSTERNORRLANDS LÄN</t>
        </is>
      </c>
      <c r="G132" t="inlineStr">
        <is>
          <t>TIMRÅ</t>
        </is>
      </c>
      <c r="I132" t="n">
        <v>2.4</v>
      </c>
      <c r="J132" t="n">
        <v>0</v>
      </c>
      <c r="K132" t="n">
        <v>1</v>
      </c>
      <c r="L132" t="n">
        <v>0</v>
      </c>
      <c r="M132" t="n">
        <v>0</v>
      </c>
      <c r="N132" t="n">
        <v>0</v>
      </c>
      <c r="O132" t="n">
        <v>0</v>
      </c>
      <c r="P132" t="n">
        <v>0</v>
      </c>
      <c r="Q132" t="n">
        <v>0</v>
      </c>
      <c r="R132" t="n">
        <v>0</v>
      </c>
      <c r="S132" t="n">
        <v>1</v>
      </c>
      <c r="T132" t="n">
        <v>1</v>
      </c>
      <c r="U132" t="n">
        <v>0</v>
      </c>
      <c r="V132" s="2" t="inlineStr">
        <is>
          <t>Stor aspticka</t>
        </is>
      </c>
      <c r="W132">
        <f>HYPERLINK("https://klasma.github.io/Logging_2262/artfynd/A 7692-2026 artfynd.xlsx", "A 7692-2026")</f>
        <v/>
      </c>
      <c r="X132">
        <f>HYPERLINK("https://klasma.github.io/Logging_2262/kartor/A 7692-2026 karta.png", "A 7692-2026")</f>
        <v/>
      </c>
      <c r="Y132">
        <f>HYPERLINK("https://klasma.github.io/Logging_2262/kartor_geotiff/A 7692-2026 georefererad karta.tif", "A 7692-2026")</f>
        <v/>
      </c>
      <c r="AA132">
        <f>HYPERLINK("https://klasma.github.io/Logging_2262/klagomål/A 7692-2026 FSC-klagomål.docx", "A 7692-2026")</f>
        <v/>
      </c>
      <c r="AB132">
        <f>HYPERLINK("https://klasma.github.io/Logging_2262/klagomålsmail/A 7692-2026 FSC-klagomål mail.docx", "A 7692-2026")</f>
        <v/>
      </c>
      <c r="AC132">
        <f>HYPERLINK("https://klasma.github.io/Logging_2262/tillsyn/A 7692-2026 tillsynsbegäran.docx", "A 7692-2026")</f>
        <v/>
      </c>
      <c r="AD132">
        <f>HYPERLINK("https://klasma.github.io/Logging_2262/tillsynsmail/A 7692-2026 tillsynsbegäran mail.docx", "A 7692-2026")</f>
        <v/>
      </c>
    </row>
    <row r="133" ht="15" customHeight="1">
      <c r="A133" t="inlineStr">
        <is>
          <t>A 7904-2024</t>
        </is>
      </c>
      <c r="B133" t="inlineStr">
        <is>
          <t>avverkningsanmälan</t>
        </is>
      </c>
      <c r="C133" t="inlineStr">
        <is>
          <t>Föryngringsavverkning</t>
        </is>
      </c>
      <c r="D133" s="1" t="n">
        <v>45349</v>
      </c>
      <c r="E133" s="1" t="n">
        <v>46233</v>
      </c>
      <c r="F133" t="inlineStr">
        <is>
          <t>VÄSTERNORRLANDS LÄN</t>
        </is>
      </c>
      <c r="G133" t="inlineStr">
        <is>
          <t>TIMRÅ</t>
        </is>
      </c>
      <c r="I133" t="n">
        <v>7.3</v>
      </c>
      <c r="J133" t="n">
        <v>1</v>
      </c>
      <c r="K133" t="n">
        <v>0</v>
      </c>
      <c r="L133" t="n">
        <v>0</v>
      </c>
      <c r="M133" t="n">
        <v>0</v>
      </c>
      <c r="N133" t="n">
        <v>1</v>
      </c>
      <c r="O133" t="n">
        <v>0</v>
      </c>
      <c r="P133" t="n">
        <v>0</v>
      </c>
      <c r="Q133" t="n">
        <v>1</v>
      </c>
      <c r="R133" t="n">
        <v>1</v>
      </c>
      <c r="S133" t="n">
        <v>1</v>
      </c>
      <c r="T133" t="n">
        <v>1</v>
      </c>
      <c r="U133" t="n">
        <v>1</v>
      </c>
      <c r="V133" s="2" t="inlineStr">
        <is>
          <t>Bergviol</t>
        </is>
      </c>
      <c r="W133">
        <f>HYPERLINK("https://klasma.github.io/Logging_2262/artfynd/A 7904-2024 artfynd.xlsx", "A 7904-2024")</f>
        <v/>
      </c>
      <c r="X133">
        <f>HYPERLINK("https://klasma.github.io/Logging_2262/kartor/A 7904-2024 karta.png", "A 7904-2024")</f>
        <v/>
      </c>
      <c r="Y133">
        <f>HYPERLINK("https://klasma.github.io/Logging_2262/kartor_geotiff/A 7904-2024 georefererad karta.tif", "A 7904-2024")</f>
        <v/>
      </c>
      <c r="AA133">
        <f>HYPERLINK("https://klasma.github.io/Logging_2262/klagomål/A 7904-2024 FSC-klagomål.docx", "A 7904-2024")</f>
        <v/>
      </c>
      <c r="AB133">
        <f>HYPERLINK("https://klasma.github.io/Logging_2262/klagomålsmail/A 7904-2024 FSC-klagomål mail.docx", "A 7904-2024")</f>
        <v/>
      </c>
      <c r="AC133">
        <f>HYPERLINK("https://klasma.github.io/Logging_2262/tillsyn/A 7904-2024 tillsynsbegäran.docx", "A 7904-2024")</f>
        <v/>
      </c>
      <c r="AD133">
        <f>HYPERLINK("https://klasma.github.io/Logging_2262/tillsynsmail/A 7904-2024 tillsynsbegäran mail.docx", "A 7904-2024")</f>
        <v/>
      </c>
    </row>
    <row r="134" ht="15" customHeight="1">
      <c r="A134" t="inlineStr">
        <is>
          <t>A 16863-2024</t>
        </is>
      </c>
      <c r="B134" t="inlineStr">
        <is>
          <t>avverkningsanmälan</t>
        </is>
      </c>
      <c r="C134" t="inlineStr">
        <is>
          <t>Föryngringsavverkning</t>
        </is>
      </c>
      <c r="D134" s="1" t="n">
        <v>45411</v>
      </c>
      <c r="E134" s="1" t="n">
        <v>46233</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13568-2026</t>
        </is>
      </c>
      <c r="B135" t="inlineStr">
        <is>
          <t>avverkningsanmälan</t>
        </is>
      </c>
      <c r="C135" t="inlineStr">
        <is>
          <t>Föryngringsavverkning</t>
        </is>
      </c>
      <c r="D135" s="1" t="n">
        <v>46095</v>
      </c>
      <c r="E135" s="1" t="n">
        <v>46233</v>
      </c>
      <c r="F135" t="inlineStr">
        <is>
          <t>VÄSTERNORRLANDS LÄN</t>
        </is>
      </c>
      <c r="G135" t="inlineStr">
        <is>
          <t>TIMRÅ</t>
        </is>
      </c>
      <c r="I135" t="n">
        <v>1</v>
      </c>
      <c r="J135" t="n">
        <v>0</v>
      </c>
      <c r="K135" t="n">
        <v>1</v>
      </c>
      <c r="L135" t="n">
        <v>0</v>
      </c>
      <c r="M135" t="n">
        <v>0</v>
      </c>
      <c r="N135" t="n">
        <v>0</v>
      </c>
      <c r="O135" t="n">
        <v>0</v>
      </c>
      <c r="P135" t="n">
        <v>0</v>
      </c>
      <c r="Q135" t="n">
        <v>0</v>
      </c>
      <c r="R135" t="n">
        <v>0</v>
      </c>
      <c r="S135" t="n">
        <v>1</v>
      </c>
      <c r="T135" t="n">
        <v>1</v>
      </c>
      <c r="U135" t="n">
        <v>0</v>
      </c>
      <c r="V135" s="2" t="inlineStr">
        <is>
          <t>Scharlakansskål</t>
        </is>
      </c>
      <c r="W135">
        <f>HYPERLINK("https://klasma.github.io/Logging_2262/artfynd/A 13568-2026 artfynd.xlsx", "A 13568-2026")</f>
        <v/>
      </c>
      <c r="X135">
        <f>HYPERLINK("https://klasma.github.io/Logging_2262/kartor/A 13568-2026 karta.png", "A 13568-2026")</f>
        <v/>
      </c>
      <c r="Y135">
        <f>HYPERLINK("https://klasma.github.io/Logging_2262/kartor_geotiff/A 13568-2026 georefererad karta.tif", "A 13568-2026")</f>
        <v/>
      </c>
      <c r="AA135">
        <f>HYPERLINK("https://klasma.github.io/Logging_2262/klagomål/A 13568-2026 FSC-klagomål.docx", "A 13568-2026")</f>
        <v/>
      </c>
      <c r="AB135">
        <f>HYPERLINK("https://klasma.github.io/Logging_2262/klagomålsmail/A 13568-2026 FSC-klagomål mail.docx", "A 13568-2026")</f>
        <v/>
      </c>
      <c r="AC135">
        <f>HYPERLINK("https://klasma.github.io/Logging_2262/tillsyn/A 13568-2026 tillsynsbegäran.docx", "A 13568-2026")</f>
        <v/>
      </c>
      <c r="AD135">
        <f>HYPERLINK("https://klasma.github.io/Logging_2262/tillsynsmail/A 13568-2026 tillsynsbegäran mail.docx", "A 13568-2026")</f>
        <v/>
      </c>
    </row>
    <row r="136" ht="15" customHeight="1">
      <c r="A136" t="inlineStr">
        <is>
          <t>A 33667-2023</t>
        </is>
      </c>
      <c r="B136" t="inlineStr">
        <is>
          <t>avverkningsanmälan</t>
        </is>
      </c>
      <c r="C136" t="inlineStr">
        <is>
          <t>Föryngringsavverkning</t>
        </is>
      </c>
      <c r="D136" s="1" t="n">
        <v>45119</v>
      </c>
      <c r="E136" s="1" t="n">
        <v>46233</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46233</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46233</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46233</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46233</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46233</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46233</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46233</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46233</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46233</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46233</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47203-2021</t>
        </is>
      </c>
      <c r="B147" t="inlineStr">
        <is>
          <t>avverkningsanmälan</t>
        </is>
      </c>
      <c r="C147" t="inlineStr">
        <is>
          <t>Föryngringsavverkning</t>
        </is>
      </c>
      <c r="D147" s="1" t="n">
        <v>44447</v>
      </c>
      <c r="E147" s="1" t="n">
        <v>46233</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46233</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46233</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46233</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46233</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46233</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46233</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46233</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46233</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46233</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46233</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46233</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46233</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46233</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46233</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46233</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46233</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46233</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46233</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49056-2021</t>
        </is>
      </c>
      <c r="B166" t="inlineStr">
        <is>
          <t>avverkningsanmälan</t>
        </is>
      </c>
      <c r="C166" t="inlineStr">
        <is>
          <t>Föryngringsavverkning</t>
        </is>
      </c>
      <c r="D166" s="1" t="n">
        <v>44453</v>
      </c>
      <c r="E166" s="1" t="n">
        <v>46233</v>
      </c>
      <c r="F166" t="inlineStr">
        <is>
          <t>VÄSTERNORRLANDS LÄN</t>
        </is>
      </c>
      <c r="G166" t="inlineStr">
        <is>
          <t>TIMRÅ</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46233</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46233</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46233</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46233</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46233</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46233</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46233</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46233</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46233</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46233</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46233</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46233</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55511-2022</t>
        </is>
      </c>
      <c r="B179" t="inlineStr">
        <is>
          <t>avverkningsanmälan</t>
        </is>
      </c>
      <c r="C179" t="inlineStr">
        <is>
          <t>Föryngringsavverkning</t>
        </is>
      </c>
      <c r="D179" s="1" t="n">
        <v>44887</v>
      </c>
      <c r="E179" s="1" t="n">
        <v>46233</v>
      </c>
      <c r="F179" t="inlineStr">
        <is>
          <t>VÄSTERNORRLANDS LÄN</t>
        </is>
      </c>
      <c r="G179" t="inlineStr">
        <is>
          <t>TIMRÅ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45695-2022</t>
        </is>
      </c>
      <c r="B180" t="inlineStr">
        <is>
          <t>avverkningsanmälan</t>
        </is>
      </c>
      <c r="C180" t="inlineStr">
        <is>
          <t>Föryngringsavverkning</t>
        </is>
      </c>
      <c r="D180" s="1" t="n">
        <v>44845</v>
      </c>
      <c r="E180" s="1" t="n">
        <v>46233</v>
      </c>
      <c r="F180" t="inlineStr">
        <is>
          <t>VÄSTERNORRLANDS LÄN</t>
        </is>
      </c>
      <c r="G180" t="inlineStr">
        <is>
          <t>TIMRÅ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46233</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46233</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46233</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46233</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46233</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46233</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46233</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46233</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46233</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46233</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5722-2024</t>
        </is>
      </c>
      <c r="B191" t="inlineStr">
        <is>
          <t>avverkningsanmälan</t>
        </is>
      </c>
      <c r="C191" t="inlineStr">
        <is>
          <t>Föryngringsavverkning</t>
        </is>
      </c>
      <c r="D191" s="1" t="n">
        <v>45334</v>
      </c>
      <c r="E191" s="1" t="n">
        <v>46233</v>
      </c>
      <c r="F191" t="inlineStr">
        <is>
          <t>VÄSTERNORRLANDS LÄN</t>
        </is>
      </c>
      <c r="G191" t="inlineStr">
        <is>
          <t>TIMRÅ</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18778-2023</t>
        </is>
      </c>
      <c r="B192" t="inlineStr">
        <is>
          <t>avverkningsanmälan</t>
        </is>
      </c>
      <c r="C192" t="inlineStr">
        <is>
          <t>Föryngringsavverkning</t>
        </is>
      </c>
      <c r="D192" s="1" t="n">
        <v>45043</v>
      </c>
      <c r="E192" s="1" t="n">
        <v>46233</v>
      </c>
      <c r="F192" t="inlineStr">
        <is>
          <t>VÄSTERNORRLANDS LÄN</t>
        </is>
      </c>
      <c r="G192" t="inlineStr">
        <is>
          <t>TIMRÅ</t>
        </is>
      </c>
      <c r="H192" t="inlineStr">
        <is>
          <t>SCA</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27489-2023</t>
        </is>
      </c>
      <c r="B193" t="inlineStr">
        <is>
          <t>avverkningsanmälan</t>
        </is>
      </c>
      <c r="C193" t="inlineStr">
        <is>
          <t>Föryngringsavverkning</t>
        </is>
      </c>
      <c r="D193" s="1" t="n">
        <v>45092</v>
      </c>
      <c r="E193" s="1" t="n">
        <v>46233</v>
      </c>
      <c r="F193" t="inlineStr">
        <is>
          <t>VÄSTERNORRLANDS LÄN</t>
        </is>
      </c>
      <c r="G193" t="inlineStr">
        <is>
          <t>TIMRÅ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20841-2023</t>
        </is>
      </c>
      <c r="B194" t="inlineStr">
        <is>
          <t>avverkningsanmälan</t>
        </is>
      </c>
      <c r="C194" t="inlineStr">
        <is>
          <t>Föryngringsavverkning</t>
        </is>
      </c>
      <c r="D194" s="1" t="n">
        <v>45058</v>
      </c>
      <c r="E194" s="1" t="n">
        <v>46233</v>
      </c>
      <c r="F194" t="inlineStr">
        <is>
          <t>VÄSTERNORRLANDS LÄN</t>
        </is>
      </c>
      <c r="G194" t="inlineStr">
        <is>
          <t>TIMRÅ</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20226-2024</t>
        </is>
      </c>
      <c r="B195" t="inlineStr">
        <is>
          <t>avverkningsanmälan</t>
        </is>
      </c>
      <c r="C195" t="inlineStr">
        <is>
          <t>Föryngringsavverkning</t>
        </is>
      </c>
      <c r="D195" s="1" t="n">
        <v>45434</v>
      </c>
      <c r="E195" s="1" t="n">
        <v>46233</v>
      </c>
      <c r="F195" t="inlineStr">
        <is>
          <t>VÄSTERNORRLANDS LÄN</t>
        </is>
      </c>
      <c r="G195" t="inlineStr">
        <is>
          <t>TIMRÅ</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58998-2023</t>
        </is>
      </c>
      <c r="B196" t="inlineStr">
        <is>
          <t>avverkningsanmälan</t>
        </is>
      </c>
      <c r="C196" t="inlineStr">
        <is>
          <t>Föryngringsavverkning</t>
        </is>
      </c>
      <c r="D196" s="1" t="n">
        <v>45250</v>
      </c>
      <c r="E196" s="1" t="n">
        <v>46233</v>
      </c>
      <c r="F196" t="inlineStr">
        <is>
          <t>VÄSTERNORRLANDS LÄN</t>
        </is>
      </c>
      <c r="G196" t="inlineStr">
        <is>
          <t>TIMRÅ</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47816-2022</t>
        </is>
      </c>
      <c r="B197" t="inlineStr">
        <is>
          <t>avverkningsanmälan</t>
        </is>
      </c>
      <c r="C197" t="inlineStr">
        <is>
          <t>Föryngringsavverkning</t>
        </is>
      </c>
      <c r="D197" s="1" t="n">
        <v>44854</v>
      </c>
      <c r="E197" s="1" t="n">
        <v>46233</v>
      </c>
      <c r="F197" t="inlineStr">
        <is>
          <t>VÄSTERNORRLANDS LÄN</t>
        </is>
      </c>
      <c r="G197" t="inlineStr">
        <is>
          <t>TIMRÅ</t>
        </is>
      </c>
      <c r="H197" t="inlineStr">
        <is>
          <t>SCA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4126-2023</t>
        </is>
      </c>
      <c r="B198" t="inlineStr">
        <is>
          <t>avverkningsanmälan</t>
        </is>
      </c>
      <c r="C198" t="inlineStr">
        <is>
          <t>Föryngringsavverkning</t>
        </is>
      </c>
      <c r="D198" s="1" t="n">
        <v>44952</v>
      </c>
      <c r="E198" s="1" t="n">
        <v>46233</v>
      </c>
      <c r="F198" t="inlineStr">
        <is>
          <t>VÄSTERNORRLANDS LÄN</t>
        </is>
      </c>
      <c r="G198" t="inlineStr">
        <is>
          <t>TIMRÅ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53305-2021</t>
        </is>
      </c>
      <c r="B199" t="inlineStr">
        <is>
          <t>avverkningsanmälan</t>
        </is>
      </c>
      <c r="C199" t="inlineStr">
        <is>
          <t>Avverkning för annat ändamål</t>
        </is>
      </c>
      <c r="D199" s="1" t="n">
        <v>44467</v>
      </c>
      <c r="E199" s="1" t="n">
        <v>46233</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38286-2024</t>
        </is>
      </c>
      <c r="B200" t="inlineStr">
        <is>
          <t>avverkningsanmälan</t>
        </is>
      </c>
      <c r="C200" t="inlineStr">
        <is>
          <t>Föryngringsavverkning</t>
        </is>
      </c>
      <c r="D200" s="1" t="n">
        <v>45545</v>
      </c>
      <c r="E200" s="1" t="n">
        <v>46233</v>
      </c>
      <c r="F200" t="inlineStr">
        <is>
          <t>VÄSTERNORRLANDS LÄN</t>
        </is>
      </c>
      <c r="G200" t="inlineStr">
        <is>
          <t>TIMRÅ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40519-2021</t>
        </is>
      </c>
      <c r="B201" t="inlineStr">
        <is>
          <t>avverkningsanmälan</t>
        </is>
      </c>
      <c r="C201" t="inlineStr">
        <is>
          <t>Föryngringsavverkning</t>
        </is>
      </c>
      <c r="D201" s="1" t="n">
        <v>44420</v>
      </c>
      <c r="E201" s="1" t="n">
        <v>46233</v>
      </c>
      <c r="F201" t="inlineStr">
        <is>
          <t>VÄSTERNORRLANDS LÄN</t>
        </is>
      </c>
      <c r="G201" t="inlineStr">
        <is>
          <t>TIMRÅ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22416-2024</t>
        </is>
      </c>
      <c r="B202" t="inlineStr">
        <is>
          <t>avverkningsanmälan</t>
        </is>
      </c>
      <c r="C202" t="inlineStr">
        <is>
          <t>Föryngringsavverkning</t>
        </is>
      </c>
      <c r="D202" s="1" t="n">
        <v>45446</v>
      </c>
      <c r="E202" s="1" t="n">
        <v>46233</v>
      </c>
      <c r="F202" t="inlineStr">
        <is>
          <t>VÄSTERNORRLANDS LÄN</t>
        </is>
      </c>
      <c r="G202" t="inlineStr">
        <is>
          <t>TIMRÅ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44432-2022</t>
        </is>
      </c>
      <c r="B203" t="inlineStr">
        <is>
          <t>avverkningsanmälan</t>
        </is>
      </c>
      <c r="C203" t="inlineStr">
        <is>
          <t>Föryngringsavverkning</t>
        </is>
      </c>
      <c r="D203" s="1" t="n">
        <v>44839</v>
      </c>
      <c r="E203" s="1" t="n">
        <v>46233</v>
      </c>
      <c r="F203" t="inlineStr">
        <is>
          <t>VÄSTERNORRLANDS LÄN</t>
        </is>
      </c>
      <c r="G203" t="inlineStr">
        <is>
          <t>TIMRÅ</t>
        </is>
      </c>
      <c r="H203" t="inlineStr">
        <is>
          <t>SCA</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55179-2022</t>
        </is>
      </c>
      <c r="B204" t="inlineStr">
        <is>
          <t>avverkningsanmälan</t>
        </is>
      </c>
      <c r="C204" t="inlineStr">
        <is>
          <t>Avverkning för annat ändamål</t>
        </is>
      </c>
      <c r="D204" s="1" t="n">
        <v>44886</v>
      </c>
      <c r="E204" s="1" t="n">
        <v>46233</v>
      </c>
      <c r="F204" t="inlineStr">
        <is>
          <t>VÄSTERNORRLANDS LÄN</t>
        </is>
      </c>
      <c r="G204" t="inlineStr">
        <is>
          <t>TIMRÅ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26662-2024</t>
        </is>
      </c>
      <c r="B205" t="inlineStr">
        <is>
          <t>avverkningsanmälan</t>
        </is>
      </c>
      <c r="C205" t="inlineStr">
        <is>
          <t>Föryngringsavverkning</t>
        </is>
      </c>
      <c r="D205" s="1" t="n">
        <v>45469</v>
      </c>
      <c r="E205" s="1" t="n">
        <v>46233</v>
      </c>
      <c r="F205" t="inlineStr">
        <is>
          <t>VÄSTERNORRLANDS LÄN</t>
        </is>
      </c>
      <c r="G205" t="inlineStr">
        <is>
          <t>TIMRÅ</t>
        </is>
      </c>
      <c r="H205" t="inlineStr">
        <is>
          <t>SCA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30907-2024</t>
        </is>
      </c>
      <c r="B206" t="inlineStr">
        <is>
          <t>avverkningsanmälan</t>
        </is>
      </c>
      <c r="C206" t="inlineStr">
        <is>
          <t>Föryngringsavverkning</t>
        </is>
      </c>
      <c r="D206" s="1" t="n">
        <v>45498</v>
      </c>
      <c r="E206" s="1" t="n">
        <v>46233</v>
      </c>
      <c r="F206" t="inlineStr">
        <is>
          <t>VÄSTERNORRLANDS LÄN</t>
        </is>
      </c>
      <c r="G206" t="inlineStr">
        <is>
          <t>TIMRÅ</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52213-2022</t>
        </is>
      </c>
      <c r="B207" t="inlineStr">
        <is>
          <t>avverkningsanmälan</t>
        </is>
      </c>
      <c r="C207" t="inlineStr">
        <is>
          <t>Föryngringsavverkning</t>
        </is>
      </c>
      <c r="D207" s="1" t="n">
        <v>44869</v>
      </c>
      <c r="E207" s="1" t="n">
        <v>46233</v>
      </c>
      <c r="F207" t="inlineStr">
        <is>
          <t>VÄSTERNORRLANDS LÄN</t>
        </is>
      </c>
      <c r="G207" t="inlineStr">
        <is>
          <t>TIMRÅ</t>
        </is>
      </c>
      <c r="I207" t="n">
        <v>11.4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20526-2024</t>
        </is>
      </c>
      <c r="B208" t="inlineStr">
        <is>
          <t>avverkningsanmälan</t>
        </is>
      </c>
      <c r="C208" t="inlineStr">
        <is>
          <t>Föryngringsavverkning</t>
        </is>
      </c>
      <c r="D208" s="1" t="n">
        <v>45435</v>
      </c>
      <c r="E208" s="1" t="n">
        <v>46233</v>
      </c>
      <c r="F208" t="inlineStr">
        <is>
          <t>VÄSTERNORRLANDS LÄN</t>
        </is>
      </c>
      <c r="G208" t="inlineStr">
        <is>
          <t>TIMRÅ</t>
        </is>
      </c>
      <c r="H208" t="inlineStr">
        <is>
          <t>SCA</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53957-2022</t>
        </is>
      </c>
      <c r="B209" t="inlineStr">
        <is>
          <t>avverkningsanmälan</t>
        </is>
      </c>
      <c r="C209" t="inlineStr">
        <is>
          <t>Föryngringsavverkning</t>
        </is>
      </c>
      <c r="D209" s="1" t="n">
        <v>44880</v>
      </c>
      <c r="E209" s="1" t="n">
        <v>46233</v>
      </c>
      <c r="F209" t="inlineStr">
        <is>
          <t>VÄSTERNORRLANDS LÄN</t>
        </is>
      </c>
      <c r="G209" t="inlineStr">
        <is>
          <t>TIMRÅ</t>
        </is>
      </c>
      <c r="H209" t="inlineStr">
        <is>
          <t>SCA</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38623-2025</t>
        </is>
      </c>
      <c r="B210" t="inlineStr">
        <is>
          <t>avverkningsanmälan</t>
        </is>
      </c>
      <c r="C210" t="inlineStr">
        <is>
          <t>Föryngringsavverkning</t>
        </is>
      </c>
      <c r="D210" s="1" t="n">
        <v>45884</v>
      </c>
      <c r="E210" s="1" t="n">
        <v>46233</v>
      </c>
      <c r="F210" t="inlineStr">
        <is>
          <t>VÄSTERNORRLANDS LÄN</t>
        </is>
      </c>
      <c r="G210" t="inlineStr">
        <is>
          <t>TIMRÅ</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33287-2024</t>
        </is>
      </c>
      <c r="B211" t="inlineStr">
        <is>
          <t>avverkningsanmälan</t>
        </is>
      </c>
      <c r="C211" t="inlineStr">
        <is>
          <t>Föryngringsavverkning</t>
        </is>
      </c>
      <c r="D211" s="1" t="n">
        <v>45518</v>
      </c>
      <c r="E211" s="1" t="n">
        <v>46233</v>
      </c>
      <c r="F211" t="inlineStr">
        <is>
          <t>VÄSTERNORRLANDS LÄN</t>
        </is>
      </c>
      <c r="G211" t="inlineStr">
        <is>
          <t>TIMRÅ</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26300-2025</t>
        </is>
      </c>
      <c r="B212" t="inlineStr">
        <is>
          <t>avverkningsanmälan</t>
        </is>
      </c>
      <c r="C212" t="inlineStr">
        <is>
          <t>Föryngringsavverkning</t>
        </is>
      </c>
      <c r="D212" s="1" t="n">
        <v>45805</v>
      </c>
      <c r="E212" s="1" t="n">
        <v>46233</v>
      </c>
      <c r="F212" t="inlineStr">
        <is>
          <t>VÄSTERNORRLANDS LÄN</t>
        </is>
      </c>
      <c r="G212" t="inlineStr">
        <is>
          <t>TIMRÅ</t>
        </is>
      </c>
      <c r="H212" t="inlineStr">
        <is>
          <t>SCA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17002-2023</t>
        </is>
      </c>
      <c r="B213" t="inlineStr">
        <is>
          <t>avverkningsanmälan</t>
        </is>
      </c>
      <c r="C213" t="inlineStr">
        <is>
          <t>Föryngringsavverkning</t>
        </is>
      </c>
      <c r="D213" s="1" t="n">
        <v>45033</v>
      </c>
      <c r="E213" s="1" t="n">
        <v>46233</v>
      </c>
      <c r="F213" t="inlineStr">
        <is>
          <t>VÄSTERNORRLANDS LÄN</t>
        </is>
      </c>
      <c r="G213" t="inlineStr">
        <is>
          <t>TIMRÅ</t>
        </is>
      </c>
      <c r="H213" t="inlineStr">
        <is>
          <t>SCA</t>
        </is>
      </c>
      <c r="I213" t="n">
        <v>12.7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69663-2021</t>
        </is>
      </c>
      <c r="B214" t="inlineStr">
        <is>
          <t>avverkningsanmälan</t>
        </is>
      </c>
      <c r="C214" t="inlineStr">
        <is>
          <t>Föryngringsavverkning</t>
        </is>
      </c>
      <c r="D214" s="1" t="n">
        <v>44531</v>
      </c>
      <c r="E214" s="1" t="n">
        <v>46233</v>
      </c>
      <c r="F214" t="inlineStr">
        <is>
          <t>VÄSTERNORRLANDS LÄN</t>
        </is>
      </c>
      <c r="G214" t="inlineStr">
        <is>
          <t>TIMRÅ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20936-2024</t>
        </is>
      </c>
      <c r="B215" t="inlineStr">
        <is>
          <t>avverkningsanmälan</t>
        </is>
      </c>
      <c r="C215" t="inlineStr">
        <is>
          <t>Föryngringsavverkning</t>
        </is>
      </c>
      <c r="D215" s="1" t="n">
        <v>45439</v>
      </c>
      <c r="E215" s="1" t="n">
        <v>46233</v>
      </c>
      <c r="F215" t="inlineStr">
        <is>
          <t>VÄSTERNORRLANDS LÄN</t>
        </is>
      </c>
      <c r="G215" t="inlineStr">
        <is>
          <t>TIMRÅ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45942-2024</t>
        </is>
      </c>
      <c r="B216" t="inlineStr">
        <is>
          <t>avverkningsanmälan</t>
        </is>
      </c>
      <c r="C216" t="inlineStr">
        <is>
          <t>Föryngringsavverkning</t>
        </is>
      </c>
      <c r="D216" s="1" t="n">
        <v>45580</v>
      </c>
      <c r="E216" s="1" t="n">
        <v>46233</v>
      </c>
      <c r="F216" t="inlineStr">
        <is>
          <t>VÄSTERNORRLANDS LÄN</t>
        </is>
      </c>
      <c r="G216" t="inlineStr">
        <is>
          <t>TIMRÅ</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57403-2022</t>
        </is>
      </c>
      <c r="B217" t="inlineStr">
        <is>
          <t>avverkningsanmälan</t>
        </is>
      </c>
      <c r="C217" t="inlineStr">
        <is>
          <t>Föryngringsavverkning</t>
        </is>
      </c>
      <c r="D217" s="1" t="n">
        <v>44889</v>
      </c>
      <c r="E217" s="1" t="n">
        <v>46233</v>
      </c>
      <c r="F217" t="inlineStr">
        <is>
          <t>VÄSTERNORRLANDS LÄN</t>
        </is>
      </c>
      <c r="G217" t="inlineStr">
        <is>
          <t>TIMRÅ</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52010-2022</t>
        </is>
      </c>
      <c r="B218" t="inlineStr">
        <is>
          <t>avverkningsanmälan</t>
        </is>
      </c>
      <c r="C218" t="inlineStr">
        <is>
          <t>Föryngringsavverkning</t>
        </is>
      </c>
      <c r="D218" s="1" t="n">
        <v>44872</v>
      </c>
      <c r="E218" s="1" t="n">
        <v>46233</v>
      </c>
      <c r="F218" t="inlineStr">
        <is>
          <t>VÄSTERNORRLANDS LÄN</t>
        </is>
      </c>
      <c r="G218" t="inlineStr">
        <is>
          <t>TIMRÅ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57840-2022</t>
        </is>
      </c>
      <c r="B219" t="inlineStr">
        <is>
          <t>avverkningsanmälan</t>
        </is>
      </c>
      <c r="C219" t="inlineStr">
        <is>
          <t>Avverkning för annat ändamål</t>
        </is>
      </c>
      <c r="D219" s="1" t="n">
        <v>44897</v>
      </c>
      <c r="E219" s="1" t="n">
        <v>46233</v>
      </c>
      <c r="F219" t="inlineStr">
        <is>
          <t>VÄSTERNORRLANDS LÄN</t>
        </is>
      </c>
      <c r="G219" t="inlineStr">
        <is>
          <t>TIMRÅ</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38624-2025</t>
        </is>
      </c>
      <c r="B220" t="inlineStr">
        <is>
          <t>avverkningsanmälan</t>
        </is>
      </c>
      <c r="C220" t="inlineStr">
        <is>
          <t>Föryngringsavverkning</t>
        </is>
      </c>
      <c r="D220" s="1" t="n">
        <v>45884</v>
      </c>
      <c r="E220" s="1" t="n">
        <v>46233</v>
      </c>
      <c r="F220" t="inlineStr">
        <is>
          <t>VÄSTERNORRLANDS LÄN</t>
        </is>
      </c>
      <c r="G220" t="inlineStr">
        <is>
          <t>TIMRÅ</t>
        </is>
      </c>
      <c r="H220" t="inlineStr">
        <is>
          <t>SCA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69274-2021</t>
        </is>
      </c>
      <c r="B221" t="inlineStr">
        <is>
          <t>avverkningsanmälan</t>
        </is>
      </c>
      <c r="C221" t="inlineStr">
        <is>
          <t>Föryngringsavverkning</t>
        </is>
      </c>
      <c r="D221" s="1" t="n">
        <v>44530</v>
      </c>
      <c r="E221" s="1" t="n">
        <v>46233</v>
      </c>
      <c r="F221" t="inlineStr">
        <is>
          <t>VÄSTERNORRLANDS LÄN</t>
        </is>
      </c>
      <c r="G221" t="inlineStr">
        <is>
          <t>TIMRÅ</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69278-2021</t>
        </is>
      </c>
      <c r="B222" t="inlineStr">
        <is>
          <t>avverkningsanmälan</t>
        </is>
      </c>
      <c r="C222" t="inlineStr">
        <is>
          <t>Föryngringsavverkning</t>
        </is>
      </c>
      <c r="D222" s="1" t="n">
        <v>44531</v>
      </c>
      <c r="E222" s="1" t="n">
        <v>46233</v>
      </c>
      <c r="F222" t="inlineStr">
        <is>
          <t>VÄSTERNORRLANDS LÄN</t>
        </is>
      </c>
      <c r="G222" t="inlineStr">
        <is>
          <t>TIMRÅ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27098-2025</t>
        </is>
      </c>
      <c r="B223" t="inlineStr">
        <is>
          <t>avverkningsanmälan</t>
        </is>
      </c>
      <c r="C223" t="inlineStr">
        <is>
          <t>Föryngringsavverkning</t>
        </is>
      </c>
      <c r="D223" s="1" t="n">
        <v>45811</v>
      </c>
      <c r="E223" s="1" t="n">
        <v>46233</v>
      </c>
      <c r="F223" t="inlineStr">
        <is>
          <t>VÄSTERNORRLANDS LÄN</t>
        </is>
      </c>
      <c r="G223" t="inlineStr">
        <is>
          <t>TIMRÅ</t>
        </is>
      </c>
      <c r="H223" t="inlineStr">
        <is>
          <t>SCA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3183-2026</t>
        </is>
      </c>
      <c r="B224" t="inlineStr">
        <is>
          <t>avverkningsanmälan</t>
        </is>
      </c>
      <c r="C224" t="inlineStr">
        <is>
          <t>Föryngringsavverkning</t>
        </is>
      </c>
      <c r="D224" s="1" t="n">
        <v>46041</v>
      </c>
      <c r="E224" s="1" t="n">
        <v>46233</v>
      </c>
      <c r="F224" t="inlineStr">
        <is>
          <t>VÄSTERNORRLANDS LÄN</t>
        </is>
      </c>
      <c r="G224" t="inlineStr">
        <is>
          <t>TIMRÅ</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38306-2025</t>
        </is>
      </c>
      <c r="B225" t="inlineStr">
        <is>
          <t>avverkningsanmälan</t>
        </is>
      </c>
      <c r="C225" t="inlineStr">
        <is>
          <t>Föryngringsavverkning</t>
        </is>
      </c>
      <c r="D225" s="1" t="n">
        <v>45883</v>
      </c>
      <c r="E225" s="1" t="n">
        <v>46233</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3176-2026</t>
        </is>
      </c>
      <c r="B226" t="inlineStr">
        <is>
          <t>avverkningsanmälan</t>
        </is>
      </c>
      <c r="C226" t="inlineStr">
        <is>
          <t>Föryngringsavverkning</t>
        </is>
      </c>
      <c r="D226" s="1" t="n">
        <v>46041</v>
      </c>
      <c r="E226" s="1" t="n">
        <v>46233</v>
      </c>
      <c r="F226" t="inlineStr">
        <is>
          <t>VÄSTERNORRLANDS LÄN</t>
        </is>
      </c>
      <c r="G226" t="inlineStr">
        <is>
          <t>TIMRÅ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28138-2025</t>
        </is>
      </c>
      <c r="B227" t="inlineStr">
        <is>
          <t>avverkningsanmälan</t>
        </is>
      </c>
      <c r="C227" t="inlineStr">
        <is>
          <t>Föryngringsavverkning</t>
        </is>
      </c>
      <c r="D227" s="1" t="n">
        <v>45818</v>
      </c>
      <c r="E227" s="1" t="n">
        <v>46233</v>
      </c>
      <c r="F227" t="inlineStr">
        <is>
          <t>VÄSTERNORRLANDS LÄN</t>
        </is>
      </c>
      <c r="G227" t="inlineStr">
        <is>
          <t>TIMRÅ</t>
        </is>
      </c>
      <c r="H227" t="inlineStr">
        <is>
          <t>SCA</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29003-2025</t>
        </is>
      </c>
      <c r="B228" t="inlineStr">
        <is>
          <t>avverkningsanmälan</t>
        </is>
      </c>
      <c r="C228" t="inlineStr">
        <is>
          <t>Föryngringsavverkning</t>
        </is>
      </c>
      <c r="D228" s="1" t="n">
        <v>45821</v>
      </c>
      <c r="E228" s="1" t="n">
        <v>46233</v>
      </c>
      <c r="F228" t="inlineStr">
        <is>
          <t>VÄSTERNORRLANDS LÄN</t>
        </is>
      </c>
      <c r="G228" t="inlineStr">
        <is>
          <t>TIMRÅ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39194-2025</t>
        </is>
      </c>
      <c r="B229" t="inlineStr">
        <is>
          <t>avverkningsanmälan</t>
        </is>
      </c>
      <c r="C229" t="inlineStr">
        <is>
          <t>Avverkning för att bevara och utveckla /försöksver</t>
        </is>
      </c>
      <c r="D229" s="1" t="n">
        <v>45888</v>
      </c>
      <c r="E229" s="1" t="n">
        <v>46233</v>
      </c>
      <c r="F229" t="inlineStr">
        <is>
          <t>VÄSTERNORRLANDS LÄN</t>
        </is>
      </c>
      <c r="G229" t="inlineStr">
        <is>
          <t>TIMRÅ</t>
        </is>
      </c>
      <c r="H229" t="inlineStr">
        <is>
          <t>SCA</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38716-2025</t>
        </is>
      </c>
      <c r="B230" t="inlineStr">
        <is>
          <t>avverkningsanmälan</t>
        </is>
      </c>
      <c r="C230" t="inlineStr">
        <is>
          <t>Avverkning för att bevara och utveckla /försöksver</t>
        </is>
      </c>
      <c r="D230" s="1" t="n">
        <v>45886</v>
      </c>
      <c r="E230" s="1" t="n">
        <v>46233</v>
      </c>
      <c r="F230" t="inlineStr">
        <is>
          <t>VÄSTERNORRLANDS LÄN</t>
        </is>
      </c>
      <c r="G230" t="inlineStr">
        <is>
          <t>TIMRÅ</t>
        </is>
      </c>
      <c r="H230" t="inlineStr">
        <is>
          <t>SCA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56170-2022</t>
        </is>
      </c>
      <c r="B231" t="inlineStr">
        <is>
          <t>avverkningsanmälan</t>
        </is>
      </c>
      <c r="C231" t="inlineStr">
        <is>
          <t>Föryngringsavverkning</t>
        </is>
      </c>
      <c r="D231" s="1" t="n">
        <v>44889</v>
      </c>
      <c r="E231" s="1" t="n">
        <v>46233</v>
      </c>
      <c r="F231" t="inlineStr">
        <is>
          <t>VÄSTERNORRLANDS LÄN</t>
        </is>
      </c>
      <c r="G231" t="inlineStr">
        <is>
          <t>TIMRÅ</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16055-2024</t>
        </is>
      </c>
      <c r="B232" t="inlineStr">
        <is>
          <t>avverkningsanmälan</t>
        </is>
      </c>
      <c r="C232" t="inlineStr">
        <is>
          <t>Avverkning för att bevara och utveckla /försöksver</t>
        </is>
      </c>
      <c r="D232" s="1" t="n">
        <v>45406</v>
      </c>
      <c r="E232" s="1" t="n">
        <v>46233</v>
      </c>
      <c r="F232" t="inlineStr">
        <is>
          <t>VÄSTERNORRLANDS LÄN</t>
        </is>
      </c>
      <c r="G232" t="inlineStr">
        <is>
          <t>TIMRÅ</t>
        </is>
      </c>
      <c r="H232" t="inlineStr">
        <is>
          <t>SCA</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4056-2026</t>
        </is>
      </c>
      <c r="B233" t="inlineStr">
        <is>
          <t>avverkningsanmälan</t>
        </is>
      </c>
      <c r="C233" t="inlineStr">
        <is>
          <t>Föryngringsavverkning</t>
        </is>
      </c>
      <c r="D233" s="1" t="n">
        <v>46044</v>
      </c>
      <c r="E233" s="1" t="n">
        <v>46233</v>
      </c>
      <c r="F233" t="inlineStr">
        <is>
          <t>VÄSTERNORRLANDS LÄN</t>
        </is>
      </c>
      <c r="G233" t="inlineStr">
        <is>
          <t>TIMRÅ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28405-2025</t>
        </is>
      </c>
      <c r="B234" t="inlineStr">
        <is>
          <t>avverkningsanmälan</t>
        </is>
      </c>
      <c r="C234" t="inlineStr">
        <is>
          <t>Avverkning för att bevara och utveckla /försöksver</t>
        </is>
      </c>
      <c r="D234" s="1" t="n">
        <v>45819</v>
      </c>
      <c r="E234" s="1" t="n">
        <v>46233</v>
      </c>
      <c r="F234" t="inlineStr">
        <is>
          <t>VÄSTERNORRLANDS LÄN</t>
        </is>
      </c>
      <c r="G234" t="inlineStr">
        <is>
          <t>TIMRÅ</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28674-2025</t>
        </is>
      </c>
      <c r="B235" t="inlineStr">
        <is>
          <t>avverkningsanmälan</t>
        </is>
      </c>
      <c r="C235" t="inlineStr">
        <is>
          <t>Föryngringsavverkning</t>
        </is>
      </c>
      <c r="D235" s="1" t="n">
        <v>45819</v>
      </c>
      <c r="E235" s="1" t="n">
        <v>46233</v>
      </c>
      <c r="F235" t="inlineStr">
        <is>
          <t>VÄSTERNORRLANDS LÄN</t>
        </is>
      </c>
      <c r="G235" t="inlineStr">
        <is>
          <t>TIMRÅ</t>
        </is>
      </c>
      <c r="H235" t="inlineStr">
        <is>
          <t>SCA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40192-2025</t>
        </is>
      </c>
      <c r="B236" t="inlineStr">
        <is>
          <t>avverkningsanmälan</t>
        </is>
      </c>
      <c r="C236" t="inlineStr">
        <is>
          <t>Föryngringsavverkning</t>
        </is>
      </c>
      <c r="D236" s="1" t="n">
        <v>45894</v>
      </c>
      <c r="E236" s="1" t="n">
        <v>46233</v>
      </c>
      <c r="F236" t="inlineStr">
        <is>
          <t>VÄSTERNORRLANDS LÄN</t>
        </is>
      </c>
      <c r="G236" t="inlineStr">
        <is>
          <t>TIMRÅ</t>
        </is>
      </c>
      <c r="H236" t="inlineStr">
        <is>
          <t>SCA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29190-2025</t>
        </is>
      </c>
      <c r="B237" t="inlineStr">
        <is>
          <t>avverkningsanmälan</t>
        </is>
      </c>
      <c r="C237" t="inlineStr">
        <is>
          <t>Föryngringsavverkning</t>
        </is>
      </c>
      <c r="D237" s="1" t="n">
        <v>45822</v>
      </c>
      <c r="E237" s="1" t="n">
        <v>46233</v>
      </c>
      <c r="F237" t="inlineStr">
        <is>
          <t>VÄSTERNORRLANDS LÄN</t>
        </is>
      </c>
      <c r="G237" t="inlineStr">
        <is>
          <t>TIMRÅ</t>
        </is>
      </c>
      <c r="H237" t="inlineStr">
        <is>
          <t>SCA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29480-2025</t>
        </is>
      </c>
      <c r="B238" t="inlineStr">
        <is>
          <t>avverkningsanmälan</t>
        </is>
      </c>
      <c r="C238" t="inlineStr">
        <is>
          <t>Föryngringsavverkning</t>
        </is>
      </c>
      <c r="D238" s="1" t="n">
        <v>45824</v>
      </c>
      <c r="E238" s="1" t="n">
        <v>46233</v>
      </c>
      <c r="F238" t="inlineStr">
        <is>
          <t>VÄSTERNORRLANDS LÄN</t>
        </is>
      </c>
      <c r="G238" t="inlineStr">
        <is>
          <t>TIMRÅ</t>
        </is>
      </c>
      <c r="H238" t="inlineStr">
        <is>
          <t>SCA</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29191-2025</t>
        </is>
      </c>
      <c r="B239" t="inlineStr">
        <is>
          <t>avverkningsanmälan</t>
        </is>
      </c>
      <c r="C239" t="inlineStr">
        <is>
          <t>Föryngringsavverkning</t>
        </is>
      </c>
      <c r="D239" s="1" t="n">
        <v>45822</v>
      </c>
      <c r="E239" s="1" t="n">
        <v>46233</v>
      </c>
      <c r="F239" t="inlineStr">
        <is>
          <t>VÄSTERNORRLANDS LÄN</t>
        </is>
      </c>
      <c r="G239" t="inlineStr">
        <is>
          <t>TIMRÅ</t>
        </is>
      </c>
      <c r="H239" t="inlineStr">
        <is>
          <t>SCA</t>
        </is>
      </c>
      <c r="I239" t="n">
        <v>17.5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5357-2026</t>
        </is>
      </c>
      <c r="B240" t="inlineStr">
        <is>
          <t>avverkningsanmälan</t>
        </is>
      </c>
      <c r="C240" t="inlineStr">
        <is>
          <t>Föryngringsavverkning</t>
        </is>
      </c>
      <c r="D240" s="1" t="n">
        <v>46048</v>
      </c>
      <c r="E240" s="1" t="n">
        <v>46233</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5378-2026</t>
        </is>
      </c>
      <c r="B241" t="inlineStr">
        <is>
          <t>avverkningsanmälan</t>
        </is>
      </c>
      <c r="C241" t="inlineStr">
        <is>
          <t>Föryngringsavverkning</t>
        </is>
      </c>
      <c r="D241" s="1" t="n">
        <v>46048</v>
      </c>
      <c r="E241" s="1" t="n">
        <v>46233</v>
      </c>
      <c r="F241" t="inlineStr">
        <is>
          <t>VÄSTERNORRLANDS LÄN</t>
        </is>
      </c>
      <c r="G241" t="inlineStr">
        <is>
          <t>TIMRÅ</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40484-2025</t>
        </is>
      </c>
      <c r="B242" t="inlineStr">
        <is>
          <t>avverkningsanmälan</t>
        </is>
      </c>
      <c r="C242" t="inlineStr">
        <is>
          <t>Föryngringsavverkning</t>
        </is>
      </c>
      <c r="D242" s="1" t="n">
        <v>45895</v>
      </c>
      <c r="E242" s="1" t="n">
        <v>46233</v>
      </c>
      <c r="F242" t="inlineStr">
        <is>
          <t>VÄSTERNORRLANDS LÄN</t>
        </is>
      </c>
      <c r="G242" t="inlineStr">
        <is>
          <t>TIMRÅ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40593-2024</t>
        </is>
      </c>
      <c r="B243" t="inlineStr">
        <is>
          <t>avverkningsanmälan</t>
        </is>
      </c>
      <c r="C243" t="inlineStr">
        <is>
          <t>Föryngringsavverkning</t>
        </is>
      </c>
      <c r="D243" s="1" t="n">
        <v>45555</v>
      </c>
      <c r="E243" s="1" t="n">
        <v>46233</v>
      </c>
      <c r="F243" t="inlineStr">
        <is>
          <t>VÄSTERNORRLANDS LÄN</t>
        </is>
      </c>
      <c r="G243" t="inlineStr">
        <is>
          <t>TIMRÅ</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37861-2024</t>
        </is>
      </c>
      <c r="B244" t="inlineStr">
        <is>
          <t>avverkningsanmälan</t>
        </is>
      </c>
      <c r="C244" t="inlineStr">
        <is>
          <t>Föryngringsavverkning</t>
        </is>
      </c>
      <c r="D244" s="1" t="n">
        <v>45544</v>
      </c>
      <c r="E244" s="1" t="n">
        <v>46233</v>
      </c>
      <c r="F244" t="inlineStr">
        <is>
          <t>VÄSTERNORRLANDS LÄN</t>
        </is>
      </c>
      <c r="G244" t="inlineStr">
        <is>
          <t>TIMRÅ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8506-2024</t>
        </is>
      </c>
      <c r="B245" t="inlineStr">
        <is>
          <t>avverkningsanmälan</t>
        </is>
      </c>
      <c r="C245" t="inlineStr">
        <is>
          <t>Avverkning för att bevara och utveckla /försöksver</t>
        </is>
      </c>
      <c r="D245" s="1" t="n">
        <v>45351</v>
      </c>
      <c r="E245" s="1" t="n">
        <v>46233</v>
      </c>
      <c r="F245" t="inlineStr">
        <is>
          <t>VÄSTERNORRLANDS LÄN</t>
        </is>
      </c>
      <c r="G245" t="inlineStr">
        <is>
          <t>TIMRÅ</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41098-2025</t>
        </is>
      </c>
      <c r="B246" t="inlineStr">
        <is>
          <t>avverkningsanmälan</t>
        </is>
      </c>
      <c r="C246" t="inlineStr">
        <is>
          <t>Föryngringsavverkning</t>
        </is>
      </c>
      <c r="D246" s="1" t="n">
        <v>45898</v>
      </c>
      <c r="E246" s="1" t="n">
        <v>46233</v>
      </c>
      <c r="F246" t="inlineStr">
        <is>
          <t>VÄSTERNORRLANDS LÄN</t>
        </is>
      </c>
      <c r="G246" t="inlineStr">
        <is>
          <t>TIMRÅ</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74020-2021</t>
        </is>
      </c>
      <c r="B247" t="inlineStr">
        <is>
          <t>avverkningsanmälan</t>
        </is>
      </c>
      <c r="C247" t="inlineStr">
        <is>
          <t>Föryngringsavverkning</t>
        </is>
      </c>
      <c r="D247" s="1" t="n">
        <v>44557</v>
      </c>
      <c r="E247" s="1" t="n">
        <v>46233</v>
      </c>
      <c r="F247" t="inlineStr">
        <is>
          <t>VÄSTERNORRLANDS LÄN</t>
        </is>
      </c>
      <c r="G247" t="inlineStr">
        <is>
          <t>TIMRÅ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55872-2022</t>
        </is>
      </c>
      <c r="B248" t="inlineStr">
        <is>
          <t>avverkningsanmälan</t>
        </is>
      </c>
      <c r="C248" t="inlineStr">
        <is>
          <t>Föryngringsavverkning</t>
        </is>
      </c>
      <c r="D248" s="1" t="n">
        <v>44888</v>
      </c>
      <c r="E248" s="1" t="n">
        <v>46233</v>
      </c>
      <c r="F248" t="inlineStr">
        <is>
          <t>VÄSTERNORRLANDS LÄN</t>
        </is>
      </c>
      <c r="G248" t="inlineStr">
        <is>
          <t>TIMRÅ</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5369-2026</t>
        </is>
      </c>
      <c r="B249" t="inlineStr">
        <is>
          <t>avverkningsanmälan</t>
        </is>
      </c>
      <c r="C249" t="inlineStr">
        <is>
          <t>Föryngringsavverkning</t>
        </is>
      </c>
      <c r="D249" s="1" t="n">
        <v>46048</v>
      </c>
      <c r="E249" s="1" t="n">
        <v>46233</v>
      </c>
      <c r="F249" t="inlineStr">
        <is>
          <t>VÄSTERNORRLANDS LÄN</t>
        </is>
      </c>
      <c r="G249" t="inlineStr">
        <is>
          <t>TIMRÅ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30315-2025</t>
        </is>
      </c>
      <c r="B250" t="inlineStr">
        <is>
          <t>avverkningsanmälan</t>
        </is>
      </c>
      <c r="C250" t="inlineStr">
        <is>
          <t>Föryngringsavverkning</t>
        </is>
      </c>
      <c r="D250" s="1" t="n">
        <v>45827</v>
      </c>
      <c r="E250" s="1" t="n">
        <v>46233</v>
      </c>
      <c r="F250" t="inlineStr">
        <is>
          <t>VÄSTERNORRLANDS LÄN</t>
        </is>
      </c>
      <c r="G250" t="inlineStr">
        <is>
          <t>TIMRÅ</t>
        </is>
      </c>
      <c r="H250" t="inlineStr">
        <is>
          <t>SCA</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41097-2025</t>
        </is>
      </c>
      <c r="B251" t="inlineStr">
        <is>
          <t>avverkningsanmälan</t>
        </is>
      </c>
      <c r="C251" t="inlineStr">
        <is>
          <t>Föryngringsavverkning</t>
        </is>
      </c>
      <c r="D251" s="1" t="n">
        <v>45898</v>
      </c>
      <c r="E251" s="1" t="n">
        <v>46233</v>
      </c>
      <c r="F251" t="inlineStr">
        <is>
          <t>VÄSTERNORRLANDS LÄN</t>
        </is>
      </c>
      <c r="G251" t="inlineStr">
        <is>
          <t>TIMRÅ</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43129-2023</t>
        </is>
      </c>
      <c r="B252" t="inlineStr">
        <is>
          <t>avverkningsanmälan</t>
        </is>
      </c>
      <c r="C252" t="inlineStr">
        <is>
          <t>Föryngringsavverkning</t>
        </is>
      </c>
      <c r="D252" s="1" t="n">
        <v>45182</v>
      </c>
      <c r="E252" s="1" t="n">
        <v>46233</v>
      </c>
      <c r="F252" t="inlineStr">
        <is>
          <t>VÄSTERNORRLANDS LÄN</t>
        </is>
      </c>
      <c r="G252" t="inlineStr">
        <is>
          <t>TIMRÅ</t>
        </is>
      </c>
      <c r="H252" t="inlineStr">
        <is>
          <t>SCA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56286-2024</t>
        </is>
      </c>
      <c r="B253" t="inlineStr">
        <is>
          <t>avverkningsanmälan</t>
        </is>
      </c>
      <c r="C253" t="inlineStr">
        <is>
          <t>Föryngringsavverkning</t>
        </is>
      </c>
      <c r="D253" s="1" t="n">
        <v>45624</v>
      </c>
      <c r="E253" s="1" t="n">
        <v>46233</v>
      </c>
      <c r="F253" t="inlineStr">
        <is>
          <t>VÄSTERNORRLANDS LÄN</t>
        </is>
      </c>
      <c r="G253" t="inlineStr">
        <is>
          <t>TIMRÅ</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30816-2025</t>
        </is>
      </c>
      <c r="B254" t="inlineStr">
        <is>
          <t>avverkningsanmälan</t>
        </is>
      </c>
      <c r="C254" t="inlineStr">
        <is>
          <t>Föryngringsavverkning</t>
        </is>
      </c>
      <c r="D254" s="1" t="n">
        <v>45831</v>
      </c>
      <c r="E254" s="1" t="n">
        <v>46233</v>
      </c>
      <c r="F254" t="inlineStr">
        <is>
          <t>VÄSTERNORRLANDS LÄN</t>
        </is>
      </c>
      <c r="G254" t="inlineStr">
        <is>
          <t>TIMRÅ</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30827-2025</t>
        </is>
      </c>
      <c r="B255" t="inlineStr">
        <is>
          <t>avverkningsanmälan</t>
        </is>
      </c>
      <c r="C255" t="inlineStr">
        <is>
          <t>Föryngringsavverkning</t>
        </is>
      </c>
      <c r="D255" s="1" t="n">
        <v>45831</v>
      </c>
      <c r="E255" s="1" t="n">
        <v>46233</v>
      </c>
      <c r="F255" t="inlineStr">
        <is>
          <t>VÄSTERNORRLANDS LÄN</t>
        </is>
      </c>
      <c r="G255" t="inlineStr">
        <is>
          <t>TIMRÅ</t>
        </is>
      </c>
      <c r="H255" t="inlineStr">
        <is>
          <t>SCA</t>
        </is>
      </c>
      <c r="I255" t="n">
        <v>14.8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16786-2023</t>
        </is>
      </c>
      <c r="B256" t="inlineStr">
        <is>
          <t>avverkningsanmälan</t>
        </is>
      </c>
      <c r="C256" t="inlineStr">
        <is>
          <t>Föryngringsavverkning</t>
        </is>
      </c>
      <c r="D256" s="1" t="n">
        <v>45032</v>
      </c>
      <c r="E256" s="1" t="n">
        <v>46233</v>
      </c>
      <c r="F256" t="inlineStr">
        <is>
          <t>VÄSTERNORRLANDS LÄN</t>
        </is>
      </c>
      <c r="G256" t="inlineStr">
        <is>
          <t>TIMRÅ</t>
        </is>
      </c>
      <c r="H256" t="inlineStr">
        <is>
          <t>SCA</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42144-2025</t>
        </is>
      </c>
      <c r="B257" t="inlineStr">
        <is>
          <t>avverkningsanmälan</t>
        </is>
      </c>
      <c r="C257" t="inlineStr">
        <is>
          <t>Föryngringsavverkning</t>
        </is>
      </c>
      <c r="D257" s="1" t="n">
        <v>45904</v>
      </c>
      <c r="E257" s="1" t="n">
        <v>46233</v>
      </c>
      <c r="F257" t="inlineStr">
        <is>
          <t>VÄSTERNORRLANDS LÄN</t>
        </is>
      </c>
      <c r="G257" t="inlineStr">
        <is>
          <t>TIMRÅ</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42040-2025</t>
        </is>
      </c>
      <c r="B258" t="inlineStr">
        <is>
          <t>avverkningsanmälan</t>
        </is>
      </c>
      <c r="C258" t="inlineStr">
        <is>
          <t>Föryngringsavverkning</t>
        </is>
      </c>
      <c r="D258" s="1" t="n">
        <v>45903</v>
      </c>
      <c r="E258" s="1" t="n">
        <v>46233</v>
      </c>
      <c r="F258" t="inlineStr">
        <is>
          <t>VÄSTERNORRLANDS LÄN</t>
        </is>
      </c>
      <c r="G258" t="inlineStr">
        <is>
          <t>TIMRÅ</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31734-2025</t>
        </is>
      </c>
      <c r="B259" t="inlineStr">
        <is>
          <t>avverkningsanmälan</t>
        </is>
      </c>
      <c r="C259" t="inlineStr">
        <is>
          <t>Föryngringsavverkning</t>
        </is>
      </c>
      <c r="D259" s="1" t="n">
        <v>45834</v>
      </c>
      <c r="E259" s="1" t="n">
        <v>46233</v>
      </c>
      <c r="F259" t="inlineStr">
        <is>
          <t>VÄSTERNORRLANDS LÄN</t>
        </is>
      </c>
      <c r="G259" t="inlineStr">
        <is>
          <t>TIMRÅ</t>
        </is>
      </c>
      <c r="H259" t="inlineStr">
        <is>
          <t>SCA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32375-2025</t>
        </is>
      </c>
      <c r="B260" t="inlineStr">
        <is>
          <t>avverkningsanmälan</t>
        </is>
      </c>
      <c r="C260" t="inlineStr">
        <is>
          <t>Föryngringsavverkning</t>
        </is>
      </c>
      <c r="D260" s="1" t="n">
        <v>45837</v>
      </c>
      <c r="E260" s="1" t="n">
        <v>46233</v>
      </c>
      <c r="F260" t="inlineStr">
        <is>
          <t>VÄSTERNORRLANDS LÄN</t>
        </is>
      </c>
      <c r="G260" t="inlineStr">
        <is>
          <t>TIMRÅ</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42657-2025</t>
        </is>
      </c>
      <c r="B261" t="inlineStr">
        <is>
          <t>avverkningsanmälan</t>
        </is>
      </c>
      <c r="C261" t="inlineStr">
        <is>
          <t>Föryngringsavverkning</t>
        </is>
      </c>
      <c r="D261" s="1" t="n">
        <v>45907</v>
      </c>
      <c r="E261" s="1" t="n">
        <v>46233</v>
      </c>
      <c r="F261" t="inlineStr">
        <is>
          <t>VÄSTERNORRLANDS LÄN</t>
        </is>
      </c>
      <c r="G261" t="inlineStr">
        <is>
          <t>TIMRÅ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32427-2025</t>
        </is>
      </c>
      <c r="B262" t="inlineStr">
        <is>
          <t>avverkningsanmälan</t>
        </is>
      </c>
      <c r="C262" t="inlineStr">
        <is>
          <t>Föryngringsavverkning</t>
        </is>
      </c>
      <c r="D262" s="1" t="n">
        <v>45838</v>
      </c>
      <c r="E262" s="1" t="n">
        <v>46233</v>
      </c>
      <c r="F262" t="inlineStr">
        <is>
          <t>VÄSTERNORRLANDS LÄN</t>
        </is>
      </c>
      <c r="G262" t="inlineStr">
        <is>
          <t>TIMRÅ</t>
        </is>
      </c>
      <c r="H262" t="inlineStr">
        <is>
          <t>SCA</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32373-2025</t>
        </is>
      </c>
      <c r="B263" t="inlineStr">
        <is>
          <t>avverkningsanmälan</t>
        </is>
      </c>
      <c r="C263" t="inlineStr">
        <is>
          <t>Föryngringsavverkning</t>
        </is>
      </c>
      <c r="D263" s="1" t="n">
        <v>45837</v>
      </c>
      <c r="E263" s="1" t="n">
        <v>46233</v>
      </c>
      <c r="F263" t="inlineStr">
        <is>
          <t>VÄSTERNORRLANDS LÄN</t>
        </is>
      </c>
      <c r="G263" t="inlineStr">
        <is>
          <t>TIMRÅ</t>
        </is>
      </c>
      <c r="H263" t="inlineStr">
        <is>
          <t>SCA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5296-2026</t>
        </is>
      </c>
      <c r="B264" t="inlineStr">
        <is>
          <t>avverkningsanmälan</t>
        </is>
      </c>
      <c r="C264" t="inlineStr">
        <is>
          <t>Föryngringsavverkning</t>
        </is>
      </c>
      <c r="D264" s="1" t="n">
        <v>46050</v>
      </c>
      <c r="E264" s="1" t="n">
        <v>46233</v>
      </c>
      <c r="F264" t="inlineStr">
        <is>
          <t>VÄSTERNORRLANDS LÄN</t>
        </is>
      </c>
      <c r="G264" t="inlineStr">
        <is>
          <t>TIMRÅ</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33225-2025</t>
        </is>
      </c>
      <c r="B265" t="inlineStr">
        <is>
          <t>avverkningsanmälan</t>
        </is>
      </c>
      <c r="C265" t="inlineStr">
        <is>
          <t>Föryngringsavverkning</t>
        </is>
      </c>
      <c r="D265" s="1" t="n">
        <v>45840</v>
      </c>
      <c r="E265" s="1" t="n">
        <v>46233</v>
      </c>
      <c r="F265" t="inlineStr">
        <is>
          <t>VÄSTERNORRLANDS LÄN</t>
        </is>
      </c>
      <c r="G265" t="inlineStr">
        <is>
          <t>TIMRÅ</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33044-2025</t>
        </is>
      </c>
      <c r="B266" t="inlineStr">
        <is>
          <t>avverkningsanmälan</t>
        </is>
      </c>
      <c r="C266" t="inlineStr">
        <is>
          <t>Föryngringsavverkning</t>
        </is>
      </c>
      <c r="D266" s="1" t="n">
        <v>45840</v>
      </c>
      <c r="E266" s="1" t="n">
        <v>46233</v>
      </c>
      <c r="F266" t="inlineStr">
        <is>
          <t>VÄSTERNORRLANDS LÄN</t>
        </is>
      </c>
      <c r="G266" t="inlineStr">
        <is>
          <t>TIMRÅ</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5153-2026</t>
        </is>
      </c>
      <c r="B267" t="inlineStr">
        <is>
          <t>avverkningsanmälan</t>
        </is>
      </c>
      <c r="C267" t="inlineStr">
        <is>
          <t>Föryngringsavverkning</t>
        </is>
      </c>
      <c r="D267" s="1" t="n">
        <v>46049</v>
      </c>
      <c r="E267" s="1" t="n">
        <v>46233</v>
      </c>
      <c r="F267" t="inlineStr">
        <is>
          <t>VÄSTERNORRLANDS LÄN</t>
        </is>
      </c>
      <c r="G267" t="inlineStr">
        <is>
          <t>TIMRÅ</t>
        </is>
      </c>
      <c r="H267" t="inlineStr">
        <is>
          <t>SCA</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5295-2026</t>
        </is>
      </c>
      <c r="B268" t="inlineStr">
        <is>
          <t>avverkningsanmälan</t>
        </is>
      </c>
      <c r="C268" t="inlineStr">
        <is>
          <t>Föryngringsavverkning</t>
        </is>
      </c>
      <c r="D268" s="1" t="n">
        <v>46050</v>
      </c>
      <c r="E268" s="1" t="n">
        <v>46233</v>
      </c>
      <c r="F268" t="inlineStr">
        <is>
          <t>VÄSTERNORRLANDS LÄN</t>
        </is>
      </c>
      <c r="G268" t="inlineStr">
        <is>
          <t>TIMRÅ</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33043-2025</t>
        </is>
      </c>
      <c r="B269" t="inlineStr">
        <is>
          <t>avverkningsanmälan</t>
        </is>
      </c>
      <c r="C269" t="inlineStr">
        <is>
          <t>Föryngringsavverkning</t>
        </is>
      </c>
      <c r="D269" s="1" t="n">
        <v>45840</v>
      </c>
      <c r="E269" s="1" t="n">
        <v>46233</v>
      </c>
      <c r="F269" t="inlineStr">
        <is>
          <t>VÄSTERNORRLANDS LÄN</t>
        </is>
      </c>
      <c r="G269" t="inlineStr">
        <is>
          <t>TIMRÅ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11479-2022</t>
        </is>
      </c>
      <c r="B270" t="inlineStr">
        <is>
          <t>avverkningsanmälan</t>
        </is>
      </c>
      <c r="C270" t="inlineStr">
        <is>
          <t>Föryngringsavverkning</t>
        </is>
      </c>
      <c r="D270" s="1" t="n">
        <v>44630</v>
      </c>
      <c r="E270" s="1" t="n">
        <v>46233</v>
      </c>
      <c r="F270" t="inlineStr">
        <is>
          <t>VÄSTERNORRLANDS LÄN</t>
        </is>
      </c>
      <c r="G270" t="inlineStr">
        <is>
          <t>TIMRÅ</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32912-2025</t>
        </is>
      </c>
      <c r="B271" t="inlineStr">
        <is>
          <t>avverkningsanmälan</t>
        </is>
      </c>
      <c r="C271" t="inlineStr">
        <is>
          <t>Avverkning för att bevara och utveckla /försöksver</t>
        </is>
      </c>
      <c r="D271" s="1" t="n">
        <v>45839</v>
      </c>
      <c r="E271" s="1" t="n">
        <v>46233</v>
      </c>
      <c r="F271" t="inlineStr">
        <is>
          <t>VÄSTERNORRLANDS LÄN</t>
        </is>
      </c>
      <c r="G271" t="inlineStr">
        <is>
          <t>TIMRÅ</t>
        </is>
      </c>
      <c r="H271" t="inlineStr">
        <is>
          <t>SCA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53301-2024</t>
        </is>
      </c>
      <c r="B272" t="inlineStr">
        <is>
          <t>avverkningsanmälan</t>
        </is>
      </c>
      <c r="C272" t="inlineStr">
        <is>
          <t>Föryngringsavverkning</t>
        </is>
      </c>
      <c r="D272" s="1" t="n">
        <v>45614</v>
      </c>
      <c r="E272" s="1" t="n">
        <v>46233</v>
      </c>
      <c r="F272" t="inlineStr">
        <is>
          <t>VÄSTERNORRLANDS LÄN</t>
        </is>
      </c>
      <c r="G272" t="inlineStr">
        <is>
          <t>TIMRÅ</t>
        </is>
      </c>
      <c r="H272" t="inlineStr">
        <is>
          <t>SCA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33112-2025</t>
        </is>
      </c>
      <c r="B273" t="inlineStr">
        <is>
          <t>avverkningsanmälan</t>
        </is>
      </c>
      <c r="C273" t="inlineStr">
        <is>
          <t>Föryngringsavverkning</t>
        </is>
      </c>
      <c r="D273" s="1" t="n">
        <v>45840</v>
      </c>
      <c r="E273" s="1" t="n">
        <v>46233</v>
      </c>
      <c r="F273" t="inlineStr">
        <is>
          <t>VÄSTERNORRLANDS LÄN</t>
        </is>
      </c>
      <c r="G273" t="inlineStr">
        <is>
          <t>TIMRÅ</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32964-2025</t>
        </is>
      </c>
      <c r="B274" t="inlineStr">
        <is>
          <t>avverkningsanmälan</t>
        </is>
      </c>
      <c r="C274" t="inlineStr">
        <is>
          <t>Föryngringsavverkning</t>
        </is>
      </c>
      <c r="D274" s="1" t="n">
        <v>45839</v>
      </c>
      <c r="E274" s="1" t="n">
        <v>46233</v>
      </c>
      <c r="F274" t="inlineStr">
        <is>
          <t>VÄSTERNORRLANDS LÄN</t>
        </is>
      </c>
      <c r="G274" t="inlineStr">
        <is>
          <t>TIMRÅ</t>
        </is>
      </c>
      <c r="H274" t="inlineStr">
        <is>
          <t>SCA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45673-2024</t>
        </is>
      </c>
      <c r="B275" t="inlineStr">
        <is>
          <t>avverkningsanmälan</t>
        </is>
      </c>
      <c r="C275" t="inlineStr">
        <is>
          <t>Föryngringsavverkning</t>
        </is>
      </c>
      <c r="D275" s="1" t="n">
        <v>45579</v>
      </c>
      <c r="E275" s="1" t="n">
        <v>46233</v>
      </c>
      <c r="F275" t="inlineStr">
        <is>
          <t>VÄSTERNORRLANDS LÄN</t>
        </is>
      </c>
      <c r="G275" t="inlineStr">
        <is>
          <t>TIMRÅ</t>
        </is>
      </c>
      <c r="H275" t="inlineStr">
        <is>
          <t>SCA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56723-2022</t>
        </is>
      </c>
      <c r="B276" t="inlineStr">
        <is>
          <t>avverkningsanmälan</t>
        </is>
      </c>
      <c r="C276" t="inlineStr">
        <is>
          <t>Föryngringsavverkning</t>
        </is>
      </c>
      <c r="D276" s="1" t="n">
        <v>44893</v>
      </c>
      <c r="E276" s="1" t="n">
        <v>46233</v>
      </c>
      <c r="F276" t="inlineStr">
        <is>
          <t>VÄSTERNORRLANDS LÄN</t>
        </is>
      </c>
      <c r="G276" t="inlineStr">
        <is>
          <t>TIMRÅ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44011-2024</t>
        </is>
      </c>
      <c r="B277" t="inlineStr">
        <is>
          <t>avverkningsanmälan</t>
        </is>
      </c>
      <c r="C277" t="inlineStr">
        <is>
          <t>Föryngringsavverkning</t>
        </is>
      </c>
      <c r="D277" s="1" t="n">
        <v>45572</v>
      </c>
      <c r="E277" s="1" t="n">
        <v>46233</v>
      </c>
      <c r="F277" t="inlineStr">
        <is>
          <t>VÄSTERNORRLANDS LÄN</t>
        </is>
      </c>
      <c r="G277" t="inlineStr">
        <is>
          <t>TIMRÅ</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44011-2025</t>
        </is>
      </c>
      <c r="B278" t="inlineStr">
        <is>
          <t>avverkningsanmälan</t>
        </is>
      </c>
      <c r="C278" t="inlineStr">
        <is>
          <t>Föryngringsavverkning</t>
        </is>
      </c>
      <c r="D278" s="1" t="n">
        <v>45915</v>
      </c>
      <c r="E278" s="1" t="n">
        <v>46233</v>
      </c>
      <c r="F278" t="inlineStr">
        <is>
          <t>VÄSTERNORRLANDS LÄN</t>
        </is>
      </c>
      <c r="G278" t="inlineStr">
        <is>
          <t>TIMRÅ</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44013-2025</t>
        </is>
      </c>
      <c r="B279" t="inlineStr">
        <is>
          <t>avverkningsanmälan</t>
        </is>
      </c>
      <c r="C279" t="inlineStr">
        <is>
          <t>Föryngringsavverkning</t>
        </is>
      </c>
      <c r="D279" s="1" t="n">
        <v>45915</v>
      </c>
      <c r="E279" s="1" t="n">
        <v>46233</v>
      </c>
      <c r="F279" t="inlineStr">
        <is>
          <t>VÄSTERNORRLANDS LÄN</t>
        </is>
      </c>
      <c r="G279" t="inlineStr">
        <is>
          <t>TIMRÅ</t>
        </is>
      </c>
      <c r="H279" t="inlineStr">
        <is>
          <t>SCA</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44326-2025</t>
        </is>
      </c>
      <c r="B280" t="inlineStr">
        <is>
          <t>avverkningsanmälan</t>
        </is>
      </c>
      <c r="C280" t="inlineStr">
        <is>
          <t>Föryngringsavverkning</t>
        </is>
      </c>
      <c r="D280" s="1" t="n">
        <v>45916</v>
      </c>
      <c r="E280" s="1" t="n">
        <v>46233</v>
      </c>
      <c r="F280" t="inlineStr">
        <is>
          <t>VÄSTERNORRLANDS LÄN</t>
        </is>
      </c>
      <c r="G280" t="inlineStr">
        <is>
          <t>TIMRÅ</t>
        </is>
      </c>
      <c r="H280" t="inlineStr">
        <is>
          <t>SCA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44033-2025</t>
        </is>
      </c>
      <c r="B281" t="inlineStr">
        <is>
          <t>avverkningsanmälan</t>
        </is>
      </c>
      <c r="C281" t="inlineStr">
        <is>
          <t>Föryngringsavverkning</t>
        </is>
      </c>
      <c r="D281" s="1" t="n">
        <v>45915</v>
      </c>
      <c r="E281" s="1" t="n">
        <v>46233</v>
      </c>
      <c r="F281" t="inlineStr">
        <is>
          <t>VÄSTERNORRLANDS LÄN</t>
        </is>
      </c>
      <c r="G281" t="inlineStr">
        <is>
          <t>TIMRÅ</t>
        </is>
      </c>
      <c r="H281" t="inlineStr">
        <is>
          <t>SCA</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34229-2025</t>
        </is>
      </c>
      <c r="B282" t="inlineStr">
        <is>
          <t>avverkningsanmälan</t>
        </is>
      </c>
      <c r="C282" t="inlineStr">
        <is>
          <t>Föryngringsavverkning</t>
        </is>
      </c>
      <c r="D282" s="1" t="n">
        <v>45845</v>
      </c>
      <c r="E282" s="1" t="n">
        <v>46233</v>
      </c>
      <c r="F282" t="inlineStr">
        <is>
          <t>VÄSTERNORRLANDS LÄN</t>
        </is>
      </c>
      <c r="G282" t="inlineStr">
        <is>
          <t>TIMRÅ</t>
        </is>
      </c>
      <c r="H282" t="inlineStr">
        <is>
          <t>SCA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44325-2025</t>
        </is>
      </c>
      <c r="B283" t="inlineStr">
        <is>
          <t>avverkningsanmälan</t>
        </is>
      </c>
      <c r="C283" t="inlineStr">
        <is>
          <t>Föryngringsavverkning</t>
        </is>
      </c>
      <c r="D283" s="1" t="n">
        <v>45916</v>
      </c>
      <c r="E283" s="1" t="n">
        <v>46233</v>
      </c>
      <c r="F283" t="inlineStr">
        <is>
          <t>VÄSTERNORRLANDS LÄN</t>
        </is>
      </c>
      <c r="G283" t="inlineStr">
        <is>
          <t>TIMRÅ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17040-2022</t>
        </is>
      </c>
      <c r="B284" t="inlineStr">
        <is>
          <t>avverkningsanmälan</t>
        </is>
      </c>
      <c r="C284" t="inlineStr">
        <is>
          <t>Föryngringsavverkning</t>
        </is>
      </c>
      <c r="D284" s="1" t="n">
        <v>44676</v>
      </c>
      <c r="E284" s="1" t="n">
        <v>46233</v>
      </c>
      <c r="F284" t="inlineStr">
        <is>
          <t>VÄSTERNORRLANDS LÄN</t>
        </is>
      </c>
      <c r="G284" t="inlineStr">
        <is>
          <t>TIMRÅ</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41596-2024</t>
        </is>
      </c>
      <c r="B285" t="inlineStr">
        <is>
          <t>avverkningsanmälan</t>
        </is>
      </c>
      <c r="C285" t="inlineStr">
        <is>
          <t>Föryngringsavverkning</t>
        </is>
      </c>
      <c r="D285" s="1" t="n">
        <v>45560</v>
      </c>
      <c r="E285" s="1" t="n">
        <v>46233</v>
      </c>
      <c r="F285" t="inlineStr">
        <is>
          <t>VÄSTERNORRLANDS LÄN</t>
        </is>
      </c>
      <c r="G285" t="inlineStr">
        <is>
          <t>TIMRÅ</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44807-2025</t>
        </is>
      </c>
      <c r="B286" t="inlineStr">
        <is>
          <t>avverkningsanmälan</t>
        </is>
      </c>
      <c r="C286" t="inlineStr">
        <is>
          <t>Föryngringsavverkning</t>
        </is>
      </c>
      <c r="D286" s="1" t="n">
        <v>45918</v>
      </c>
      <c r="E286" s="1" t="n">
        <v>46233</v>
      </c>
      <c r="F286" t="inlineStr">
        <is>
          <t>VÄSTERNORRLANDS LÄN</t>
        </is>
      </c>
      <c r="G286" t="inlineStr">
        <is>
          <t>TIMRÅ</t>
        </is>
      </c>
      <c r="H286" t="inlineStr">
        <is>
          <t>SCA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34498-2025</t>
        </is>
      </c>
      <c r="B287" t="inlineStr">
        <is>
          <t>avverkningsanmälan</t>
        </is>
      </c>
      <c r="C287" t="inlineStr">
        <is>
          <t>Föryngringsavverkning</t>
        </is>
      </c>
      <c r="D287" s="1" t="n">
        <v>45847</v>
      </c>
      <c r="E287" s="1" t="n">
        <v>46233</v>
      </c>
      <c r="F287" t="inlineStr">
        <is>
          <t>VÄSTERNORRLANDS LÄN</t>
        </is>
      </c>
      <c r="G287" t="inlineStr">
        <is>
          <t>TIMRÅ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34499-2025</t>
        </is>
      </c>
      <c r="B288" t="inlineStr">
        <is>
          <t>avverkningsanmälan</t>
        </is>
      </c>
      <c r="C288" t="inlineStr">
        <is>
          <t>Föryngringsavverkning</t>
        </is>
      </c>
      <c r="D288" s="1" t="n">
        <v>45847</v>
      </c>
      <c r="E288" s="1" t="n">
        <v>46233</v>
      </c>
      <c r="F288" t="inlineStr">
        <is>
          <t>VÄSTERNORRLANDS LÄN</t>
        </is>
      </c>
      <c r="G288" t="inlineStr">
        <is>
          <t>TIMRÅ</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45630-2024</t>
        </is>
      </c>
      <c r="B289" t="inlineStr">
        <is>
          <t>avverkningsanmälan</t>
        </is>
      </c>
      <c r="C289" t="inlineStr">
        <is>
          <t>Föryngringsavverkning</t>
        </is>
      </c>
      <c r="D289" s="1" t="n">
        <v>45579</v>
      </c>
      <c r="E289" s="1" t="n">
        <v>46233</v>
      </c>
      <c r="F289" t="inlineStr">
        <is>
          <t>VÄSTERNORRLANDS LÄN</t>
        </is>
      </c>
      <c r="G289" t="inlineStr">
        <is>
          <t>TIMRÅ</t>
        </is>
      </c>
      <c r="H289" t="inlineStr">
        <is>
          <t>SCA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8632-2023</t>
        </is>
      </c>
      <c r="B290" t="inlineStr">
        <is>
          <t>avverkningsanmälan</t>
        </is>
      </c>
      <c r="C290" t="inlineStr">
        <is>
          <t>Föryngringsavverkning</t>
        </is>
      </c>
      <c r="D290" s="1" t="n">
        <v>44977</v>
      </c>
      <c r="E290" s="1" t="n">
        <v>46233</v>
      </c>
      <c r="F290" t="inlineStr">
        <is>
          <t>VÄSTERNORRLANDS LÄN</t>
        </is>
      </c>
      <c r="G290" t="inlineStr">
        <is>
          <t>TIMRÅ</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34879-2025</t>
        </is>
      </c>
      <c r="B291" t="inlineStr">
        <is>
          <t>avverkningsanmälan</t>
        </is>
      </c>
      <c r="C291" t="inlineStr">
        <is>
          <t>Föryngringsavverkning</t>
        </is>
      </c>
      <c r="D291" s="1" t="n">
        <v>45849</v>
      </c>
      <c r="E291" s="1" t="n">
        <v>46233</v>
      </c>
      <c r="F291" t="inlineStr">
        <is>
          <t>VÄSTERNORRLANDS LÄN</t>
        </is>
      </c>
      <c r="G291" t="inlineStr">
        <is>
          <t>TIMRÅ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13343-2024</t>
        </is>
      </c>
      <c r="B292" t="inlineStr">
        <is>
          <t>avverkningsanmälan</t>
        </is>
      </c>
      <c r="C292" t="inlineStr">
        <is>
          <t>Föryngringsavverkning</t>
        </is>
      </c>
      <c r="D292" s="1" t="n">
        <v>45386</v>
      </c>
      <c r="E292" s="1" t="n">
        <v>46233</v>
      </c>
      <c r="F292" t="inlineStr">
        <is>
          <t>VÄSTERNORRLANDS LÄN</t>
        </is>
      </c>
      <c r="G292" t="inlineStr">
        <is>
          <t>TIMRÅ</t>
        </is>
      </c>
      <c r="H292" t="inlineStr">
        <is>
          <t>SCA</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5732-2026</t>
        </is>
      </c>
      <c r="B293" t="inlineStr">
        <is>
          <t>avverkningsanmälan</t>
        </is>
      </c>
      <c r="C293" t="inlineStr">
        <is>
          <t>Föryngringsavverkning</t>
        </is>
      </c>
      <c r="D293" s="1" t="n">
        <v>46051</v>
      </c>
      <c r="E293" s="1" t="n">
        <v>46233</v>
      </c>
      <c r="F293" t="inlineStr">
        <is>
          <t>VÄSTERNORRLANDS LÄN</t>
        </is>
      </c>
      <c r="G293" t="inlineStr">
        <is>
          <t>TIMRÅ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46016-2025</t>
        </is>
      </c>
      <c r="B294" t="inlineStr">
        <is>
          <t>avverkningsanmälan</t>
        </is>
      </c>
      <c r="C294" t="inlineStr">
        <is>
          <t>Föryngringsavverkning</t>
        </is>
      </c>
      <c r="D294" s="1" t="n">
        <v>45924</v>
      </c>
      <c r="E294" s="1" t="n">
        <v>46233</v>
      </c>
      <c r="F294" t="inlineStr">
        <is>
          <t>VÄSTERNORRLANDS LÄN</t>
        </is>
      </c>
      <c r="G294" t="inlineStr">
        <is>
          <t>TIMRÅ</t>
        </is>
      </c>
      <c r="H294" t="inlineStr">
        <is>
          <t>SCA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35476-2025</t>
        </is>
      </c>
      <c r="B295" t="inlineStr">
        <is>
          <t>avverkningsanmälan</t>
        </is>
      </c>
      <c r="C295" t="inlineStr">
        <is>
          <t>Föryngringsavverkning</t>
        </is>
      </c>
      <c r="D295" s="1" t="n">
        <v>45855</v>
      </c>
      <c r="E295" s="1" t="n">
        <v>46233</v>
      </c>
      <c r="F295" t="inlineStr">
        <is>
          <t>VÄSTERNORRLANDS LÄN</t>
        </is>
      </c>
      <c r="G295" t="inlineStr">
        <is>
          <t>TIMRÅ</t>
        </is>
      </c>
      <c r="H295" t="inlineStr">
        <is>
          <t>SCA</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46019-2025</t>
        </is>
      </c>
      <c r="B296" t="inlineStr">
        <is>
          <t>avverkningsanmälan</t>
        </is>
      </c>
      <c r="C296" t="inlineStr">
        <is>
          <t>Föryngringsavverkning</t>
        </is>
      </c>
      <c r="D296" s="1" t="n">
        <v>45924</v>
      </c>
      <c r="E296" s="1" t="n">
        <v>46233</v>
      </c>
      <c r="F296" t="inlineStr">
        <is>
          <t>VÄSTERNORRLANDS LÄN</t>
        </is>
      </c>
      <c r="G296" t="inlineStr">
        <is>
          <t>TIMRÅ</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43568-2024</t>
        </is>
      </c>
      <c r="B297" t="inlineStr">
        <is>
          <t>avverkningsanmälan</t>
        </is>
      </c>
      <c r="C297" t="inlineStr">
        <is>
          <t>Avverkning för att bevara och utveckla /försöksver</t>
        </is>
      </c>
      <c r="D297" s="1" t="n">
        <v>45569</v>
      </c>
      <c r="E297" s="1" t="n">
        <v>46233</v>
      </c>
      <c r="F297" t="inlineStr">
        <is>
          <t>VÄSTERNORRLANDS LÄN</t>
        </is>
      </c>
      <c r="G297" t="inlineStr">
        <is>
          <t>TIMRÅ</t>
        </is>
      </c>
      <c r="H297" t="inlineStr">
        <is>
          <t>SCA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35659-2025</t>
        </is>
      </c>
      <c r="B298" t="inlineStr">
        <is>
          <t>avverkningsanmälan</t>
        </is>
      </c>
      <c r="C298" t="inlineStr">
        <is>
          <t>Föryngringsavverkning</t>
        </is>
      </c>
      <c r="D298" s="1" t="n">
        <v>45859</v>
      </c>
      <c r="E298" s="1" t="n">
        <v>46233</v>
      </c>
      <c r="F298" t="inlineStr">
        <is>
          <t>VÄSTERNORRLANDS LÄN</t>
        </is>
      </c>
      <c r="G298" t="inlineStr">
        <is>
          <t>TIMRÅ</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25190-2025</t>
        </is>
      </c>
      <c r="B299" t="inlineStr">
        <is>
          <t>avverkningsanmälan</t>
        </is>
      </c>
      <c r="C299" t="inlineStr">
        <is>
          <t>Föryngringsavverkning</t>
        </is>
      </c>
      <c r="D299" s="1" t="n">
        <v>45798</v>
      </c>
      <c r="E299" s="1" t="n">
        <v>46233</v>
      </c>
      <c r="F299" t="inlineStr">
        <is>
          <t>VÄSTERNORRLANDS LÄN</t>
        </is>
      </c>
      <c r="G299" t="inlineStr">
        <is>
          <t>TIMRÅ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35665-2025</t>
        </is>
      </c>
      <c r="B300" t="inlineStr">
        <is>
          <t>avverkningsanmälan</t>
        </is>
      </c>
      <c r="C300" t="inlineStr">
        <is>
          <t>Föryngringsavverkning</t>
        </is>
      </c>
      <c r="D300" s="1" t="n">
        <v>45859</v>
      </c>
      <c r="E300" s="1" t="n">
        <v>46233</v>
      </c>
      <c r="F300" t="inlineStr">
        <is>
          <t>VÄSTERNORRLANDS LÄN</t>
        </is>
      </c>
      <c r="G300" t="inlineStr">
        <is>
          <t>TIMRÅ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35666-2025</t>
        </is>
      </c>
      <c r="B301" t="inlineStr">
        <is>
          <t>avverkningsanmälan</t>
        </is>
      </c>
      <c r="C301" t="inlineStr">
        <is>
          <t>Föryngringsavverkning</t>
        </is>
      </c>
      <c r="D301" s="1" t="n">
        <v>45859</v>
      </c>
      <c r="E301" s="1" t="n">
        <v>46233</v>
      </c>
      <c r="F301" t="inlineStr">
        <is>
          <t>VÄSTERNORRLANDS LÄN</t>
        </is>
      </c>
      <c r="G301" t="inlineStr">
        <is>
          <t>TIMRÅ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35667-2025</t>
        </is>
      </c>
      <c r="B302" t="inlineStr">
        <is>
          <t>avverkningsanmälan</t>
        </is>
      </c>
      <c r="C302" t="inlineStr">
        <is>
          <t>Föryngringsavverkning</t>
        </is>
      </c>
      <c r="D302" s="1" t="n">
        <v>45859</v>
      </c>
      <c r="E302" s="1" t="n">
        <v>46233</v>
      </c>
      <c r="F302" t="inlineStr">
        <is>
          <t>VÄSTERNORRLANDS LÄN</t>
        </is>
      </c>
      <c r="G302" t="inlineStr">
        <is>
          <t>TIMRÅ</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43113-2023</t>
        </is>
      </c>
      <c r="B303" t="inlineStr">
        <is>
          <t>avverkningsanmälan</t>
        </is>
      </c>
      <c r="C303" t="inlineStr">
        <is>
          <t>Föryngringsavverkning</t>
        </is>
      </c>
      <c r="D303" s="1" t="n">
        <v>45182</v>
      </c>
      <c r="E303" s="1" t="n">
        <v>46233</v>
      </c>
      <c r="F303" t="inlineStr">
        <is>
          <t>VÄSTERNORRLANDS LÄN</t>
        </is>
      </c>
      <c r="G303" t="inlineStr">
        <is>
          <t>TIMRÅ</t>
        </is>
      </c>
      <c r="H303" t="inlineStr">
        <is>
          <t>SCA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47272-2025</t>
        </is>
      </c>
      <c r="B304" t="inlineStr">
        <is>
          <t>avverkningsanmälan</t>
        </is>
      </c>
      <c r="C304" t="inlineStr">
        <is>
          <t>Föryngringsavverkning</t>
        </is>
      </c>
      <c r="D304" s="1" t="n">
        <v>45930</v>
      </c>
      <c r="E304" s="1" t="n">
        <v>46233</v>
      </c>
      <c r="F304" t="inlineStr">
        <is>
          <t>VÄSTERNORRLANDS LÄN</t>
        </is>
      </c>
      <c r="G304" t="inlineStr">
        <is>
          <t>TIMRÅ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47479-2025</t>
        </is>
      </c>
      <c r="B305" t="inlineStr">
        <is>
          <t>avverkningsanmälan</t>
        </is>
      </c>
      <c r="C305" t="inlineStr">
        <is>
          <t>Föryngringsavverkning</t>
        </is>
      </c>
      <c r="D305" s="1" t="n">
        <v>45930</v>
      </c>
      <c r="E305" s="1" t="n">
        <v>46233</v>
      </c>
      <c r="F305" t="inlineStr">
        <is>
          <t>VÄSTERNORRLANDS LÄN</t>
        </is>
      </c>
      <c r="G305" t="inlineStr">
        <is>
          <t>TIMRÅ</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39800-2024</t>
        </is>
      </c>
      <c r="B306" t="inlineStr">
        <is>
          <t>avverkningsanmälan</t>
        </is>
      </c>
      <c r="C306" t="inlineStr">
        <is>
          <t>Föryngringsavverkning</t>
        </is>
      </c>
      <c r="D306" s="1" t="n">
        <v>45553</v>
      </c>
      <c r="E306" s="1" t="n">
        <v>46233</v>
      </c>
      <c r="F306" t="inlineStr">
        <is>
          <t>VÄSTERNORRLANDS LÄN</t>
        </is>
      </c>
      <c r="G306" t="inlineStr">
        <is>
          <t>TIMRÅ</t>
        </is>
      </c>
      <c r="H306" t="inlineStr">
        <is>
          <t>SCA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4123-2023</t>
        </is>
      </c>
      <c r="B307" t="inlineStr">
        <is>
          <t>avverkningsanmälan</t>
        </is>
      </c>
      <c r="C307" t="inlineStr">
        <is>
          <t>Föryngringsavverkning</t>
        </is>
      </c>
      <c r="D307" s="1" t="n">
        <v>44952</v>
      </c>
      <c r="E307" s="1" t="n">
        <v>46233</v>
      </c>
      <c r="F307" t="inlineStr">
        <is>
          <t>VÄSTERNORRLANDS LÄN</t>
        </is>
      </c>
      <c r="G307" t="inlineStr">
        <is>
          <t>TIMRÅ</t>
        </is>
      </c>
      <c r="I307" t="n">
        <v>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45338-2025</t>
        </is>
      </c>
      <c r="B308" t="inlineStr">
        <is>
          <t>avverkningsanmälan</t>
        </is>
      </c>
      <c r="C308" t="inlineStr">
        <is>
          <t>Föryngringsavverkning</t>
        </is>
      </c>
      <c r="D308" s="1" t="n">
        <v>45922</v>
      </c>
      <c r="E308" s="1" t="n">
        <v>46233</v>
      </c>
      <c r="F308" t="inlineStr">
        <is>
          <t>VÄSTERNORRLANDS LÄN</t>
        </is>
      </c>
      <c r="G308" t="inlineStr">
        <is>
          <t>TIMRÅ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47908-2025</t>
        </is>
      </c>
      <c r="B309" t="inlineStr">
        <is>
          <t>avverkningsanmälan</t>
        </is>
      </c>
      <c r="C309" t="inlineStr">
        <is>
          <t>Föryngringsavverkning</t>
        </is>
      </c>
      <c r="D309" s="1" t="n">
        <v>45932</v>
      </c>
      <c r="E309" s="1" t="n">
        <v>46233</v>
      </c>
      <c r="F309" t="inlineStr">
        <is>
          <t>VÄSTERNORRLANDS LÄN</t>
        </is>
      </c>
      <c r="G309" t="inlineStr">
        <is>
          <t>TIMRÅ</t>
        </is>
      </c>
      <c r="H309" t="inlineStr">
        <is>
          <t>SCA</t>
        </is>
      </c>
      <c r="I309" t="n">
        <v>9.300000000000001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6526-2026</t>
        </is>
      </c>
      <c r="B310" t="inlineStr">
        <is>
          <t>avverkningsanmälan</t>
        </is>
      </c>
      <c r="C310" t="inlineStr">
        <is>
          <t>Föryngringsavverkning</t>
        </is>
      </c>
      <c r="D310" s="1" t="n">
        <v>46056</v>
      </c>
      <c r="E310" s="1" t="n">
        <v>46233</v>
      </c>
      <c r="F310" t="inlineStr">
        <is>
          <t>VÄSTERNORRLANDS LÄN</t>
        </is>
      </c>
      <c r="G310" t="inlineStr">
        <is>
          <t>TIMRÅ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6427-2026</t>
        </is>
      </c>
      <c r="B311" t="inlineStr">
        <is>
          <t>avverkningsanmälan</t>
        </is>
      </c>
      <c r="C311" t="inlineStr">
        <is>
          <t>Föryngringsavverkning</t>
        </is>
      </c>
      <c r="D311" s="1" t="n">
        <v>46055</v>
      </c>
      <c r="E311" s="1" t="n">
        <v>46233</v>
      </c>
      <c r="F311" t="inlineStr">
        <is>
          <t>VÄSTERNORRLANDS LÄN</t>
        </is>
      </c>
      <c r="G311" t="inlineStr">
        <is>
          <t>TIMRÅ</t>
        </is>
      </c>
      <c r="H311" t="inlineStr">
        <is>
          <t>SCA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6548-2026</t>
        </is>
      </c>
      <c r="B312" t="inlineStr">
        <is>
          <t>avverkningsanmälan</t>
        </is>
      </c>
      <c r="C312" t="inlineStr">
        <is>
          <t>Föryngringsavverkning</t>
        </is>
      </c>
      <c r="D312" s="1" t="n">
        <v>46056</v>
      </c>
      <c r="E312" s="1" t="n">
        <v>46233</v>
      </c>
      <c r="F312" t="inlineStr">
        <is>
          <t>VÄSTERNORRLANDS LÄN</t>
        </is>
      </c>
      <c r="G312" t="inlineStr">
        <is>
          <t>TIMRÅ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43526-2024</t>
        </is>
      </c>
      <c r="B313" t="inlineStr">
        <is>
          <t>avverkningsanmälan</t>
        </is>
      </c>
      <c r="C313" t="inlineStr">
        <is>
          <t>Avverkning för att bevara och utveckla /försöksver</t>
        </is>
      </c>
      <c r="D313" s="1" t="n">
        <v>45569</v>
      </c>
      <c r="E313" s="1" t="n">
        <v>46233</v>
      </c>
      <c r="F313" t="inlineStr">
        <is>
          <t>VÄSTERNORRLANDS LÄN</t>
        </is>
      </c>
      <c r="G313" t="inlineStr">
        <is>
          <t>TIMRÅ</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45586-2024</t>
        </is>
      </c>
      <c r="B314" t="inlineStr">
        <is>
          <t>avverkningsanmälan</t>
        </is>
      </c>
      <c r="C314" t="inlineStr">
        <is>
          <t>Avverkning för att bevara och utveckla /försöksver</t>
        </is>
      </c>
      <c r="D314" s="1" t="n">
        <v>45579</v>
      </c>
      <c r="E314" s="1" t="n">
        <v>46233</v>
      </c>
      <c r="F314" t="inlineStr">
        <is>
          <t>VÄSTERNORRLANDS LÄN</t>
        </is>
      </c>
      <c r="G314" t="inlineStr">
        <is>
          <t>TIMRÅ</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37684-2025</t>
        </is>
      </c>
      <c r="B315" t="inlineStr">
        <is>
          <t>avverkningsanmälan</t>
        </is>
      </c>
      <c r="C315" t="inlineStr">
        <is>
          <t>Föryngringsavverkning</t>
        </is>
      </c>
      <c r="D315" s="1" t="n">
        <v>45880</v>
      </c>
      <c r="E315" s="1" t="n">
        <v>46233</v>
      </c>
      <c r="F315" t="inlineStr">
        <is>
          <t>VÄSTERNORRLANDS LÄN</t>
        </is>
      </c>
      <c r="G315" t="inlineStr">
        <is>
          <t>TIMRÅ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6550-2026</t>
        </is>
      </c>
      <c r="B316" t="inlineStr">
        <is>
          <t>avverkningsanmälan</t>
        </is>
      </c>
      <c r="C316" t="inlineStr">
        <is>
          <t>Föryngringsavverkning</t>
        </is>
      </c>
      <c r="D316" s="1" t="n">
        <v>46056</v>
      </c>
      <c r="E316" s="1" t="n">
        <v>46233</v>
      </c>
      <c r="F316" t="inlineStr">
        <is>
          <t>VÄSTERNORRLANDS LÄN</t>
        </is>
      </c>
      <c r="G316" t="inlineStr">
        <is>
          <t>TIMRÅ</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37695-2025</t>
        </is>
      </c>
      <c r="B317" t="inlineStr">
        <is>
          <t>avverkningsanmälan</t>
        </is>
      </c>
      <c r="C317" t="inlineStr">
        <is>
          <t>Föryngringsavverkning</t>
        </is>
      </c>
      <c r="D317" s="1" t="n">
        <v>45880</v>
      </c>
      <c r="E317" s="1" t="n">
        <v>46233</v>
      </c>
      <c r="F317" t="inlineStr">
        <is>
          <t>VÄSTERNORRLANDS LÄN</t>
        </is>
      </c>
      <c r="G317" t="inlineStr">
        <is>
          <t>TIMRÅ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49257-2025</t>
        </is>
      </c>
      <c r="B318" t="inlineStr">
        <is>
          <t>avverkningsanmälan</t>
        </is>
      </c>
      <c r="C318" t="inlineStr">
        <is>
          <t>Föryngringsavverkning</t>
        </is>
      </c>
      <c r="D318" s="1" t="n">
        <v>45938</v>
      </c>
      <c r="E318" s="1" t="n">
        <v>46233</v>
      </c>
      <c r="F318" t="inlineStr">
        <is>
          <t>VÄSTERNORRLANDS LÄN</t>
        </is>
      </c>
      <c r="G318" t="inlineStr">
        <is>
          <t>TIMRÅ</t>
        </is>
      </c>
      <c r="H318" t="inlineStr">
        <is>
          <t>SCA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37470-2025</t>
        </is>
      </c>
      <c r="B319" t="inlineStr">
        <is>
          <t>avverkningsanmälan</t>
        </is>
      </c>
      <c r="C319" t="inlineStr">
        <is>
          <t>Föryngringsavverkning</t>
        </is>
      </c>
      <c r="D319" s="1" t="n">
        <v>45877</v>
      </c>
      <c r="E319" s="1" t="n">
        <v>46233</v>
      </c>
      <c r="F319" t="inlineStr">
        <is>
          <t>VÄSTERNORRLANDS LÄN</t>
        </is>
      </c>
      <c r="G319" t="inlineStr">
        <is>
          <t>TIMRÅ</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56288-2024</t>
        </is>
      </c>
      <c r="B320" t="inlineStr">
        <is>
          <t>avverkningsanmälan</t>
        </is>
      </c>
      <c r="C320" t="inlineStr">
        <is>
          <t>Föryngringsavverkning</t>
        </is>
      </c>
      <c r="D320" s="1" t="n">
        <v>45624</v>
      </c>
      <c r="E320" s="1" t="n">
        <v>46233</v>
      </c>
      <c r="F320" t="inlineStr">
        <is>
          <t>VÄSTERNORRLANDS LÄN</t>
        </is>
      </c>
      <c r="G320" t="inlineStr">
        <is>
          <t>TIMRÅ</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58879-2024</t>
        </is>
      </c>
      <c r="B321" t="inlineStr">
        <is>
          <t>avverkningsanmälan</t>
        </is>
      </c>
      <c r="C321" t="inlineStr">
        <is>
          <t>Föryngringsavverkning</t>
        </is>
      </c>
      <c r="D321" s="1" t="n">
        <v>45636</v>
      </c>
      <c r="E321" s="1" t="n">
        <v>46233</v>
      </c>
      <c r="F321" t="inlineStr">
        <is>
          <t>VÄSTERNORRLANDS LÄN</t>
        </is>
      </c>
      <c r="G321" t="inlineStr">
        <is>
          <t>TIMRÅ</t>
        </is>
      </c>
      <c r="H321" t="inlineStr">
        <is>
          <t>SCA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6527-2026</t>
        </is>
      </c>
      <c r="B322" t="inlineStr">
        <is>
          <t>avverkningsanmälan</t>
        </is>
      </c>
      <c r="C322" t="inlineStr">
        <is>
          <t>Föryngringsavverkning</t>
        </is>
      </c>
      <c r="D322" s="1" t="n">
        <v>46056</v>
      </c>
      <c r="E322" s="1" t="n">
        <v>46233</v>
      </c>
      <c r="F322" t="inlineStr">
        <is>
          <t>VÄSTERNORRLANDS LÄN</t>
        </is>
      </c>
      <c r="G322" t="inlineStr">
        <is>
          <t>TIMRÅ</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6625-2026</t>
        </is>
      </c>
      <c r="B323" t="inlineStr">
        <is>
          <t>avverkningsanmälan</t>
        </is>
      </c>
      <c r="C323" t="inlineStr">
        <is>
          <t>Föryngringsavverkning</t>
        </is>
      </c>
      <c r="D323" s="1" t="n">
        <v>46056</v>
      </c>
      <c r="E323" s="1" t="n">
        <v>46233</v>
      </c>
      <c r="F323" t="inlineStr">
        <is>
          <t>VÄSTERNORRLANDS LÄN</t>
        </is>
      </c>
      <c r="G323" t="inlineStr">
        <is>
          <t>TIMRÅ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56442-2024</t>
        </is>
      </c>
      <c r="B324" t="inlineStr">
        <is>
          <t>avverkningsanmälan</t>
        </is>
      </c>
      <c r="C324" t="inlineStr">
        <is>
          <t>Föryngringsavverkning</t>
        </is>
      </c>
      <c r="D324" s="1" t="n">
        <v>45625</v>
      </c>
      <c r="E324" s="1" t="n">
        <v>46233</v>
      </c>
      <c r="F324" t="inlineStr">
        <is>
          <t>VÄSTERNORRLANDS LÄN</t>
        </is>
      </c>
      <c r="G324" t="inlineStr">
        <is>
          <t>TIMRÅ</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49575-2025</t>
        </is>
      </c>
      <c r="B325" t="inlineStr">
        <is>
          <t>avverkningsanmälan</t>
        </is>
      </c>
      <c r="C325" t="inlineStr">
        <is>
          <t>Föryngringsavverkning</t>
        </is>
      </c>
      <c r="D325" s="1" t="n">
        <v>45939</v>
      </c>
      <c r="E325" s="1" t="n">
        <v>46233</v>
      </c>
      <c r="F325" t="inlineStr">
        <is>
          <t>VÄSTERNORRLANDS LÄN</t>
        </is>
      </c>
      <c r="G325" t="inlineStr">
        <is>
          <t>TIMRÅ</t>
        </is>
      </c>
      <c r="H325" t="inlineStr">
        <is>
          <t>SCA</t>
        </is>
      </c>
      <c r="I325" t="n">
        <v>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50122-2025</t>
        </is>
      </c>
      <c r="B326" t="inlineStr">
        <is>
          <t>avverkningsanmälan</t>
        </is>
      </c>
      <c r="C326" t="inlineStr">
        <is>
          <t>Föryngringsavverkning</t>
        </is>
      </c>
      <c r="D326" s="1" t="n">
        <v>45943</v>
      </c>
      <c r="E326" s="1" t="n">
        <v>46233</v>
      </c>
      <c r="F326" t="inlineStr">
        <is>
          <t>VÄSTERNORRLANDS LÄN</t>
        </is>
      </c>
      <c r="G326" t="inlineStr">
        <is>
          <t>TIMRÅ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6978-2026</t>
        </is>
      </c>
      <c r="B327" t="inlineStr">
        <is>
          <t>avverkningsanmälan</t>
        </is>
      </c>
      <c r="C327" t="inlineStr">
        <is>
          <t>Föryngringsavverkning</t>
        </is>
      </c>
      <c r="D327" s="1" t="n">
        <v>46057</v>
      </c>
      <c r="E327" s="1" t="n">
        <v>46233</v>
      </c>
      <c r="F327" t="inlineStr">
        <is>
          <t>VÄSTERNORRLANDS LÄN</t>
        </is>
      </c>
      <c r="G327" t="inlineStr">
        <is>
          <t>TIMRÅ</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6976-2026</t>
        </is>
      </c>
      <c r="B328" t="inlineStr">
        <is>
          <t>avverkningsanmälan</t>
        </is>
      </c>
      <c r="C328" t="inlineStr">
        <is>
          <t>Föryngringsavverkning</t>
        </is>
      </c>
      <c r="D328" s="1" t="n">
        <v>46057</v>
      </c>
      <c r="E328" s="1" t="n">
        <v>46233</v>
      </c>
      <c r="F328" t="inlineStr">
        <is>
          <t>VÄSTERNORRLANDS LÄN</t>
        </is>
      </c>
      <c r="G328" t="inlineStr">
        <is>
          <t>TIMRÅ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60111-2024</t>
        </is>
      </c>
      <c r="B329" t="inlineStr">
        <is>
          <t>avverkningsanmälan</t>
        </is>
      </c>
      <c r="C329" t="inlineStr">
        <is>
          <t>Föryngringsavverkning</t>
        </is>
      </c>
      <c r="D329" s="1" t="n">
        <v>45642</v>
      </c>
      <c r="E329" s="1" t="n">
        <v>46233</v>
      </c>
      <c r="F329" t="inlineStr">
        <is>
          <t>VÄSTERNORRLANDS LÄN</t>
        </is>
      </c>
      <c r="G329" t="inlineStr">
        <is>
          <t>TIMRÅ</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51457-2025</t>
        </is>
      </c>
      <c r="B330" t="inlineStr">
        <is>
          <t>avverkningsanmälan</t>
        </is>
      </c>
      <c r="C330" t="inlineStr">
        <is>
          <t>Föryngringsavverkning</t>
        </is>
      </c>
      <c r="D330" s="1" t="n">
        <v>45950</v>
      </c>
      <c r="E330" s="1" t="n">
        <v>46233</v>
      </c>
      <c r="F330" t="inlineStr">
        <is>
          <t>VÄSTERNORRLANDS LÄN</t>
        </is>
      </c>
      <c r="G330" t="inlineStr">
        <is>
          <t>TIMRÅ</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51482-2025</t>
        </is>
      </c>
      <c r="B331" t="inlineStr">
        <is>
          <t>avverkningsanmälan</t>
        </is>
      </c>
      <c r="C331" t="inlineStr">
        <is>
          <t>Föryngringsavverkning</t>
        </is>
      </c>
      <c r="D331" s="1" t="n">
        <v>45950</v>
      </c>
      <c r="E331" s="1" t="n">
        <v>46233</v>
      </c>
      <c r="F331" t="inlineStr">
        <is>
          <t>VÄSTERNORRLANDS LÄN</t>
        </is>
      </c>
      <c r="G331" t="inlineStr">
        <is>
          <t>TIMRÅ</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51510-2025</t>
        </is>
      </c>
      <c r="B332" t="inlineStr">
        <is>
          <t>avverkningsanmälan</t>
        </is>
      </c>
      <c r="C332" t="inlineStr">
        <is>
          <t>Föryngringsavverkning</t>
        </is>
      </c>
      <c r="D332" s="1" t="n">
        <v>45950</v>
      </c>
      <c r="E332" s="1" t="n">
        <v>46233</v>
      </c>
      <c r="F332" t="inlineStr">
        <is>
          <t>VÄSTERNORRLANDS LÄN</t>
        </is>
      </c>
      <c r="G332" t="inlineStr">
        <is>
          <t>TIMRÅ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51788-2025</t>
        </is>
      </c>
      <c r="B333" t="inlineStr">
        <is>
          <t>avverkningsanmälan</t>
        </is>
      </c>
      <c r="C333" t="inlineStr">
        <is>
          <t>Avverkning för att bevara och utveckla /försöksver</t>
        </is>
      </c>
      <c r="D333" s="1" t="n">
        <v>45951</v>
      </c>
      <c r="E333" s="1" t="n">
        <v>46233</v>
      </c>
      <c r="F333" t="inlineStr">
        <is>
          <t>VÄSTERNORRLANDS LÄN</t>
        </is>
      </c>
      <c r="G333" t="inlineStr">
        <is>
          <t>TIMRÅ</t>
        </is>
      </c>
      <c r="H333" t="inlineStr">
        <is>
          <t>SCA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51585-2025</t>
        </is>
      </c>
      <c r="B334" t="inlineStr">
        <is>
          <t>avverkningsanmälan</t>
        </is>
      </c>
      <c r="C334" t="inlineStr">
        <is>
          <t>Föryngringsavverkning</t>
        </is>
      </c>
      <c r="D334" s="1" t="n">
        <v>45951</v>
      </c>
      <c r="E334" s="1" t="n">
        <v>46233</v>
      </c>
      <c r="F334" t="inlineStr">
        <is>
          <t>VÄSTERNORRLANDS LÄN</t>
        </is>
      </c>
      <c r="G334" t="inlineStr">
        <is>
          <t>TIMRÅ</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53703-2021</t>
        </is>
      </c>
      <c r="B335" t="inlineStr">
        <is>
          <t>avverkningsanmälan</t>
        </is>
      </c>
      <c r="C335" t="inlineStr">
        <is>
          <t>Föryngringsavverkning</t>
        </is>
      </c>
      <c r="D335" s="1" t="n">
        <v>44469</v>
      </c>
      <c r="E335" s="1" t="n">
        <v>46233</v>
      </c>
      <c r="F335" t="inlineStr">
        <is>
          <t>VÄSTERNORRLANDS LÄN</t>
        </is>
      </c>
      <c r="G335" t="inlineStr">
        <is>
          <t>TIMRÅ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52091-2025</t>
        </is>
      </c>
      <c r="B336" t="inlineStr">
        <is>
          <t>avverkningsanmälan</t>
        </is>
      </c>
      <c r="C336" t="inlineStr">
        <is>
          <t>Föryngringsavverkning</t>
        </is>
      </c>
      <c r="D336" s="1" t="n">
        <v>45952</v>
      </c>
      <c r="E336" s="1" t="n">
        <v>46233</v>
      </c>
      <c r="F336" t="inlineStr">
        <is>
          <t>VÄSTERNORRLANDS LÄN</t>
        </is>
      </c>
      <c r="G336" t="inlineStr">
        <is>
          <t>TIMRÅ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51779-2025</t>
        </is>
      </c>
      <c r="B337" t="inlineStr">
        <is>
          <t>avverkningsanmälan</t>
        </is>
      </c>
      <c r="C337" t="inlineStr">
        <is>
          <t>Föryngringsavverkning</t>
        </is>
      </c>
      <c r="D337" s="1" t="n">
        <v>45951</v>
      </c>
      <c r="E337" s="1" t="n">
        <v>46233</v>
      </c>
      <c r="F337" t="inlineStr">
        <is>
          <t>VÄSTERNORRLANDS LÄN</t>
        </is>
      </c>
      <c r="G337" t="inlineStr">
        <is>
          <t>TIMRÅ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51580-2025</t>
        </is>
      </c>
      <c r="B338" t="inlineStr">
        <is>
          <t>avverkningsanmälan</t>
        </is>
      </c>
      <c r="C338" t="inlineStr">
        <is>
          <t>Föryngringsavverkning</t>
        </is>
      </c>
      <c r="D338" s="1" t="n">
        <v>45951</v>
      </c>
      <c r="E338" s="1" t="n">
        <v>46233</v>
      </c>
      <c r="F338" t="inlineStr">
        <is>
          <t>VÄSTERNORRLANDS LÄN</t>
        </is>
      </c>
      <c r="G338" t="inlineStr">
        <is>
          <t>TIMRÅ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51582-2025</t>
        </is>
      </c>
      <c r="B339" t="inlineStr">
        <is>
          <t>avverkningsanmälan</t>
        </is>
      </c>
      <c r="C339" t="inlineStr">
        <is>
          <t>Föryngringsavverkning</t>
        </is>
      </c>
      <c r="D339" s="1" t="n">
        <v>45951</v>
      </c>
      <c r="E339" s="1" t="n">
        <v>46233</v>
      </c>
      <c r="F339" t="inlineStr">
        <is>
          <t>VÄSTERNORRLANDS LÄN</t>
        </is>
      </c>
      <c r="G339" t="inlineStr">
        <is>
          <t>TIMRÅ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52090-2025</t>
        </is>
      </c>
      <c r="B340" t="inlineStr">
        <is>
          <t>avverkningsanmälan</t>
        </is>
      </c>
      <c r="C340" t="inlineStr">
        <is>
          <t>Föryngringsavverkning</t>
        </is>
      </c>
      <c r="D340" s="1" t="n">
        <v>45952</v>
      </c>
      <c r="E340" s="1" t="n">
        <v>46233</v>
      </c>
      <c r="F340" t="inlineStr">
        <is>
          <t>VÄSTERNORRLANDS LÄN</t>
        </is>
      </c>
      <c r="G340" t="inlineStr">
        <is>
          <t>TIMRÅ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51841-2025</t>
        </is>
      </c>
      <c r="B341" t="inlineStr">
        <is>
          <t>avverkningsanmälan</t>
        </is>
      </c>
      <c r="C341" t="inlineStr">
        <is>
          <t>Föryngringsavverkning</t>
        </is>
      </c>
      <c r="D341" s="1" t="n">
        <v>45952</v>
      </c>
      <c r="E341" s="1" t="n">
        <v>46233</v>
      </c>
      <c r="F341" t="inlineStr">
        <is>
          <t>VÄSTERNORRLANDS LÄN</t>
        </is>
      </c>
      <c r="G341" t="inlineStr">
        <is>
          <t>TIMRÅ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52909-2024</t>
        </is>
      </c>
      <c r="B342" t="inlineStr">
        <is>
          <t>avverkningsanmälan</t>
        </is>
      </c>
      <c r="C342" t="inlineStr">
        <is>
          <t>Föryngringsavverkning</t>
        </is>
      </c>
      <c r="D342" s="1" t="n">
        <v>45610</v>
      </c>
      <c r="E342" s="1" t="n">
        <v>46233</v>
      </c>
      <c r="F342" t="inlineStr">
        <is>
          <t>VÄSTERNORRLANDS LÄN</t>
        </is>
      </c>
      <c r="G342" t="inlineStr">
        <is>
          <t>TIMRÅ</t>
        </is>
      </c>
      <c r="H342" t="inlineStr">
        <is>
          <t>SCA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8630-2026</t>
        </is>
      </c>
      <c r="B343" t="inlineStr">
        <is>
          <t>avverkningsanmälan</t>
        </is>
      </c>
      <c r="C343" t="inlineStr">
        <is>
          <t>Föryngringsavverkning</t>
        </is>
      </c>
      <c r="D343" s="1" t="n">
        <v>46066</v>
      </c>
      <c r="E343" s="1" t="n">
        <v>46233</v>
      </c>
      <c r="F343" t="inlineStr">
        <is>
          <t>VÄSTERNORRLANDS LÄN</t>
        </is>
      </c>
      <c r="G343" t="inlineStr">
        <is>
          <t>TIMRÅ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52561-2025</t>
        </is>
      </c>
      <c r="B344" t="inlineStr">
        <is>
          <t>avverkningsanmälan</t>
        </is>
      </c>
      <c r="C344" t="inlineStr">
        <is>
          <t>Föryngringsavverkning</t>
        </is>
      </c>
      <c r="D344" s="1" t="n">
        <v>45954</v>
      </c>
      <c r="E344" s="1" t="n">
        <v>46233</v>
      </c>
      <c r="F344" t="inlineStr">
        <is>
          <t>VÄSTERNORRLANDS LÄN</t>
        </is>
      </c>
      <c r="G344" t="inlineStr">
        <is>
          <t>TIMRÅ</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52151-2025</t>
        </is>
      </c>
      <c r="B345" t="inlineStr">
        <is>
          <t>avverkningsanmälan</t>
        </is>
      </c>
      <c r="C345" t="inlineStr">
        <is>
          <t>Föryngringsavverkning</t>
        </is>
      </c>
      <c r="D345" s="1" t="n">
        <v>45953</v>
      </c>
      <c r="E345" s="1" t="n">
        <v>46233</v>
      </c>
      <c r="F345" t="inlineStr">
        <is>
          <t>VÄSTERNORRLANDS LÄN</t>
        </is>
      </c>
      <c r="G345" t="inlineStr">
        <is>
          <t>TIMRÅ</t>
        </is>
      </c>
      <c r="H345" t="inlineStr">
        <is>
          <t>SCA</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52627-2025</t>
        </is>
      </c>
      <c r="B346" t="inlineStr">
        <is>
          <t>avverkningsanmälan</t>
        </is>
      </c>
      <c r="C346" t="inlineStr">
        <is>
          <t>Föryngringsavverkning</t>
        </is>
      </c>
      <c r="D346" s="1" t="n">
        <v>45953</v>
      </c>
      <c r="E346" s="1" t="n">
        <v>46233</v>
      </c>
      <c r="F346" t="inlineStr">
        <is>
          <t>VÄSTERNORRLANDS LÄN</t>
        </is>
      </c>
      <c r="G346" t="inlineStr">
        <is>
          <t>TIMRÅ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52275-2025</t>
        </is>
      </c>
      <c r="B347" t="inlineStr">
        <is>
          <t>avverkningsanmälan</t>
        </is>
      </c>
      <c r="C347" t="inlineStr">
        <is>
          <t>Avverkning för att bevara och utveckla /försöksver</t>
        </is>
      </c>
      <c r="D347" s="1" t="n">
        <v>45953</v>
      </c>
      <c r="E347" s="1" t="n">
        <v>46233</v>
      </c>
      <c r="F347" t="inlineStr">
        <is>
          <t>VÄSTERNORRLANDS LÄN</t>
        </is>
      </c>
      <c r="G347" t="inlineStr">
        <is>
          <t>TIMRÅ</t>
        </is>
      </c>
      <c r="H347" t="inlineStr">
        <is>
          <t>SCA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12286-2026</t>
        </is>
      </c>
      <c r="B348" t="inlineStr">
        <is>
          <t>avverkningsanmälan</t>
        </is>
      </c>
      <c r="C348" t="inlineStr">
        <is>
          <t>Föryngringsavverkning</t>
        </is>
      </c>
      <c r="D348" s="1" t="n">
        <v>46066</v>
      </c>
      <c r="E348" s="1" t="n">
        <v>46233</v>
      </c>
      <c r="F348" t="inlineStr">
        <is>
          <t>VÄSTERNORRLANDS LÄN</t>
        </is>
      </c>
      <c r="G348" t="inlineStr">
        <is>
          <t>TIMRÅ</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52227-2025</t>
        </is>
      </c>
      <c r="B349" t="inlineStr">
        <is>
          <t>avverkningsanmälan</t>
        </is>
      </c>
      <c r="C349" t="inlineStr">
        <is>
          <t>Föryngringsavverkning</t>
        </is>
      </c>
      <c r="D349" s="1" t="n">
        <v>45953</v>
      </c>
      <c r="E349" s="1" t="n">
        <v>46233</v>
      </c>
      <c r="F349" t="inlineStr">
        <is>
          <t>VÄSTERNORRLANDS LÄN</t>
        </is>
      </c>
      <c r="G349" t="inlineStr">
        <is>
          <t>TIMRÅ</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67063-2021</t>
        </is>
      </c>
      <c r="B350" t="inlineStr">
        <is>
          <t>avverkningsanmälan</t>
        </is>
      </c>
      <c r="C350" t="inlineStr">
        <is>
          <t>Föryngringsavverkning</t>
        </is>
      </c>
      <c r="D350" s="1" t="n">
        <v>44522</v>
      </c>
      <c r="E350" s="1" t="n">
        <v>46233</v>
      </c>
      <c r="F350" t="inlineStr">
        <is>
          <t>VÄSTERNORRLANDS LÄN</t>
        </is>
      </c>
      <c r="G350" t="inlineStr">
        <is>
          <t>TIMRÅ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8830-2026</t>
        </is>
      </c>
      <c r="B351" t="inlineStr">
        <is>
          <t>avverkningsanmälan</t>
        </is>
      </c>
      <c r="C351" t="inlineStr">
        <is>
          <t>Föryngringsavverkning</t>
        </is>
      </c>
      <c r="D351" s="1" t="n">
        <v>46066</v>
      </c>
      <c r="E351" s="1" t="n">
        <v>46233</v>
      </c>
      <c r="F351" t="inlineStr">
        <is>
          <t>VÄSTERNORRLANDS LÄN</t>
        </is>
      </c>
      <c r="G351" t="inlineStr">
        <is>
          <t>TIMRÅ</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31343-2023</t>
        </is>
      </c>
      <c r="B352" t="inlineStr">
        <is>
          <t>avverkningsanmälan</t>
        </is>
      </c>
      <c r="C352" t="inlineStr">
        <is>
          <t>Avverkning för annat ändamål</t>
        </is>
      </c>
      <c r="D352" s="1" t="n">
        <v>45104</v>
      </c>
      <c r="E352" s="1" t="n">
        <v>46233</v>
      </c>
      <c r="F352" t="inlineStr">
        <is>
          <t>VÄSTERNORRLANDS LÄN</t>
        </is>
      </c>
      <c r="G352" t="inlineStr">
        <is>
          <t>TIMRÅ</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23556-2024</t>
        </is>
      </c>
      <c r="B353" t="inlineStr">
        <is>
          <t>avverkningsanmälan</t>
        </is>
      </c>
      <c r="C353" t="inlineStr">
        <is>
          <t>Föryngringsavverkning</t>
        </is>
      </c>
      <c r="D353" s="1" t="n">
        <v>45453</v>
      </c>
      <c r="E353" s="1" t="n">
        <v>46233</v>
      </c>
      <c r="F353" t="inlineStr">
        <is>
          <t>VÄSTERNORRLANDS LÄN</t>
        </is>
      </c>
      <c r="G353" t="inlineStr">
        <is>
          <t>TIMRÅ</t>
        </is>
      </c>
      <c r="H353" t="inlineStr">
        <is>
          <t>SCA</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50638-2023</t>
        </is>
      </c>
      <c r="B354" t="inlineStr">
        <is>
          <t>avverkningsanmälan</t>
        </is>
      </c>
      <c r="C354" t="inlineStr">
        <is>
          <t>Föryngringsavverkning</t>
        </is>
      </c>
      <c r="D354" s="1" t="n">
        <v>45210</v>
      </c>
      <c r="E354" s="1" t="n">
        <v>46233</v>
      </c>
      <c r="F354" t="inlineStr">
        <is>
          <t>VÄSTERNORRLANDS LÄN</t>
        </is>
      </c>
      <c r="G354" t="inlineStr">
        <is>
          <t>TIMRÅ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8817-2026</t>
        </is>
      </c>
      <c r="B355" t="inlineStr">
        <is>
          <t>avverkningsanmälan</t>
        </is>
      </c>
      <c r="C355" t="inlineStr">
        <is>
          <t>Föryngringsavverkning</t>
        </is>
      </c>
      <c r="D355" s="1" t="n">
        <v>46066</v>
      </c>
      <c r="E355" s="1" t="n">
        <v>46233</v>
      </c>
      <c r="F355" t="inlineStr">
        <is>
          <t>VÄSTERNORRLANDS LÄN</t>
        </is>
      </c>
      <c r="G355" t="inlineStr">
        <is>
          <t>TIMRÅ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59189-2024</t>
        </is>
      </c>
      <c r="B356" t="inlineStr">
        <is>
          <t>avverkningsanmälan</t>
        </is>
      </c>
      <c r="C356" t="inlineStr">
        <is>
          <t>Föryngringsavverkning</t>
        </is>
      </c>
      <c r="D356" s="1" t="n">
        <v>45637</v>
      </c>
      <c r="E356" s="1" t="n">
        <v>46233</v>
      </c>
      <c r="F356" t="inlineStr">
        <is>
          <t>VÄSTERNORRLANDS LÄN</t>
        </is>
      </c>
      <c r="G356" t="inlineStr">
        <is>
          <t>TIMRÅ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23878-2024</t>
        </is>
      </c>
      <c r="B357" t="inlineStr">
        <is>
          <t>avverkningsanmälan</t>
        </is>
      </c>
      <c r="C357" t="inlineStr">
        <is>
          <t>Föryngringsavverkning</t>
        </is>
      </c>
      <c r="D357" s="1" t="n">
        <v>45455</v>
      </c>
      <c r="E357" s="1" t="n">
        <v>46233</v>
      </c>
      <c r="F357" t="inlineStr">
        <is>
          <t>VÄSTERNORRLANDS LÄN</t>
        </is>
      </c>
      <c r="G357" t="inlineStr">
        <is>
          <t>TIMRÅ</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9299-2026</t>
        </is>
      </c>
      <c r="B358" t="inlineStr">
        <is>
          <t>avverkningsanmälan</t>
        </is>
      </c>
      <c r="C358" t="inlineStr">
        <is>
          <t>Föryngringsavverkning</t>
        </is>
      </c>
      <c r="D358" s="1" t="n">
        <v>46070</v>
      </c>
      <c r="E358" s="1" t="n">
        <v>46233</v>
      </c>
      <c r="F358" t="inlineStr">
        <is>
          <t>VÄSTERNORRLANDS LÄN</t>
        </is>
      </c>
      <c r="G358" t="inlineStr">
        <is>
          <t>TIMRÅ</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9632-2026</t>
        </is>
      </c>
      <c r="B359" t="inlineStr">
        <is>
          <t>avverkningsanmälan</t>
        </is>
      </c>
      <c r="C359" t="inlineStr">
        <is>
          <t>Föryngringsavverkning</t>
        </is>
      </c>
      <c r="D359" s="1" t="n">
        <v>46072</v>
      </c>
      <c r="E359" s="1" t="n">
        <v>46233</v>
      </c>
      <c r="F359" t="inlineStr">
        <is>
          <t>VÄSTERNORRLANDS LÄN</t>
        </is>
      </c>
      <c r="G359" t="inlineStr">
        <is>
          <t>TIMRÅ</t>
        </is>
      </c>
      <c r="I359" t="n">
        <v>19.5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9636-2026</t>
        </is>
      </c>
      <c r="B360" t="inlineStr">
        <is>
          <t>avverkningsanmälan</t>
        </is>
      </c>
      <c r="C360" t="inlineStr">
        <is>
          <t>Föryngringsavverkning</t>
        </is>
      </c>
      <c r="D360" s="1" t="n">
        <v>46072</v>
      </c>
      <c r="E360" s="1" t="n">
        <v>46233</v>
      </c>
      <c r="F360" t="inlineStr">
        <is>
          <t>VÄSTERNORRLANDS LÄN</t>
        </is>
      </c>
      <c r="G360" t="inlineStr">
        <is>
          <t>TIMRÅ</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10947-2025</t>
        </is>
      </c>
      <c r="B361" t="inlineStr">
        <is>
          <t>avverkningsanmälan</t>
        </is>
      </c>
      <c r="C361" t="inlineStr">
        <is>
          <t>Föryngringsavverkning</t>
        </is>
      </c>
      <c r="D361" s="1" t="n">
        <v>45723</v>
      </c>
      <c r="E361" s="1" t="n">
        <v>46233</v>
      </c>
      <c r="F361" t="inlineStr">
        <is>
          <t>VÄSTERNORRLANDS LÄN</t>
        </is>
      </c>
      <c r="G361" t="inlineStr">
        <is>
          <t>TIMRÅ</t>
        </is>
      </c>
      <c r="H361" t="inlineStr">
        <is>
          <t>SCA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9638-2026</t>
        </is>
      </c>
      <c r="B362" t="inlineStr">
        <is>
          <t>avverkningsanmälan</t>
        </is>
      </c>
      <c r="C362" t="inlineStr">
        <is>
          <t>Föryngringsavverkning</t>
        </is>
      </c>
      <c r="D362" s="1" t="n">
        <v>46072</v>
      </c>
      <c r="E362" s="1" t="n">
        <v>46233</v>
      </c>
      <c r="F362" t="inlineStr">
        <is>
          <t>VÄSTERNORRLANDS LÄN</t>
        </is>
      </c>
      <c r="G362" t="inlineStr">
        <is>
          <t>TIMRÅ</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9633-2026</t>
        </is>
      </c>
      <c r="B363" t="inlineStr">
        <is>
          <t>avverkningsanmälan</t>
        </is>
      </c>
      <c r="C363" t="inlineStr">
        <is>
          <t>Föryngringsavverkning</t>
        </is>
      </c>
      <c r="D363" s="1" t="n">
        <v>46072</v>
      </c>
      <c r="E363" s="1" t="n">
        <v>46233</v>
      </c>
      <c r="F363" t="inlineStr">
        <is>
          <t>VÄSTERNORRLANDS LÄN</t>
        </is>
      </c>
      <c r="G363" t="inlineStr">
        <is>
          <t>TIMRÅ</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9640-2026</t>
        </is>
      </c>
      <c r="B364" t="inlineStr">
        <is>
          <t>avverkningsanmälan</t>
        </is>
      </c>
      <c r="C364" t="inlineStr">
        <is>
          <t>Föryngringsavverkning</t>
        </is>
      </c>
      <c r="D364" s="1" t="n">
        <v>46072</v>
      </c>
      <c r="E364" s="1" t="n">
        <v>46233</v>
      </c>
      <c r="F364" t="inlineStr">
        <is>
          <t>VÄSTERNORRLANDS LÄN</t>
        </is>
      </c>
      <c r="G364" t="inlineStr">
        <is>
          <t>TIMRÅ</t>
        </is>
      </c>
      <c r="I364" t="n">
        <v>10.5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10306-2026</t>
        </is>
      </c>
      <c r="B365" t="inlineStr">
        <is>
          <t>avverkningsanmälan</t>
        </is>
      </c>
      <c r="C365" t="inlineStr">
        <is>
          <t>Föryngringsavverkning</t>
        </is>
      </c>
      <c r="D365" s="1" t="n">
        <v>46076</v>
      </c>
      <c r="E365" s="1" t="n">
        <v>46233</v>
      </c>
      <c r="F365" t="inlineStr">
        <is>
          <t>VÄSTERNORRLANDS LÄN</t>
        </is>
      </c>
      <c r="G365" t="inlineStr">
        <is>
          <t>TIMRÅ</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54347-2025</t>
        </is>
      </c>
      <c r="B366" t="inlineStr">
        <is>
          <t>avverkningsanmälan</t>
        </is>
      </c>
      <c r="C366" t="inlineStr">
        <is>
          <t>Föryngringsavverkning</t>
        </is>
      </c>
      <c r="D366" s="1" t="n">
        <v>45965</v>
      </c>
      <c r="E366" s="1" t="n">
        <v>46233</v>
      </c>
      <c r="F366" t="inlineStr">
        <is>
          <t>VÄSTERNORRLANDS LÄN</t>
        </is>
      </c>
      <c r="G366" t="inlineStr">
        <is>
          <t>TIMRÅ</t>
        </is>
      </c>
      <c r="H366" t="inlineStr">
        <is>
          <t>SCA</t>
        </is>
      </c>
      <c r="I366" t="n">
        <v>11.6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10597-2026</t>
        </is>
      </c>
      <c r="B367" t="inlineStr">
        <is>
          <t>avverkningsanmälan</t>
        </is>
      </c>
      <c r="C367" t="inlineStr">
        <is>
          <t>Föryngringsavverkning</t>
        </is>
      </c>
      <c r="D367" s="1" t="n">
        <v>46077</v>
      </c>
      <c r="E367" s="1" t="n">
        <v>46233</v>
      </c>
      <c r="F367" t="inlineStr">
        <is>
          <t>VÄSTERNORRLANDS LÄN</t>
        </is>
      </c>
      <c r="G367" t="inlineStr">
        <is>
          <t>TIMRÅ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55591-2025</t>
        </is>
      </c>
      <c r="B368" t="inlineStr">
        <is>
          <t>avverkningsanmälan</t>
        </is>
      </c>
      <c r="C368" t="inlineStr">
        <is>
          <t>Föryngringsavverkning</t>
        </is>
      </c>
      <c r="D368" s="1" t="n">
        <v>45971</v>
      </c>
      <c r="E368" s="1" t="n">
        <v>46233</v>
      </c>
      <c r="F368" t="inlineStr">
        <is>
          <t>VÄSTERNORRLANDS LÄN</t>
        </is>
      </c>
      <c r="G368" t="inlineStr">
        <is>
          <t>TIMRÅ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32048-2024</t>
        </is>
      </c>
      <c r="B369" t="inlineStr">
        <is>
          <t>avverkningsanmälan</t>
        </is>
      </c>
      <c r="C369" t="inlineStr">
        <is>
          <t>Avverkning för annat ändamål</t>
        </is>
      </c>
      <c r="D369" s="1" t="n">
        <v>45510</v>
      </c>
      <c r="E369" s="1" t="n">
        <v>46233</v>
      </c>
      <c r="F369" t="inlineStr">
        <is>
          <t>VÄSTERNORRLANDS LÄN</t>
        </is>
      </c>
      <c r="G369" t="inlineStr">
        <is>
          <t>TIMRÅ</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10981-2026</t>
        </is>
      </c>
      <c r="B370" t="inlineStr">
        <is>
          <t>avverkningsanmälan</t>
        </is>
      </c>
      <c r="C370" t="inlineStr">
        <is>
          <t>Föryngringsavverkning</t>
        </is>
      </c>
      <c r="D370" s="1" t="n">
        <v>46079</v>
      </c>
      <c r="E370" s="1" t="n">
        <v>46233</v>
      </c>
      <c r="F370" t="inlineStr">
        <is>
          <t>VÄSTERNORRLANDS LÄN</t>
        </is>
      </c>
      <c r="G370" t="inlineStr">
        <is>
          <t>TIMRÅ</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11006-2026</t>
        </is>
      </c>
      <c r="B371" t="inlineStr">
        <is>
          <t>avverkningsanmälan</t>
        </is>
      </c>
      <c r="C371" t="inlineStr">
        <is>
          <t>Föryngringsavverkning</t>
        </is>
      </c>
      <c r="D371" s="1" t="n">
        <v>46079</v>
      </c>
      <c r="E371" s="1" t="n">
        <v>46233</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46971-2022</t>
        </is>
      </c>
      <c r="B372" t="inlineStr">
        <is>
          <t>avverkningsanmälan</t>
        </is>
      </c>
      <c r="C372" t="inlineStr">
        <is>
          <t>Föryngringsavverkning</t>
        </is>
      </c>
      <c r="D372" s="1" t="n">
        <v>44851</v>
      </c>
      <c r="E372" s="1" t="n">
        <v>46233</v>
      </c>
      <c r="F372" t="inlineStr">
        <is>
          <t>VÄSTERNORRLANDS LÄN</t>
        </is>
      </c>
      <c r="G372" t="inlineStr">
        <is>
          <t>TIMRÅ</t>
        </is>
      </c>
      <c r="H372" t="inlineStr">
        <is>
          <t>SCA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10988-2026</t>
        </is>
      </c>
      <c r="B373" t="inlineStr">
        <is>
          <t>avverkningsanmälan</t>
        </is>
      </c>
      <c r="C373" t="inlineStr">
        <is>
          <t>Föryngringsavverkning</t>
        </is>
      </c>
      <c r="D373" s="1" t="n">
        <v>46079</v>
      </c>
      <c r="E373" s="1" t="n">
        <v>46233</v>
      </c>
      <c r="F373" t="inlineStr">
        <is>
          <t>VÄSTERNORRLANDS LÄN</t>
        </is>
      </c>
      <c r="G373" t="inlineStr">
        <is>
          <t>TIMRÅ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10994-2026</t>
        </is>
      </c>
      <c r="B374" t="inlineStr">
        <is>
          <t>avverkningsanmälan</t>
        </is>
      </c>
      <c r="C374" t="inlineStr">
        <is>
          <t>Föryngringsavverkning</t>
        </is>
      </c>
      <c r="D374" s="1" t="n">
        <v>46079</v>
      </c>
      <c r="E374" s="1" t="n">
        <v>46233</v>
      </c>
      <c r="F374" t="inlineStr">
        <is>
          <t>VÄSTERNORRLANDS LÄN</t>
        </is>
      </c>
      <c r="G374" t="inlineStr">
        <is>
          <t>TIMRÅ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56660-2025</t>
        </is>
      </c>
      <c r="B375" t="inlineStr">
        <is>
          <t>avverkningsanmälan</t>
        </is>
      </c>
      <c r="C375" t="inlineStr">
        <is>
          <t>Föryngringsavverkning</t>
        </is>
      </c>
      <c r="D375" s="1" t="n">
        <v>45975</v>
      </c>
      <c r="E375" s="1" t="n">
        <v>46233</v>
      </c>
      <c r="F375" t="inlineStr">
        <is>
          <t>VÄSTERNORRLANDS LÄN</t>
        </is>
      </c>
      <c r="G375" t="inlineStr">
        <is>
          <t>TIMRÅ</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10980-2026</t>
        </is>
      </c>
      <c r="B376" t="inlineStr">
        <is>
          <t>avverkningsanmälan</t>
        </is>
      </c>
      <c r="C376" t="inlineStr">
        <is>
          <t>Föryngringsavverkning</t>
        </is>
      </c>
      <c r="D376" s="1" t="n">
        <v>46079</v>
      </c>
      <c r="E376" s="1" t="n">
        <v>46233</v>
      </c>
      <c r="F376" t="inlineStr">
        <is>
          <t>VÄSTERNORRLANDS LÄN</t>
        </is>
      </c>
      <c r="G376" t="inlineStr">
        <is>
          <t>TIMRÅ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57044-2025</t>
        </is>
      </c>
      <c r="B377" t="inlineStr">
        <is>
          <t>avverkningsanmälan</t>
        </is>
      </c>
      <c r="C377" t="inlineStr">
        <is>
          <t>Föryngringsavverkning</t>
        </is>
      </c>
      <c r="D377" s="1" t="n">
        <v>45979</v>
      </c>
      <c r="E377" s="1" t="n">
        <v>46233</v>
      </c>
      <c r="F377" t="inlineStr">
        <is>
          <t>VÄSTERNORRLANDS LÄN</t>
        </is>
      </c>
      <c r="G377" t="inlineStr">
        <is>
          <t>TIMRÅ</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11383-2026</t>
        </is>
      </c>
      <c r="B378" t="inlineStr">
        <is>
          <t>avverkningsanmälan</t>
        </is>
      </c>
      <c r="C378" t="inlineStr">
        <is>
          <t>Föryngringsavverkning</t>
        </is>
      </c>
      <c r="D378" s="1" t="n">
        <v>46083</v>
      </c>
      <c r="E378" s="1" t="n">
        <v>46233</v>
      </c>
      <c r="F378" t="inlineStr">
        <is>
          <t>VÄSTERNORRLANDS LÄN</t>
        </is>
      </c>
      <c r="G378" t="inlineStr">
        <is>
          <t>TIMRÅ</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57775-2025</t>
        </is>
      </c>
      <c r="B379" t="inlineStr">
        <is>
          <t>avverkningsanmälan</t>
        </is>
      </c>
      <c r="C379" t="inlineStr">
        <is>
          <t>Föryngringsavverkning</t>
        </is>
      </c>
      <c r="D379" s="1" t="n">
        <v>45981</v>
      </c>
      <c r="E379" s="1" t="n">
        <v>46233</v>
      </c>
      <c r="F379" t="inlineStr">
        <is>
          <t>VÄSTERNORRLANDS LÄN</t>
        </is>
      </c>
      <c r="G379" t="inlineStr">
        <is>
          <t>TIMRÅ</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57782-2025</t>
        </is>
      </c>
      <c r="B380" t="inlineStr">
        <is>
          <t>avverkningsanmälan</t>
        </is>
      </c>
      <c r="C380" t="inlineStr">
        <is>
          <t>Föryngringsavverkning</t>
        </is>
      </c>
      <c r="D380" s="1" t="n">
        <v>45981</v>
      </c>
      <c r="E380" s="1" t="n">
        <v>46233</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11386-2026</t>
        </is>
      </c>
      <c r="B381" t="inlineStr">
        <is>
          <t>avverkningsanmälan</t>
        </is>
      </c>
      <c r="C381" t="inlineStr">
        <is>
          <t>Föryngringsavverkning</t>
        </is>
      </c>
      <c r="D381" s="1" t="n">
        <v>46083</v>
      </c>
      <c r="E381" s="1" t="n">
        <v>46233</v>
      </c>
      <c r="F381" t="inlineStr">
        <is>
          <t>VÄSTERNORRLANDS LÄN</t>
        </is>
      </c>
      <c r="G381" t="inlineStr">
        <is>
          <t>TIMRÅ</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18814-2025</t>
        </is>
      </c>
      <c r="B382" t="inlineStr">
        <is>
          <t>avverkningsanmälan</t>
        </is>
      </c>
      <c r="C382" t="inlineStr">
        <is>
          <t>Föryngringsavverkning</t>
        </is>
      </c>
      <c r="D382" s="1" t="n">
        <v>45764</v>
      </c>
      <c r="E382" s="1" t="n">
        <v>46233</v>
      </c>
      <c r="F382" t="inlineStr">
        <is>
          <t>VÄSTERNORRLANDS LÄN</t>
        </is>
      </c>
      <c r="G382" t="inlineStr">
        <is>
          <t>TIMRÅ</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11691-2026</t>
        </is>
      </c>
      <c r="B383" t="inlineStr">
        <is>
          <t>avverkningsanmälan</t>
        </is>
      </c>
      <c r="C383" t="inlineStr">
        <is>
          <t>Föryngringsavverkning</t>
        </is>
      </c>
      <c r="D383" s="1" t="n">
        <v>46084</v>
      </c>
      <c r="E383" s="1" t="n">
        <v>46233</v>
      </c>
      <c r="F383" t="inlineStr">
        <is>
          <t>VÄSTERNORRLANDS LÄN</t>
        </is>
      </c>
      <c r="G383" t="inlineStr">
        <is>
          <t>TIMRÅ</t>
        </is>
      </c>
      <c r="I383" t="n">
        <v>21.4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45688-2022</t>
        </is>
      </c>
      <c r="B384" t="inlineStr">
        <is>
          <t>avverkningsanmälan</t>
        </is>
      </c>
      <c r="C384" t="inlineStr">
        <is>
          <t>Föryngringsavverkning</t>
        </is>
      </c>
      <c r="D384" s="1" t="n">
        <v>44845</v>
      </c>
      <c r="E384" s="1" t="n">
        <v>46233</v>
      </c>
      <c r="F384" t="inlineStr">
        <is>
          <t>VÄSTERNORRLANDS LÄN</t>
        </is>
      </c>
      <c r="G384" t="inlineStr">
        <is>
          <t>TIMRÅ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57974-2025</t>
        </is>
      </c>
      <c r="B385" t="inlineStr">
        <is>
          <t>avverkningsanmälan</t>
        </is>
      </c>
      <c r="C385" t="inlineStr">
        <is>
          <t>Föryngringsavverkning</t>
        </is>
      </c>
      <c r="D385" s="1" t="n">
        <v>45982</v>
      </c>
      <c r="E385" s="1" t="n">
        <v>46233</v>
      </c>
      <c r="F385" t="inlineStr">
        <is>
          <t>VÄSTERNORRLANDS LÄN</t>
        </is>
      </c>
      <c r="G385" t="inlineStr">
        <is>
          <t>TIMRÅ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46021-2022</t>
        </is>
      </c>
      <c r="B386" t="inlineStr">
        <is>
          <t>avverkningsanmälan</t>
        </is>
      </c>
      <c r="C386" t="inlineStr">
        <is>
          <t>Föryngringsavverkning</t>
        </is>
      </c>
      <c r="D386" s="1" t="n">
        <v>44846</v>
      </c>
      <c r="E386" s="1" t="n">
        <v>46233</v>
      </c>
      <c r="F386" t="inlineStr">
        <is>
          <t>VÄSTERNORRLANDS LÄN</t>
        </is>
      </c>
      <c r="G386" t="inlineStr">
        <is>
          <t>TIMRÅ</t>
        </is>
      </c>
      <c r="H386" t="inlineStr">
        <is>
          <t>Kyrkan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58265-2025</t>
        </is>
      </c>
      <c r="B387" t="inlineStr">
        <is>
          <t>avverkningsanmälan</t>
        </is>
      </c>
      <c r="C387" t="inlineStr">
        <is>
          <t>Föryngringsavverkning</t>
        </is>
      </c>
      <c r="D387" s="1" t="n">
        <v>45985</v>
      </c>
      <c r="E387" s="1" t="n">
        <v>46233</v>
      </c>
      <c r="F387" t="inlineStr">
        <is>
          <t>VÄSTERNORRLANDS LÄN</t>
        </is>
      </c>
      <c r="G387" t="inlineStr">
        <is>
          <t>TIMRÅ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58283-2025</t>
        </is>
      </c>
      <c r="B388" t="inlineStr">
        <is>
          <t>avverkningsanmälan</t>
        </is>
      </c>
      <c r="C388" t="inlineStr">
        <is>
          <t>Föryngringsavverkning</t>
        </is>
      </c>
      <c r="D388" s="1" t="n">
        <v>45985</v>
      </c>
      <c r="E388" s="1" t="n">
        <v>46233</v>
      </c>
      <c r="F388" t="inlineStr">
        <is>
          <t>VÄSTERNORRLANDS LÄN</t>
        </is>
      </c>
      <c r="G388" t="inlineStr">
        <is>
          <t>TIMRÅ</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68774-2021</t>
        </is>
      </c>
      <c r="B389" t="inlineStr">
        <is>
          <t>avverkningsanmälan</t>
        </is>
      </c>
      <c r="C389" t="inlineStr">
        <is>
          <t>Föryngringsavverkning</t>
        </is>
      </c>
      <c r="D389" s="1" t="n">
        <v>44529</v>
      </c>
      <c r="E389" s="1" t="n">
        <v>46233</v>
      </c>
      <c r="F389" t="inlineStr">
        <is>
          <t>VÄSTERNORRLANDS LÄN</t>
        </is>
      </c>
      <c r="G389" t="inlineStr">
        <is>
          <t>TIMRÅ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58327-2025</t>
        </is>
      </c>
      <c r="B390" t="inlineStr">
        <is>
          <t>avverkningsanmälan</t>
        </is>
      </c>
      <c r="C390" t="inlineStr">
        <is>
          <t>Föryngringsavverkning</t>
        </is>
      </c>
      <c r="D390" s="1" t="n">
        <v>45985</v>
      </c>
      <c r="E390" s="1" t="n">
        <v>46233</v>
      </c>
      <c r="F390" t="inlineStr">
        <is>
          <t>VÄSTERNORRLANDS LÄN</t>
        </is>
      </c>
      <c r="G390" t="inlineStr">
        <is>
          <t>TIMRÅ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16935-2025</t>
        </is>
      </c>
      <c r="B391" t="inlineStr">
        <is>
          <t>avverkningsanmälan</t>
        </is>
      </c>
      <c r="C391" t="inlineStr">
        <is>
          <t>Föryngringsavverkning</t>
        </is>
      </c>
      <c r="D391" s="1" t="n">
        <v>45755</v>
      </c>
      <c r="E391" s="1" t="n">
        <v>46233</v>
      </c>
      <c r="F391" t="inlineStr">
        <is>
          <t>VÄSTERNORRLANDS LÄN</t>
        </is>
      </c>
      <c r="G391" t="inlineStr">
        <is>
          <t>TIMRÅ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58908-2025</t>
        </is>
      </c>
      <c r="B392" t="inlineStr">
        <is>
          <t>avverkningsanmälan</t>
        </is>
      </c>
      <c r="C392" t="inlineStr">
        <is>
          <t>Föryngringsavverkning</t>
        </is>
      </c>
      <c r="D392" s="1" t="n">
        <v>45987</v>
      </c>
      <c r="E392" s="1" t="n">
        <v>46233</v>
      </c>
      <c r="F392" t="inlineStr">
        <is>
          <t>VÄSTERNORRLANDS LÄN</t>
        </is>
      </c>
      <c r="G392" t="inlineStr">
        <is>
          <t>TIMRÅ</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12644-2026</t>
        </is>
      </c>
      <c r="B393" t="inlineStr">
        <is>
          <t>avverkningsanmälan</t>
        </is>
      </c>
      <c r="C393" t="inlineStr">
        <is>
          <t>Föryngringsavverkning</t>
        </is>
      </c>
      <c r="D393" s="1" t="n">
        <v>46091</v>
      </c>
      <c r="E393" s="1" t="n">
        <v>46233</v>
      </c>
      <c r="F393" t="inlineStr">
        <is>
          <t>VÄSTERNORRLANDS LÄN</t>
        </is>
      </c>
      <c r="G393" t="inlineStr">
        <is>
          <t>TIMRÅ</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12636-2026</t>
        </is>
      </c>
      <c r="B394" t="inlineStr">
        <is>
          <t>avverkningsanmälan</t>
        </is>
      </c>
      <c r="C394" t="inlineStr">
        <is>
          <t>Föryngringsavverkning</t>
        </is>
      </c>
      <c r="D394" s="1" t="n">
        <v>46091</v>
      </c>
      <c r="E394" s="1" t="n">
        <v>46233</v>
      </c>
      <c r="F394" t="inlineStr">
        <is>
          <t>VÄSTERNORRLANDS LÄN</t>
        </is>
      </c>
      <c r="G394" t="inlineStr">
        <is>
          <t>TIMRÅ</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47089-2024</t>
        </is>
      </c>
      <c r="B395" t="inlineStr">
        <is>
          <t>avverkningsanmälan</t>
        </is>
      </c>
      <c r="C395" t="inlineStr">
        <is>
          <t>Föryngringsavverkning</t>
        </is>
      </c>
      <c r="D395" s="1" t="n">
        <v>45586</v>
      </c>
      <c r="E395" s="1" t="n">
        <v>46233</v>
      </c>
      <c r="F395" t="inlineStr">
        <is>
          <t>VÄSTERNORRLANDS LÄN</t>
        </is>
      </c>
      <c r="G395" t="inlineStr">
        <is>
          <t>TIMRÅ</t>
        </is>
      </c>
      <c r="H395" t="inlineStr">
        <is>
          <t>SCA</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58045-2025</t>
        </is>
      </c>
      <c r="B396" t="inlineStr">
        <is>
          <t>avverkningsanmälan</t>
        </is>
      </c>
      <c r="C396" t="inlineStr">
        <is>
          <t>Föryngringsavverkning</t>
        </is>
      </c>
      <c r="D396" s="1" t="n">
        <v>45982</v>
      </c>
      <c r="E396" s="1" t="n">
        <v>46233</v>
      </c>
      <c r="F396" t="inlineStr">
        <is>
          <t>VÄSTERNORRLANDS LÄN</t>
        </is>
      </c>
      <c r="G396" t="inlineStr">
        <is>
          <t>TIMRÅ</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24304-2023</t>
        </is>
      </c>
      <c r="B397" t="inlineStr">
        <is>
          <t>avverkningsanmälan</t>
        </is>
      </c>
      <c r="C397" t="inlineStr">
        <is>
          <t>Föryngringsavverkning</t>
        </is>
      </c>
      <c r="D397" s="1" t="n">
        <v>45079</v>
      </c>
      <c r="E397" s="1" t="n">
        <v>46233</v>
      </c>
      <c r="F397" t="inlineStr">
        <is>
          <t>VÄSTERNORRLANDS LÄN</t>
        </is>
      </c>
      <c r="G397" t="inlineStr">
        <is>
          <t>TIMRÅ</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12651-2026</t>
        </is>
      </c>
      <c r="B398" t="inlineStr">
        <is>
          <t>avverkningsanmälan</t>
        </is>
      </c>
      <c r="C398" t="inlineStr">
        <is>
          <t>Föryngringsavverkning</t>
        </is>
      </c>
      <c r="D398" s="1" t="n">
        <v>46091</v>
      </c>
      <c r="E398" s="1" t="n">
        <v>46233</v>
      </c>
      <c r="F398" t="inlineStr">
        <is>
          <t>VÄSTERNORRLANDS LÄN</t>
        </is>
      </c>
      <c r="G398" t="inlineStr">
        <is>
          <t>TIMRÅ</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12633-2026</t>
        </is>
      </c>
      <c r="B399" t="inlineStr">
        <is>
          <t>avverkningsanmälan</t>
        </is>
      </c>
      <c r="C399" t="inlineStr">
        <is>
          <t>Föryngringsavverkning</t>
        </is>
      </c>
      <c r="D399" s="1" t="n">
        <v>46091</v>
      </c>
      <c r="E399" s="1" t="n">
        <v>46233</v>
      </c>
      <c r="F399" t="inlineStr">
        <is>
          <t>VÄSTERNORRLANDS LÄN</t>
        </is>
      </c>
      <c r="G399" t="inlineStr">
        <is>
          <t>TIMRÅ</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12640-2026</t>
        </is>
      </c>
      <c r="B400" t="inlineStr">
        <is>
          <t>avverkningsanmälan</t>
        </is>
      </c>
      <c r="C400" t="inlineStr">
        <is>
          <t>Föryngringsavverkning</t>
        </is>
      </c>
      <c r="D400" s="1" t="n">
        <v>46091</v>
      </c>
      <c r="E400" s="1" t="n">
        <v>46233</v>
      </c>
      <c r="F400" t="inlineStr">
        <is>
          <t>VÄSTERNORRLANDS LÄN</t>
        </is>
      </c>
      <c r="G400" t="inlineStr">
        <is>
          <t>TIMRÅ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12973-2026</t>
        </is>
      </c>
      <c r="B401" t="inlineStr">
        <is>
          <t>avverkningsanmälan</t>
        </is>
      </c>
      <c r="C401" t="inlineStr">
        <is>
          <t>Föryngringsavverkning</t>
        </is>
      </c>
      <c r="D401" s="1" t="n">
        <v>46092</v>
      </c>
      <c r="E401" s="1" t="n">
        <v>46233</v>
      </c>
      <c r="F401" t="inlineStr">
        <is>
          <t>VÄSTERNORRLANDS LÄN</t>
        </is>
      </c>
      <c r="G401" t="inlineStr">
        <is>
          <t>TIMRÅ</t>
        </is>
      </c>
      <c r="H401" t="inlineStr">
        <is>
          <t>SCA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12974-2026</t>
        </is>
      </c>
      <c r="B402" t="inlineStr">
        <is>
          <t>avverkningsanmälan</t>
        </is>
      </c>
      <c r="C402" t="inlineStr">
        <is>
          <t>Föryngringsavverkning</t>
        </is>
      </c>
      <c r="D402" s="1" t="n">
        <v>46092</v>
      </c>
      <c r="E402" s="1" t="n">
        <v>46233</v>
      </c>
      <c r="F402" t="inlineStr">
        <is>
          <t>VÄSTERNORRLANDS LÄN</t>
        </is>
      </c>
      <c r="G402" t="inlineStr">
        <is>
          <t>TIMRÅ</t>
        </is>
      </c>
      <c r="H402" t="inlineStr">
        <is>
          <t>SCA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12978-2026</t>
        </is>
      </c>
      <c r="B403" t="inlineStr">
        <is>
          <t>avverkningsanmälan</t>
        </is>
      </c>
      <c r="C403" t="inlineStr">
        <is>
          <t>Föryngringsavverkning</t>
        </is>
      </c>
      <c r="D403" s="1" t="n">
        <v>46092</v>
      </c>
      <c r="E403" s="1" t="n">
        <v>46233</v>
      </c>
      <c r="F403" t="inlineStr">
        <is>
          <t>VÄSTERNORRLANDS LÄN</t>
        </is>
      </c>
      <c r="G403" t="inlineStr">
        <is>
          <t>TIMRÅ</t>
        </is>
      </c>
      <c r="H403" t="inlineStr">
        <is>
          <t>SCA</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12976-2026</t>
        </is>
      </c>
      <c r="B404" t="inlineStr">
        <is>
          <t>avverkningsanmälan</t>
        </is>
      </c>
      <c r="C404" t="inlineStr">
        <is>
          <t>Föryngringsavverkning</t>
        </is>
      </c>
      <c r="D404" s="1" t="n">
        <v>46092</v>
      </c>
      <c r="E404" s="1" t="n">
        <v>46233</v>
      </c>
      <c r="F404" t="inlineStr">
        <is>
          <t>VÄSTERNORRLANDS LÄN</t>
        </is>
      </c>
      <c r="G404" t="inlineStr">
        <is>
          <t>TIMRÅ</t>
        </is>
      </c>
      <c r="H404" t="inlineStr">
        <is>
          <t>SCA</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56284-2024</t>
        </is>
      </c>
      <c r="B405" t="inlineStr">
        <is>
          <t>avverkningsanmälan</t>
        </is>
      </c>
      <c r="C405" t="inlineStr">
        <is>
          <t>Föryngringsavverkning</t>
        </is>
      </c>
      <c r="D405" s="1" t="n">
        <v>45624</v>
      </c>
      <c r="E405" s="1" t="n">
        <v>46233</v>
      </c>
      <c r="F405" t="inlineStr">
        <is>
          <t>VÄSTERNORRLANDS LÄN</t>
        </is>
      </c>
      <c r="G405" t="inlineStr">
        <is>
          <t>TIMRÅ</t>
        </is>
      </c>
      <c r="H405" t="inlineStr">
        <is>
          <t>SCA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41605-2023</t>
        </is>
      </c>
      <c r="B406" t="inlineStr">
        <is>
          <t>avverkningsanmälan</t>
        </is>
      </c>
      <c r="C406" t="inlineStr">
        <is>
          <t>Föryngringsavverkning</t>
        </is>
      </c>
      <c r="D406" s="1" t="n">
        <v>45175</v>
      </c>
      <c r="E406" s="1" t="n">
        <v>46233</v>
      </c>
      <c r="F406" t="inlineStr">
        <is>
          <t>VÄSTERNORRLANDS LÄN</t>
        </is>
      </c>
      <c r="G406" t="inlineStr">
        <is>
          <t>TIMRÅ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14045-2026</t>
        </is>
      </c>
      <c r="B407" t="inlineStr">
        <is>
          <t>avverkningsanmälan</t>
        </is>
      </c>
      <c r="C407" t="inlineStr">
        <is>
          <t>Föryngringsavverkning</t>
        </is>
      </c>
      <c r="D407" s="1" t="n">
        <v>46098</v>
      </c>
      <c r="E407" s="1" t="n">
        <v>46233</v>
      </c>
      <c r="F407" t="inlineStr">
        <is>
          <t>VÄSTERNORRLANDS LÄN</t>
        </is>
      </c>
      <c r="G407" t="inlineStr">
        <is>
          <t>TIMRÅ</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52228-2025</t>
        </is>
      </c>
      <c r="B408" t="inlineStr">
        <is>
          <t>avverkningsanmälan</t>
        </is>
      </c>
      <c r="C408" t="inlineStr">
        <is>
          <t>Föryngringsavverkning</t>
        </is>
      </c>
      <c r="D408" s="1" t="n">
        <v>45953</v>
      </c>
      <c r="E408" s="1" t="n">
        <v>46233</v>
      </c>
      <c r="F408" t="inlineStr">
        <is>
          <t>VÄSTERNORRLANDS LÄN</t>
        </is>
      </c>
      <c r="G408" t="inlineStr">
        <is>
          <t>TIMRÅ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61055-2025</t>
        </is>
      </c>
      <c r="B409" t="inlineStr">
        <is>
          <t>avverkningsanmälan</t>
        </is>
      </c>
      <c r="C409" t="inlineStr">
        <is>
          <t>Föryngringsavverkning</t>
        </is>
      </c>
      <c r="D409" s="1" t="n">
        <v>46000</v>
      </c>
      <c r="E409" s="1" t="n">
        <v>46233</v>
      </c>
      <c r="F409" t="inlineStr">
        <is>
          <t>VÄSTERNORRLANDS LÄN</t>
        </is>
      </c>
      <c r="G409" t="inlineStr">
        <is>
          <t>TIMRÅ</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9317-2022</t>
        </is>
      </c>
      <c r="B410" t="inlineStr">
        <is>
          <t>avverkningsanmälan</t>
        </is>
      </c>
      <c r="C410" t="inlineStr">
        <is>
          <t>Föryngringsavverkning</t>
        </is>
      </c>
      <c r="D410" s="1" t="n">
        <v>44616</v>
      </c>
      <c r="E410" s="1" t="n">
        <v>46233</v>
      </c>
      <c r="F410" t="inlineStr">
        <is>
          <t>VÄSTERNORRLANDS LÄN</t>
        </is>
      </c>
      <c r="G410" t="inlineStr">
        <is>
          <t>TIMRÅ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49202-2022</t>
        </is>
      </c>
      <c r="B411" t="inlineStr">
        <is>
          <t>avverkningsanmälan</t>
        </is>
      </c>
      <c r="C411" t="inlineStr">
        <is>
          <t>Föryngringsavverkning</t>
        </is>
      </c>
      <c r="D411" s="1" t="n">
        <v>44860</v>
      </c>
      <c r="E411" s="1" t="n">
        <v>46233</v>
      </c>
      <c r="F411" t="inlineStr">
        <is>
          <t>VÄSTERNORRLANDS LÄN</t>
        </is>
      </c>
      <c r="G411" t="inlineStr">
        <is>
          <t>TIMRÅ</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48397-2024</t>
        </is>
      </c>
      <c r="B412" t="inlineStr">
        <is>
          <t>avverkningsanmälan</t>
        </is>
      </c>
      <c r="C412" t="inlineStr">
        <is>
          <t>Föryngringsavverkning</t>
        </is>
      </c>
      <c r="D412" s="1" t="n">
        <v>45590</v>
      </c>
      <c r="E412" s="1" t="n">
        <v>46233</v>
      </c>
      <c r="F412" t="inlineStr">
        <is>
          <t>VÄSTERNORRLANDS LÄN</t>
        </is>
      </c>
      <c r="G412" t="inlineStr">
        <is>
          <t>TIMRÅ</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39046-2023</t>
        </is>
      </c>
      <c r="B413" t="inlineStr">
        <is>
          <t>avverkningsanmälan</t>
        </is>
      </c>
      <c r="C413" t="inlineStr">
        <is>
          <t>Föryngringsavverkning</t>
        </is>
      </c>
      <c r="D413" s="1" t="n">
        <v>45163</v>
      </c>
      <c r="E413" s="1" t="n">
        <v>46233</v>
      </c>
      <c r="F413" t="inlineStr">
        <is>
          <t>VÄSTERNORRLANDS LÄN</t>
        </is>
      </c>
      <c r="G413" t="inlineStr">
        <is>
          <t>TIMRÅ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57268-2022</t>
        </is>
      </c>
      <c r="B414" t="inlineStr">
        <is>
          <t>avverkningsanmälan</t>
        </is>
      </c>
      <c r="C414" t="inlineStr">
        <is>
          <t>Föryngringsavverkning</t>
        </is>
      </c>
      <c r="D414" s="1" t="n">
        <v>44895</v>
      </c>
      <c r="E414" s="1" t="n">
        <v>46233</v>
      </c>
      <c r="F414" t="inlineStr">
        <is>
          <t>VÄSTERNORRLANDS LÄN</t>
        </is>
      </c>
      <c r="G414" t="inlineStr">
        <is>
          <t>TIMRÅ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62307-2025</t>
        </is>
      </c>
      <c r="B415" t="inlineStr">
        <is>
          <t>avverkningsanmälan</t>
        </is>
      </c>
      <c r="C415" t="inlineStr">
        <is>
          <t>Föryngringsavverkning</t>
        </is>
      </c>
      <c r="D415" s="1" t="n">
        <v>46006</v>
      </c>
      <c r="E415" s="1" t="n">
        <v>46233</v>
      </c>
      <c r="F415" t="inlineStr">
        <is>
          <t>VÄSTERNORRLANDS LÄN</t>
        </is>
      </c>
      <c r="G415" t="inlineStr">
        <is>
          <t>TIMRÅ</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13251-2025</t>
        </is>
      </c>
      <c r="B416" t="inlineStr">
        <is>
          <t>avverkningsanmälan</t>
        </is>
      </c>
      <c r="C416" t="inlineStr">
        <is>
          <t>Föryngringsavverkning</t>
        </is>
      </c>
      <c r="D416" s="1" t="n">
        <v>45735</v>
      </c>
      <c r="E416" s="1" t="n">
        <v>46233</v>
      </c>
      <c r="F416" t="inlineStr">
        <is>
          <t>VÄSTERNORRLANDS LÄN</t>
        </is>
      </c>
      <c r="G416" t="inlineStr">
        <is>
          <t>TIMRÅ</t>
        </is>
      </c>
      <c r="H416" t="inlineStr">
        <is>
          <t>SCA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62217-2025</t>
        </is>
      </c>
      <c r="B417" t="inlineStr">
        <is>
          <t>avverkningsanmälan</t>
        </is>
      </c>
      <c r="C417" t="inlineStr">
        <is>
          <t>Föryngringsavverkning</t>
        </is>
      </c>
      <c r="D417" s="1" t="n">
        <v>46006</v>
      </c>
      <c r="E417" s="1" t="n">
        <v>46233</v>
      </c>
      <c r="F417" t="inlineStr">
        <is>
          <t>VÄSTERNORRLANDS LÄN</t>
        </is>
      </c>
      <c r="G417" t="inlineStr">
        <is>
          <t>TIMRÅ</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15428-2026</t>
        </is>
      </c>
      <c r="B418" t="inlineStr">
        <is>
          <t>avverkningsanmälan</t>
        </is>
      </c>
      <c r="C418" t="inlineStr">
        <is>
          <t>Föryngringsavverkning</t>
        </is>
      </c>
      <c r="D418" s="1" t="n">
        <v>46105</v>
      </c>
      <c r="E418" s="1" t="n">
        <v>46233</v>
      </c>
      <c r="F418" t="inlineStr">
        <is>
          <t>VÄSTERNORRLANDS LÄN</t>
        </is>
      </c>
      <c r="G418" t="inlineStr">
        <is>
          <t>TIMRÅ</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62428-2025</t>
        </is>
      </c>
      <c r="B419" t="inlineStr">
        <is>
          <t>avverkningsanmälan</t>
        </is>
      </c>
      <c r="C419" t="inlineStr">
        <is>
          <t>Föryngringsavverkning</t>
        </is>
      </c>
      <c r="D419" s="1" t="n">
        <v>46007</v>
      </c>
      <c r="E419" s="1" t="n">
        <v>46233</v>
      </c>
      <c r="F419" t="inlineStr">
        <is>
          <t>VÄSTERNORRLANDS LÄN</t>
        </is>
      </c>
      <c r="G419" t="inlineStr">
        <is>
          <t>TIMRÅ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51999-2022</t>
        </is>
      </c>
      <c r="B420" t="inlineStr">
        <is>
          <t>avverkningsanmälan</t>
        </is>
      </c>
      <c r="C420" t="inlineStr">
        <is>
          <t>Föryngringsavverkning</t>
        </is>
      </c>
      <c r="D420" s="1" t="n">
        <v>44872</v>
      </c>
      <c r="E420" s="1" t="n">
        <v>46233</v>
      </c>
      <c r="F420" t="inlineStr">
        <is>
          <t>VÄSTERNORRLANDS LÄN</t>
        </is>
      </c>
      <c r="G420" t="inlineStr">
        <is>
          <t>TIMRÅ</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15625-2026</t>
        </is>
      </c>
      <c r="B421" t="inlineStr">
        <is>
          <t>avverkningsanmälan</t>
        </is>
      </c>
      <c r="C421" t="inlineStr">
        <is>
          <t>Föryngringsavverkning</t>
        </is>
      </c>
      <c r="D421" s="1" t="n">
        <v>46106</v>
      </c>
      <c r="E421" s="1" t="n">
        <v>46233</v>
      </c>
      <c r="F421" t="inlineStr">
        <is>
          <t>VÄSTERNORRLANDS LÄN</t>
        </is>
      </c>
      <c r="G421" t="inlineStr">
        <is>
          <t>TIMRÅ</t>
        </is>
      </c>
      <c r="H421" t="inlineStr">
        <is>
          <t>SCA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15677-2026</t>
        </is>
      </c>
      <c r="B422" t="inlineStr">
        <is>
          <t>avverkningsanmälan</t>
        </is>
      </c>
      <c r="C422" t="inlineStr">
        <is>
          <t>Avverkning för annat ändamål</t>
        </is>
      </c>
      <c r="D422" s="1" t="n">
        <v>46106</v>
      </c>
      <c r="E422" s="1" t="n">
        <v>46233</v>
      </c>
      <c r="F422" t="inlineStr">
        <is>
          <t>VÄSTERNORRLANDS LÄN</t>
        </is>
      </c>
      <c r="G422" t="inlineStr">
        <is>
          <t>TIMRÅ</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50355-2023</t>
        </is>
      </c>
      <c r="B423" t="inlineStr">
        <is>
          <t>avverkningsanmälan</t>
        </is>
      </c>
      <c r="C423" t="inlineStr">
        <is>
          <t>Föryngringsavverkning</t>
        </is>
      </c>
      <c r="D423" s="1" t="n">
        <v>45209</v>
      </c>
      <c r="E423" s="1" t="n">
        <v>46233</v>
      </c>
      <c r="F423" t="inlineStr">
        <is>
          <t>VÄSTERNORRLANDS LÄN</t>
        </is>
      </c>
      <c r="G423" t="inlineStr">
        <is>
          <t>TIMRÅ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52220-2022</t>
        </is>
      </c>
      <c r="B424" t="inlineStr">
        <is>
          <t>avverkningsanmälan</t>
        </is>
      </c>
      <c r="C424" t="inlineStr">
        <is>
          <t>Föryngringsavverkning</t>
        </is>
      </c>
      <c r="D424" s="1" t="n">
        <v>44869</v>
      </c>
      <c r="E424" s="1" t="n">
        <v>46233</v>
      </c>
      <c r="F424" t="inlineStr">
        <is>
          <t>VÄSTERNORRLANDS LÄN</t>
        </is>
      </c>
      <c r="G424" t="inlineStr">
        <is>
          <t>TIMRÅ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63805-2025</t>
        </is>
      </c>
      <c r="B425" t="inlineStr">
        <is>
          <t>avverkningsanmälan</t>
        </is>
      </c>
      <c r="C425" t="inlineStr">
        <is>
          <t>Föryngringsavverkning</t>
        </is>
      </c>
      <c r="D425" s="1" t="n">
        <v>46019</v>
      </c>
      <c r="E425" s="1" t="n">
        <v>46233</v>
      </c>
      <c r="F425" t="inlineStr">
        <is>
          <t>VÄSTERNORRLANDS LÄN</t>
        </is>
      </c>
      <c r="G425" t="inlineStr">
        <is>
          <t>TIMRÅ</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58311-2025</t>
        </is>
      </c>
      <c r="B426" t="inlineStr">
        <is>
          <t>avverkningsanmälan</t>
        </is>
      </c>
      <c r="C426" t="inlineStr">
        <is>
          <t>Föryngringsavverkning</t>
        </is>
      </c>
      <c r="D426" s="1" t="n">
        <v>45985</v>
      </c>
      <c r="E426" s="1" t="n">
        <v>46233</v>
      </c>
      <c r="F426" t="inlineStr">
        <is>
          <t>VÄSTERNORRLANDS LÄN</t>
        </is>
      </c>
      <c r="G426" t="inlineStr">
        <is>
          <t>TIMRÅ</t>
        </is>
      </c>
      <c r="H426" t="inlineStr">
        <is>
          <t>SCA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55745-2025</t>
        </is>
      </c>
      <c r="B427" t="inlineStr">
        <is>
          <t>avverkningsanmälan</t>
        </is>
      </c>
      <c r="C427" t="inlineStr">
        <is>
          <t>Föryngringsavverkning</t>
        </is>
      </c>
      <c r="D427" s="1" t="n">
        <v>45972</v>
      </c>
      <c r="E427" s="1" t="n">
        <v>46233</v>
      </c>
      <c r="F427" t="inlineStr">
        <is>
          <t>VÄSTERNORRLANDS LÄN</t>
        </is>
      </c>
      <c r="G427" t="inlineStr">
        <is>
          <t>TIMRÅ</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63808-2025</t>
        </is>
      </c>
      <c r="B428" t="inlineStr">
        <is>
          <t>avverkningsanmälan</t>
        </is>
      </c>
      <c r="C428" t="inlineStr">
        <is>
          <t>Föryngringsavverkning</t>
        </is>
      </c>
      <c r="D428" s="1" t="n">
        <v>46019</v>
      </c>
      <c r="E428" s="1" t="n">
        <v>46233</v>
      </c>
      <c r="F428" t="inlineStr">
        <is>
          <t>VÄSTERNORRLANDS LÄN</t>
        </is>
      </c>
      <c r="G428" t="inlineStr">
        <is>
          <t>TIMRÅ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58312-2025</t>
        </is>
      </c>
      <c r="B429" t="inlineStr">
        <is>
          <t>avverkningsanmälan</t>
        </is>
      </c>
      <c r="C429" t="inlineStr">
        <is>
          <t>Föryngringsavverkning</t>
        </is>
      </c>
      <c r="D429" s="1" t="n">
        <v>45985</v>
      </c>
      <c r="E429" s="1" t="n">
        <v>46233</v>
      </c>
      <c r="F429" t="inlineStr">
        <is>
          <t>VÄSTERNORRLANDS LÄN</t>
        </is>
      </c>
      <c r="G429" t="inlineStr">
        <is>
          <t>TIMRÅ</t>
        </is>
      </c>
      <c r="H429" t="inlineStr">
        <is>
          <t>SCA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16228-2026</t>
        </is>
      </c>
      <c r="B430" t="inlineStr">
        <is>
          <t>avverkningsanmälan</t>
        </is>
      </c>
      <c r="C430" t="inlineStr">
        <is>
          <t>Föryngringsavverkning</t>
        </is>
      </c>
      <c r="D430" s="1" t="n">
        <v>46111</v>
      </c>
      <c r="E430" s="1" t="n">
        <v>46233</v>
      </c>
      <c r="F430" t="inlineStr">
        <is>
          <t>VÄSTERNORRLANDS LÄN</t>
        </is>
      </c>
      <c r="G430" t="inlineStr">
        <is>
          <t>TIMRÅ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44281-2025</t>
        </is>
      </c>
      <c r="B431" t="inlineStr">
        <is>
          <t>avverkningsanmälan</t>
        </is>
      </c>
      <c r="C431" t="inlineStr">
        <is>
          <t>Föryngringsavverkning</t>
        </is>
      </c>
      <c r="D431" s="1" t="n">
        <v>45916</v>
      </c>
      <c r="E431" s="1" t="n">
        <v>46233</v>
      </c>
      <c r="F431" t="inlineStr">
        <is>
          <t>VÄSTERNORRLANDS LÄN</t>
        </is>
      </c>
      <c r="G431" t="inlineStr">
        <is>
          <t>TIMRÅ</t>
        </is>
      </c>
      <c r="H431" t="inlineStr">
        <is>
          <t>SCA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10-2026</t>
        </is>
      </c>
      <c r="B432" t="inlineStr">
        <is>
          <t>avverkningsanmälan</t>
        </is>
      </c>
      <c r="C432" t="inlineStr">
        <is>
          <t>Föryngringsavverkning</t>
        </is>
      </c>
      <c r="D432" s="1" t="n">
        <v>46023</v>
      </c>
      <c r="E432" s="1" t="n">
        <v>46233</v>
      </c>
      <c r="F432" t="inlineStr">
        <is>
          <t>VÄSTERNORRLANDS LÄN</t>
        </is>
      </c>
      <c r="G432" t="inlineStr">
        <is>
          <t>TIMRÅ</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164-2026</t>
        </is>
      </c>
      <c r="B433" t="inlineStr">
        <is>
          <t>avverkningsanmälan</t>
        </is>
      </c>
      <c r="C433" t="inlineStr">
        <is>
          <t>Föryngringsavverkning</t>
        </is>
      </c>
      <c r="D433" s="1" t="n">
        <v>46024</v>
      </c>
      <c r="E433" s="1" t="n">
        <v>46233</v>
      </c>
      <c r="F433" t="inlineStr">
        <is>
          <t>VÄSTERNORRLANDS LÄN</t>
        </is>
      </c>
      <c r="G433" t="inlineStr">
        <is>
          <t>TIMRÅ</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162-2026</t>
        </is>
      </c>
      <c r="B434" t="inlineStr">
        <is>
          <t>avverkningsanmälan</t>
        </is>
      </c>
      <c r="C434" t="inlineStr">
        <is>
          <t>Föryngringsavverkning</t>
        </is>
      </c>
      <c r="D434" s="1" t="n">
        <v>46024</v>
      </c>
      <c r="E434" s="1" t="n">
        <v>46233</v>
      </c>
      <c r="F434" t="inlineStr">
        <is>
          <t>VÄSTERNORRLANDS LÄN</t>
        </is>
      </c>
      <c r="G434" t="inlineStr">
        <is>
          <t>TIMRÅ</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377-2026</t>
        </is>
      </c>
      <c r="B435" t="inlineStr">
        <is>
          <t>avverkningsanmälan</t>
        </is>
      </c>
      <c r="C435" t="inlineStr">
        <is>
          <t>Föryngringsavverkning</t>
        </is>
      </c>
      <c r="D435" s="1" t="n">
        <v>46027</v>
      </c>
      <c r="E435" s="1" t="n">
        <v>46233</v>
      </c>
      <c r="F435" t="inlineStr">
        <is>
          <t>VÄSTERNORRLANDS LÄN</t>
        </is>
      </c>
      <c r="G435" t="inlineStr">
        <is>
          <t>TIMRÅ</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27495-2023</t>
        </is>
      </c>
      <c r="B436" t="inlineStr">
        <is>
          <t>avverkningsanmälan</t>
        </is>
      </c>
      <c r="C436" t="inlineStr">
        <is>
          <t>Föryngringsavverkning</t>
        </is>
      </c>
      <c r="D436" s="1" t="n">
        <v>45092</v>
      </c>
      <c r="E436" s="1" t="n">
        <v>46233</v>
      </c>
      <c r="F436" t="inlineStr">
        <is>
          <t>VÄSTERNORRLANDS LÄN</t>
        </is>
      </c>
      <c r="G436" t="inlineStr">
        <is>
          <t>TIMRÅ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14572-2024</t>
        </is>
      </c>
      <c r="B437" t="inlineStr">
        <is>
          <t>avverkningsanmälan</t>
        </is>
      </c>
      <c r="C437" t="inlineStr">
        <is>
          <t>Föryngringsavverkning</t>
        </is>
      </c>
      <c r="D437" s="1" t="n">
        <v>45394</v>
      </c>
      <c r="E437" s="1" t="n">
        <v>46233</v>
      </c>
      <c r="F437" t="inlineStr">
        <is>
          <t>VÄSTERNORRLANDS LÄN</t>
        </is>
      </c>
      <c r="G437" t="inlineStr">
        <is>
          <t>TIMRÅ</t>
        </is>
      </c>
      <c r="H437" t="inlineStr">
        <is>
          <t>SCA</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31150-2023</t>
        </is>
      </c>
      <c r="B438" t="inlineStr">
        <is>
          <t>avverkningsanmälan</t>
        </is>
      </c>
      <c r="C438" t="inlineStr">
        <is>
          <t>Avverkning för annat ändamål</t>
        </is>
      </c>
      <c r="D438" s="1" t="n">
        <v>45103</v>
      </c>
      <c r="E438" s="1" t="n">
        <v>46233</v>
      </c>
      <c r="F438" t="inlineStr">
        <is>
          <t>VÄSTERNORRLANDS LÄN</t>
        </is>
      </c>
      <c r="G438" t="inlineStr">
        <is>
          <t>TIMRÅ</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787-2026</t>
        </is>
      </c>
      <c r="B439" t="inlineStr">
        <is>
          <t>avverkningsanmälan</t>
        </is>
      </c>
      <c r="C439" t="inlineStr">
        <is>
          <t>Föryngringsavverkning</t>
        </is>
      </c>
      <c r="D439" s="1" t="n">
        <v>46029</v>
      </c>
      <c r="E439" s="1" t="n">
        <v>46233</v>
      </c>
      <c r="F439" t="inlineStr">
        <is>
          <t>VÄSTERNORRLANDS LÄN</t>
        </is>
      </c>
      <c r="G439" t="inlineStr">
        <is>
          <t>TIMRÅ</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16786-2026</t>
        </is>
      </c>
      <c r="B440" t="inlineStr">
        <is>
          <t>avverkningsanmälan</t>
        </is>
      </c>
      <c r="C440" t="inlineStr">
        <is>
          <t>Föryngringsavverkning</t>
        </is>
      </c>
      <c r="D440" s="1" t="n">
        <v>46113</v>
      </c>
      <c r="E440" s="1" t="n">
        <v>46233</v>
      </c>
      <c r="F440" t="inlineStr">
        <is>
          <t>VÄSTERNORRLANDS LÄN</t>
        </is>
      </c>
      <c r="G440" t="inlineStr">
        <is>
          <t>TIMRÅ</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68391-2021</t>
        </is>
      </c>
      <c r="B441" t="inlineStr">
        <is>
          <t>avverkningsanmälan</t>
        </is>
      </c>
      <c r="C441" t="inlineStr">
        <is>
          <t>Föryngringsavverkning</t>
        </is>
      </c>
      <c r="D441" s="1" t="n">
        <v>44526</v>
      </c>
      <c r="E441" s="1" t="n">
        <v>46233</v>
      </c>
      <c r="F441" t="inlineStr">
        <is>
          <t>VÄSTERNORRLANDS LÄN</t>
        </is>
      </c>
      <c r="G441" t="inlineStr">
        <is>
          <t>TIMRÅ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1476-2026</t>
        </is>
      </c>
      <c r="B442" t="inlineStr">
        <is>
          <t>avverkningsanmälan</t>
        </is>
      </c>
      <c r="C442" t="inlineStr">
        <is>
          <t>Föryngringsavverkning</t>
        </is>
      </c>
      <c r="D442" s="1" t="n">
        <v>46033</v>
      </c>
      <c r="E442" s="1" t="n">
        <v>46233</v>
      </c>
      <c r="F442" t="inlineStr">
        <is>
          <t>VÄSTERNORRLANDS LÄN</t>
        </is>
      </c>
      <c r="G442" t="inlineStr">
        <is>
          <t>TIMRÅ</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2642-2026</t>
        </is>
      </c>
      <c r="B443" t="inlineStr">
        <is>
          <t>avverkningsanmälan</t>
        </is>
      </c>
      <c r="C443" t="inlineStr">
        <is>
          <t>Föryngringsavverkning</t>
        </is>
      </c>
      <c r="D443" s="1" t="n">
        <v>46035</v>
      </c>
      <c r="E443" s="1" t="n">
        <v>46233</v>
      </c>
      <c r="F443" t="inlineStr">
        <is>
          <t>VÄSTERNORRLANDS LÄN</t>
        </is>
      </c>
      <c r="G443" t="inlineStr">
        <is>
          <t>TIMRÅ</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7151-2024</t>
        </is>
      </c>
      <c r="B444" t="inlineStr">
        <is>
          <t>avverkningsanmälan</t>
        </is>
      </c>
      <c r="C444" t="inlineStr">
        <is>
          <t>Föryngringsavverkning</t>
        </is>
      </c>
      <c r="D444" s="1" t="n">
        <v>45344</v>
      </c>
      <c r="E444" s="1" t="n">
        <v>46233</v>
      </c>
      <c r="F444" t="inlineStr">
        <is>
          <t>VÄSTERNORRLANDS LÄN</t>
        </is>
      </c>
      <c r="G444" t="inlineStr">
        <is>
          <t>TIMRÅ</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62133-2024</t>
        </is>
      </c>
      <c r="B445" t="inlineStr">
        <is>
          <t>avverkningsanmälan</t>
        </is>
      </c>
      <c r="C445" t="inlineStr">
        <is>
          <t>Föryngringsavverkning</t>
        </is>
      </c>
      <c r="D445" s="1" t="n">
        <v>45656</v>
      </c>
      <c r="E445" s="1" t="n">
        <v>46233</v>
      </c>
      <c r="F445" t="inlineStr">
        <is>
          <t>VÄSTERNORRLANDS LÄN</t>
        </is>
      </c>
      <c r="G445" t="inlineStr">
        <is>
          <t>TIMRÅ</t>
        </is>
      </c>
      <c r="H445" t="inlineStr">
        <is>
          <t>SCA</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17024-2026</t>
        </is>
      </c>
      <c r="B446" t="inlineStr">
        <is>
          <t>avverkningsanmälan</t>
        </is>
      </c>
      <c r="C446" t="inlineStr">
        <is>
          <t>Föryngringsavverkning</t>
        </is>
      </c>
      <c r="D446" s="1" t="n">
        <v>46114</v>
      </c>
      <c r="E446" s="1" t="n">
        <v>46233</v>
      </c>
      <c r="F446" t="inlineStr">
        <is>
          <t>VÄSTERNORRLANDS LÄN</t>
        </is>
      </c>
      <c r="G446" t="inlineStr">
        <is>
          <t>TIMRÅ</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16960-2026</t>
        </is>
      </c>
      <c r="B447" t="inlineStr">
        <is>
          <t>avverkningsanmälan</t>
        </is>
      </c>
      <c r="C447" t="inlineStr">
        <is>
          <t>Föryngringsavverkning</t>
        </is>
      </c>
      <c r="D447" s="1" t="n">
        <v>46114</v>
      </c>
      <c r="E447" s="1" t="n">
        <v>46233</v>
      </c>
      <c r="F447" t="inlineStr">
        <is>
          <t>VÄSTERNORRLANDS LÄN</t>
        </is>
      </c>
      <c r="G447" t="inlineStr">
        <is>
          <t>TIMRÅ</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17358-2026</t>
        </is>
      </c>
      <c r="B448" t="inlineStr">
        <is>
          <t>avverkningsanmälan</t>
        </is>
      </c>
      <c r="C448" t="inlineStr">
        <is>
          <t>Föryngringsavverkning</t>
        </is>
      </c>
      <c r="D448" s="1" t="n">
        <v>46119</v>
      </c>
      <c r="E448" s="1" t="n">
        <v>46233</v>
      </c>
      <c r="F448" t="inlineStr">
        <is>
          <t>VÄSTERNORRLANDS LÄN</t>
        </is>
      </c>
      <c r="G448" t="inlineStr">
        <is>
          <t>TIMRÅ</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60011-2023</t>
        </is>
      </c>
      <c r="B449" t="inlineStr">
        <is>
          <t>avverkningsanmälan</t>
        </is>
      </c>
      <c r="C449" t="inlineStr">
        <is>
          <t>Föryngringsavverkning</t>
        </is>
      </c>
      <c r="D449" s="1" t="n">
        <v>45257</v>
      </c>
      <c r="E449" s="1" t="n">
        <v>46233</v>
      </c>
      <c r="F449" t="inlineStr">
        <is>
          <t>VÄSTERNORRLANDS LÄN</t>
        </is>
      </c>
      <c r="G449" t="inlineStr">
        <is>
          <t>TIMRÅ</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32070-2023</t>
        </is>
      </c>
      <c r="B450" t="inlineStr">
        <is>
          <t>avverkningsanmälan</t>
        </is>
      </c>
      <c r="C450" t="inlineStr">
        <is>
          <t>Föryngringsavverkning</t>
        </is>
      </c>
      <c r="D450" s="1" t="n">
        <v>45107</v>
      </c>
      <c r="E450" s="1" t="n">
        <v>46233</v>
      </c>
      <c r="F450" t="inlineStr">
        <is>
          <t>VÄSTERNORRLANDS LÄN</t>
        </is>
      </c>
      <c r="G450" t="inlineStr">
        <is>
          <t>TIMRÅ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18074-2026</t>
        </is>
      </c>
      <c r="B451" t="inlineStr">
        <is>
          <t>avverkningsanmälan</t>
        </is>
      </c>
      <c r="C451" t="inlineStr">
        <is>
          <t>Föryngringsavverkning</t>
        </is>
      </c>
      <c r="D451" s="1" t="n">
        <v>46125</v>
      </c>
      <c r="E451" s="1" t="n">
        <v>46233</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18373-2026</t>
        </is>
      </c>
      <c r="B452" t="inlineStr">
        <is>
          <t>avverkningsanmälan</t>
        </is>
      </c>
      <c r="C452" t="inlineStr">
        <is>
          <t>Föryngringsavverkning</t>
        </is>
      </c>
      <c r="D452" s="1" t="n">
        <v>46126</v>
      </c>
      <c r="E452" s="1" t="n">
        <v>46233</v>
      </c>
      <c r="F452" t="inlineStr">
        <is>
          <t>VÄSTERNORRLANDS LÄN</t>
        </is>
      </c>
      <c r="G452" t="inlineStr">
        <is>
          <t>TIMRÅ</t>
        </is>
      </c>
      <c r="I452" t="n">
        <v>8.5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74177-2021</t>
        </is>
      </c>
      <c r="B453" t="inlineStr">
        <is>
          <t>avverkningsanmälan</t>
        </is>
      </c>
      <c r="C453" t="inlineStr">
        <is>
          <t>Föryngringsavverkning</t>
        </is>
      </c>
      <c r="D453" s="1" t="n">
        <v>44558</v>
      </c>
      <c r="E453" s="1" t="n">
        <v>46233</v>
      </c>
      <c r="F453" t="inlineStr">
        <is>
          <t>VÄSTERNORRLANDS LÄN</t>
        </is>
      </c>
      <c r="G453" t="inlineStr">
        <is>
          <t>TIMRÅ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23851-2024</t>
        </is>
      </c>
      <c r="B454" t="inlineStr">
        <is>
          <t>avverkningsanmälan</t>
        </is>
      </c>
      <c r="C454" t="inlineStr">
        <is>
          <t>Föryngringsavverkning</t>
        </is>
      </c>
      <c r="D454" s="1" t="n">
        <v>45455</v>
      </c>
      <c r="E454" s="1" t="n">
        <v>46233</v>
      </c>
      <c r="F454" t="inlineStr">
        <is>
          <t>VÄSTERNORRLANDS LÄN</t>
        </is>
      </c>
      <c r="G454" t="inlineStr">
        <is>
          <t>TIMRÅ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25414-2022</t>
        </is>
      </c>
      <c r="B455" t="inlineStr">
        <is>
          <t>avverkningsanmälan</t>
        </is>
      </c>
      <c r="C455" t="inlineStr">
        <is>
          <t>Föryngringsavverkning</t>
        </is>
      </c>
      <c r="D455" s="1" t="n">
        <v>44732</v>
      </c>
      <c r="E455" s="1" t="n">
        <v>46233</v>
      </c>
      <c r="F455" t="inlineStr">
        <is>
          <t>VÄSTERNORRLANDS LÄN</t>
        </is>
      </c>
      <c r="G455" t="inlineStr">
        <is>
          <t>TIMRÅ</t>
        </is>
      </c>
      <c r="I455" t="n">
        <v>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16555-2023</t>
        </is>
      </c>
      <c r="B456" t="inlineStr">
        <is>
          <t>avverkningsanmälan</t>
        </is>
      </c>
      <c r="C456" t="inlineStr">
        <is>
          <t>Föryngringsavverkning</t>
        </is>
      </c>
      <c r="D456" s="1" t="n">
        <v>45029</v>
      </c>
      <c r="E456" s="1" t="n">
        <v>46233</v>
      </c>
      <c r="F456" t="inlineStr">
        <is>
          <t>VÄSTERNORRLANDS LÄN</t>
        </is>
      </c>
      <c r="G456" t="inlineStr">
        <is>
          <t>TIMRÅ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35854-2025</t>
        </is>
      </c>
      <c r="B457" t="inlineStr">
        <is>
          <t>avverkningsanmälan</t>
        </is>
      </c>
      <c r="C457" t="inlineStr">
        <is>
          <t>Föryngringsavverkning</t>
        </is>
      </c>
      <c r="D457" s="1" t="n">
        <v>45861</v>
      </c>
      <c r="E457" s="1" t="n">
        <v>46233</v>
      </c>
      <c r="F457" t="inlineStr">
        <is>
          <t>VÄSTERNORRLANDS LÄN</t>
        </is>
      </c>
      <c r="G457" t="inlineStr">
        <is>
          <t>TIMRÅ</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24305-2022</t>
        </is>
      </c>
      <c r="B458" t="inlineStr">
        <is>
          <t>avverkningsanmälan</t>
        </is>
      </c>
      <c r="C458" t="inlineStr">
        <is>
          <t>Avverkning för att bevara och utveckla /försöksver</t>
        </is>
      </c>
      <c r="D458" s="1" t="n">
        <v>44725</v>
      </c>
      <c r="E458" s="1" t="n">
        <v>46233</v>
      </c>
      <c r="F458" t="inlineStr">
        <is>
          <t>VÄSTERNORRLANDS LÄN</t>
        </is>
      </c>
      <c r="G458" t="inlineStr">
        <is>
          <t>TIMRÅ</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15631-2026</t>
        </is>
      </c>
      <c r="B459" t="inlineStr">
        <is>
          <t>avverkningsanmälan</t>
        </is>
      </c>
      <c r="C459" t="inlineStr">
        <is>
          <t>Föryngringsavverkning</t>
        </is>
      </c>
      <c r="D459" s="1" t="n">
        <v>46106</v>
      </c>
      <c r="E459" s="1" t="n">
        <v>46233</v>
      </c>
      <c r="F459" t="inlineStr">
        <is>
          <t>VÄSTERNORRLANDS LÄN</t>
        </is>
      </c>
      <c r="G459" t="inlineStr">
        <is>
          <t>TIMRÅ</t>
        </is>
      </c>
      <c r="I459" t="n">
        <v>12.5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48563-2024</t>
        </is>
      </c>
      <c r="B460" t="inlineStr">
        <is>
          <t>avverkningsanmälan</t>
        </is>
      </c>
      <c r="C460" t="inlineStr">
        <is>
          <t>Föryngringsavverkning</t>
        </is>
      </c>
      <c r="D460" s="1" t="n">
        <v>45593</v>
      </c>
      <c r="E460" s="1" t="n">
        <v>46233</v>
      </c>
      <c r="F460" t="inlineStr">
        <is>
          <t>VÄSTERNORRLANDS LÄN</t>
        </is>
      </c>
      <c r="G460" t="inlineStr">
        <is>
          <t>TIMRÅ</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49310-2024</t>
        </is>
      </c>
      <c r="B461" t="inlineStr">
        <is>
          <t>avverkningsanmälan</t>
        </is>
      </c>
      <c r="C461" t="inlineStr">
        <is>
          <t>Föryngringsavverkning</t>
        </is>
      </c>
      <c r="D461" s="1" t="n">
        <v>45595</v>
      </c>
      <c r="E461" s="1" t="n">
        <v>46233</v>
      </c>
      <c r="F461" t="inlineStr">
        <is>
          <t>VÄSTERNORRLANDS LÄN</t>
        </is>
      </c>
      <c r="G461" t="inlineStr">
        <is>
          <t>TIMRÅ</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59964-2021</t>
        </is>
      </c>
      <c r="B462" t="inlineStr">
        <is>
          <t>avverkningsanmälan</t>
        </is>
      </c>
      <c r="C462" t="inlineStr">
        <is>
          <t>Föryngringsavverkning</t>
        </is>
      </c>
      <c r="D462" s="1" t="n">
        <v>44494</v>
      </c>
      <c r="E462" s="1" t="n">
        <v>46233</v>
      </c>
      <c r="F462" t="inlineStr">
        <is>
          <t>VÄSTERNORRLANDS LÄN</t>
        </is>
      </c>
      <c r="G462" t="inlineStr">
        <is>
          <t>TIMRÅ</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43130-2023</t>
        </is>
      </c>
      <c r="B463" t="inlineStr">
        <is>
          <t>avverkningsanmälan</t>
        </is>
      </c>
      <c r="C463" t="inlineStr">
        <is>
          <t>Föryngringsavverkning</t>
        </is>
      </c>
      <c r="D463" s="1" t="n">
        <v>45182</v>
      </c>
      <c r="E463" s="1" t="n">
        <v>46233</v>
      </c>
      <c r="F463" t="inlineStr">
        <is>
          <t>VÄSTERNORRLANDS LÄN</t>
        </is>
      </c>
      <c r="G463" t="inlineStr">
        <is>
          <t>TIMRÅ</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33043-2023</t>
        </is>
      </c>
      <c r="B464" t="inlineStr">
        <is>
          <t>avverkningsanmälan</t>
        </is>
      </c>
      <c r="C464" t="inlineStr">
        <is>
          <t>Avverkning för att bevara och utveckla /försöksver</t>
        </is>
      </c>
      <c r="D464" s="1" t="n">
        <v>45125</v>
      </c>
      <c r="E464" s="1" t="n">
        <v>46233</v>
      </c>
      <c r="F464" t="inlineStr">
        <is>
          <t>VÄSTERNORRLANDS LÄN</t>
        </is>
      </c>
      <c r="G464" t="inlineStr">
        <is>
          <t>TIMRÅ</t>
        </is>
      </c>
      <c r="H464" t="inlineStr">
        <is>
          <t>SCA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2073-2022</t>
        </is>
      </c>
      <c r="B465" t="inlineStr">
        <is>
          <t>avverkningsanmälan</t>
        </is>
      </c>
      <c r="C465" t="inlineStr">
        <is>
          <t>Föryngringsavverkning</t>
        </is>
      </c>
      <c r="D465" s="1" t="n">
        <v>44575</v>
      </c>
      <c r="E465" s="1" t="n">
        <v>46233</v>
      </c>
      <c r="F465" t="inlineStr">
        <is>
          <t>VÄSTERNORRLANDS LÄN</t>
        </is>
      </c>
      <c r="G465" t="inlineStr">
        <is>
          <t>TIMRÅ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24739-2024</t>
        </is>
      </c>
      <c r="B466" t="inlineStr">
        <is>
          <t>avverkningsanmälan</t>
        </is>
      </c>
      <c r="C466" t="inlineStr">
        <is>
          <t>Föryngringsavverkning</t>
        </is>
      </c>
      <c r="D466" s="1" t="n">
        <v>45460</v>
      </c>
      <c r="E466" s="1" t="n">
        <v>46233</v>
      </c>
      <c r="F466" t="inlineStr">
        <is>
          <t>VÄSTERNORRLANDS LÄN</t>
        </is>
      </c>
      <c r="G466" t="inlineStr">
        <is>
          <t>TIMRÅ</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39693-2023</t>
        </is>
      </c>
      <c r="B467" t="inlineStr">
        <is>
          <t>avverkningsanmälan</t>
        </is>
      </c>
      <c r="C467" t="inlineStr">
        <is>
          <t>Föryngringsavverkning</t>
        </is>
      </c>
      <c r="D467" s="1" t="n">
        <v>45166</v>
      </c>
      <c r="E467" s="1" t="n">
        <v>46233</v>
      </c>
      <c r="F467" t="inlineStr">
        <is>
          <t>VÄSTERNORRLANDS LÄN</t>
        </is>
      </c>
      <c r="G467" t="inlineStr">
        <is>
          <t>TIMRÅ</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53294-2024</t>
        </is>
      </c>
      <c r="B468" t="inlineStr">
        <is>
          <t>avverkningsanmälan</t>
        </is>
      </c>
      <c r="C468" t="inlineStr">
        <is>
          <t>Föryngringsavverkning</t>
        </is>
      </c>
      <c r="D468" s="1" t="n">
        <v>45614</v>
      </c>
      <c r="E468" s="1" t="n">
        <v>46233</v>
      </c>
      <c r="F468" t="inlineStr">
        <is>
          <t>VÄSTERNORRLANDS LÄN</t>
        </is>
      </c>
      <c r="G468" t="inlineStr">
        <is>
          <t>TIMRÅ</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45886-2024</t>
        </is>
      </c>
      <c r="B469" t="inlineStr">
        <is>
          <t>avverkningsanmälan</t>
        </is>
      </c>
      <c r="C469" t="inlineStr">
        <is>
          <t>Avverkning för att bevara och utveckla /försöksver</t>
        </is>
      </c>
      <c r="D469" s="1" t="n">
        <v>45580</v>
      </c>
      <c r="E469" s="1" t="n">
        <v>46233</v>
      </c>
      <c r="F469" t="inlineStr">
        <is>
          <t>VÄSTERNORRLANDS LÄN</t>
        </is>
      </c>
      <c r="G469" t="inlineStr">
        <is>
          <t>TIMRÅ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18130-2025</t>
        </is>
      </c>
      <c r="B470" t="inlineStr">
        <is>
          <t>avverkningsanmälan</t>
        </is>
      </c>
      <c r="C470" t="inlineStr">
        <is>
          <t>Föryngringsavverkning</t>
        </is>
      </c>
      <c r="D470" s="1" t="n">
        <v>45761</v>
      </c>
      <c r="E470" s="1" t="n">
        <v>46233</v>
      </c>
      <c r="F470" t="inlineStr">
        <is>
          <t>VÄSTERNORRLANDS LÄN</t>
        </is>
      </c>
      <c r="G470" t="inlineStr">
        <is>
          <t>TIMRÅ</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40664-2024</t>
        </is>
      </c>
      <c r="B471" t="inlineStr">
        <is>
          <t>avverkningsanmälan</t>
        </is>
      </c>
      <c r="C471" t="inlineStr">
        <is>
          <t>Avverkning för annat ändamål</t>
        </is>
      </c>
      <c r="D471" s="1" t="n">
        <v>45558</v>
      </c>
      <c r="E471" s="1" t="n">
        <v>46233</v>
      </c>
      <c r="F471" t="inlineStr">
        <is>
          <t>VÄSTERNORRLANDS LÄN</t>
        </is>
      </c>
      <c r="G471" t="inlineStr">
        <is>
          <t>TIMRÅ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49751-2025</t>
        </is>
      </c>
      <c r="B472" t="inlineStr">
        <is>
          <t>avverkningsanmälan</t>
        </is>
      </c>
      <c r="C472" t="inlineStr">
        <is>
          <t>Föryngringsavverkning</t>
        </is>
      </c>
      <c r="D472" s="1" t="n">
        <v>45940</v>
      </c>
      <c r="E472" s="1" t="n">
        <v>46233</v>
      </c>
      <c r="F472" t="inlineStr">
        <is>
          <t>VÄSTERNORRLANDS LÄN</t>
        </is>
      </c>
      <c r="G472" t="inlineStr">
        <is>
          <t>TIMRÅ</t>
        </is>
      </c>
      <c r="H472" t="inlineStr">
        <is>
          <t>SCA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74150-2021</t>
        </is>
      </c>
      <c r="B473" t="inlineStr">
        <is>
          <t>avverkningsanmälan</t>
        </is>
      </c>
      <c r="C473" t="inlineStr">
        <is>
          <t>Föryngringsavverkning</t>
        </is>
      </c>
      <c r="D473" s="1" t="n">
        <v>44557</v>
      </c>
      <c r="E473" s="1" t="n">
        <v>46233</v>
      </c>
      <c r="F473" t="inlineStr">
        <is>
          <t>VÄSTERNORRLANDS LÄN</t>
        </is>
      </c>
      <c r="G473" t="inlineStr">
        <is>
          <t>TIMRÅ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4125-2023</t>
        </is>
      </c>
      <c r="B474" t="inlineStr">
        <is>
          <t>avverkningsanmälan</t>
        </is>
      </c>
      <c r="C474" t="inlineStr">
        <is>
          <t>Föryngringsavverkning</t>
        </is>
      </c>
      <c r="D474" s="1" t="n">
        <v>44952</v>
      </c>
      <c r="E474" s="1" t="n">
        <v>46233</v>
      </c>
      <c r="F474" t="inlineStr">
        <is>
          <t>VÄSTERNORRLANDS LÄN</t>
        </is>
      </c>
      <c r="G474" t="inlineStr">
        <is>
          <t>TIMRÅ</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43994-2023</t>
        </is>
      </c>
      <c r="B475" t="inlineStr">
        <is>
          <t>avverkningsanmälan</t>
        </is>
      </c>
      <c r="C475" t="inlineStr">
        <is>
          <t>Föryngringsavverkning</t>
        </is>
      </c>
      <c r="D475" s="1" t="n">
        <v>45187</v>
      </c>
      <c r="E475" s="1" t="n">
        <v>46233</v>
      </c>
      <c r="F475" t="inlineStr">
        <is>
          <t>VÄSTERNORRLANDS LÄN</t>
        </is>
      </c>
      <c r="G475" t="inlineStr">
        <is>
          <t>TIMRÅ</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20272-2026</t>
        </is>
      </c>
      <c r="B476" t="inlineStr">
        <is>
          <t>avverkningsanmälan</t>
        </is>
      </c>
      <c r="C476" t="inlineStr">
        <is>
          <t>Föryngringsavverkning</t>
        </is>
      </c>
      <c r="D476" s="1" t="n">
        <v>46139</v>
      </c>
      <c r="E476" s="1" t="n">
        <v>46233</v>
      </c>
      <c r="F476" t="inlineStr">
        <is>
          <t>VÄSTERNORRLANDS LÄN</t>
        </is>
      </c>
      <c r="G476" t="inlineStr">
        <is>
          <t>TIMRÅ</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52356-2025</t>
        </is>
      </c>
      <c r="B477" t="inlineStr">
        <is>
          <t>avverkningsanmälan</t>
        </is>
      </c>
      <c r="C477" t="inlineStr">
        <is>
          <t>Föryngringsavverkning</t>
        </is>
      </c>
      <c r="D477" s="1" t="n">
        <v>45953</v>
      </c>
      <c r="E477" s="1" t="n">
        <v>46233</v>
      </c>
      <c r="F477" t="inlineStr">
        <is>
          <t>VÄSTERNORRLANDS LÄN</t>
        </is>
      </c>
      <c r="G477" t="inlineStr">
        <is>
          <t>TIMRÅ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8637-2026</t>
        </is>
      </c>
      <c r="B478" t="inlineStr">
        <is>
          <t>avverkningsanmälan</t>
        </is>
      </c>
      <c r="C478" t="inlineStr">
        <is>
          <t>Föryngringsavverkning</t>
        </is>
      </c>
      <c r="D478" s="1" t="n">
        <v>46066</v>
      </c>
      <c r="E478" s="1" t="n">
        <v>46233</v>
      </c>
      <c r="F478" t="inlineStr">
        <is>
          <t>VÄSTERNORRLANDS LÄN</t>
        </is>
      </c>
      <c r="G478" t="inlineStr">
        <is>
          <t>TIMRÅ</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2226-2022</t>
        </is>
      </c>
      <c r="B479" t="inlineStr">
        <is>
          <t>avverkningsanmälan</t>
        </is>
      </c>
      <c r="C479" t="inlineStr">
        <is>
          <t>Föryngringsavverkning</t>
        </is>
      </c>
      <c r="D479" s="1" t="n">
        <v>44578</v>
      </c>
      <c r="E479" s="1" t="n">
        <v>46233</v>
      </c>
      <c r="F479" t="inlineStr">
        <is>
          <t>VÄSTERNORRLANDS LÄN</t>
        </is>
      </c>
      <c r="G479" t="inlineStr">
        <is>
          <t>TIMRÅ</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55602-2024</t>
        </is>
      </c>
      <c r="B480" t="inlineStr">
        <is>
          <t>avverkningsanmälan</t>
        </is>
      </c>
      <c r="C480" t="inlineStr">
        <is>
          <t>Föryngringsavverkning</t>
        </is>
      </c>
      <c r="D480" s="1" t="n">
        <v>45622</v>
      </c>
      <c r="E480" s="1" t="n">
        <v>46233</v>
      </c>
      <c r="F480" t="inlineStr">
        <is>
          <t>VÄSTERNORRLANDS LÄN</t>
        </is>
      </c>
      <c r="G480" t="inlineStr">
        <is>
          <t>TIMRÅ</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35939-2023</t>
        </is>
      </c>
      <c r="B481" t="inlineStr">
        <is>
          <t>avverkningsanmälan</t>
        </is>
      </c>
      <c r="C481" t="inlineStr">
        <is>
          <t>Föryngringsavverkning</t>
        </is>
      </c>
      <c r="D481" s="1" t="n">
        <v>45148</v>
      </c>
      <c r="E481" s="1" t="n">
        <v>46233</v>
      </c>
      <c r="F481" t="inlineStr">
        <is>
          <t>VÄSTERNORRLANDS LÄN</t>
        </is>
      </c>
      <c r="G481" t="inlineStr">
        <is>
          <t>TIMRÅ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640-2026</t>
        </is>
      </c>
      <c r="B482" t="inlineStr">
        <is>
          <t>avverkningsanmälan</t>
        </is>
      </c>
      <c r="C482" t="inlineStr">
        <is>
          <t>Föryngringsavverkning</t>
        </is>
      </c>
      <c r="D482" s="1" t="n">
        <v>46024</v>
      </c>
      <c r="E482" s="1" t="n">
        <v>46233</v>
      </c>
      <c r="F482" t="inlineStr">
        <is>
          <t>VÄSTERNORRLANDS LÄN</t>
        </is>
      </c>
      <c r="G482" t="inlineStr">
        <is>
          <t>TIMRÅ</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45720-2024</t>
        </is>
      </c>
      <c r="B483" t="inlineStr">
        <is>
          <t>avverkningsanmälan</t>
        </is>
      </c>
      <c r="C483" t="inlineStr">
        <is>
          <t>Avverkning för att bevara och utveckla /försöksver</t>
        </is>
      </c>
      <c r="D483" s="1" t="n">
        <v>45579</v>
      </c>
      <c r="E483" s="1" t="n">
        <v>46233</v>
      </c>
      <c r="F483" t="inlineStr">
        <is>
          <t>VÄSTERNORRLANDS LÄN</t>
        </is>
      </c>
      <c r="G483" t="inlineStr">
        <is>
          <t>TIMRÅ</t>
        </is>
      </c>
      <c r="H483" t="inlineStr">
        <is>
          <t>SCA</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46827-2025</t>
        </is>
      </c>
      <c r="B484" t="inlineStr">
        <is>
          <t>avverkningsanmälan</t>
        </is>
      </c>
      <c r="C484" t="inlineStr">
        <is>
          <t>Föryngringsavverkning</t>
        </is>
      </c>
      <c r="D484" s="1" t="n">
        <v>45927</v>
      </c>
      <c r="E484" s="1" t="n">
        <v>46233</v>
      </c>
      <c r="F484" t="inlineStr">
        <is>
          <t>VÄSTERNORRLANDS LÄN</t>
        </is>
      </c>
      <c r="G484" t="inlineStr">
        <is>
          <t>TIMRÅ</t>
        </is>
      </c>
      <c r="H484" t="inlineStr">
        <is>
          <t>SCA</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48031-2024</t>
        </is>
      </c>
      <c r="B485" t="inlineStr">
        <is>
          <t>avverkningsanmälan</t>
        </is>
      </c>
      <c r="C485" t="inlineStr">
        <is>
          <t>Föryngringsavverkning</t>
        </is>
      </c>
      <c r="D485" s="1" t="n">
        <v>45589</v>
      </c>
      <c r="E485" s="1" t="n">
        <v>46233</v>
      </c>
      <c r="F485" t="inlineStr">
        <is>
          <t>VÄSTERNORRLANDS LÄN</t>
        </is>
      </c>
      <c r="G485" t="inlineStr">
        <is>
          <t>TIMRÅ</t>
        </is>
      </c>
      <c r="I485" t="n">
        <v>8.9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35448-2022</t>
        </is>
      </c>
      <c r="B486" t="inlineStr">
        <is>
          <t>avverkningsanmälan</t>
        </is>
      </c>
      <c r="C486" t="inlineStr">
        <is>
          <t>Föryngringsavverkning</t>
        </is>
      </c>
      <c r="D486" s="1" t="n">
        <v>44798</v>
      </c>
      <c r="E486" s="1" t="n">
        <v>46233</v>
      </c>
      <c r="F486" t="inlineStr">
        <is>
          <t>VÄSTERNORRLANDS LÄN</t>
        </is>
      </c>
      <c r="G486" t="inlineStr">
        <is>
          <t>TIMRÅ</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44795-2025</t>
        </is>
      </c>
      <c r="B487" t="inlineStr">
        <is>
          <t>avverkningsanmälan</t>
        </is>
      </c>
      <c r="C487" t="inlineStr">
        <is>
          <t>Föryngringsavverkning</t>
        </is>
      </c>
      <c r="D487" s="1" t="n">
        <v>45918</v>
      </c>
      <c r="E487" s="1" t="n">
        <v>46233</v>
      </c>
      <c r="F487" t="inlineStr">
        <is>
          <t>VÄSTERNORRLANDS LÄN</t>
        </is>
      </c>
      <c r="G487" t="inlineStr">
        <is>
          <t>TIMRÅ</t>
        </is>
      </c>
      <c r="H487" t="inlineStr">
        <is>
          <t>SCA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43006-2024</t>
        </is>
      </c>
      <c r="B488" t="inlineStr">
        <is>
          <t>avverkningsanmälan</t>
        </is>
      </c>
      <c r="C488" t="inlineStr">
        <is>
          <t>Föryngringsavverkning</t>
        </is>
      </c>
      <c r="D488" s="1" t="n">
        <v>45567</v>
      </c>
      <c r="E488" s="1" t="n">
        <v>46233</v>
      </c>
      <c r="F488" t="inlineStr">
        <is>
          <t>VÄSTERNORRLANDS LÄN</t>
        </is>
      </c>
      <c r="G488" t="inlineStr">
        <is>
          <t>TIMRÅ</t>
        </is>
      </c>
      <c r="H488" t="inlineStr">
        <is>
          <t>SCA</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20837-2023</t>
        </is>
      </c>
      <c r="B489" t="inlineStr">
        <is>
          <t>avverkningsanmälan</t>
        </is>
      </c>
      <c r="C489" t="inlineStr">
        <is>
          <t>Föryngringsavverkning</t>
        </is>
      </c>
      <c r="D489" s="1" t="n">
        <v>45058</v>
      </c>
      <c r="E489" s="1" t="n">
        <v>46233</v>
      </c>
      <c r="F489" t="inlineStr">
        <is>
          <t>VÄSTERNORRLANDS LÄN</t>
        </is>
      </c>
      <c r="G489" t="inlineStr">
        <is>
          <t>TIMRÅ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13341-2024</t>
        </is>
      </c>
      <c r="B490" t="inlineStr">
        <is>
          <t>avverkningsanmälan</t>
        </is>
      </c>
      <c r="C490" t="inlineStr">
        <is>
          <t>Föryngringsavverkning</t>
        </is>
      </c>
      <c r="D490" s="1" t="n">
        <v>45386</v>
      </c>
      <c r="E490" s="1" t="n">
        <v>46233</v>
      </c>
      <c r="F490" t="inlineStr">
        <is>
          <t>VÄSTERNORRLANDS LÄN</t>
        </is>
      </c>
      <c r="G490" t="inlineStr">
        <is>
          <t>TIMRÅ</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61484-2024</t>
        </is>
      </c>
      <c r="B491" t="inlineStr">
        <is>
          <t>avverkningsanmälan</t>
        </is>
      </c>
      <c r="C491" t="inlineStr">
        <is>
          <t>Avverkning för att bevara och utveckla /försöksver</t>
        </is>
      </c>
      <c r="D491" s="1" t="n">
        <v>45646</v>
      </c>
      <c r="E491" s="1" t="n">
        <v>46233</v>
      </c>
      <c r="F491" t="inlineStr">
        <is>
          <t>VÄSTERNORRLANDS LÄN</t>
        </is>
      </c>
      <c r="G491" t="inlineStr">
        <is>
          <t>TIMRÅ</t>
        </is>
      </c>
      <c r="H491" t="inlineStr">
        <is>
          <t>SCA</t>
        </is>
      </c>
      <c r="I491" t="n">
        <v>8.699999999999999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42065-2025</t>
        </is>
      </c>
      <c r="B492" t="inlineStr">
        <is>
          <t>avverkningsanmälan</t>
        </is>
      </c>
      <c r="C492" t="inlineStr">
        <is>
          <t>Föryngringsavverkning</t>
        </is>
      </c>
      <c r="D492" s="1" t="n">
        <v>45903</v>
      </c>
      <c r="E492" s="1" t="n">
        <v>46233</v>
      </c>
      <c r="F492" t="inlineStr">
        <is>
          <t>VÄSTERNORRLANDS LÄN</t>
        </is>
      </c>
      <c r="G492" t="inlineStr">
        <is>
          <t>TIMRÅ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20839-2023</t>
        </is>
      </c>
      <c r="B493" t="inlineStr">
        <is>
          <t>avverkningsanmälan</t>
        </is>
      </c>
      <c r="C493" t="inlineStr">
        <is>
          <t>Föryngringsavverkning</t>
        </is>
      </c>
      <c r="D493" s="1" t="n">
        <v>45058</v>
      </c>
      <c r="E493" s="1" t="n">
        <v>46233</v>
      </c>
      <c r="F493" t="inlineStr">
        <is>
          <t>VÄSTERNORRLANDS LÄN</t>
        </is>
      </c>
      <c r="G493" t="inlineStr">
        <is>
          <t>TIMRÅ</t>
        </is>
      </c>
      <c r="I493" t="n">
        <v>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40483-2025</t>
        </is>
      </c>
      <c r="B494" t="inlineStr">
        <is>
          <t>avverkningsanmälan</t>
        </is>
      </c>
      <c r="C494" t="inlineStr">
        <is>
          <t>Föryngringsavverkning</t>
        </is>
      </c>
      <c r="D494" s="1" t="n">
        <v>45895</v>
      </c>
      <c r="E494" s="1" t="n">
        <v>46233</v>
      </c>
      <c r="F494" t="inlineStr">
        <is>
          <t>VÄSTERNORRLANDS LÄN</t>
        </is>
      </c>
      <c r="G494" t="inlineStr">
        <is>
          <t>TIMRÅ</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7966-2022</t>
        </is>
      </c>
      <c r="B495" t="inlineStr">
        <is>
          <t>avverkningsanmälan</t>
        </is>
      </c>
      <c r="C495" t="inlineStr">
        <is>
          <t>Avverkning för annat ändamål</t>
        </is>
      </c>
      <c r="D495" s="1" t="n">
        <v>44608</v>
      </c>
      <c r="E495" s="1" t="n">
        <v>46233</v>
      </c>
      <c r="F495" t="inlineStr">
        <is>
          <t>VÄSTERNORRLANDS LÄN</t>
        </is>
      </c>
      <c r="G495" t="inlineStr">
        <is>
          <t>TIMRÅ</t>
        </is>
      </c>
      <c r="H495" t="inlineStr">
        <is>
          <t>SCA</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9202-2022</t>
        </is>
      </c>
      <c r="B496" t="inlineStr">
        <is>
          <t>avverkningsanmälan</t>
        </is>
      </c>
      <c r="C496" t="inlineStr">
        <is>
          <t>Föryngringsavverkning</t>
        </is>
      </c>
      <c r="D496" s="1" t="n">
        <v>44615</v>
      </c>
      <c r="E496" s="1" t="n">
        <v>46233</v>
      </c>
      <c r="F496" t="inlineStr">
        <is>
          <t>VÄSTERNORRLANDS LÄN</t>
        </is>
      </c>
      <c r="G496" t="inlineStr">
        <is>
          <t>TIMRÅ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13446-2026</t>
        </is>
      </c>
      <c r="B497" t="inlineStr">
        <is>
          <t>avverkningsanmälan</t>
        </is>
      </c>
      <c r="C497" t="inlineStr">
        <is>
          <t>Föryngringsavverkning</t>
        </is>
      </c>
      <c r="D497" s="1" t="n">
        <v>46094</v>
      </c>
      <c r="E497" s="1" t="n">
        <v>46233</v>
      </c>
      <c r="F497" t="inlineStr">
        <is>
          <t>VÄSTERNORRLANDS LÄN</t>
        </is>
      </c>
      <c r="G497" t="inlineStr">
        <is>
          <t>TIMRÅ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9203-2022</t>
        </is>
      </c>
      <c r="B498" t="inlineStr">
        <is>
          <t>avverkningsanmälan</t>
        </is>
      </c>
      <c r="C498" t="inlineStr">
        <is>
          <t>Föryngringsavverkning</t>
        </is>
      </c>
      <c r="D498" s="1" t="n">
        <v>44615</v>
      </c>
      <c r="E498" s="1" t="n">
        <v>46233</v>
      </c>
      <c r="F498" t="inlineStr">
        <is>
          <t>VÄSTERNORRLANDS LÄN</t>
        </is>
      </c>
      <c r="G498" t="inlineStr">
        <is>
          <t>TIMRÅ</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3184-2026</t>
        </is>
      </c>
      <c r="B499" t="inlineStr">
        <is>
          <t>avverkningsanmälan</t>
        </is>
      </c>
      <c r="C499" t="inlineStr">
        <is>
          <t>Föryngringsavverkning</t>
        </is>
      </c>
      <c r="D499" s="1" t="n">
        <v>46041</v>
      </c>
      <c r="E499" s="1" t="n">
        <v>46233</v>
      </c>
      <c r="F499" t="inlineStr">
        <is>
          <t>VÄSTERNORRLANDS LÄN</t>
        </is>
      </c>
      <c r="G499" t="inlineStr">
        <is>
          <t>TIMRÅ</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6977-2026</t>
        </is>
      </c>
      <c r="B500" t="inlineStr">
        <is>
          <t>avverkningsanmälan</t>
        </is>
      </c>
      <c r="C500" t="inlineStr">
        <is>
          <t>Föryngringsavverkning</t>
        </is>
      </c>
      <c r="D500" s="1" t="n">
        <v>46057</v>
      </c>
      <c r="E500" s="1" t="n">
        <v>46233</v>
      </c>
      <c r="F500" t="inlineStr">
        <is>
          <t>VÄSTERNORRLANDS LÄN</t>
        </is>
      </c>
      <c r="G500" t="inlineStr">
        <is>
          <t>TIMRÅ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13275-2026</t>
        </is>
      </c>
      <c r="B501" t="inlineStr">
        <is>
          <t>avverkningsanmälan</t>
        </is>
      </c>
      <c r="C501" t="inlineStr">
        <is>
          <t>Föryngringsavverkning</t>
        </is>
      </c>
      <c r="D501" s="1" t="n">
        <v>46093</v>
      </c>
      <c r="E501" s="1" t="n">
        <v>46233</v>
      </c>
      <c r="F501" t="inlineStr">
        <is>
          <t>VÄSTERNORRLANDS LÄN</t>
        </is>
      </c>
      <c r="G501" t="inlineStr">
        <is>
          <t>TIMRÅ</t>
        </is>
      </c>
      <c r="I501" t="n">
        <v>13.9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20697-2026</t>
        </is>
      </c>
      <c r="B502" t="inlineStr">
        <is>
          <t>avverkningsanmälan</t>
        </is>
      </c>
      <c r="C502" t="inlineStr">
        <is>
          <t>Föryngringsavverkning</t>
        </is>
      </c>
      <c r="D502" s="1" t="n">
        <v>46141</v>
      </c>
      <c r="E502" s="1" t="n">
        <v>46233</v>
      </c>
      <c r="F502" t="inlineStr">
        <is>
          <t>VÄSTERNORRLANDS LÄN</t>
        </is>
      </c>
      <c r="G502" t="inlineStr">
        <is>
          <t>TIMRÅ</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31562-2023</t>
        </is>
      </c>
      <c r="B503" t="inlineStr">
        <is>
          <t>avverkningsanmälan</t>
        </is>
      </c>
      <c r="C503" t="inlineStr">
        <is>
          <t>Föryngringsavverkning</t>
        </is>
      </c>
      <c r="D503" s="1" t="n">
        <v>45117</v>
      </c>
      <c r="E503" s="1" t="n">
        <v>46233</v>
      </c>
      <c r="F503" t="inlineStr">
        <is>
          <t>VÄSTERNORRLANDS LÄN</t>
        </is>
      </c>
      <c r="G503" t="inlineStr">
        <is>
          <t>TIMRÅ</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30680-2024</t>
        </is>
      </c>
      <c r="B504" t="inlineStr">
        <is>
          <t>avverkningsanmälan</t>
        </is>
      </c>
      <c r="C504" t="inlineStr">
        <is>
          <t>Föryngringsavverkning</t>
        </is>
      </c>
      <c r="D504" s="1" t="n">
        <v>45495</v>
      </c>
      <c r="E504" s="1" t="n">
        <v>46233</v>
      </c>
      <c r="F504" t="inlineStr">
        <is>
          <t>VÄSTERNORRLANDS LÄN</t>
        </is>
      </c>
      <c r="G504" t="inlineStr">
        <is>
          <t>TIMRÅ</t>
        </is>
      </c>
      <c r="H504" t="inlineStr">
        <is>
          <t>SCA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55441-2023</t>
        </is>
      </c>
      <c r="B505" t="inlineStr">
        <is>
          <t>avverkningsanmälan</t>
        </is>
      </c>
      <c r="C505" t="inlineStr">
        <is>
          <t>Föryngringsavverkning</t>
        </is>
      </c>
      <c r="D505" s="1" t="n">
        <v>45231</v>
      </c>
      <c r="E505" s="1" t="n">
        <v>46233</v>
      </c>
      <c r="F505" t="inlineStr">
        <is>
          <t>VÄSTERNORRLANDS LÄN</t>
        </is>
      </c>
      <c r="G505" t="inlineStr">
        <is>
          <t>TIMRÅ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25644-2022</t>
        </is>
      </c>
      <c r="B506" t="inlineStr">
        <is>
          <t>avverkningsanmälan</t>
        </is>
      </c>
      <c r="C506" t="inlineStr">
        <is>
          <t>Avverkning för att bevara och utveckla /försöksver</t>
        </is>
      </c>
      <c r="D506" s="1" t="n">
        <v>44732</v>
      </c>
      <c r="E506" s="1" t="n">
        <v>46233</v>
      </c>
      <c r="F506" t="inlineStr">
        <is>
          <t>VÄSTERNORRLANDS LÄN</t>
        </is>
      </c>
      <c r="G506" t="inlineStr">
        <is>
          <t>TIMRÅ</t>
        </is>
      </c>
      <c r="H506" t="inlineStr">
        <is>
          <t>SCA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17974-2025</t>
        </is>
      </c>
      <c r="B507" t="inlineStr">
        <is>
          <t>avverkningsanmälan</t>
        </is>
      </c>
      <c r="C507" t="inlineStr">
        <is>
          <t>Föryngringsavverkning</t>
        </is>
      </c>
      <c r="D507" s="1" t="n">
        <v>45761</v>
      </c>
      <c r="E507" s="1" t="n">
        <v>46233</v>
      </c>
      <c r="F507" t="inlineStr">
        <is>
          <t>VÄSTERNORRLANDS LÄN</t>
        </is>
      </c>
      <c r="G507" t="inlineStr">
        <is>
          <t>TIMRÅ</t>
        </is>
      </c>
      <c r="H507" t="inlineStr">
        <is>
          <t>SCA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21434-2026</t>
        </is>
      </c>
      <c r="B508" t="inlineStr">
        <is>
          <t>avverkningsanmälan</t>
        </is>
      </c>
      <c r="C508" t="inlineStr">
        <is>
          <t>Föryngringsavverkning</t>
        </is>
      </c>
      <c r="D508" s="1" t="n">
        <v>46148</v>
      </c>
      <c r="E508" s="1" t="n">
        <v>46233</v>
      </c>
      <c r="F508" t="inlineStr">
        <is>
          <t>VÄSTERNORRLANDS LÄN</t>
        </is>
      </c>
      <c r="G508" t="inlineStr">
        <is>
          <t>TIMRÅ</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21296-2026</t>
        </is>
      </c>
      <c r="B509" t="inlineStr">
        <is>
          <t>avverkningsanmälan</t>
        </is>
      </c>
      <c r="C509" t="inlineStr">
        <is>
          <t>Föryngringsavverkning</t>
        </is>
      </c>
      <c r="D509" s="1" t="n">
        <v>46147</v>
      </c>
      <c r="E509" s="1" t="n">
        <v>46233</v>
      </c>
      <c r="F509" t="inlineStr">
        <is>
          <t>VÄSTERNORRLANDS LÄN</t>
        </is>
      </c>
      <c r="G509" t="inlineStr">
        <is>
          <t>TIMRÅ</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21305-2026</t>
        </is>
      </c>
      <c r="B510" t="inlineStr">
        <is>
          <t>avverkningsanmälan</t>
        </is>
      </c>
      <c r="C510" t="inlineStr">
        <is>
          <t>Föryngringsavverkning</t>
        </is>
      </c>
      <c r="D510" s="1" t="n">
        <v>46147</v>
      </c>
      <c r="E510" s="1" t="n">
        <v>46233</v>
      </c>
      <c r="F510" t="inlineStr">
        <is>
          <t>VÄSTERNORRLANDS LÄN</t>
        </is>
      </c>
      <c r="G510" t="inlineStr">
        <is>
          <t>TIMRÅ</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21443-2024</t>
        </is>
      </c>
      <c r="B511" t="inlineStr">
        <is>
          <t>avverkningsanmälan</t>
        </is>
      </c>
      <c r="C511" t="inlineStr">
        <is>
          <t>Föryngringsavverkning</t>
        </is>
      </c>
      <c r="D511" s="1" t="n">
        <v>45441</v>
      </c>
      <c r="E511" s="1" t="n">
        <v>46233</v>
      </c>
      <c r="F511" t="inlineStr">
        <is>
          <t>VÄSTERNORRLANDS LÄN</t>
        </is>
      </c>
      <c r="G511" t="inlineStr">
        <is>
          <t>TIMRÅ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21304-2026</t>
        </is>
      </c>
      <c r="B512" t="inlineStr">
        <is>
          <t>avverkningsanmälan</t>
        </is>
      </c>
      <c r="C512" t="inlineStr">
        <is>
          <t>Föryngringsavverkning</t>
        </is>
      </c>
      <c r="D512" s="1" t="n">
        <v>46147</v>
      </c>
      <c r="E512" s="1" t="n">
        <v>46233</v>
      </c>
      <c r="F512" t="inlineStr">
        <is>
          <t>VÄSTERNORRLANDS LÄN</t>
        </is>
      </c>
      <c r="G512" t="inlineStr">
        <is>
          <t>TIMRÅ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27862-2026</t>
        </is>
      </c>
      <c r="B513" t="inlineStr">
        <is>
          <t>avverkningsanmälan</t>
        </is>
      </c>
      <c r="C513" t="inlineStr">
        <is>
          <t>Föryngringsavverkning</t>
        </is>
      </c>
      <c r="D513" s="1" t="n">
        <v>46191</v>
      </c>
      <c r="E513" s="1" t="n">
        <v>46233</v>
      </c>
      <c r="F513" t="inlineStr">
        <is>
          <t>VÄSTERNORRLANDS LÄN</t>
        </is>
      </c>
      <c r="G513" t="inlineStr">
        <is>
          <t>TIMRÅ</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27864-2026</t>
        </is>
      </c>
      <c r="B514" t="inlineStr">
        <is>
          <t>avverkningsanmälan</t>
        </is>
      </c>
      <c r="C514" t="inlineStr">
        <is>
          <t>Föryngringsavverkning</t>
        </is>
      </c>
      <c r="D514" s="1" t="n">
        <v>46191</v>
      </c>
      <c r="E514" s="1" t="n">
        <v>46233</v>
      </c>
      <c r="F514" t="inlineStr">
        <is>
          <t>VÄSTERNORRLANDS LÄN</t>
        </is>
      </c>
      <c r="G514" t="inlineStr">
        <is>
          <t>TIMRÅ</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21814-2026</t>
        </is>
      </c>
      <c r="B515" t="inlineStr">
        <is>
          <t>avverkningsanmälan</t>
        </is>
      </c>
      <c r="C515" t="inlineStr">
        <is>
          <t>Föryngringsavverkning</t>
        </is>
      </c>
      <c r="D515" s="1" t="n">
        <v>46150</v>
      </c>
      <c r="E515" s="1" t="n">
        <v>46233</v>
      </c>
      <c r="F515" t="inlineStr">
        <is>
          <t>VÄSTERNORRLANDS LÄN</t>
        </is>
      </c>
      <c r="G515" t="inlineStr">
        <is>
          <t>TIMRÅ</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21912-2026</t>
        </is>
      </c>
      <c r="B516" t="inlineStr">
        <is>
          <t>avverkningsanmälan</t>
        </is>
      </c>
      <c r="C516" t="inlineStr">
        <is>
          <t>Föryngringsavverkning</t>
        </is>
      </c>
      <c r="D516" s="1" t="n">
        <v>46150</v>
      </c>
      <c r="E516" s="1" t="n">
        <v>46233</v>
      </c>
      <c r="F516" t="inlineStr">
        <is>
          <t>VÄSTERNORRLANDS LÄN</t>
        </is>
      </c>
      <c r="G516" t="inlineStr">
        <is>
          <t>TIMRÅ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20527-2024</t>
        </is>
      </c>
      <c r="B517" t="inlineStr">
        <is>
          <t>avverkningsanmälan</t>
        </is>
      </c>
      <c r="C517" t="inlineStr">
        <is>
          <t>Föryngringsavverkning</t>
        </is>
      </c>
      <c r="D517" s="1" t="n">
        <v>45435</v>
      </c>
      <c r="E517" s="1" t="n">
        <v>46233</v>
      </c>
      <c r="F517" t="inlineStr">
        <is>
          <t>VÄSTERNORRLANDS LÄN</t>
        </is>
      </c>
      <c r="G517" t="inlineStr">
        <is>
          <t>TIMRÅ</t>
        </is>
      </c>
      <c r="H517" t="inlineStr">
        <is>
          <t>SCA</t>
        </is>
      </c>
      <c r="I517" t="n">
        <v>10.6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45774-2023</t>
        </is>
      </c>
      <c r="B518" t="inlineStr">
        <is>
          <t>avverkningsanmälan</t>
        </is>
      </c>
      <c r="C518" t="inlineStr">
        <is>
          <t>Föryngringsavverkning</t>
        </is>
      </c>
      <c r="D518" s="1" t="n">
        <v>45189</v>
      </c>
      <c r="E518" s="1" t="n">
        <v>46233</v>
      </c>
      <c r="F518" t="inlineStr">
        <is>
          <t>VÄSTERNORRLANDS LÄN</t>
        </is>
      </c>
      <c r="G518" t="inlineStr">
        <is>
          <t>TIMRÅ</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28034-2026</t>
        </is>
      </c>
      <c r="B519" t="inlineStr">
        <is>
          <t>avverkningsanmälan</t>
        </is>
      </c>
      <c r="C519" t="inlineStr">
        <is>
          <t>Föryngringsavverkning</t>
        </is>
      </c>
      <c r="D519" s="1" t="n">
        <v>46195</v>
      </c>
      <c r="E519" s="1" t="n">
        <v>46233</v>
      </c>
      <c r="F519" t="inlineStr">
        <is>
          <t>VÄSTERNORRLANDS LÄN</t>
        </is>
      </c>
      <c r="G519" t="inlineStr">
        <is>
          <t>TIMRÅ</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28231-2026</t>
        </is>
      </c>
      <c r="B520" t="inlineStr">
        <is>
          <t>avverkningsanmälan</t>
        </is>
      </c>
      <c r="C520" t="inlineStr">
        <is>
          <t>Föryngringsavverkning</t>
        </is>
      </c>
      <c r="D520" s="1" t="n">
        <v>46196</v>
      </c>
      <c r="E520" s="1" t="n">
        <v>46233</v>
      </c>
      <c r="F520" t="inlineStr">
        <is>
          <t>VÄSTERNORRLANDS LÄN</t>
        </is>
      </c>
      <c r="G520" t="inlineStr">
        <is>
          <t>TIMRÅ</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16519-2022</t>
        </is>
      </c>
      <c r="B521" t="inlineStr">
        <is>
          <t>avverkningsanmälan</t>
        </is>
      </c>
      <c r="C521" t="inlineStr">
        <is>
          <t>Föryngringsavverkning</t>
        </is>
      </c>
      <c r="D521" s="1" t="n">
        <v>44671</v>
      </c>
      <c r="E521" s="1" t="n">
        <v>46233</v>
      </c>
      <c r="F521" t="inlineStr">
        <is>
          <t>VÄSTERNORRLANDS LÄN</t>
        </is>
      </c>
      <c r="G521" t="inlineStr">
        <is>
          <t>TIMRÅ</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794-2026</t>
        </is>
      </c>
      <c r="B522" t="inlineStr">
        <is>
          <t>avverkningsanmälan</t>
        </is>
      </c>
      <c r="C522" t="inlineStr">
        <is>
          <t>Föryngringsavverkning</t>
        </is>
      </c>
      <c r="D522" s="1" t="n">
        <v>46029</v>
      </c>
      <c r="E522" s="1" t="n">
        <v>46233</v>
      </c>
      <c r="F522" t="inlineStr">
        <is>
          <t>VÄSTERNORRLANDS LÄN</t>
        </is>
      </c>
      <c r="G522" t="inlineStr">
        <is>
          <t>TIMRÅ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23676-2022</t>
        </is>
      </c>
      <c r="B523" t="inlineStr">
        <is>
          <t>avverkningsanmälan</t>
        </is>
      </c>
      <c r="C523" t="inlineStr">
        <is>
          <t>Föryngringsavverkning</t>
        </is>
      </c>
      <c r="D523" s="1" t="n">
        <v>44721</v>
      </c>
      <c r="E523" s="1" t="n">
        <v>46233</v>
      </c>
      <c r="F523" t="inlineStr">
        <is>
          <t>VÄSTERNORRLANDS LÄN</t>
        </is>
      </c>
      <c r="G523" t="inlineStr">
        <is>
          <t>TIMRÅ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21960-2026</t>
        </is>
      </c>
      <c r="B524" t="inlineStr">
        <is>
          <t>avverkningsanmälan</t>
        </is>
      </c>
      <c r="C524" t="inlineStr">
        <is>
          <t>Föryngringsavverkning</t>
        </is>
      </c>
      <c r="D524" s="1" t="n">
        <v>46152</v>
      </c>
      <c r="E524" s="1" t="n">
        <v>46233</v>
      </c>
      <c r="F524" t="inlineStr">
        <is>
          <t>VÄSTERNORRLANDS LÄN</t>
        </is>
      </c>
      <c r="G524" t="inlineStr">
        <is>
          <t>TIMRÅ</t>
        </is>
      </c>
      <c r="H524" t="inlineStr">
        <is>
          <t>SCA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18684-2023</t>
        </is>
      </c>
      <c r="B525" t="inlineStr">
        <is>
          <t>avverkningsanmälan</t>
        </is>
      </c>
      <c r="C525" t="inlineStr">
        <is>
          <t>Föryngringsavverkning</t>
        </is>
      </c>
      <c r="D525" s="1" t="n">
        <v>45042</v>
      </c>
      <c r="E525" s="1" t="n">
        <v>46233</v>
      </c>
      <c r="F525" t="inlineStr">
        <is>
          <t>VÄSTERNORRLANDS LÄN</t>
        </is>
      </c>
      <c r="G525" t="inlineStr">
        <is>
          <t>TIMRÅ</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57072-2023</t>
        </is>
      </c>
      <c r="B526" t="inlineStr">
        <is>
          <t>avverkningsanmälan</t>
        </is>
      </c>
      <c r="C526" t="inlineStr">
        <is>
          <t>Föryngringsavverkning</t>
        </is>
      </c>
      <c r="D526" s="1" t="n">
        <v>45244</v>
      </c>
      <c r="E526" s="1" t="n">
        <v>46233</v>
      </c>
      <c r="F526" t="inlineStr">
        <is>
          <t>VÄSTERNORRLANDS LÄN</t>
        </is>
      </c>
      <c r="G526" t="inlineStr">
        <is>
          <t>TIMRÅ</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28476-2026</t>
        </is>
      </c>
      <c r="B527" t="inlineStr">
        <is>
          <t>avverkningsanmälan</t>
        </is>
      </c>
      <c r="C527" t="inlineStr">
        <is>
          <t>Föryngringsavverkning</t>
        </is>
      </c>
      <c r="D527" s="1" t="n">
        <v>46197</v>
      </c>
      <c r="E527" s="1" t="n">
        <v>46233</v>
      </c>
      <c r="F527" t="inlineStr">
        <is>
          <t>VÄSTERNORRLANDS LÄN</t>
        </is>
      </c>
      <c r="G527" t="inlineStr">
        <is>
          <t>TIMRÅ</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704-2026</t>
        </is>
      </c>
      <c r="B528" t="inlineStr">
        <is>
          <t>avverkningsanmälan</t>
        </is>
      </c>
      <c r="C528" t="inlineStr">
        <is>
          <t>Föryngringsavverkning</t>
        </is>
      </c>
      <c r="D528" s="1" t="n">
        <v>46029</v>
      </c>
      <c r="E528" s="1" t="n">
        <v>46233</v>
      </c>
      <c r="F528" t="inlineStr">
        <is>
          <t>VÄSTERNORRLANDS LÄN</t>
        </is>
      </c>
      <c r="G528" t="inlineStr">
        <is>
          <t>TIMRÅ</t>
        </is>
      </c>
      <c r="H528" t="inlineStr">
        <is>
          <t>Kyrkan</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16084-2025</t>
        </is>
      </c>
      <c r="B529" t="inlineStr">
        <is>
          <t>avverkningsanmälan</t>
        </is>
      </c>
      <c r="C529" t="inlineStr">
        <is>
          <t>Föryngringsavverkning</t>
        </is>
      </c>
      <c r="D529" s="1" t="n">
        <v>45749</v>
      </c>
      <c r="E529" s="1" t="n">
        <v>46233</v>
      </c>
      <c r="F529" t="inlineStr">
        <is>
          <t>VÄSTERNORRLANDS LÄN</t>
        </is>
      </c>
      <c r="G529" t="inlineStr">
        <is>
          <t>TIMRÅ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1825-2025</t>
        </is>
      </c>
      <c r="B530" t="inlineStr">
        <is>
          <t>avverkningsanmälan</t>
        </is>
      </c>
      <c r="C530" t="inlineStr">
        <is>
          <t>Föryngringsavverkning</t>
        </is>
      </c>
      <c r="D530" s="1" t="n">
        <v>45671</v>
      </c>
      <c r="E530" s="1" t="n">
        <v>46233</v>
      </c>
      <c r="F530" t="inlineStr">
        <is>
          <t>VÄSTERNORRLANDS LÄN</t>
        </is>
      </c>
      <c r="G530" t="inlineStr">
        <is>
          <t>TIMRÅ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10852-2024</t>
        </is>
      </c>
      <c r="B531" t="inlineStr">
        <is>
          <t>avverkningsanmälan</t>
        </is>
      </c>
      <c r="C531" t="inlineStr">
        <is>
          <t>Föryngringsavverkning</t>
        </is>
      </c>
      <c r="D531" s="1" t="n">
        <v>45370</v>
      </c>
      <c r="E531" s="1" t="n">
        <v>46233</v>
      </c>
      <c r="F531" t="inlineStr">
        <is>
          <t>VÄSTERNORRLANDS LÄN</t>
        </is>
      </c>
      <c r="G531" t="inlineStr">
        <is>
          <t>TIMRÅ</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22942-2026</t>
        </is>
      </c>
      <c r="B532" t="inlineStr">
        <is>
          <t>avverkningsanmälan</t>
        </is>
      </c>
      <c r="C532" t="inlineStr">
        <is>
          <t>Föryngringsavverkning</t>
        </is>
      </c>
      <c r="D532" s="1" t="n">
        <v>46160</v>
      </c>
      <c r="E532" s="1" t="n">
        <v>46233</v>
      </c>
      <c r="F532" t="inlineStr">
        <is>
          <t>VÄSTERNORRLANDS LÄN</t>
        </is>
      </c>
      <c r="G532" t="inlineStr">
        <is>
          <t>TIMRÅ</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22948-2026</t>
        </is>
      </c>
      <c r="B533" t="inlineStr">
        <is>
          <t>avverkningsanmälan</t>
        </is>
      </c>
      <c r="C533" t="inlineStr">
        <is>
          <t>Föryngringsavverkning</t>
        </is>
      </c>
      <c r="D533" s="1" t="n">
        <v>46160</v>
      </c>
      <c r="E533" s="1" t="n">
        <v>46233</v>
      </c>
      <c r="F533" t="inlineStr">
        <is>
          <t>VÄSTERNORRLANDS LÄN</t>
        </is>
      </c>
      <c r="G533" t="inlineStr">
        <is>
          <t>TIMRÅ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5649-2022</t>
        </is>
      </c>
      <c r="B534" t="inlineStr">
        <is>
          <t>avverkningsanmälan</t>
        </is>
      </c>
      <c r="C534" t="inlineStr">
        <is>
          <t>Föryngringsavverkning</t>
        </is>
      </c>
      <c r="D534" s="1" t="n">
        <v>44595</v>
      </c>
      <c r="E534" s="1" t="n">
        <v>46233</v>
      </c>
      <c r="F534" t="inlineStr">
        <is>
          <t>VÄSTERNORRLANDS LÄN</t>
        </is>
      </c>
      <c r="G534" t="inlineStr">
        <is>
          <t>TIMRÅ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29297-2026</t>
        </is>
      </c>
      <c r="B535" t="inlineStr">
        <is>
          <t>avverkningsanmälan</t>
        </is>
      </c>
      <c r="C535" t="inlineStr">
        <is>
          <t>Föryngringsavverkning</t>
        </is>
      </c>
      <c r="D535" s="1" t="n">
        <v>46202</v>
      </c>
      <c r="E535" s="1" t="n">
        <v>46233</v>
      </c>
      <c r="F535" t="inlineStr">
        <is>
          <t>VÄSTERNORRLANDS LÄN</t>
        </is>
      </c>
      <c r="G535" t="inlineStr">
        <is>
          <t>TIMRÅ</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41457-2022</t>
        </is>
      </c>
      <c r="B536" t="inlineStr">
        <is>
          <t>avverkningsanmälan</t>
        </is>
      </c>
      <c r="C536" t="inlineStr">
        <is>
          <t>Föryngringsavverkning</t>
        </is>
      </c>
      <c r="D536" s="1" t="n">
        <v>44826</v>
      </c>
      <c r="E536" s="1" t="n">
        <v>46233</v>
      </c>
      <c r="F536" t="inlineStr">
        <is>
          <t>VÄSTERNORRLANDS LÄN</t>
        </is>
      </c>
      <c r="G536" t="inlineStr">
        <is>
          <t>TIMRÅ</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41465-2022</t>
        </is>
      </c>
      <c r="B537" t="inlineStr">
        <is>
          <t>avverkningsanmälan</t>
        </is>
      </c>
      <c r="C537" t="inlineStr">
        <is>
          <t>Föryngringsavverkning</t>
        </is>
      </c>
      <c r="D537" s="1" t="n">
        <v>44826</v>
      </c>
      <c r="E537" s="1" t="n">
        <v>46233</v>
      </c>
      <c r="F537" t="inlineStr">
        <is>
          <t>VÄSTERNORRLANDS LÄN</t>
        </is>
      </c>
      <c r="G537" t="inlineStr">
        <is>
          <t>TIMRÅ</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8640-2026</t>
        </is>
      </c>
      <c r="B538" t="inlineStr">
        <is>
          <t>avverkningsanmälan</t>
        </is>
      </c>
      <c r="C538" t="inlineStr">
        <is>
          <t>Föryngringsavverkning</t>
        </is>
      </c>
      <c r="D538" s="1" t="n">
        <v>46066</v>
      </c>
      <c r="E538" s="1" t="n">
        <v>46233</v>
      </c>
      <c r="F538" t="inlineStr">
        <is>
          <t>VÄSTERNORRLANDS LÄN</t>
        </is>
      </c>
      <c r="G538" t="inlineStr">
        <is>
          <t>TIMRÅ</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61606-2023</t>
        </is>
      </c>
      <c r="B539" t="inlineStr">
        <is>
          <t>avverkningsanmälan</t>
        </is>
      </c>
      <c r="C539" t="inlineStr">
        <is>
          <t>Avverkning för annat ändamål</t>
        </is>
      </c>
      <c r="D539" s="1" t="n">
        <v>45261</v>
      </c>
      <c r="E539" s="1" t="n">
        <v>46233</v>
      </c>
      <c r="F539" t="inlineStr">
        <is>
          <t>VÄSTERNORRLANDS LÄN</t>
        </is>
      </c>
      <c r="G539" t="inlineStr">
        <is>
          <t>TIMRÅ</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29214-2026</t>
        </is>
      </c>
      <c r="B540" t="inlineStr">
        <is>
          <t>avverkningsanmälan</t>
        </is>
      </c>
      <c r="C540" t="inlineStr">
        <is>
          <t>Föryngringsavverkning</t>
        </is>
      </c>
      <c r="D540" s="1" t="n">
        <v>46202</v>
      </c>
      <c r="E540" s="1" t="n">
        <v>46233</v>
      </c>
      <c r="F540" t="inlineStr">
        <is>
          <t>VÄSTERNORRLANDS LÄN</t>
        </is>
      </c>
      <c r="G540" t="inlineStr">
        <is>
          <t>TIMRÅ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30612-2024</t>
        </is>
      </c>
      <c r="B541" t="inlineStr">
        <is>
          <t>avverkningsanmälan</t>
        </is>
      </c>
      <c r="C541" t="inlineStr">
        <is>
          <t>Föryngringsavverkning</t>
        </is>
      </c>
      <c r="D541" s="1" t="n">
        <v>45495</v>
      </c>
      <c r="E541" s="1" t="n">
        <v>46233</v>
      </c>
      <c r="F541" t="inlineStr">
        <is>
          <t>VÄSTERNORRLANDS LÄN</t>
        </is>
      </c>
      <c r="G541" t="inlineStr">
        <is>
          <t>TIMRÅ</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58464-2023</t>
        </is>
      </c>
      <c r="B542" t="inlineStr">
        <is>
          <t>avverkningsanmälan</t>
        </is>
      </c>
      <c r="C542" t="inlineStr">
        <is>
          <t>Avverkning för att bevara och utveckla /försöksver</t>
        </is>
      </c>
      <c r="D542" s="1" t="n">
        <v>45250</v>
      </c>
      <c r="E542" s="1" t="n">
        <v>46233</v>
      </c>
      <c r="F542" t="inlineStr">
        <is>
          <t>VÄSTERNORRLANDS LÄN</t>
        </is>
      </c>
      <c r="G542" t="inlineStr">
        <is>
          <t>TIMRÅ</t>
        </is>
      </c>
      <c r="H542" t="inlineStr">
        <is>
          <t>SCA</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37676-2024</t>
        </is>
      </c>
      <c r="B543" t="inlineStr">
        <is>
          <t>avverkningsanmälan</t>
        </is>
      </c>
      <c r="C543" t="inlineStr">
        <is>
          <t>Föryngringsavverkning</t>
        </is>
      </c>
      <c r="D543" s="1" t="n">
        <v>45541</v>
      </c>
      <c r="E543" s="1" t="n">
        <v>46233</v>
      </c>
      <c r="F543" t="inlineStr">
        <is>
          <t>VÄSTERNORRLANDS LÄN</t>
        </is>
      </c>
      <c r="G543" t="inlineStr">
        <is>
          <t>TIMRÅ</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44001-2025</t>
        </is>
      </c>
      <c r="B544" t="inlineStr">
        <is>
          <t>avverkningsanmälan</t>
        </is>
      </c>
      <c r="C544" t="inlineStr">
        <is>
          <t>Föryngringsavverkning</t>
        </is>
      </c>
      <c r="D544" s="1" t="n">
        <v>45915</v>
      </c>
      <c r="E544" s="1" t="n">
        <v>46233</v>
      </c>
      <c r="F544" t="inlineStr">
        <is>
          <t>VÄSTERNORRLANDS LÄN</t>
        </is>
      </c>
      <c r="G544" t="inlineStr">
        <is>
          <t>TIMRÅ</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29398-2026</t>
        </is>
      </c>
      <c r="B545" t="inlineStr">
        <is>
          <t>avverkningsanmälan</t>
        </is>
      </c>
      <c r="C545" t="inlineStr">
        <is>
          <t>Föryngringsavverkning</t>
        </is>
      </c>
      <c r="D545" s="1" t="n">
        <v>46203</v>
      </c>
      <c r="E545" s="1" t="n">
        <v>46233</v>
      </c>
      <c r="F545" t="inlineStr">
        <is>
          <t>VÄSTERNORRLANDS LÄN</t>
        </is>
      </c>
      <c r="G545" t="inlineStr">
        <is>
          <t>TIMRÅ</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29298-2026</t>
        </is>
      </c>
      <c r="B546" t="inlineStr">
        <is>
          <t>avverkningsanmälan</t>
        </is>
      </c>
      <c r="C546" t="inlineStr">
        <is>
          <t>Föryngringsavverkning</t>
        </is>
      </c>
      <c r="D546" s="1" t="n">
        <v>46202</v>
      </c>
      <c r="E546" s="1" t="n">
        <v>46233</v>
      </c>
      <c r="F546" t="inlineStr">
        <is>
          <t>VÄSTERNORRLANDS LÄN</t>
        </is>
      </c>
      <c r="G546" t="inlineStr">
        <is>
          <t>TIMRÅ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56765-2023</t>
        </is>
      </c>
      <c r="B547" t="inlineStr">
        <is>
          <t>avverkningsanmälan</t>
        </is>
      </c>
      <c r="C547" t="inlineStr">
        <is>
          <t>Föryngringsavverkning</t>
        </is>
      </c>
      <c r="D547" s="1" t="n">
        <v>45244</v>
      </c>
      <c r="E547" s="1" t="n">
        <v>46233</v>
      </c>
      <c r="F547" t="inlineStr">
        <is>
          <t>VÄSTERNORRLANDS LÄN</t>
        </is>
      </c>
      <c r="G547" t="inlineStr">
        <is>
          <t>TIMRÅ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1817-2025</t>
        </is>
      </c>
      <c r="B548" t="inlineStr">
        <is>
          <t>avverkningsanmälan</t>
        </is>
      </c>
      <c r="C548" t="inlineStr">
        <is>
          <t>Föryngringsavverkning</t>
        </is>
      </c>
      <c r="D548" s="1" t="n">
        <v>45671</v>
      </c>
      <c r="E548" s="1" t="n">
        <v>46233</v>
      </c>
      <c r="F548" t="inlineStr">
        <is>
          <t>VÄSTERNORRLANDS LÄN</t>
        </is>
      </c>
      <c r="G548" t="inlineStr">
        <is>
          <t>TIMRÅ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12786-2025</t>
        </is>
      </c>
      <c r="B549" t="inlineStr">
        <is>
          <t>avverkningsanmälan</t>
        </is>
      </c>
      <c r="C549" t="inlineStr">
        <is>
          <t>Föryngringsavverkning</t>
        </is>
      </c>
      <c r="D549" s="1" t="n">
        <v>45733</v>
      </c>
      <c r="E549" s="1" t="n">
        <v>46233</v>
      </c>
      <c r="F549" t="inlineStr">
        <is>
          <t>VÄSTERNORRLANDS LÄN</t>
        </is>
      </c>
      <c r="G549" t="inlineStr">
        <is>
          <t>TIMRÅ</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55588-2024</t>
        </is>
      </c>
      <c r="B550" t="inlineStr">
        <is>
          <t>avverkningsanmälan</t>
        </is>
      </c>
      <c r="C550" t="inlineStr">
        <is>
          <t>Föryngringsavverkning</t>
        </is>
      </c>
      <c r="D550" s="1" t="n">
        <v>45622</v>
      </c>
      <c r="E550" s="1" t="n">
        <v>46233</v>
      </c>
      <c r="F550" t="inlineStr">
        <is>
          <t>VÄSTERNORRLANDS LÄN</t>
        </is>
      </c>
      <c r="G550" t="inlineStr">
        <is>
          <t>TIMRÅ</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33749-2024</t>
        </is>
      </c>
      <c r="B551" t="inlineStr">
        <is>
          <t>avverkningsanmälan</t>
        </is>
      </c>
      <c r="C551" t="inlineStr">
        <is>
          <t>Föryngringsavverkning</t>
        </is>
      </c>
      <c r="D551" s="1" t="n">
        <v>45520</v>
      </c>
      <c r="E551" s="1" t="n">
        <v>46233</v>
      </c>
      <c r="F551" t="inlineStr">
        <is>
          <t>VÄSTERNORRLANDS LÄN</t>
        </is>
      </c>
      <c r="G551" t="inlineStr">
        <is>
          <t>TIMRÅ</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29969-2026</t>
        </is>
      </c>
      <c r="B552" t="inlineStr">
        <is>
          <t>avverkningsanmälan</t>
        </is>
      </c>
      <c r="C552" t="inlineStr">
        <is>
          <t>Föryngringsavverkning</t>
        </is>
      </c>
      <c r="D552" s="1" t="n">
        <v>46205</v>
      </c>
      <c r="E552" s="1" t="n">
        <v>46233</v>
      </c>
      <c r="F552" t="inlineStr">
        <is>
          <t>VÄSTERNORRLANDS LÄN</t>
        </is>
      </c>
      <c r="G552" t="inlineStr">
        <is>
          <t>TIMRÅ</t>
        </is>
      </c>
      <c r="H552" t="inlineStr">
        <is>
          <t>SCA</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11269-2022</t>
        </is>
      </c>
      <c r="B553" t="inlineStr">
        <is>
          <t>avverkningsanmälan</t>
        </is>
      </c>
      <c r="C553" t="inlineStr">
        <is>
          <t>Föryngringsavverkning</t>
        </is>
      </c>
      <c r="D553" s="1" t="n">
        <v>44629</v>
      </c>
      <c r="E553" s="1" t="n">
        <v>46233</v>
      </c>
      <c r="F553" t="inlineStr">
        <is>
          <t>VÄSTERNORRLANDS LÄN</t>
        </is>
      </c>
      <c r="G553" t="inlineStr">
        <is>
          <t>TIMRÅ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580-2022</t>
        </is>
      </c>
      <c r="B554" t="inlineStr">
        <is>
          <t>avverkningsanmälan</t>
        </is>
      </c>
      <c r="C554" t="inlineStr">
        <is>
          <t>Föryngringsavverkning</t>
        </is>
      </c>
      <c r="D554" s="1" t="n">
        <v>44566</v>
      </c>
      <c r="E554" s="1" t="n">
        <v>46233</v>
      </c>
      <c r="F554" t="inlineStr">
        <is>
          <t>VÄSTERNORRLANDS LÄN</t>
        </is>
      </c>
      <c r="G554" t="inlineStr">
        <is>
          <t>TIMRÅ</t>
        </is>
      </c>
      <c r="H554" t="inlineStr">
        <is>
          <t>SCA</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21813-2026</t>
        </is>
      </c>
      <c r="B555" t="inlineStr">
        <is>
          <t>avverkningsanmälan</t>
        </is>
      </c>
      <c r="C555" t="inlineStr">
        <is>
          <t>Föryngringsavverkning</t>
        </is>
      </c>
      <c r="D555" s="1" t="n">
        <v>46150</v>
      </c>
      <c r="E555" s="1" t="n">
        <v>46233</v>
      </c>
      <c r="F555" t="inlineStr">
        <is>
          <t>VÄSTERNORRLANDS LÄN</t>
        </is>
      </c>
      <c r="G555" t="inlineStr">
        <is>
          <t>TIMRÅ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23915-2026</t>
        </is>
      </c>
      <c r="B556" t="inlineStr">
        <is>
          <t>avverkningsanmälan</t>
        </is>
      </c>
      <c r="C556" t="inlineStr">
        <is>
          <t>Föryngringsavverkning</t>
        </is>
      </c>
      <c r="D556" s="1" t="n">
        <v>46167</v>
      </c>
      <c r="E556" s="1" t="n">
        <v>46233</v>
      </c>
      <c r="F556" t="inlineStr">
        <is>
          <t>VÄSTERNORRLANDS LÄN</t>
        </is>
      </c>
      <c r="G556" t="inlineStr">
        <is>
          <t>TIMRÅ</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28373-2023</t>
        </is>
      </c>
      <c r="B557" t="inlineStr">
        <is>
          <t>avverkningsanmälan</t>
        </is>
      </c>
      <c r="C557" t="inlineStr">
        <is>
          <t>Föryngringsavverkning</t>
        </is>
      </c>
      <c r="D557" s="1" t="n">
        <v>45099</v>
      </c>
      <c r="E557" s="1" t="n">
        <v>46233</v>
      </c>
      <c r="F557" t="inlineStr">
        <is>
          <t>VÄSTERNORRLANDS LÄN</t>
        </is>
      </c>
      <c r="G557" t="inlineStr">
        <is>
          <t>TIMRÅ</t>
        </is>
      </c>
      <c r="H557" t="inlineStr">
        <is>
          <t>SCA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9635-2026</t>
        </is>
      </c>
      <c r="B558" t="inlineStr">
        <is>
          <t>avverkningsanmälan</t>
        </is>
      </c>
      <c r="C558" t="inlineStr">
        <is>
          <t>Föryngringsavverkning</t>
        </is>
      </c>
      <c r="D558" s="1" t="n">
        <v>46072</v>
      </c>
      <c r="E558" s="1" t="n">
        <v>46233</v>
      </c>
      <c r="F558" t="inlineStr">
        <is>
          <t>VÄSTERNORRLANDS LÄN</t>
        </is>
      </c>
      <c r="G558" t="inlineStr">
        <is>
          <t>TIMRÅ</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30791-2026</t>
        </is>
      </c>
      <c r="B559" t="inlineStr">
        <is>
          <t>avverkningsanmälan</t>
        </is>
      </c>
      <c r="C559" t="inlineStr">
        <is>
          <t>Föryngringsavverkning</t>
        </is>
      </c>
      <c r="D559" s="1" t="n">
        <v>46212</v>
      </c>
      <c r="E559" s="1" t="n">
        <v>46233</v>
      </c>
      <c r="F559" t="inlineStr">
        <is>
          <t>VÄSTERNORRLANDS LÄN</t>
        </is>
      </c>
      <c r="G559" t="inlineStr">
        <is>
          <t>TIMRÅ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24744-2026</t>
        </is>
      </c>
      <c r="B560" t="inlineStr">
        <is>
          <t>avverkningsanmälan</t>
        </is>
      </c>
      <c r="C560" t="inlineStr">
        <is>
          <t>Föryngringsavverkning</t>
        </is>
      </c>
      <c r="D560" s="1" t="n">
        <v>46171</v>
      </c>
      <c r="E560" s="1" t="n">
        <v>46233</v>
      </c>
      <c r="F560" t="inlineStr">
        <is>
          <t>VÄSTERNORRLANDS LÄN</t>
        </is>
      </c>
      <c r="G560" t="inlineStr">
        <is>
          <t>TIMRÅ</t>
        </is>
      </c>
      <c r="H560" t="inlineStr">
        <is>
          <t>Kommuner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61166-2024</t>
        </is>
      </c>
      <c r="B561" t="inlineStr">
        <is>
          <t>avverkningsanmälan</t>
        </is>
      </c>
      <c r="C561" t="inlineStr">
        <is>
          <t>Föryngringsavverkning</t>
        </is>
      </c>
      <c r="D561" s="1" t="n">
        <v>45645</v>
      </c>
      <c r="E561" s="1" t="n">
        <v>46233</v>
      </c>
      <c r="F561" t="inlineStr">
        <is>
          <t>VÄSTERNORRLANDS LÄN</t>
        </is>
      </c>
      <c r="G561" t="inlineStr">
        <is>
          <t>TIMRÅ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25046-2026</t>
        </is>
      </c>
      <c r="B562" t="inlineStr">
        <is>
          <t>avverkningsanmälan</t>
        </is>
      </c>
      <c r="C562" t="inlineStr">
        <is>
          <t>Föryngringsavverkning</t>
        </is>
      </c>
      <c r="D562" s="1" t="n">
        <v>46174</v>
      </c>
      <c r="E562" s="1" t="n">
        <v>46233</v>
      </c>
      <c r="F562" t="inlineStr">
        <is>
          <t>VÄSTERNORRLANDS LÄN</t>
        </is>
      </c>
      <c r="G562" t="inlineStr">
        <is>
          <t>TIMRÅ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69266-2021</t>
        </is>
      </c>
      <c r="B563" t="inlineStr">
        <is>
          <t>avverkningsanmälan</t>
        </is>
      </c>
      <c r="C563" t="inlineStr">
        <is>
          <t>Föryngringsavverkning</t>
        </is>
      </c>
      <c r="D563" s="1" t="n">
        <v>44530</v>
      </c>
      <c r="E563" s="1" t="n">
        <v>46233</v>
      </c>
      <c r="F563" t="inlineStr">
        <is>
          <t>VÄSTERNORRLANDS LÄN</t>
        </is>
      </c>
      <c r="G563" t="inlineStr">
        <is>
          <t>TIMRÅ</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14680-2022</t>
        </is>
      </c>
      <c r="B564" t="inlineStr">
        <is>
          <t>avverkningsanmälan</t>
        </is>
      </c>
      <c r="C564" t="inlineStr">
        <is>
          <t>Föryngringsavverkning</t>
        </is>
      </c>
      <c r="D564" s="1" t="n">
        <v>44655</v>
      </c>
      <c r="E564" s="1" t="n">
        <v>46233</v>
      </c>
      <c r="F564" t="inlineStr">
        <is>
          <t>VÄSTERNORRLANDS LÄN</t>
        </is>
      </c>
      <c r="G564" t="inlineStr">
        <is>
          <t>TIMRÅ</t>
        </is>
      </c>
      <c r="I564" t="n">
        <v>8.9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5354-2026</t>
        </is>
      </c>
      <c r="B565" t="inlineStr">
        <is>
          <t>avverkningsanmälan</t>
        </is>
      </c>
      <c r="C565" t="inlineStr">
        <is>
          <t>Föryngringsavverkning</t>
        </is>
      </c>
      <c r="D565" s="1" t="n">
        <v>46048</v>
      </c>
      <c r="E565" s="1" t="n">
        <v>46233</v>
      </c>
      <c r="F565" t="inlineStr">
        <is>
          <t>VÄSTERNORRLANDS LÄN</t>
        </is>
      </c>
      <c r="G565" t="inlineStr">
        <is>
          <t>TIMRÅ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13813-2026</t>
        </is>
      </c>
      <c r="B566" t="inlineStr">
        <is>
          <t>avverkningsanmälan</t>
        </is>
      </c>
      <c r="C566" t="inlineStr">
        <is>
          <t>Föryngringsavverkning</t>
        </is>
      </c>
      <c r="D566" s="1" t="n">
        <v>46098</v>
      </c>
      <c r="E566" s="1" t="n">
        <v>46233</v>
      </c>
      <c r="F566" t="inlineStr">
        <is>
          <t>VÄSTERNORRLANDS LÄN</t>
        </is>
      </c>
      <c r="G566" t="inlineStr">
        <is>
          <t>TIMRÅ</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45723-2023</t>
        </is>
      </c>
      <c r="B567" t="inlineStr">
        <is>
          <t>avverkningsanmälan</t>
        </is>
      </c>
      <c r="C567" t="inlineStr">
        <is>
          <t>Avverkning för annat ändamål</t>
        </is>
      </c>
      <c r="D567" s="1" t="n">
        <v>45195</v>
      </c>
      <c r="E567" s="1" t="n">
        <v>46233</v>
      </c>
      <c r="F567" t="inlineStr">
        <is>
          <t>VÄSTERNORRLANDS LÄN</t>
        </is>
      </c>
      <c r="G567" t="inlineStr">
        <is>
          <t>TIMRÅ</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58895-2023</t>
        </is>
      </c>
      <c r="B568" t="inlineStr">
        <is>
          <t>avverkningsanmälan</t>
        </is>
      </c>
      <c r="C568" t="inlineStr">
        <is>
          <t>Föryngringsavverkning</t>
        </is>
      </c>
      <c r="D568" s="1" t="n">
        <v>45252</v>
      </c>
      <c r="E568" s="1" t="n">
        <v>46233</v>
      </c>
      <c r="F568" t="inlineStr">
        <is>
          <t>VÄSTERNORRLANDS LÄN</t>
        </is>
      </c>
      <c r="G568" t="inlineStr">
        <is>
          <t>TIMRÅ</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42094-2024</t>
        </is>
      </c>
      <c r="B569" t="inlineStr">
        <is>
          <t>avverkningsanmälan</t>
        </is>
      </c>
      <c r="C569" t="inlineStr">
        <is>
          <t>Avverkning för att bevara och utveckla /försöksver</t>
        </is>
      </c>
      <c r="D569" s="1" t="n">
        <v>45562</v>
      </c>
      <c r="E569" s="1" t="n">
        <v>46233</v>
      </c>
      <c r="F569" t="inlineStr">
        <is>
          <t>VÄSTERNORRLANDS LÄN</t>
        </is>
      </c>
      <c r="G569" t="inlineStr">
        <is>
          <t>TIMRÅ</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25624-2026</t>
        </is>
      </c>
      <c r="B570" t="inlineStr">
        <is>
          <t>avverkningsanmälan</t>
        </is>
      </c>
      <c r="C570" t="inlineStr">
        <is>
          <t>Föryngringsavverkning</t>
        </is>
      </c>
      <c r="D570" s="1" t="n">
        <v>46177</v>
      </c>
      <c r="E570" s="1" t="n">
        <v>46233</v>
      </c>
      <c r="F570" t="inlineStr">
        <is>
          <t>VÄSTERNORRLANDS LÄN</t>
        </is>
      </c>
      <c r="G570" t="inlineStr">
        <is>
          <t>TIMRÅ</t>
        </is>
      </c>
      <c r="H570" t="inlineStr">
        <is>
          <t>SCA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7699-2026</t>
        </is>
      </c>
      <c r="B571" t="inlineStr">
        <is>
          <t>avverkningsanmälan</t>
        </is>
      </c>
      <c r="C571" t="inlineStr">
        <is>
          <t>Föryngringsavverkning</t>
        </is>
      </c>
      <c r="D571" s="1" t="n">
        <v>46059</v>
      </c>
      <c r="E571" s="1" t="n">
        <v>46233</v>
      </c>
      <c r="F571" t="inlineStr">
        <is>
          <t>VÄSTERNORRLANDS LÄN</t>
        </is>
      </c>
      <c r="G571" t="inlineStr">
        <is>
          <t>TIMRÅ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15185-2026</t>
        </is>
      </c>
      <c r="B572" t="inlineStr">
        <is>
          <t>avverkningsanmälan</t>
        </is>
      </c>
      <c r="C572" t="inlineStr">
        <is>
          <t>Föryngringsavverkning</t>
        </is>
      </c>
      <c r="D572" s="1" t="n">
        <v>46105</v>
      </c>
      <c r="E572" s="1" t="n">
        <v>46233</v>
      </c>
      <c r="F572" t="inlineStr">
        <is>
          <t>VÄSTERNORRLANDS LÄN</t>
        </is>
      </c>
      <c r="G572" t="inlineStr">
        <is>
          <t>TIMRÅ</t>
        </is>
      </c>
      <c r="I572" t="n">
        <v>19.6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7700-2026</t>
        </is>
      </c>
      <c r="B573" t="inlineStr">
        <is>
          <t>avverkningsanmälan</t>
        </is>
      </c>
      <c r="C573" t="inlineStr">
        <is>
          <t>Föryngringsavverkning</t>
        </is>
      </c>
      <c r="D573" s="1" t="n">
        <v>46059</v>
      </c>
      <c r="E573" s="1" t="n">
        <v>46233</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21846-2024</t>
        </is>
      </c>
      <c r="B574" t="inlineStr">
        <is>
          <t>avverkningsanmälan</t>
        </is>
      </c>
      <c r="C574" t="inlineStr">
        <is>
          <t>Föryngringsavverkning</t>
        </is>
      </c>
      <c r="D574" s="1" t="n">
        <v>45442</v>
      </c>
      <c r="E574" s="1" t="n">
        <v>46233</v>
      </c>
      <c r="F574" t="inlineStr">
        <is>
          <t>VÄSTERNORRLANDS LÄN</t>
        </is>
      </c>
      <c r="G574" t="inlineStr">
        <is>
          <t>TIMRÅ</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18415-2025</t>
        </is>
      </c>
      <c r="B575" t="inlineStr">
        <is>
          <t>avverkningsanmälan</t>
        </is>
      </c>
      <c r="C575" t="inlineStr">
        <is>
          <t>Föryngringsavverkning</t>
        </is>
      </c>
      <c r="D575" s="1" t="n">
        <v>45762</v>
      </c>
      <c r="E575" s="1" t="n">
        <v>46233</v>
      </c>
      <c r="F575" t="inlineStr">
        <is>
          <t>VÄSTERNORRLANDS LÄN</t>
        </is>
      </c>
      <c r="G575" t="inlineStr">
        <is>
          <t>TIMRÅ</t>
        </is>
      </c>
      <c r="I575" t="n">
        <v>9.800000000000001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45627-2024</t>
        </is>
      </c>
      <c r="B576" t="inlineStr">
        <is>
          <t>avverkningsanmälan</t>
        </is>
      </c>
      <c r="C576" t="inlineStr">
        <is>
          <t>Föryngringsavverkning</t>
        </is>
      </c>
      <c r="D576" s="1" t="n">
        <v>45579</v>
      </c>
      <c r="E576" s="1" t="n">
        <v>46233</v>
      </c>
      <c r="F576" t="inlineStr">
        <is>
          <t>VÄSTERNORRLANDS LÄN</t>
        </is>
      </c>
      <c r="G576" t="inlineStr">
        <is>
          <t>TIMRÅ</t>
        </is>
      </c>
      <c r="H576" t="inlineStr">
        <is>
          <t>SCA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43959-2023</t>
        </is>
      </c>
      <c r="B577" t="inlineStr">
        <is>
          <t>avverkningsanmälan</t>
        </is>
      </c>
      <c r="C577" t="inlineStr">
        <is>
          <t>Avverkning för att bevara och utveckla /försöksver</t>
        </is>
      </c>
      <c r="D577" s="1" t="n">
        <v>45187</v>
      </c>
      <c r="E577" s="1" t="n">
        <v>46233</v>
      </c>
      <c r="F577" t="inlineStr">
        <is>
          <t>VÄSTERNORRLANDS LÄN</t>
        </is>
      </c>
      <c r="G577" t="inlineStr">
        <is>
          <t>TIMRÅ</t>
        </is>
      </c>
      <c r="H577" t="inlineStr">
        <is>
          <t>SCA</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4124-2023</t>
        </is>
      </c>
      <c r="B578" t="inlineStr">
        <is>
          <t>avverkningsanmälan</t>
        </is>
      </c>
      <c r="C578" t="inlineStr">
        <is>
          <t>Föryngringsavverkning</t>
        </is>
      </c>
      <c r="D578" s="1" t="n">
        <v>44952</v>
      </c>
      <c r="E578" s="1" t="n">
        <v>46233</v>
      </c>
      <c r="F578" t="inlineStr">
        <is>
          <t>VÄSTERNORRLANDS LÄN</t>
        </is>
      </c>
      <c r="G578" t="inlineStr">
        <is>
          <t>TIMRÅ</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44378-2023</t>
        </is>
      </c>
      <c r="B579" t="inlineStr">
        <is>
          <t>avverkningsanmälan</t>
        </is>
      </c>
      <c r="C579" t="inlineStr">
        <is>
          <t>Föryngringsavverkning</t>
        </is>
      </c>
      <c r="D579" s="1" t="n">
        <v>45188</v>
      </c>
      <c r="E579" s="1" t="n">
        <v>46233</v>
      </c>
      <c r="F579" t="inlineStr">
        <is>
          <t>VÄSTERNORRLANDS LÄN</t>
        </is>
      </c>
      <c r="G579" t="inlineStr">
        <is>
          <t>TIMRÅ</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26474-2026</t>
        </is>
      </c>
      <c r="B580" t="inlineStr">
        <is>
          <t>avverkningsanmälan</t>
        </is>
      </c>
      <c r="C580" t="inlineStr">
        <is>
          <t>Avverkning för att bevara och utveckla /försöksver</t>
        </is>
      </c>
      <c r="D580" s="1" t="n">
        <v>46183</v>
      </c>
      <c r="E580" s="1" t="n">
        <v>46233</v>
      </c>
      <c r="F580" t="inlineStr">
        <is>
          <t>VÄSTERNORRLANDS LÄN</t>
        </is>
      </c>
      <c r="G580" t="inlineStr">
        <is>
          <t>TIMRÅ</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26358-2026</t>
        </is>
      </c>
      <c r="B581" t="inlineStr">
        <is>
          <t>avverkningsanmälan</t>
        </is>
      </c>
      <c r="C581" t="inlineStr">
        <is>
          <t>Föryngringsavverkning</t>
        </is>
      </c>
      <c r="D581" s="1" t="n">
        <v>46182</v>
      </c>
      <c r="E581" s="1" t="n">
        <v>46233</v>
      </c>
      <c r="F581" t="inlineStr">
        <is>
          <t>VÄSTERNORRLANDS LÄN</t>
        </is>
      </c>
      <c r="G581" t="inlineStr">
        <is>
          <t>TIMRÅ</t>
        </is>
      </c>
      <c r="H581" t="inlineStr">
        <is>
          <t>SCA</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1416-2023</t>
        </is>
      </c>
      <c r="B582" t="inlineStr">
        <is>
          <t>avverkningsanmälan</t>
        </is>
      </c>
      <c r="C582" t="inlineStr">
        <is>
          <t>Föryngringsavverkning</t>
        </is>
      </c>
      <c r="D582" s="1" t="n">
        <v>44936</v>
      </c>
      <c r="E582" s="1" t="n">
        <v>46233</v>
      </c>
      <c r="F582" t="inlineStr">
        <is>
          <t>VÄSTERNORRLANDS LÄN</t>
        </is>
      </c>
      <c r="G582" t="inlineStr">
        <is>
          <t>TIMRÅ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57242-2022</t>
        </is>
      </c>
      <c r="B583" t="inlineStr">
        <is>
          <t>avverkningsanmälan</t>
        </is>
      </c>
      <c r="C583" t="inlineStr">
        <is>
          <t>Föryngringsavverkning</t>
        </is>
      </c>
      <c r="D583" s="1" t="n">
        <v>44889</v>
      </c>
      <c r="E583" s="1" t="n">
        <v>46233</v>
      </c>
      <c r="F583" t="inlineStr">
        <is>
          <t>VÄSTERNORRLANDS LÄN</t>
        </is>
      </c>
      <c r="G583" t="inlineStr">
        <is>
          <t>TIMRÅ</t>
        </is>
      </c>
      <c r="I583" t="n">
        <v>18.8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12316-2026</t>
        </is>
      </c>
      <c r="B584" t="inlineStr">
        <is>
          <t>avverkningsanmälan</t>
        </is>
      </c>
      <c r="C584" t="inlineStr">
        <is>
          <t>Föryngringsavverkning</t>
        </is>
      </c>
      <c r="D584" s="1" t="n">
        <v>46087</v>
      </c>
      <c r="E584" s="1" t="n">
        <v>46233</v>
      </c>
      <c r="F584" t="inlineStr">
        <is>
          <t>VÄSTERNORRLANDS LÄN</t>
        </is>
      </c>
      <c r="G584" t="inlineStr">
        <is>
          <t>TIMRÅ</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31925-2026</t>
        </is>
      </c>
      <c r="B585" t="inlineStr">
        <is>
          <t>avverkningsanmälan</t>
        </is>
      </c>
      <c r="C585" t="inlineStr">
        <is>
          <t>Avverkning för annat ändamål</t>
        </is>
      </c>
      <c r="D585" s="1" t="n">
        <v>46231</v>
      </c>
      <c r="E585" s="1" t="n">
        <v>46233</v>
      </c>
      <c r="F585" t="inlineStr">
        <is>
          <t>VÄSTERNORRLANDS LÄN</t>
        </is>
      </c>
      <c r="G585" t="inlineStr">
        <is>
          <t>TIMRÅ</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24988-2022</t>
        </is>
      </c>
      <c r="B586" t="inlineStr">
        <is>
          <t>avverkningsanmälan</t>
        </is>
      </c>
      <c r="C586" t="inlineStr">
        <is>
          <t>Föryngringsavverkning</t>
        </is>
      </c>
      <c r="D586" s="1" t="n">
        <v>44728</v>
      </c>
      <c r="E586" s="1" t="n">
        <v>46233</v>
      </c>
      <c r="F586" t="inlineStr">
        <is>
          <t>VÄSTERNORRLANDS LÄN</t>
        </is>
      </c>
      <c r="G586" t="inlineStr">
        <is>
          <t>TIMRÅ</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44405-2023</t>
        </is>
      </c>
      <c r="B587" t="inlineStr">
        <is>
          <t>avverkningsanmälan</t>
        </is>
      </c>
      <c r="C587" t="inlineStr">
        <is>
          <t>Avverkning för att bevara och utveckla /försöksver</t>
        </is>
      </c>
      <c r="D587" s="1" t="n">
        <v>45188</v>
      </c>
      <c r="E587" s="1" t="n">
        <v>46233</v>
      </c>
      <c r="F587" t="inlineStr">
        <is>
          <t>VÄSTERNORRLANDS LÄN</t>
        </is>
      </c>
      <c r="G587" t="inlineStr">
        <is>
          <t>TIMRÅ</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31946-2026</t>
        </is>
      </c>
      <c r="B588" t="inlineStr">
        <is>
          <t>avverkningsanmälan</t>
        </is>
      </c>
      <c r="C588" t="inlineStr">
        <is>
          <t>Föryngringsavverkning</t>
        </is>
      </c>
      <c r="D588" s="1" t="n">
        <v>46232</v>
      </c>
      <c r="E588" s="1" t="n">
        <v>46233</v>
      </c>
      <c r="F588" t="inlineStr">
        <is>
          <t>VÄSTERNORRLANDS LÄN</t>
        </is>
      </c>
      <c r="G588" t="inlineStr">
        <is>
          <t>TIMRÅ</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31948-2026</t>
        </is>
      </c>
      <c r="B589" t="inlineStr">
        <is>
          <t>avverkningsanmälan</t>
        </is>
      </c>
      <c r="C589" t="inlineStr">
        <is>
          <t>Föryngringsavverkning</t>
        </is>
      </c>
      <c r="D589" s="1" t="n">
        <v>46232</v>
      </c>
      <c r="E589" s="1" t="n">
        <v>46233</v>
      </c>
      <c r="F589" t="inlineStr">
        <is>
          <t>VÄSTERNORRLANDS LÄN</t>
        </is>
      </c>
      <c r="G589" t="inlineStr">
        <is>
          <t>TIMRÅ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14578-2024</t>
        </is>
      </c>
      <c r="B590" t="inlineStr">
        <is>
          <t>avverkningsanmälan</t>
        </is>
      </c>
      <c r="C590" t="inlineStr">
        <is>
          <t>Föryngringsavverkning</t>
        </is>
      </c>
      <c r="D590" s="1" t="n">
        <v>45394</v>
      </c>
      <c r="E590" s="1" t="n">
        <v>46233</v>
      </c>
      <c r="F590" t="inlineStr">
        <is>
          <t>VÄSTERNORRLANDS LÄN</t>
        </is>
      </c>
      <c r="G590" t="inlineStr">
        <is>
          <t>TIMRÅ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31947-2026</t>
        </is>
      </c>
      <c r="B591" t="inlineStr">
        <is>
          <t>avverkningsanmälan</t>
        </is>
      </c>
      <c r="C591" t="inlineStr">
        <is>
          <t>Föryngringsavverkning</t>
        </is>
      </c>
      <c r="D591" s="1" t="n">
        <v>46232</v>
      </c>
      <c r="E591" s="1" t="n">
        <v>46233</v>
      </c>
      <c r="F591" t="inlineStr">
        <is>
          <t>VÄSTERNORRLANDS LÄN</t>
        </is>
      </c>
      <c r="G591" t="inlineStr">
        <is>
          <t>TIMRÅ</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13567-2026</t>
        </is>
      </c>
      <c r="B592" t="inlineStr">
        <is>
          <t>avverkningsanmälan</t>
        </is>
      </c>
      <c r="C592" t="inlineStr">
        <is>
          <t>Föryngringsavverkning</t>
        </is>
      </c>
      <c r="D592" s="1" t="n">
        <v>46095</v>
      </c>
      <c r="E592" s="1" t="n">
        <v>46233</v>
      </c>
      <c r="F592" t="inlineStr">
        <is>
          <t>VÄSTERNORRLANDS LÄN</t>
        </is>
      </c>
      <c r="G592" t="inlineStr">
        <is>
          <t>TIMRÅ</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27243-2026</t>
        </is>
      </c>
      <c r="B593" t="inlineStr">
        <is>
          <t>avverkningsanmälan</t>
        </is>
      </c>
      <c r="C593" t="inlineStr">
        <is>
          <t>Föryngringsavverkning</t>
        </is>
      </c>
      <c r="D593" s="1" t="n">
        <v>46188</v>
      </c>
      <c r="E593" s="1" t="n">
        <v>46233</v>
      </c>
      <c r="F593" t="inlineStr">
        <is>
          <t>VÄSTERNORRLANDS LÄN</t>
        </is>
      </c>
      <c r="G593" t="inlineStr">
        <is>
          <t>TIMRÅ</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31951-2026</t>
        </is>
      </c>
      <c r="B594" t="inlineStr">
        <is>
          <t>avverkningsanmälan</t>
        </is>
      </c>
      <c r="C594" t="inlineStr">
        <is>
          <t>Föryngringsavverkning</t>
        </is>
      </c>
      <c r="D594" s="1" t="n">
        <v>46232</v>
      </c>
      <c r="E594" s="1" t="n">
        <v>46233</v>
      </c>
      <c r="F594" t="inlineStr">
        <is>
          <t>VÄSTERNORRLANDS LÄN</t>
        </is>
      </c>
      <c r="G594" t="inlineStr">
        <is>
          <t>TIMRÅ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31955-2026</t>
        </is>
      </c>
      <c r="B595" t="inlineStr">
        <is>
          <t>avverkningsanmälan</t>
        </is>
      </c>
      <c r="C595" t="inlineStr">
        <is>
          <t>Föryngringsavverkning</t>
        </is>
      </c>
      <c r="D595" s="1" t="n">
        <v>46232</v>
      </c>
      <c r="E595" s="1" t="n">
        <v>46233</v>
      </c>
      <c r="F595" t="inlineStr">
        <is>
          <t>VÄSTERNORRLANDS LÄN</t>
        </is>
      </c>
      <c r="G595" t="inlineStr">
        <is>
          <t>TIMRÅ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27623-2024</t>
        </is>
      </c>
      <c r="B596" t="inlineStr">
        <is>
          <t>avverkningsanmälan</t>
        </is>
      </c>
      <c r="C596" t="inlineStr">
        <is>
          <t>Föryngringsavverkning</t>
        </is>
      </c>
      <c r="D596" s="1" t="n">
        <v>45474</v>
      </c>
      <c r="E596" s="1" t="n">
        <v>46233</v>
      </c>
      <c r="F596" t="inlineStr">
        <is>
          <t>VÄSTERNORRLANDS LÄN</t>
        </is>
      </c>
      <c r="G596" t="inlineStr">
        <is>
          <t>TIMRÅ</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24304-2022</t>
        </is>
      </c>
      <c r="B597" t="inlineStr">
        <is>
          <t>avverkningsanmälan</t>
        </is>
      </c>
      <c r="C597" t="inlineStr">
        <is>
          <t>Föryngringsavverkning</t>
        </is>
      </c>
      <c r="D597" s="1" t="n">
        <v>44725</v>
      </c>
      <c r="E597" s="1" t="n">
        <v>46233</v>
      </c>
      <c r="F597" t="inlineStr">
        <is>
          <t>VÄSTERNORRLANDS LÄN</t>
        </is>
      </c>
      <c r="G597" t="inlineStr">
        <is>
          <t>TIMRÅ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45608-2024</t>
        </is>
      </c>
      <c r="B598" t="inlineStr">
        <is>
          <t>avverkningsanmälan</t>
        </is>
      </c>
      <c r="C598" t="inlineStr">
        <is>
          <t>Föryngringsavverkning</t>
        </is>
      </c>
      <c r="D598" s="1" t="n">
        <v>45579</v>
      </c>
      <c r="E598" s="1" t="n">
        <v>46233</v>
      </c>
      <c r="F598" t="inlineStr">
        <is>
          <t>VÄSTERNORRLANDS LÄN</t>
        </is>
      </c>
      <c r="G598" t="inlineStr">
        <is>
          <t>TIMRÅ</t>
        </is>
      </c>
      <c r="H598" t="inlineStr">
        <is>
          <t>SCA</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45629-2024</t>
        </is>
      </c>
      <c r="B599" t="inlineStr">
        <is>
          <t>avverkningsanmälan</t>
        </is>
      </c>
      <c r="C599" t="inlineStr">
        <is>
          <t>Föryngringsavverkning</t>
        </is>
      </c>
      <c r="D599" s="1" t="n">
        <v>45579</v>
      </c>
      <c r="E599" s="1" t="n">
        <v>46233</v>
      </c>
      <c r="F599" t="inlineStr">
        <is>
          <t>VÄSTERNORRLANDS LÄN</t>
        </is>
      </c>
      <c r="G599" t="inlineStr">
        <is>
          <t>TIMRÅ</t>
        </is>
      </c>
      <c r="H599" t="inlineStr">
        <is>
          <t>SCA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57762-2023</t>
        </is>
      </c>
      <c r="B600" t="inlineStr">
        <is>
          <t>avverkningsanmälan</t>
        </is>
      </c>
      <c r="C600" t="inlineStr">
        <is>
          <t>Föryngringsavverkning</t>
        </is>
      </c>
      <c r="D600" s="1" t="n">
        <v>45246</v>
      </c>
      <c r="E600" s="1" t="n">
        <v>46233</v>
      </c>
      <c r="F600" t="inlineStr">
        <is>
          <t>VÄSTERNORRLANDS LÄN</t>
        </is>
      </c>
      <c r="G600" t="inlineStr">
        <is>
          <t>TIMRÅ</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44991-2023</t>
        </is>
      </c>
      <c r="B601" t="inlineStr">
        <is>
          <t>avverkningsanmälan</t>
        </is>
      </c>
      <c r="C601" t="inlineStr">
        <is>
          <t>Föryngringsavverkning</t>
        </is>
      </c>
      <c r="D601" s="1" t="n">
        <v>45190</v>
      </c>
      <c r="E601" s="1" t="n">
        <v>46233</v>
      </c>
      <c r="F601" t="inlineStr">
        <is>
          <t>VÄSTERNORRLANDS LÄN</t>
        </is>
      </c>
      <c r="G601" t="inlineStr">
        <is>
          <t>TIMRÅ</t>
        </is>
      </c>
      <c r="H601" t="inlineStr">
        <is>
          <t>SCA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13254-2023</t>
        </is>
      </c>
      <c r="B602" t="inlineStr">
        <is>
          <t>avverkningsanmälan</t>
        </is>
      </c>
      <c r="C602" t="inlineStr">
        <is>
          <t>Föryngringsavverkning</t>
        </is>
      </c>
      <c r="D602" s="1" t="n">
        <v>45002</v>
      </c>
      <c r="E602" s="1" t="n">
        <v>46233</v>
      </c>
      <c r="F602" t="inlineStr">
        <is>
          <t>VÄSTERNORRLANDS LÄN</t>
        </is>
      </c>
      <c r="G602" t="inlineStr">
        <is>
          <t>TIMRÅ</t>
        </is>
      </c>
      <c r="H602" t="inlineStr">
        <is>
          <t>SCA</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20835-2023</t>
        </is>
      </c>
      <c r="B603" t="inlineStr">
        <is>
          <t>avverkningsanmälan</t>
        </is>
      </c>
      <c r="C603" t="inlineStr">
        <is>
          <t>Föryngringsavverkning</t>
        </is>
      </c>
      <c r="D603" s="1" t="n">
        <v>45058</v>
      </c>
      <c r="E603" s="1" t="n">
        <v>46233</v>
      </c>
      <c r="F603" t="inlineStr">
        <is>
          <t>VÄSTERNORRLANDS LÄN</t>
        </is>
      </c>
      <c r="G603" t="inlineStr">
        <is>
          <t>TIMRÅ</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47150-2023</t>
        </is>
      </c>
      <c r="B604" t="inlineStr">
        <is>
          <t>avverkningsanmälan</t>
        </is>
      </c>
      <c r="C604" t="inlineStr">
        <is>
          <t>Föryngringsavverkning</t>
        </is>
      </c>
      <c r="D604" s="1" t="n">
        <v>45201</v>
      </c>
      <c r="E604" s="1" t="n">
        <v>46233</v>
      </c>
      <c r="F604" t="inlineStr">
        <is>
          <t>VÄSTERNORRLANDS LÄN</t>
        </is>
      </c>
      <c r="G604" t="inlineStr">
        <is>
          <t>TIMRÅ</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20840-2023</t>
        </is>
      </c>
      <c r="B605" t="inlineStr">
        <is>
          <t>avverkningsanmälan</t>
        </is>
      </c>
      <c r="C605" t="inlineStr">
        <is>
          <t>Föryngringsavverkning</t>
        </is>
      </c>
      <c r="D605" s="1" t="n">
        <v>45058</v>
      </c>
      <c r="E605" s="1" t="n">
        <v>46233</v>
      </c>
      <c r="F605" t="inlineStr">
        <is>
          <t>VÄSTERNORRLANDS LÄN</t>
        </is>
      </c>
      <c r="G605" t="inlineStr">
        <is>
          <t>TIMRÅ</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524-2023</t>
        </is>
      </c>
      <c r="B606" t="inlineStr">
        <is>
          <t>avverkningsanmälan</t>
        </is>
      </c>
      <c r="C606" t="inlineStr">
        <is>
          <t>Föryngringsavverkning</t>
        </is>
      </c>
      <c r="D606" s="1" t="n">
        <v>44924</v>
      </c>
      <c r="E606" s="1" t="n">
        <v>46233</v>
      </c>
      <c r="F606" t="inlineStr">
        <is>
          <t>VÄSTERNORRLANDS LÄN</t>
        </is>
      </c>
      <c r="G606" t="inlineStr">
        <is>
          <t>TIMRÅ</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56443-2024</t>
        </is>
      </c>
      <c r="B607" t="inlineStr">
        <is>
          <t>avverkningsanmälan</t>
        </is>
      </c>
      <c r="C607" t="inlineStr">
        <is>
          <t>Föryngringsavverkning</t>
        </is>
      </c>
      <c r="D607" s="1" t="n">
        <v>45625</v>
      </c>
      <c r="E607" s="1" t="n">
        <v>46233</v>
      </c>
      <c r="F607" t="inlineStr">
        <is>
          <t>VÄSTERNORRLANDS LÄN</t>
        </is>
      </c>
      <c r="G607" t="inlineStr">
        <is>
          <t>TIMRÅ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39691-2022</t>
        </is>
      </c>
      <c r="B608" t="inlineStr">
        <is>
          <t>avverkningsanmälan</t>
        </is>
      </c>
      <c r="C608" t="inlineStr">
        <is>
          <t>Föryngringsavverkning</t>
        </is>
      </c>
      <c r="D608" s="1" t="n">
        <v>44818</v>
      </c>
      <c r="E608" s="1" t="n">
        <v>46233</v>
      </c>
      <c r="F608" t="inlineStr">
        <is>
          <t>VÄSTERNORRLANDS LÄN</t>
        </is>
      </c>
      <c r="G608" t="inlineStr">
        <is>
          <t>TIMRÅ</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55080-2024</t>
        </is>
      </c>
      <c r="B609" t="inlineStr">
        <is>
          <t>avverkningsanmälan</t>
        </is>
      </c>
      <c r="C609" t="inlineStr">
        <is>
          <t>Föryngringsavverkning</t>
        </is>
      </c>
      <c r="D609" s="1" t="n">
        <v>45621</v>
      </c>
      <c r="E609" s="1" t="n">
        <v>46233</v>
      </c>
      <c r="F609" t="inlineStr">
        <is>
          <t>VÄSTERNORRLANDS LÄN</t>
        </is>
      </c>
      <c r="G609" t="inlineStr">
        <is>
          <t>TIMRÅ</t>
        </is>
      </c>
      <c r="H609" t="inlineStr">
        <is>
          <t>SCA</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57063-2024</t>
        </is>
      </c>
      <c r="B610" t="inlineStr">
        <is>
          <t>avverkningsanmälan</t>
        </is>
      </c>
      <c r="C610" t="inlineStr">
        <is>
          <t>Föryngringsavverkning</t>
        </is>
      </c>
      <c r="D610" s="1" t="n">
        <v>45629</v>
      </c>
      <c r="E610" s="1" t="n">
        <v>46233</v>
      </c>
      <c r="F610" t="inlineStr">
        <is>
          <t>VÄSTERNORRLANDS LÄN</t>
        </is>
      </c>
      <c r="G610" t="inlineStr">
        <is>
          <t>TIMRÅ</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16315-2024</t>
        </is>
      </c>
      <c r="B611" t="inlineStr">
        <is>
          <t>avverkningsanmälan</t>
        </is>
      </c>
      <c r="C611" t="inlineStr">
        <is>
          <t>Avverkning för annat ändamål</t>
        </is>
      </c>
      <c r="D611" s="1" t="n">
        <v>45407</v>
      </c>
      <c r="E611" s="1" t="n">
        <v>46233</v>
      </c>
      <c r="F611" t="inlineStr">
        <is>
          <t>VÄSTERNORRLANDS LÄN</t>
        </is>
      </c>
      <c r="G611" t="inlineStr">
        <is>
          <t>TIMRÅ</t>
        </is>
      </c>
      <c r="H611" t="inlineStr">
        <is>
          <t>Kommuner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20843-2023</t>
        </is>
      </c>
      <c r="B612" t="inlineStr">
        <is>
          <t>avverkningsanmälan</t>
        </is>
      </c>
      <c r="C612" t="inlineStr">
        <is>
          <t>Föryngringsavverkning</t>
        </is>
      </c>
      <c r="D612" s="1" t="n">
        <v>45058</v>
      </c>
      <c r="E612" s="1" t="n">
        <v>46233</v>
      </c>
      <c r="F612" t="inlineStr">
        <is>
          <t>VÄSTERNORRLANDS LÄN</t>
        </is>
      </c>
      <c r="G612" t="inlineStr">
        <is>
          <t>TIMRÅ</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20844-2023</t>
        </is>
      </c>
      <c r="B613" t="inlineStr">
        <is>
          <t>avverkningsanmälan</t>
        </is>
      </c>
      <c r="C613" t="inlineStr">
        <is>
          <t>Föryngringsavverkning</t>
        </is>
      </c>
      <c r="D613" s="1" t="n">
        <v>45058</v>
      </c>
      <c r="E613" s="1" t="n">
        <v>46233</v>
      </c>
      <c r="F613" t="inlineStr">
        <is>
          <t>VÄSTERNORRLANDS LÄN</t>
        </is>
      </c>
      <c r="G613" t="inlineStr">
        <is>
          <t>TIMRÅ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21483-2025</t>
        </is>
      </c>
      <c r="B614" t="inlineStr">
        <is>
          <t>avverkningsanmälan</t>
        </is>
      </c>
      <c r="C614" t="inlineStr">
        <is>
          <t>Föryngringsavverkning</t>
        </is>
      </c>
      <c r="D614" s="1" t="n">
        <v>45782</v>
      </c>
      <c r="E614" s="1" t="n">
        <v>46233</v>
      </c>
      <c r="F614" t="inlineStr">
        <is>
          <t>VÄSTERNORRLANDS LÄN</t>
        </is>
      </c>
      <c r="G614" t="inlineStr">
        <is>
          <t>TIMRÅ</t>
        </is>
      </c>
      <c r="H614" t="inlineStr">
        <is>
          <t>SCA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21596-2025</t>
        </is>
      </c>
      <c r="B615" t="inlineStr">
        <is>
          <t>avverkningsanmälan</t>
        </is>
      </c>
      <c r="C615" t="inlineStr">
        <is>
          <t>Föryngringsavverkning</t>
        </is>
      </c>
      <c r="D615" s="1" t="n">
        <v>45783</v>
      </c>
      <c r="E615" s="1" t="n">
        <v>46233</v>
      </c>
      <c r="F615" t="inlineStr">
        <is>
          <t>VÄSTERNORRLANDS LÄN</t>
        </is>
      </c>
      <c r="G615" t="inlineStr">
        <is>
          <t>TIMRÅ</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21998-2025</t>
        </is>
      </c>
      <c r="B616" t="inlineStr">
        <is>
          <t>avverkningsanmälan</t>
        </is>
      </c>
      <c r="C616" t="inlineStr">
        <is>
          <t>Föryngringsavverkning</t>
        </is>
      </c>
      <c r="D616" s="1" t="n">
        <v>45784</v>
      </c>
      <c r="E616" s="1" t="n">
        <v>46233</v>
      </c>
      <c r="F616" t="inlineStr">
        <is>
          <t>VÄSTERNORRLANDS LÄN</t>
        </is>
      </c>
      <c r="G616" t="inlineStr">
        <is>
          <t>TIMRÅ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21599-2025</t>
        </is>
      </c>
      <c r="B617" t="inlineStr">
        <is>
          <t>avverkningsanmälan</t>
        </is>
      </c>
      <c r="C617" t="inlineStr">
        <is>
          <t>Föryngringsavverkning</t>
        </is>
      </c>
      <c r="D617" s="1" t="n">
        <v>45783</v>
      </c>
      <c r="E617" s="1" t="n">
        <v>46233</v>
      </c>
      <c r="F617" t="inlineStr">
        <is>
          <t>VÄSTERNORRLANDS LÄN</t>
        </is>
      </c>
      <c r="G617" t="inlineStr">
        <is>
          <t>TIMRÅ</t>
        </is>
      </c>
      <c r="H617" t="inlineStr">
        <is>
          <t>SCA</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21929-2025</t>
        </is>
      </c>
      <c r="B618" t="inlineStr">
        <is>
          <t>avverkningsanmälan</t>
        </is>
      </c>
      <c r="C618" t="inlineStr">
        <is>
          <t>Föryngringsavverkning</t>
        </is>
      </c>
      <c r="D618" s="1" t="n">
        <v>45784</v>
      </c>
      <c r="E618" s="1" t="n">
        <v>46233</v>
      </c>
      <c r="F618" t="inlineStr">
        <is>
          <t>VÄSTERNORRLANDS LÄN</t>
        </is>
      </c>
      <c r="G618" t="inlineStr">
        <is>
          <t>TIMRÅ</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22368-2024</t>
        </is>
      </c>
      <c r="B619" t="inlineStr">
        <is>
          <t>avverkningsanmälan</t>
        </is>
      </c>
      <c r="C619" t="inlineStr">
        <is>
          <t>Föryngringsavverkning</t>
        </is>
      </c>
      <c r="D619" s="1" t="n">
        <v>45446</v>
      </c>
      <c r="E619" s="1" t="n">
        <v>46233</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23670-2022</t>
        </is>
      </c>
      <c r="B620" t="inlineStr">
        <is>
          <t>avverkningsanmälan</t>
        </is>
      </c>
      <c r="C620" t="inlineStr">
        <is>
          <t>Föryngringsavverkning</t>
        </is>
      </c>
      <c r="D620" s="1" t="n">
        <v>44721</v>
      </c>
      <c r="E620" s="1" t="n">
        <v>46233</v>
      </c>
      <c r="F620" t="inlineStr">
        <is>
          <t>VÄSTERNORRLANDS LÄN</t>
        </is>
      </c>
      <c r="G620" t="inlineStr">
        <is>
          <t>TIMRÅ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22240-2025</t>
        </is>
      </c>
      <c r="B621" t="inlineStr">
        <is>
          <t>avverkningsanmälan</t>
        </is>
      </c>
      <c r="C621" t="inlineStr">
        <is>
          <t>Föryngringsavverkning</t>
        </is>
      </c>
      <c r="D621" s="1" t="n">
        <v>45785</v>
      </c>
      <c r="E621" s="1" t="n">
        <v>46233</v>
      </c>
      <c r="F621" t="inlineStr">
        <is>
          <t>VÄSTERNORRLANDS LÄN</t>
        </is>
      </c>
      <c r="G621" t="inlineStr">
        <is>
          <t>TIMRÅ</t>
        </is>
      </c>
      <c r="H621" t="inlineStr">
        <is>
          <t>SCA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44030-2024</t>
        </is>
      </c>
      <c r="B622" t="inlineStr">
        <is>
          <t>avverkningsanmälan</t>
        </is>
      </c>
      <c r="C622" t="inlineStr">
        <is>
          <t>Föryngringsavverkning</t>
        </is>
      </c>
      <c r="D622" s="1" t="n">
        <v>45572</v>
      </c>
      <c r="E622" s="1" t="n">
        <v>46233</v>
      </c>
      <c r="F622" t="inlineStr">
        <is>
          <t>VÄSTERNORRLANDS LÄN</t>
        </is>
      </c>
      <c r="G622" t="inlineStr">
        <is>
          <t>TIMRÅ</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22389-2025</t>
        </is>
      </c>
      <c r="B623" t="inlineStr">
        <is>
          <t>avverkningsanmälan</t>
        </is>
      </c>
      <c r="C623" t="inlineStr">
        <is>
          <t>Föryngringsavverkning</t>
        </is>
      </c>
      <c r="D623" s="1" t="n">
        <v>45786</v>
      </c>
      <c r="E623" s="1" t="n">
        <v>46233</v>
      </c>
      <c r="F623" t="inlineStr">
        <is>
          <t>VÄSTERNORRLANDS LÄN</t>
        </is>
      </c>
      <c r="G623" t="inlineStr">
        <is>
          <t>TIMRÅ</t>
        </is>
      </c>
      <c r="H623" t="inlineStr">
        <is>
          <t>SCA</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22821-2025</t>
        </is>
      </c>
      <c r="B624" t="inlineStr">
        <is>
          <t>avverkningsanmälan</t>
        </is>
      </c>
      <c r="C624" t="inlineStr">
        <is>
          <t>Föryngringsavverkning</t>
        </is>
      </c>
      <c r="D624" s="1" t="n">
        <v>45789</v>
      </c>
      <c r="E624" s="1" t="n">
        <v>46233</v>
      </c>
      <c r="F624" t="inlineStr">
        <is>
          <t>VÄSTERNORRLANDS LÄN</t>
        </is>
      </c>
      <c r="G624" t="inlineStr">
        <is>
          <t>TIMRÅ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22668-2025</t>
        </is>
      </c>
      <c r="B625" t="inlineStr">
        <is>
          <t>avverkningsanmälan</t>
        </is>
      </c>
      <c r="C625" t="inlineStr">
        <is>
          <t>Föryngringsavverkning</t>
        </is>
      </c>
      <c r="D625" s="1" t="n">
        <v>45789</v>
      </c>
      <c r="E625" s="1" t="n">
        <v>46233</v>
      </c>
      <c r="F625" t="inlineStr">
        <is>
          <t>VÄSTERNORRLANDS LÄN</t>
        </is>
      </c>
      <c r="G625" t="inlineStr">
        <is>
          <t>TIMRÅ</t>
        </is>
      </c>
      <c r="H625" t="inlineStr">
        <is>
          <t>SCA</t>
        </is>
      </c>
      <c r="I625" t="n">
        <v>10.7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22818-2025</t>
        </is>
      </c>
      <c r="B626" t="inlineStr">
        <is>
          <t>avverkningsanmälan</t>
        </is>
      </c>
      <c r="C626" t="inlineStr">
        <is>
          <t>Föryngringsavverkning</t>
        </is>
      </c>
      <c r="D626" s="1" t="n">
        <v>45789</v>
      </c>
      <c r="E626" s="1" t="n">
        <v>46233</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23030-2025</t>
        </is>
      </c>
      <c r="B627" t="inlineStr">
        <is>
          <t>avverkningsanmälan</t>
        </is>
      </c>
      <c r="C627" t="inlineStr">
        <is>
          <t>Föryngringsavverkning</t>
        </is>
      </c>
      <c r="D627" s="1" t="n">
        <v>45790</v>
      </c>
      <c r="E627" s="1" t="n">
        <v>46233</v>
      </c>
      <c r="F627" t="inlineStr">
        <is>
          <t>VÄSTERNORRLANDS LÄN</t>
        </is>
      </c>
      <c r="G627" t="inlineStr">
        <is>
          <t>TIMRÅ</t>
        </is>
      </c>
      <c r="H627" t="inlineStr">
        <is>
          <t>SCA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61373-2022</t>
        </is>
      </c>
      <c r="B628" t="inlineStr">
        <is>
          <t>avverkningsanmälan</t>
        </is>
      </c>
      <c r="C628" t="inlineStr">
        <is>
          <t>Avverkning för annat ändamål</t>
        </is>
      </c>
      <c r="D628" s="1" t="n">
        <v>44915</v>
      </c>
      <c r="E628" s="1" t="n">
        <v>46233</v>
      </c>
      <c r="F628" t="inlineStr">
        <is>
          <t>VÄSTERNORRLANDS LÄN</t>
        </is>
      </c>
      <c r="G628" t="inlineStr">
        <is>
          <t>TIMRÅ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23839-2025</t>
        </is>
      </c>
      <c r="B629" t="inlineStr">
        <is>
          <t>avverkningsanmälan</t>
        </is>
      </c>
      <c r="C629" t="inlineStr">
        <is>
          <t>Avverkning för att bevara och utveckla /försöksver</t>
        </is>
      </c>
      <c r="D629" s="1" t="n">
        <v>45793</v>
      </c>
      <c r="E629" s="1" t="n">
        <v>46233</v>
      </c>
      <c r="F629" t="inlineStr">
        <is>
          <t>VÄSTERNORRLANDS LÄN</t>
        </is>
      </c>
      <c r="G629" t="inlineStr">
        <is>
          <t>TIMRÅ</t>
        </is>
      </c>
      <c r="H629" t="inlineStr">
        <is>
          <t>SCA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7152-2022</t>
        </is>
      </c>
      <c r="B630" t="inlineStr">
        <is>
          <t>avverkningsanmälan</t>
        </is>
      </c>
      <c r="C630" t="inlineStr">
        <is>
          <t>Föryngringsavverkning</t>
        </is>
      </c>
      <c r="D630" s="1" t="n">
        <v>44603</v>
      </c>
      <c r="E630" s="1" t="n">
        <v>46233</v>
      </c>
      <c r="F630" t="inlineStr">
        <is>
          <t>VÄSTERNORRLANDS LÄN</t>
        </is>
      </c>
      <c r="G630" t="inlineStr">
        <is>
          <t>TIMRÅ</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6394-2025</t>
        </is>
      </c>
      <c r="B631" t="inlineStr">
        <is>
          <t>avverkningsanmälan</t>
        </is>
      </c>
      <c r="C631" t="inlineStr">
        <is>
          <t>Föryngringsavverkning</t>
        </is>
      </c>
      <c r="D631" s="1" t="n">
        <v>45699</v>
      </c>
      <c r="E631" s="1" t="n">
        <v>46233</v>
      </c>
      <c r="F631" t="inlineStr">
        <is>
          <t>VÄSTERNORRLANDS LÄN</t>
        </is>
      </c>
      <c r="G631" t="inlineStr">
        <is>
          <t>TIMRÅ</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50699-2024</t>
        </is>
      </c>
      <c r="B632" t="inlineStr">
        <is>
          <t>avverkningsanmälan</t>
        </is>
      </c>
      <c r="C632" t="inlineStr">
        <is>
          <t>Föryngringsavverkning</t>
        </is>
      </c>
      <c r="D632" s="1" t="n">
        <v>45602</v>
      </c>
      <c r="E632" s="1" t="n">
        <v>46233</v>
      </c>
      <c r="F632" t="inlineStr">
        <is>
          <t>VÄSTERNORRLANDS LÄN</t>
        </is>
      </c>
      <c r="G632" t="inlineStr">
        <is>
          <t>TIMRÅ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60074-2023</t>
        </is>
      </c>
      <c r="B633" t="inlineStr">
        <is>
          <t>avverkningsanmälan</t>
        </is>
      </c>
      <c r="C633" t="inlineStr">
        <is>
          <t>Föryngringsavverkning</t>
        </is>
      </c>
      <c r="D633" s="1" t="n">
        <v>45258</v>
      </c>
      <c r="E633" s="1" t="n">
        <v>46233</v>
      </c>
      <c r="F633" t="inlineStr">
        <is>
          <t>VÄSTERNORRLANDS LÄN</t>
        </is>
      </c>
      <c r="G633" t="inlineStr">
        <is>
          <t>TIMRÅ</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32105-2024</t>
        </is>
      </c>
      <c r="B634" t="inlineStr">
        <is>
          <t>avverkningsanmälan</t>
        </is>
      </c>
      <c r="C634" t="inlineStr">
        <is>
          <t>Föryngringsavverkning</t>
        </is>
      </c>
      <c r="D634" s="1" t="n">
        <v>45511</v>
      </c>
      <c r="E634" s="1" t="n">
        <v>46233</v>
      </c>
      <c r="F634" t="inlineStr">
        <is>
          <t>VÄSTERNORRLANDS LÄN</t>
        </is>
      </c>
      <c r="G634" t="inlineStr">
        <is>
          <t>TIMRÅ</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52705-2022</t>
        </is>
      </c>
      <c r="B635" t="inlineStr">
        <is>
          <t>avverkningsanmälan</t>
        </is>
      </c>
      <c r="C635" t="inlineStr">
        <is>
          <t>Föryngringsavverkning</t>
        </is>
      </c>
      <c r="D635" s="1" t="n">
        <v>44874</v>
      </c>
      <c r="E635" s="1" t="n">
        <v>46233</v>
      </c>
      <c r="F635" t="inlineStr">
        <is>
          <t>VÄSTERNORRLANDS LÄN</t>
        </is>
      </c>
      <c r="G635" t="inlineStr">
        <is>
          <t>TIMRÅ</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24529-2025</t>
        </is>
      </c>
      <c r="B636" t="inlineStr">
        <is>
          <t>avverkningsanmälan</t>
        </is>
      </c>
      <c r="C636" t="inlineStr">
        <is>
          <t>Föryngringsavverkning</t>
        </is>
      </c>
      <c r="D636" s="1" t="n">
        <v>45798</v>
      </c>
      <c r="E636" s="1" t="n">
        <v>46233</v>
      </c>
      <c r="F636" t="inlineStr">
        <is>
          <t>VÄSTERNORRLANDS LÄN</t>
        </is>
      </c>
      <c r="G636" t="inlineStr">
        <is>
          <t>TIMRÅ</t>
        </is>
      </c>
      <c r="H636" t="inlineStr">
        <is>
          <t>SCA</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19455-2024</t>
        </is>
      </c>
      <c r="B637" t="inlineStr">
        <is>
          <t>avverkningsanmälan</t>
        </is>
      </c>
      <c r="C637" t="inlineStr">
        <is>
          <t>Föryngringsavverkning</t>
        </is>
      </c>
      <c r="D637" s="1" t="n">
        <v>45429</v>
      </c>
      <c r="E637" s="1" t="n">
        <v>46233</v>
      </c>
      <c r="F637" t="inlineStr">
        <is>
          <t>VÄSTERNORRLANDS LÄN</t>
        </is>
      </c>
      <c r="G637" t="inlineStr">
        <is>
          <t>TIMRÅ</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2298-2023</t>
        </is>
      </c>
      <c r="B638" t="inlineStr">
        <is>
          <t>samrådsanmälan</t>
        </is>
      </c>
      <c r="C638" t="inlineStr">
        <is>
          <t>Annan skogsbruksåtgärd</t>
        </is>
      </c>
      <c r="D638" s="1" t="n">
        <v>45114</v>
      </c>
      <c r="E638" s="1" t="n">
        <v>46233</v>
      </c>
      <c r="F638" t="inlineStr">
        <is>
          <t>VÄSTERNORRLANDS LÄN</t>
        </is>
      </c>
      <c r="G638" t="inlineStr">
        <is>
          <t>TIMRÅ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1166-2024</t>
        </is>
      </c>
      <c r="B639" t="inlineStr">
        <is>
          <t>samrådsanmälan</t>
        </is>
      </c>
      <c r="C639" t="inlineStr">
        <is>
          <t>Annan skogsbruksåtgärd</t>
        </is>
      </c>
      <c r="D639" s="1" t="n">
        <v>45394</v>
      </c>
      <c r="E639" s="1" t="n">
        <v>46233</v>
      </c>
      <c r="F639" t="inlineStr">
        <is>
          <t>VÄSTERNORRLANDS LÄN</t>
        </is>
      </c>
      <c r="G639" t="inlineStr">
        <is>
          <t>TIMRÅ</t>
        </is>
      </c>
      <c r="H639" t="inlineStr">
        <is>
          <t>SCA</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1386-2023</t>
        </is>
      </c>
      <c r="B640" t="inlineStr">
        <is>
          <t>samrådsanmälan</t>
        </is>
      </c>
      <c r="C640" t="inlineStr">
        <is>
          <t>Annan skogsbruksåtgärd</t>
        </is>
      </c>
      <c r="D640" s="1" t="n">
        <v>45041</v>
      </c>
      <c r="E640" s="1" t="n">
        <v>46233</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1162-2024</t>
        </is>
      </c>
      <c r="B641" t="inlineStr">
        <is>
          <t>samrådsanmälan</t>
        </is>
      </c>
      <c r="C641" t="inlineStr">
        <is>
          <t>Annan skogsbruksåtgärd</t>
        </is>
      </c>
      <c r="D641" s="1" t="n">
        <v>45394</v>
      </c>
      <c r="E641" s="1" t="n">
        <v>46233</v>
      </c>
      <c r="F641" t="inlineStr">
        <is>
          <t>VÄSTERNORRLANDS LÄN</t>
        </is>
      </c>
      <c r="G641" t="inlineStr">
        <is>
          <t>TIMRÅ</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1382-2023</t>
        </is>
      </c>
      <c r="B642" t="inlineStr">
        <is>
          <t>samrådsanmälan</t>
        </is>
      </c>
      <c r="C642" t="inlineStr">
        <is>
          <t>Annan skogsbruksåtgärd</t>
        </is>
      </c>
      <c r="D642" s="1" t="n">
        <v>45041</v>
      </c>
      <c r="E642" s="1" t="n">
        <v>46233</v>
      </c>
      <c r="F642" t="inlineStr">
        <is>
          <t>VÄSTERNORRLANDS LÄN</t>
        </is>
      </c>
      <c r="G642" t="inlineStr">
        <is>
          <t>TIMRÅ</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1322-2023</t>
        </is>
      </c>
      <c r="B643" t="inlineStr">
        <is>
          <t>samrådsanmälan</t>
        </is>
      </c>
      <c r="C643" t="inlineStr">
        <is>
          <t>Annan skogsbruksåtgärd</t>
        </is>
      </c>
      <c r="D643" s="1" t="n">
        <v>45036</v>
      </c>
      <c r="E643" s="1" t="n">
        <v>46233</v>
      </c>
      <c r="F643" t="inlineStr">
        <is>
          <t>VÄSTERNORRLANDS LÄN</t>
        </is>
      </c>
      <c r="G643" t="inlineStr">
        <is>
          <t>TIMRÅ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838-2025</t>
        </is>
      </c>
      <c r="B644" t="inlineStr">
        <is>
          <t>samrådsanmälan</t>
        </is>
      </c>
      <c r="C644" t="inlineStr">
        <is>
          <t>Skogsgödsling</t>
        </is>
      </c>
      <c r="D644" s="1" t="n">
        <v>45733</v>
      </c>
      <c r="E644" s="1" t="n">
        <v>46233</v>
      </c>
      <c r="F644" t="inlineStr">
        <is>
          <t>VÄSTERNORRLANDS LÄN</t>
        </is>
      </c>
      <c r="G644" t="inlineStr">
        <is>
          <t>TIMRÅ</t>
        </is>
      </c>
      <c r="H644" t="inlineStr">
        <is>
          <t>SCA</t>
        </is>
      </c>
      <c r="I644" t="n">
        <v>18.8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1209-2025</t>
        </is>
      </c>
      <c r="B645" t="inlineStr">
        <is>
          <t>samrådsanmälan</t>
        </is>
      </c>
      <c r="C645" t="inlineStr">
        <is>
          <t>Annan skogsbruksåtgärd</t>
        </is>
      </c>
      <c r="D645" s="1" t="n">
        <v>45758</v>
      </c>
      <c r="E645" s="1" t="n">
        <v>46233</v>
      </c>
      <c r="F645" t="inlineStr">
        <is>
          <t>VÄSTERNORRLANDS LÄN</t>
        </is>
      </c>
      <c r="G645" t="inlineStr">
        <is>
          <t>TIMRÅ</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568-2026</t>
        </is>
      </c>
      <c r="B646" t="inlineStr">
        <is>
          <t>samrådsanmälan</t>
        </is>
      </c>
      <c r="C646" t="inlineStr">
        <is>
          <t>Annan skogsbruksåtgärd</t>
        </is>
      </c>
      <c r="D646" s="1" t="n">
        <v>46083</v>
      </c>
      <c r="E646" s="1" t="n">
        <v>46233</v>
      </c>
      <c r="F646" t="inlineStr">
        <is>
          <t>VÄSTERNORRLANDS LÄN</t>
        </is>
      </c>
      <c r="G646" t="inlineStr">
        <is>
          <t>TIMRÅ</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567-2026</t>
        </is>
      </c>
      <c r="B647" t="inlineStr">
        <is>
          <t>samrådsanmälan</t>
        </is>
      </c>
      <c r="C647" t="inlineStr">
        <is>
          <t>Annan skogsbruksåtgärd</t>
        </is>
      </c>
      <c r="D647" s="1" t="n">
        <v>46083</v>
      </c>
      <c r="E647" s="1" t="n">
        <v>46233</v>
      </c>
      <c r="F647" t="inlineStr">
        <is>
          <t>VÄSTERNORRLANDS LÄN</t>
        </is>
      </c>
      <c r="G647" t="inlineStr">
        <is>
          <t>TIMRÅ</t>
        </is>
      </c>
      <c r="H647" t="inlineStr">
        <is>
          <t>SCA</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769-2026</t>
        </is>
      </c>
      <c r="B648" t="inlineStr">
        <is>
          <t>samrådsanmälan</t>
        </is>
      </c>
      <c r="C648" t="inlineStr">
        <is>
          <t>Annan skogsbruksåtgärd</t>
        </is>
      </c>
      <c r="D648" s="1" t="n">
        <v>46098</v>
      </c>
      <c r="E648" s="1" t="n">
        <v>46233</v>
      </c>
      <c r="F648" t="inlineStr">
        <is>
          <t>VÄSTERNORRLANDS LÄN</t>
        </is>
      </c>
      <c r="G648" t="inlineStr">
        <is>
          <t>TIMRÅ</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1495-2026</t>
        </is>
      </c>
      <c r="B649" t="inlineStr">
        <is>
          <t>samrådsanmälan</t>
        </is>
      </c>
      <c r="C649" t="inlineStr">
        <is>
          <t>Annan skogsbruksåtgärd</t>
        </is>
      </c>
      <c r="D649" s="1" t="n">
        <v>46162</v>
      </c>
      <c r="E649" s="1" t="n">
        <v>46233</v>
      </c>
      <c r="F649" t="inlineStr">
        <is>
          <t>VÄSTERNORRLANDS LÄN</t>
        </is>
      </c>
      <c r="G649" t="inlineStr">
        <is>
          <t>TIMRÅ</t>
        </is>
      </c>
      <c r="I649" t="n">
        <v>0.2</v>
      </c>
      <c r="J649" t="n">
        <v>0</v>
      </c>
      <c r="K649" t="n">
        <v>0</v>
      </c>
      <c r="L649" t="n">
        <v>0</v>
      </c>
      <c r="M649" t="n">
        <v>0</v>
      </c>
      <c r="N649" t="n">
        <v>0</v>
      </c>
      <c r="O649" t="n">
        <v>0</v>
      </c>
      <c r="P649" t="n">
        <v>0</v>
      </c>
      <c r="Q649" t="n">
        <v>0</v>
      </c>
      <c r="R649" t="n">
        <v>0</v>
      </c>
      <c r="S649" t="n">
        <v>0</v>
      </c>
      <c r="T649" t="n">
        <v>0</v>
      </c>
      <c r="U649" t="n">
        <v>0</v>
      </c>
      <c r="V649" s="2" t="inlineStr"/>
    </row>
    <row r="650">
      <c r="A650" t="inlineStr">
        <is>
          <t>S 1494-2026</t>
        </is>
      </c>
      <c r="B650" t="inlineStr">
        <is>
          <t>samrådsanmälan</t>
        </is>
      </c>
      <c r="C650" t="inlineStr">
        <is>
          <t>Annan skogsbruksåtgärd</t>
        </is>
      </c>
      <c r="D650" s="1" t="n">
        <v>46162</v>
      </c>
      <c r="E650" s="1" t="n">
        <v>46233</v>
      </c>
      <c r="F650" t="inlineStr">
        <is>
          <t>VÄSTERNORRLANDS LÄN</t>
        </is>
      </c>
      <c r="G650" t="inlineStr">
        <is>
          <t>TIMRÅ</t>
        </is>
      </c>
      <c r="I650" t="n">
        <v>0.3</v>
      </c>
      <c r="J650" t="n">
        <v>0</v>
      </c>
      <c r="K650" t="n">
        <v>0</v>
      </c>
      <c r="L650" t="n">
        <v>0</v>
      </c>
      <c r="M650" t="n">
        <v>0</v>
      </c>
      <c r="N650" t="n">
        <v>0</v>
      </c>
      <c r="O650" t="n">
        <v>0</v>
      </c>
      <c r="P650" t="n">
        <v>0</v>
      </c>
      <c r="Q650" t="n">
        <v>0</v>
      </c>
      <c r="R650" t="n">
        <v>0</v>
      </c>
      <c r="S650" t="n">
        <v>0</v>
      </c>
      <c r="T650" t="n">
        <v>0</v>
      </c>
      <c r="U650" t="n">
        <v>0</v>
      </c>
      <c r="V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2026-07-30T01:47:46Z</dcterms:created>
  <dcterms:modified xmlns:dcterms="http://purl.org/dc/terms/" xmlns:xsi="http://www.w3.org/2001/XMLSchema-instance" xsi:type="dcterms:W3CDTF">2026-07-30T01:47:47Z</dcterms:modified>
</cp:coreProperties>
</file>