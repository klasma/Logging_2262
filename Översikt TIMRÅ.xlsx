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45473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45473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45473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45473</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45473</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45473</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45473</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45473</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45473</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45473</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45473</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50231-2023</t>
        </is>
      </c>
      <c r="B13" s="1" t="n">
        <v>45215</v>
      </c>
      <c r="C13" s="1" t="n">
        <v>45473</v>
      </c>
      <c r="D13" t="inlineStr">
        <is>
          <t>VÄSTERNORRLANDS LÄN</t>
        </is>
      </c>
      <c r="E13" t="inlineStr">
        <is>
          <t>TIMRÅ</t>
        </is>
      </c>
      <c r="F13" t="inlineStr">
        <is>
          <t>SCA</t>
        </is>
      </c>
      <c r="G13" t="n">
        <v>1.6</v>
      </c>
      <c r="H13" t="n">
        <v>1</v>
      </c>
      <c r="I13" t="n">
        <v>2</v>
      </c>
      <c r="J13" t="n">
        <v>2</v>
      </c>
      <c r="K13" t="n">
        <v>0</v>
      </c>
      <c r="L13" t="n">
        <v>0</v>
      </c>
      <c r="M13" t="n">
        <v>0</v>
      </c>
      <c r="N13" t="n">
        <v>0</v>
      </c>
      <c r="O13" t="n">
        <v>2</v>
      </c>
      <c r="P13" t="n">
        <v>0</v>
      </c>
      <c r="Q13" t="n">
        <v>5</v>
      </c>
      <c r="R13" s="2" t="inlineStr">
        <is>
          <t>Orange taggsvamp
Ullticka
Strutbräken
Stuplav
Revlummer</t>
        </is>
      </c>
      <c r="S13">
        <f>HYPERLINK("https://klasma.github.io/Logging_2262/artfynd/A 50231-2023 artfynd.xlsx", "A 50231-2023")</f>
        <v/>
      </c>
      <c r="T13">
        <f>HYPERLINK("https://klasma.github.io/Logging_2262/kartor/A 50231-2023 karta.png", "A 50231-2023")</f>
        <v/>
      </c>
      <c r="U13">
        <f>HYPERLINK("https://klasma.github.io/Logging_2262/knärot/A 50231-2023 karta knärot.png", "A 50231-2023")</f>
        <v/>
      </c>
      <c r="V13">
        <f>HYPERLINK("https://klasma.github.io/Logging_2262/klagomål/A 50231-2023 FSC-klagomål.docx", "A 50231-2023")</f>
        <v/>
      </c>
      <c r="W13">
        <f>HYPERLINK("https://klasma.github.io/Logging_2262/klagomålsmail/A 50231-2023 FSC-klagomål mail.docx", "A 50231-2023")</f>
        <v/>
      </c>
      <c r="X13">
        <f>HYPERLINK("https://klasma.github.io/Logging_2262/tillsyn/A 50231-2023 tillsynsbegäran.docx", "A 50231-2023")</f>
        <v/>
      </c>
      <c r="Y13">
        <f>HYPERLINK("https://klasma.github.io/Logging_2262/tillsynsmail/A 50231-2023 tillsynsbegäran mail.docx", "A 50231-2023")</f>
        <v/>
      </c>
    </row>
    <row r="14" ht="15" customHeight="1">
      <c r="A14" t="inlineStr">
        <is>
          <t>A 19805-2020</t>
        </is>
      </c>
      <c r="B14" s="1" t="n">
        <v>43937</v>
      </c>
      <c r="C14" s="1" t="n">
        <v>45473</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c r="Z14">
        <f>HYPERLINK("https://klasma.github.io/Logging_2262/fåglar/A 19805-2020 prioriterade fågelarter.docx", "A 19805-2020")</f>
        <v/>
      </c>
    </row>
    <row r="15" ht="15" customHeight="1">
      <c r="A15" t="inlineStr">
        <is>
          <t>A 57553-2021</t>
        </is>
      </c>
      <c r="B15" s="1" t="n">
        <v>44484</v>
      </c>
      <c r="C15" s="1" t="n">
        <v>45473</v>
      </c>
      <c r="D15" t="inlineStr">
        <is>
          <t>VÄSTERNORRLANDS LÄN</t>
        </is>
      </c>
      <c r="E15" t="inlineStr">
        <is>
          <t>TIMRÅ</t>
        </is>
      </c>
      <c r="F15" t="inlineStr">
        <is>
          <t>SCA</t>
        </is>
      </c>
      <c r="G15" t="n">
        <v>17.9</v>
      </c>
      <c r="H15" t="n">
        <v>1</v>
      </c>
      <c r="I15" t="n">
        <v>1</v>
      </c>
      <c r="J15" t="n">
        <v>2</v>
      </c>
      <c r="K15" t="n">
        <v>1</v>
      </c>
      <c r="L15" t="n">
        <v>0</v>
      </c>
      <c r="M15" t="n">
        <v>0</v>
      </c>
      <c r="N15" t="n">
        <v>0</v>
      </c>
      <c r="O15" t="n">
        <v>3</v>
      </c>
      <c r="P15" t="n">
        <v>1</v>
      </c>
      <c r="Q15" t="n">
        <v>4</v>
      </c>
      <c r="R15" s="2" t="inlineStr">
        <is>
          <t>Knärot
Garnlav
Tallticka
Vedticka</t>
        </is>
      </c>
      <c r="S15">
        <f>HYPERLINK("https://klasma.github.io/Logging_2262/artfynd/A 57553-2021 artfynd.xlsx", "A 57553-2021")</f>
        <v/>
      </c>
      <c r="T15">
        <f>HYPERLINK("https://klasma.github.io/Logging_2262/kartor/A 57553-2021 karta.png", "A 57553-2021")</f>
        <v/>
      </c>
      <c r="U15">
        <f>HYPERLINK("https://klasma.github.io/Logging_2262/knärot/A 57553-2021 karta knärot.png", "A 57553-2021")</f>
        <v/>
      </c>
      <c r="V15">
        <f>HYPERLINK("https://klasma.github.io/Logging_2262/klagomål/A 57553-2021 FSC-klagomål.docx", "A 57553-2021")</f>
        <v/>
      </c>
      <c r="W15">
        <f>HYPERLINK("https://klasma.github.io/Logging_2262/klagomålsmail/A 57553-2021 FSC-klagomål mail.docx", "A 57553-2021")</f>
        <v/>
      </c>
      <c r="X15">
        <f>HYPERLINK("https://klasma.github.io/Logging_2262/tillsyn/A 57553-2021 tillsynsbegäran.docx", "A 57553-2021")</f>
        <v/>
      </c>
      <c r="Y15">
        <f>HYPERLINK("https://klasma.github.io/Logging_2262/tillsynsmail/A 57553-2021 tillsynsbegäran mail.docx", "A 57553-2021")</f>
        <v/>
      </c>
    </row>
    <row r="16" ht="15" customHeight="1">
      <c r="A16" t="inlineStr">
        <is>
          <t>A 43963-2023</t>
        </is>
      </c>
      <c r="B16" s="1" t="n">
        <v>45187</v>
      </c>
      <c r="C16" s="1" t="n">
        <v>45473</v>
      </c>
      <c r="D16" t="inlineStr">
        <is>
          <t>VÄSTERNORRLANDS LÄN</t>
        </is>
      </c>
      <c r="E16" t="inlineStr">
        <is>
          <t>TIMRÅ</t>
        </is>
      </c>
      <c r="F16" t="inlineStr">
        <is>
          <t>SCA</t>
        </is>
      </c>
      <c r="G16" t="n">
        <v>15</v>
      </c>
      <c r="H16" t="n">
        <v>1</v>
      </c>
      <c r="I16" t="n">
        <v>1</v>
      </c>
      <c r="J16" t="n">
        <v>2</v>
      </c>
      <c r="K16" t="n">
        <v>1</v>
      </c>
      <c r="L16" t="n">
        <v>0</v>
      </c>
      <c r="M16" t="n">
        <v>0</v>
      </c>
      <c r="N16" t="n">
        <v>0</v>
      </c>
      <c r="O16" t="n">
        <v>3</v>
      </c>
      <c r="P16" t="n">
        <v>1</v>
      </c>
      <c r="Q16" t="n">
        <v>4</v>
      </c>
      <c r="R16" s="2" t="inlineStr">
        <is>
          <t>Knärot
Garnlav
Violettgrå tagellav
Vedticka</t>
        </is>
      </c>
      <c r="S16">
        <f>HYPERLINK("https://klasma.github.io/Logging_2262/artfynd/A 43963-2023 artfynd.xlsx", "A 43963-2023")</f>
        <v/>
      </c>
      <c r="T16">
        <f>HYPERLINK("https://klasma.github.io/Logging_2262/kartor/A 43963-2023 karta.png", "A 43963-2023")</f>
        <v/>
      </c>
      <c r="U16">
        <f>HYPERLINK("https://klasma.github.io/Logging_2262/knärot/A 43963-2023 karta knärot.png", "A 43963-2023")</f>
        <v/>
      </c>
      <c r="V16">
        <f>HYPERLINK("https://klasma.github.io/Logging_2262/klagomål/A 43963-2023 FSC-klagomål.docx", "A 43963-2023")</f>
        <v/>
      </c>
      <c r="W16">
        <f>HYPERLINK("https://klasma.github.io/Logging_2262/klagomålsmail/A 43963-2023 FSC-klagomål mail.docx", "A 43963-2023")</f>
        <v/>
      </c>
      <c r="X16">
        <f>HYPERLINK("https://klasma.github.io/Logging_2262/tillsyn/A 43963-2023 tillsynsbegäran.docx", "A 43963-2023")</f>
        <v/>
      </c>
      <c r="Y16">
        <f>HYPERLINK("https://klasma.github.io/Logging_2262/tillsynsmail/A 43963-2023 tillsynsbegäran mail.docx", "A 43963-2023")</f>
        <v/>
      </c>
    </row>
    <row r="17" ht="15" customHeight="1">
      <c r="A17" t="inlineStr">
        <is>
          <t>A 53436-2023</t>
        </is>
      </c>
      <c r="B17" s="1" t="n">
        <v>45229</v>
      </c>
      <c r="C17" s="1" t="n">
        <v>45473</v>
      </c>
      <c r="D17" t="inlineStr">
        <is>
          <t>VÄSTERNORRLANDS LÄN</t>
        </is>
      </c>
      <c r="E17" t="inlineStr">
        <is>
          <t>TIMRÅ</t>
        </is>
      </c>
      <c r="F17" t="inlineStr">
        <is>
          <t>SCA</t>
        </is>
      </c>
      <c r="G17" t="n">
        <v>4.2</v>
      </c>
      <c r="H17" t="n">
        <v>1</v>
      </c>
      <c r="I17" t="n">
        <v>2</v>
      </c>
      <c r="J17" t="n">
        <v>1</v>
      </c>
      <c r="K17" t="n">
        <v>0</v>
      </c>
      <c r="L17" t="n">
        <v>0</v>
      </c>
      <c r="M17" t="n">
        <v>0</v>
      </c>
      <c r="N17" t="n">
        <v>0</v>
      </c>
      <c r="O17" t="n">
        <v>1</v>
      </c>
      <c r="P17" t="n">
        <v>0</v>
      </c>
      <c r="Q17" t="n">
        <v>4</v>
      </c>
      <c r="R17" s="2" t="inlineStr">
        <is>
          <t>Ullticka
Strutbräken
Vårärt
Revlummer</t>
        </is>
      </c>
      <c r="S17">
        <f>HYPERLINK("https://klasma.github.io/Logging_2262/artfynd/A 53436-2023 artfynd.xlsx", "A 53436-2023")</f>
        <v/>
      </c>
      <c r="T17">
        <f>HYPERLINK("https://klasma.github.io/Logging_2262/kartor/A 53436-2023 karta.png", "A 53436-2023")</f>
        <v/>
      </c>
      <c r="V17">
        <f>HYPERLINK("https://klasma.github.io/Logging_2262/klagomål/A 53436-2023 FSC-klagomål.docx", "A 53436-2023")</f>
        <v/>
      </c>
      <c r="W17">
        <f>HYPERLINK("https://klasma.github.io/Logging_2262/klagomålsmail/A 53436-2023 FSC-klagomål mail.docx", "A 53436-2023")</f>
        <v/>
      </c>
      <c r="X17">
        <f>HYPERLINK("https://klasma.github.io/Logging_2262/tillsyn/A 53436-2023 tillsynsbegäran.docx", "A 53436-2023")</f>
        <v/>
      </c>
      <c r="Y17">
        <f>HYPERLINK("https://klasma.github.io/Logging_2262/tillsynsmail/A 53436-2023 tillsynsbegäran mail.docx", "A 53436-2023")</f>
        <v/>
      </c>
    </row>
    <row r="18" ht="15" customHeight="1">
      <c r="A18" t="inlineStr">
        <is>
          <t>A 62558-2023</t>
        </is>
      </c>
      <c r="B18" s="1" t="n">
        <v>45268</v>
      </c>
      <c r="C18" s="1" t="n">
        <v>45473</v>
      </c>
      <c r="D18" t="inlineStr">
        <is>
          <t>VÄSTERNORRLANDS LÄN</t>
        </is>
      </c>
      <c r="E18" t="inlineStr">
        <is>
          <t>TIMRÅ</t>
        </is>
      </c>
      <c r="F18" t="inlineStr">
        <is>
          <t>SCA</t>
        </is>
      </c>
      <c r="G18" t="n">
        <v>5.8</v>
      </c>
      <c r="H18" t="n">
        <v>1</v>
      </c>
      <c r="I18" t="n">
        <v>0</v>
      </c>
      <c r="J18" t="n">
        <v>4</v>
      </c>
      <c r="K18" t="n">
        <v>0</v>
      </c>
      <c r="L18" t="n">
        <v>0</v>
      </c>
      <c r="M18" t="n">
        <v>0</v>
      </c>
      <c r="N18" t="n">
        <v>0</v>
      </c>
      <c r="O18" t="n">
        <v>4</v>
      </c>
      <c r="P18" t="n">
        <v>0</v>
      </c>
      <c r="Q18" t="n">
        <v>4</v>
      </c>
      <c r="R18" s="2" t="inlineStr">
        <is>
          <t>Garnlav
Granticka
Gränsticka
Tretåig hackspett</t>
        </is>
      </c>
      <c r="S18">
        <f>HYPERLINK("https://klasma.github.io/Logging_2262/artfynd/A 62558-2023 artfynd.xlsx", "A 62558-2023")</f>
        <v/>
      </c>
      <c r="T18">
        <f>HYPERLINK("https://klasma.github.io/Logging_2262/kartor/A 62558-2023 karta.png", "A 62558-2023")</f>
        <v/>
      </c>
      <c r="V18">
        <f>HYPERLINK("https://klasma.github.io/Logging_2262/klagomål/A 62558-2023 FSC-klagomål.docx", "A 62558-2023")</f>
        <v/>
      </c>
      <c r="W18">
        <f>HYPERLINK("https://klasma.github.io/Logging_2262/klagomålsmail/A 62558-2023 FSC-klagomål mail.docx", "A 62558-2023")</f>
        <v/>
      </c>
      <c r="X18">
        <f>HYPERLINK("https://klasma.github.io/Logging_2262/tillsyn/A 62558-2023 tillsynsbegäran.docx", "A 62558-2023")</f>
        <v/>
      </c>
      <c r="Y18">
        <f>HYPERLINK("https://klasma.github.io/Logging_2262/tillsynsmail/A 62558-2023 tillsynsbegäran mail.docx", "A 62558-2023")</f>
        <v/>
      </c>
      <c r="Z18">
        <f>HYPERLINK("https://klasma.github.io/Logging_2262/fåglar/A 62558-2023 prioriterade fågelarter.docx", "A 62558-2023")</f>
        <v/>
      </c>
    </row>
    <row r="19" ht="15" customHeight="1">
      <c r="A19" t="inlineStr">
        <is>
          <t>A 11288-2024</t>
        </is>
      </c>
      <c r="B19" s="1" t="n">
        <v>45371</v>
      </c>
      <c r="C19" s="1" t="n">
        <v>45473</v>
      </c>
      <c r="D19" t="inlineStr">
        <is>
          <t>VÄSTERNORRLANDS LÄN</t>
        </is>
      </c>
      <c r="E19" t="inlineStr">
        <is>
          <t>TIMRÅ</t>
        </is>
      </c>
      <c r="G19" t="n">
        <v>2.4</v>
      </c>
      <c r="H19" t="n">
        <v>3</v>
      </c>
      <c r="I19" t="n">
        <v>1</v>
      </c>
      <c r="J19" t="n">
        <v>1</v>
      </c>
      <c r="K19" t="n">
        <v>0</v>
      </c>
      <c r="L19" t="n">
        <v>0</v>
      </c>
      <c r="M19" t="n">
        <v>0</v>
      </c>
      <c r="N19" t="n">
        <v>0</v>
      </c>
      <c r="O19" t="n">
        <v>1</v>
      </c>
      <c r="P19" t="n">
        <v>0</v>
      </c>
      <c r="Q19" t="n">
        <v>4</v>
      </c>
      <c r="R19" s="2" t="inlineStr">
        <is>
          <t>Spillkråka
Stor aspticka
Gråspett
Skogsduva</t>
        </is>
      </c>
      <c r="S19">
        <f>HYPERLINK("https://klasma.github.io/Logging_2262/artfynd/A 11288-2024 artfynd.xlsx", "A 11288-2024")</f>
        <v/>
      </c>
      <c r="T19">
        <f>HYPERLINK("https://klasma.github.io/Logging_2262/kartor/A 11288-2024 karta.png", "A 11288-2024")</f>
        <v/>
      </c>
      <c r="V19">
        <f>HYPERLINK("https://klasma.github.io/Logging_2262/klagomål/A 11288-2024 FSC-klagomål.docx", "A 11288-2024")</f>
        <v/>
      </c>
      <c r="W19">
        <f>HYPERLINK("https://klasma.github.io/Logging_2262/klagomålsmail/A 11288-2024 FSC-klagomål mail.docx", "A 11288-2024")</f>
        <v/>
      </c>
      <c r="X19">
        <f>HYPERLINK("https://klasma.github.io/Logging_2262/tillsyn/A 11288-2024 tillsynsbegäran.docx", "A 11288-2024")</f>
        <v/>
      </c>
      <c r="Y19">
        <f>HYPERLINK("https://klasma.github.io/Logging_2262/tillsynsmail/A 11288-2024 tillsynsbegäran mail.docx", "A 11288-2024")</f>
        <v/>
      </c>
      <c r="Z19">
        <f>HYPERLINK("https://klasma.github.io/Logging_2262/fåglar/A 11288-2024 prioriterade fågelarter.docx", "A 11288-2024")</f>
        <v/>
      </c>
    </row>
    <row r="20" ht="15" customHeight="1">
      <c r="A20" t="inlineStr">
        <is>
          <t>A 47816-2022</t>
        </is>
      </c>
      <c r="B20" s="1" t="n">
        <v>44854</v>
      </c>
      <c r="C20" s="1" t="n">
        <v>45473</v>
      </c>
      <c r="D20" t="inlineStr">
        <is>
          <t>VÄSTERNORRLANDS LÄN</t>
        </is>
      </c>
      <c r="E20" t="inlineStr">
        <is>
          <t>TIMRÅ</t>
        </is>
      </c>
      <c r="F20" t="inlineStr">
        <is>
          <t>SCA</t>
        </is>
      </c>
      <c r="G20" t="n">
        <v>2.9</v>
      </c>
      <c r="H20" t="n">
        <v>0</v>
      </c>
      <c r="I20" t="n">
        <v>0</v>
      </c>
      <c r="J20" t="n">
        <v>3</v>
      </c>
      <c r="K20" t="n">
        <v>0</v>
      </c>
      <c r="L20" t="n">
        <v>0</v>
      </c>
      <c r="M20" t="n">
        <v>0</v>
      </c>
      <c r="N20" t="n">
        <v>0</v>
      </c>
      <c r="O20" t="n">
        <v>3</v>
      </c>
      <c r="P20" t="n">
        <v>0</v>
      </c>
      <c r="Q20" t="n">
        <v>3</v>
      </c>
      <c r="R20" s="2" t="inlineStr">
        <is>
          <t>Garnlav
Tallticka
Violettgrå tagellav</t>
        </is>
      </c>
      <c r="S20">
        <f>HYPERLINK("https://klasma.github.io/Logging_2262/artfynd/A 47816-2022 artfynd.xlsx", "A 47816-2022")</f>
        <v/>
      </c>
      <c r="T20">
        <f>HYPERLINK("https://klasma.github.io/Logging_2262/kartor/A 47816-2022 karta.png", "A 47816-2022")</f>
        <v/>
      </c>
      <c r="V20">
        <f>HYPERLINK("https://klasma.github.io/Logging_2262/klagomål/A 47816-2022 FSC-klagomål.docx", "A 47816-2022")</f>
        <v/>
      </c>
      <c r="W20">
        <f>HYPERLINK("https://klasma.github.io/Logging_2262/klagomålsmail/A 47816-2022 FSC-klagomål mail.docx", "A 47816-2022")</f>
        <v/>
      </c>
      <c r="X20">
        <f>HYPERLINK("https://klasma.github.io/Logging_2262/tillsyn/A 47816-2022 tillsynsbegäran.docx", "A 47816-2022")</f>
        <v/>
      </c>
      <c r="Y20">
        <f>HYPERLINK("https://klasma.github.io/Logging_2262/tillsynsmail/A 47816-2022 tillsynsbegäran mail.docx", "A 47816-2022")</f>
        <v/>
      </c>
    </row>
    <row r="21" ht="15" customHeight="1">
      <c r="A21" t="inlineStr">
        <is>
          <t>A 17217-2023</t>
        </is>
      </c>
      <c r="B21" s="1" t="n">
        <v>45034</v>
      </c>
      <c r="C21" s="1" t="n">
        <v>45473</v>
      </c>
      <c r="D21" t="inlineStr">
        <is>
          <t>VÄSTERNORRLANDS LÄN</t>
        </is>
      </c>
      <c r="E21" t="inlineStr">
        <is>
          <t>TIMRÅ</t>
        </is>
      </c>
      <c r="F21" t="inlineStr">
        <is>
          <t>SCA</t>
        </is>
      </c>
      <c r="G21" t="n">
        <v>5.1</v>
      </c>
      <c r="H21" t="n">
        <v>0</v>
      </c>
      <c r="I21" t="n">
        <v>0</v>
      </c>
      <c r="J21" t="n">
        <v>3</v>
      </c>
      <c r="K21" t="n">
        <v>0</v>
      </c>
      <c r="L21" t="n">
        <v>0</v>
      </c>
      <c r="M21" t="n">
        <v>0</v>
      </c>
      <c r="N21" t="n">
        <v>0</v>
      </c>
      <c r="O21" t="n">
        <v>3</v>
      </c>
      <c r="P21" t="n">
        <v>0</v>
      </c>
      <c r="Q21" t="n">
        <v>3</v>
      </c>
      <c r="R21" s="2" t="inlineStr">
        <is>
          <t>Garnlav
Lunglav
Vedflamlav</t>
        </is>
      </c>
      <c r="S21">
        <f>HYPERLINK("https://klasma.github.io/Logging_2262/artfynd/A 17217-2023 artfynd.xlsx", "A 17217-2023")</f>
        <v/>
      </c>
      <c r="T21">
        <f>HYPERLINK("https://klasma.github.io/Logging_2262/kartor/A 17217-2023 karta.png", "A 17217-2023")</f>
        <v/>
      </c>
      <c r="V21">
        <f>HYPERLINK("https://klasma.github.io/Logging_2262/klagomål/A 17217-2023 FSC-klagomål.docx", "A 17217-2023")</f>
        <v/>
      </c>
      <c r="W21">
        <f>HYPERLINK("https://klasma.github.io/Logging_2262/klagomålsmail/A 17217-2023 FSC-klagomål mail.docx", "A 17217-2023")</f>
        <v/>
      </c>
      <c r="X21">
        <f>HYPERLINK("https://klasma.github.io/Logging_2262/tillsyn/A 17217-2023 tillsynsbegäran.docx", "A 17217-2023")</f>
        <v/>
      </c>
      <c r="Y21">
        <f>HYPERLINK("https://klasma.github.io/Logging_2262/tillsynsmail/A 17217-2023 tillsynsbegäran mail.docx", "A 17217-2023")</f>
        <v/>
      </c>
    </row>
    <row r="22" ht="15" customHeight="1">
      <c r="A22" t="inlineStr">
        <is>
          <t>A 37799-2023</t>
        </is>
      </c>
      <c r="B22" s="1" t="n">
        <v>45159</v>
      </c>
      <c r="C22" s="1" t="n">
        <v>45473</v>
      </c>
      <c r="D22" t="inlineStr">
        <is>
          <t>VÄSTERNORRLANDS LÄN</t>
        </is>
      </c>
      <c r="E22" t="inlineStr">
        <is>
          <t>TIMRÅ</t>
        </is>
      </c>
      <c r="F22" t="inlineStr">
        <is>
          <t>SCA</t>
        </is>
      </c>
      <c r="G22" t="n">
        <v>3.3</v>
      </c>
      <c r="H22" t="n">
        <v>0</v>
      </c>
      <c r="I22" t="n">
        <v>0</v>
      </c>
      <c r="J22" t="n">
        <v>3</v>
      </c>
      <c r="K22" t="n">
        <v>0</v>
      </c>
      <c r="L22" t="n">
        <v>0</v>
      </c>
      <c r="M22" t="n">
        <v>0</v>
      </c>
      <c r="N22" t="n">
        <v>0</v>
      </c>
      <c r="O22" t="n">
        <v>3</v>
      </c>
      <c r="P22" t="n">
        <v>0</v>
      </c>
      <c r="Q22" t="n">
        <v>3</v>
      </c>
      <c r="R22" s="2" t="inlineStr">
        <is>
          <t>Garnlav
Ullticka
Veckticka</t>
        </is>
      </c>
      <c r="S22">
        <f>HYPERLINK("https://klasma.github.io/Logging_2262/artfynd/A 37799-2023 artfynd.xlsx", "A 37799-2023")</f>
        <v/>
      </c>
      <c r="T22">
        <f>HYPERLINK("https://klasma.github.io/Logging_2262/kartor/A 37799-2023 karta.png", "A 37799-2023")</f>
        <v/>
      </c>
      <c r="V22">
        <f>HYPERLINK("https://klasma.github.io/Logging_2262/klagomål/A 37799-2023 FSC-klagomål.docx", "A 37799-2023")</f>
        <v/>
      </c>
      <c r="W22">
        <f>HYPERLINK("https://klasma.github.io/Logging_2262/klagomålsmail/A 37799-2023 FSC-klagomål mail.docx", "A 37799-2023")</f>
        <v/>
      </c>
      <c r="X22">
        <f>HYPERLINK("https://klasma.github.io/Logging_2262/tillsyn/A 37799-2023 tillsynsbegäran.docx", "A 37799-2023")</f>
        <v/>
      </c>
      <c r="Y22">
        <f>HYPERLINK("https://klasma.github.io/Logging_2262/tillsynsmail/A 37799-2023 tillsynsbegäran mail.docx", "A 37799-2023")</f>
        <v/>
      </c>
    </row>
    <row r="23" ht="15" customHeight="1">
      <c r="A23" t="inlineStr">
        <is>
          <t>A 43961-2023</t>
        </is>
      </c>
      <c r="B23" s="1" t="n">
        <v>45187</v>
      </c>
      <c r="C23" s="1" t="n">
        <v>45473</v>
      </c>
      <c r="D23" t="inlineStr">
        <is>
          <t>VÄSTERNORRLANDS LÄN</t>
        </is>
      </c>
      <c r="E23" t="inlineStr">
        <is>
          <t>TIMRÅ</t>
        </is>
      </c>
      <c r="F23" t="inlineStr">
        <is>
          <t>SCA</t>
        </is>
      </c>
      <c r="G23" t="n">
        <v>4</v>
      </c>
      <c r="H23" t="n">
        <v>0</v>
      </c>
      <c r="I23" t="n">
        <v>2</v>
      </c>
      <c r="J23" t="n">
        <v>1</v>
      </c>
      <c r="K23" t="n">
        <v>0</v>
      </c>
      <c r="L23" t="n">
        <v>0</v>
      </c>
      <c r="M23" t="n">
        <v>0</v>
      </c>
      <c r="N23" t="n">
        <v>0</v>
      </c>
      <c r="O23" t="n">
        <v>1</v>
      </c>
      <c r="P23" t="n">
        <v>0</v>
      </c>
      <c r="Q23" t="n">
        <v>3</v>
      </c>
      <c r="R23" s="2" t="inlineStr">
        <is>
          <t>Garnlav
Skinnlav
Vedticka</t>
        </is>
      </c>
      <c r="S23">
        <f>HYPERLINK("https://klasma.github.io/Logging_2262/artfynd/A 43961-2023 artfynd.xlsx", "A 43961-2023")</f>
        <v/>
      </c>
      <c r="T23">
        <f>HYPERLINK("https://klasma.github.io/Logging_2262/kartor/A 43961-2023 karta.png", "A 43961-2023")</f>
        <v/>
      </c>
      <c r="V23">
        <f>HYPERLINK("https://klasma.github.io/Logging_2262/klagomål/A 43961-2023 FSC-klagomål.docx", "A 43961-2023")</f>
        <v/>
      </c>
      <c r="W23">
        <f>HYPERLINK("https://klasma.github.io/Logging_2262/klagomålsmail/A 43961-2023 FSC-klagomål mail.docx", "A 43961-2023")</f>
        <v/>
      </c>
      <c r="X23">
        <f>HYPERLINK("https://klasma.github.io/Logging_2262/tillsyn/A 43961-2023 tillsynsbegäran.docx", "A 43961-2023")</f>
        <v/>
      </c>
      <c r="Y23">
        <f>HYPERLINK("https://klasma.github.io/Logging_2262/tillsynsmail/A 43961-2023 tillsynsbegäran mail.docx", "A 43961-2023")</f>
        <v/>
      </c>
    </row>
    <row r="24" ht="15" customHeight="1">
      <c r="A24" t="inlineStr">
        <is>
          <t>A 54039-2023</t>
        </is>
      </c>
      <c r="B24" s="1" t="n">
        <v>45231</v>
      </c>
      <c r="C24" s="1" t="n">
        <v>45473</v>
      </c>
      <c r="D24" t="inlineStr">
        <is>
          <t>VÄSTERNORRLANDS LÄN</t>
        </is>
      </c>
      <c r="E24" t="inlineStr">
        <is>
          <t>TIMRÅ</t>
        </is>
      </c>
      <c r="F24" t="inlineStr">
        <is>
          <t>SCA</t>
        </is>
      </c>
      <c r="G24" t="n">
        <v>8.4</v>
      </c>
      <c r="H24" t="n">
        <v>0</v>
      </c>
      <c r="I24" t="n">
        <v>0</v>
      </c>
      <c r="J24" t="n">
        <v>3</v>
      </c>
      <c r="K24" t="n">
        <v>0</v>
      </c>
      <c r="L24" t="n">
        <v>0</v>
      </c>
      <c r="M24" t="n">
        <v>0</v>
      </c>
      <c r="N24" t="n">
        <v>0</v>
      </c>
      <c r="O24" t="n">
        <v>3</v>
      </c>
      <c r="P24" t="n">
        <v>0</v>
      </c>
      <c r="Q24" t="n">
        <v>3</v>
      </c>
      <c r="R24" s="2" t="inlineStr">
        <is>
          <t>Garnlav
Granticka
Lunglav</t>
        </is>
      </c>
      <c r="S24">
        <f>HYPERLINK("https://klasma.github.io/Logging_2262/artfynd/A 54039-2023 artfynd.xlsx", "A 54039-2023")</f>
        <v/>
      </c>
      <c r="T24">
        <f>HYPERLINK("https://klasma.github.io/Logging_2262/kartor/A 54039-2023 karta.png", "A 54039-2023")</f>
        <v/>
      </c>
      <c r="V24">
        <f>HYPERLINK("https://klasma.github.io/Logging_2262/klagomål/A 54039-2023 FSC-klagomål.docx", "A 54039-2023")</f>
        <v/>
      </c>
      <c r="W24">
        <f>HYPERLINK("https://klasma.github.io/Logging_2262/klagomålsmail/A 54039-2023 FSC-klagomål mail.docx", "A 54039-2023")</f>
        <v/>
      </c>
      <c r="X24">
        <f>HYPERLINK("https://klasma.github.io/Logging_2262/tillsyn/A 54039-2023 tillsynsbegäran.docx", "A 54039-2023")</f>
        <v/>
      </c>
      <c r="Y24">
        <f>HYPERLINK("https://klasma.github.io/Logging_2262/tillsynsmail/A 54039-2023 tillsynsbegäran mail.docx", "A 54039-2023")</f>
        <v/>
      </c>
    </row>
    <row r="25" ht="15" customHeight="1">
      <c r="A25" t="inlineStr">
        <is>
          <t>A 5069-2024</t>
        </is>
      </c>
      <c r="B25" s="1" t="n">
        <v>45329</v>
      </c>
      <c r="C25" s="1" t="n">
        <v>45473</v>
      </c>
      <c r="D25" t="inlineStr">
        <is>
          <t>VÄSTERNORRLANDS LÄN</t>
        </is>
      </c>
      <c r="E25" t="inlineStr">
        <is>
          <t>TIMRÅ</t>
        </is>
      </c>
      <c r="F25" t="inlineStr">
        <is>
          <t>SCA</t>
        </is>
      </c>
      <c r="G25" t="n">
        <v>3.4</v>
      </c>
      <c r="H25" t="n">
        <v>1</v>
      </c>
      <c r="I25" t="n">
        <v>2</v>
      </c>
      <c r="J25" t="n">
        <v>1</v>
      </c>
      <c r="K25" t="n">
        <v>0</v>
      </c>
      <c r="L25" t="n">
        <v>0</v>
      </c>
      <c r="M25" t="n">
        <v>0</v>
      </c>
      <c r="N25" t="n">
        <v>0</v>
      </c>
      <c r="O25" t="n">
        <v>1</v>
      </c>
      <c r="P25" t="n">
        <v>0</v>
      </c>
      <c r="Q25" t="n">
        <v>3</v>
      </c>
      <c r="R25" s="2" t="inlineStr">
        <is>
          <t>Garnlav
Korallrot
Vedticka</t>
        </is>
      </c>
      <c r="S25">
        <f>HYPERLINK("https://klasma.github.io/Logging_2262/artfynd/A 5069-2024 artfynd.xlsx", "A 5069-2024")</f>
        <v/>
      </c>
      <c r="T25">
        <f>HYPERLINK("https://klasma.github.io/Logging_2262/kartor/A 5069-2024 karta.png", "A 5069-2024")</f>
        <v/>
      </c>
      <c r="V25">
        <f>HYPERLINK("https://klasma.github.io/Logging_2262/klagomål/A 5069-2024 FSC-klagomål.docx", "A 5069-2024")</f>
        <v/>
      </c>
      <c r="W25">
        <f>HYPERLINK("https://klasma.github.io/Logging_2262/klagomålsmail/A 5069-2024 FSC-klagomål mail.docx", "A 5069-2024")</f>
        <v/>
      </c>
      <c r="X25">
        <f>HYPERLINK("https://klasma.github.io/Logging_2262/tillsyn/A 5069-2024 tillsynsbegäran.docx", "A 5069-2024")</f>
        <v/>
      </c>
      <c r="Y25">
        <f>HYPERLINK("https://klasma.github.io/Logging_2262/tillsynsmail/A 5069-2024 tillsynsbegäran mail.docx", "A 5069-2024")</f>
        <v/>
      </c>
    </row>
    <row r="26" ht="15" customHeight="1">
      <c r="A26" t="inlineStr">
        <is>
          <t>A 21846-2024</t>
        </is>
      </c>
      <c r="B26" s="1" t="n">
        <v>45442</v>
      </c>
      <c r="C26" s="1" t="n">
        <v>45473</v>
      </c>
      <c r="D26" t="inlineStr">
        <is>
          <t>VÄSTERNORRLANDS LÄN</t>
        </is>
      </c>
      <c r="E26" t="inlineStr">
        <is>
          <t>TIMRÅ</t>
        </is>
      </c>
      <c r="F26" t="inlineStr">
        <is>
          <t>SCA</t>
        </is>
      </c>
      <c r="G26" t="n">
        <v>2.6</v>
      </c>
      <c r="H26" t="n">
        <v>1</v>
      </c>
      <c r="I26" t="n">
        <v>0</v>
      </c>
      <c r="J26" t="n">
        <v>3</v>
      </c>
      <c r="K26" t="n">
        <v>0</v>
      </c>
      <c r="L26" t="n">
        <v>0</v>
      </c>
      <c r="M26" t="n">
        <v>0</v>
      </c>
      <c r="N26" t="n">
        <v>0</v>
      </c>
      <c r="O26" t="n">
        <v>3</v>
      </c>
      <c r="P26" t="n">
        <v>0</v>
      </c>
      <c r="Q26" t="n">
        <v>3</v>
      </c>
      <c r="R26" s="2" t="inlineStr">
        <is>
          <t>Garnlav
Tretåig hackspett
Vedflamlav</t>
        </is>
      </c>
      <c r="S26">
        <f>HYPERLINK("https://klasma.github.io/Logging_2262/artfynd/A 21846-2024 artfynd.xlsx", "A 21846-2024")</f>
        <v/>
      </c>
      <c r="T26">
        <f>HYPERLINK("https://klasma.github.io/Logging_2262/kartor/A 21846-2024 karta.png", "A 21846-2024")</f>
        <v/>
      </c>
      <c r="V26">
        <f>HYPERLINK("https://klasma.github.io/Logging_2262/klagomål/A 21846-2024 FSC-klagomål.docx", "A 21846-2024")</f>
        <v/>
      </c>
      <c r="W26">
        <f>HYPERLINK("https://klasma.github.io/Logging_2262/klagomålsmail/A 21846-2024 FSC-klagomål mail.docx", "A 21846-2024")</f>
        <v/>
      </c>
      <c r="X26">
        <f>HYPERLINK("https://klasma.github.io/Logging_2262/tillsyn/A 21846-2024 tillsynsbegäran.docx", "A 21846-2024")</f>
        <v/>
      </c>
      <c r="Y26">
        <f>HYPERLINK("https://klasma.github.io/Logging_2262/tillsynsmail/A 21846-2024 tillsynsbegäran mail.docx", "A 21846-2024")</f>
        <v/>
      </c>
      <c r="Z26">
        <f>HYPERLINK("https://klasma.github.io/Logging_2262/fåglar/A 21846-2024 prioriterade fågelarter.docx", "A 21846-2024")</f>
        <v/>
      </c>
    </row>
    <row r="27" ht="15" customHeight="1">
      <c r="A27" t="inlineStr">
        <is>
          <t>A 18510-2021</t>
        </is>
      </c>
      <c r="B27" s="1" t="n">
        <v>44306</v>
      </c>
      <c r="C27" s="1" t="n">
        <v>45473</v>
      </c>
      <c r="D27" t="inlineStr">
        <is>
          <t>VÄSTERNORRLANDS LÄN</t>
        </is>
      </c>
      <c r="E27" t="inlineStr">
        <is>
          <t>TIMRÅ</t>
        </is>
      </c>
      <c r="G27" t="n">
        <v>28</v>
      </c>
      <c r="H27" t="n">
        <v>1</v>
      </c>
      <c r="I27" t="n">
        <v>1</v>
      </c>
      <c r="J27" t="n">
        <v>1</v>
      </c>
      <c r="K27" t="n">
        <v>0</v>
      </c>
      <c r="L27" t="n">
        <v>0</v>
      </c>
      <c r="M27" t="n">
        <v>0</v>
      </c>
      <c r="N27" t="n">
        <v>0</v>
      </c>
      <c r="O27" t="n">
        <v>1</v>
      </c>
      <c r="P27" t="n">
        <v>0</v>
      </c>
      <c r="Q27" t="n">
        <v>2</v>
      </c>
      <c r="R27" s="2" t="inlineStr">
        <is>
          <t>Sötgräs
Strutbräken</t>
        </is>
      </c>
      <c r="S27">
        <f>HYPERLINK("https://klasma.github.io/Logging_2262/artfynd/A 18510-2021 artfynd.xlsx", "A 18510-2021")</f>
        <v/>
      </c>
      <c r="T27">
        <f>HYPERLINK("https://klasma.github.io/Logging_2262/kartor/A 18510-2021 karta.png", "A 18510-2021")</f>
        <v/>
      </c>
      <c r="V27">
        <f>HYPERLINK("https://klasma.github.io/Logging_2262/klagomål/A 18510-2021 FSC-klagomål.docx", "A 18510-2021")</f>
        <v/>
      </c>
      <c r="W27">
        <f>HYPERLINK("https://klasma.github.io/Logging_2262/klagomålsmail/A 18510-2021 FSC-klagomål mail.docx", "A 18510-2021")</f>
        <v/>
      </c>
      <c r="X27">
        <f>HYPERLINK("https://klasma.github.io/Logging_2262/tillsyn/A 18510-2021 tillsynsbegäran.docx", "A 18510-2021")</f>
        <v/>
      </c>
      <c r="Y27">
        <f>HYPERLINK("https://klasma.github.io/Logging_2262/tillsynsmail/A 18510-2021 tillsynsbegäran mail.docx", "A 18510-2021")</f>
        <v/>
      </c>
    </row>
    <row r="28" ht="15" customHeight="1">
      <c r="A28" t="inlineStr">
        <is>
          <t>A 23222-2022</t>
        </is>
      </c>
      <c r="B28" s="1" t="n">
        <v>44719</v>
      </c>
      <c r="C28" s="1" t="n">
        <v>45473</v>
      </c>
      <c r="D28" t="inlineStr">
        <is>
          <t>VÄSTERNORRLANDS LÄN</t>
        </is>
      </c>
      <c r="E28" t="inlineStr">
        <is>
          <t>TIMRÅ</t>
        </is>
      </c>
      <c r="F28" t="inlineStr">
        <is>
          <t>SCA</t>
        </is>
      </c>
      <c r="G28" t="n">
        <v>4</v>
      </c>
      <c r="H28" t="n">
        <v>0</v>
      </c>
      <c r="I28" t="n">
        <v>0</v>
      </c>
      <c r="J28" t="n">
        <v>2</v>
      </c>
      <c r="K28" t="n">
        <v>0</v>
      </c>
      <c r="L28" t="n">
        <v>0</v>
      </c>
      <c r="M28" t="n">
        <v>0</v>
      </c>
      <c r="N28" t="n">
        <v>0</v>
      </c>
      <c r="O28" t="n">
        <v>2</v>
      </c>
      <c r="P28" t="n">
        <v>0</v>
      </c>
      <c r="Q28" t="n">
        <v>2</v>
      </c>
      <c r="R28" s="2" t="inlineStr">
        <is>
          <t>Gammelgransskål
Garnlav</t>
        </is>
      </c>
      <c r="S28">
        <f>HYPERLINK("https://klasma.github.io/Logging_2262/artfynd/A 23222-2022 artfynd.xlsx", "A 23222-2022")</f>
        <v/>
      </c>
      <c r="T28">
        <f>HYPERLINK("https://klasma.github.io/Logging_2262/kartor/A 23222-2022 karta.png", "A 23222-2022")</f>
        <v/>
      </c>
      <c r="V28">
        <f>HYPERLINK("https://klasma.github.io/Logging_2262/klagomål/A 23222-2022 FSC-klagomål.docx", "A 23222-2022")</f>
        <v/>
      </c>
      <c r="W28">
        <f>HYPERLINK("https://klasma.github.io/Logging_2262/klagomålsmail/A 23222-2022 FSC-klagomål mail.docx", "A 23222-2022")</f>
        <v/>
      </c>
      <c r="X28">
        <f>HYPERLINK("https://klasma.github.io/Logging_2262/tillsyn/A 23222-2022 tillsynsbegäran.docx", "A 23222-2022")</f>
        <v/>
      </c>
      <c r="Y28">
        <f>HYPERLINK("https://klasma.github.io/Logging_2262/tillsynsmail/A 23222-2022 tillsynsbegäran mail.docx", "A 23222-2022")</f>
        <v/>
      </c>
    </row>
    <row r="29" ht="15" customHeight="1">
      <c r="A29" t="inlineStr">
        <is>
          <t>A 30246-2022</t>
        </is>
      </c>
      <c r="B29" s="1" t="n">
        <v>44758</v>
      </c>
      <c r="C29" s="1" t="n">
        <v>45473</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45473</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45473</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45473</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45473</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45473</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45473</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45473</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45473</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45473</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45473</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45473</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45473</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45473</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66710-2019</t>
        </is>
      </c>
      <c r="B43" s="1" t="n">
        <v>43809</v>
      </c>
      <c r="C43" s="1" t="n">
        <v>45473</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45473</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45473</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45473</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45473</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45473</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45473</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45473</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57242-2022</t>
        </is>
      </c>
      <c r="B51" s="1" t="n">
        <v>44889</v>
      </c>
      <c r="C51" s="1" t="n">
        <v>45473</v>
      </c>
      <c r="D51" t="inlineStr">
        <is>
          <t>VÄSTERNORRLANDS LÄN</t>
        </is>
      </c>
      <c r="E51" t="inlineStr">
        <is>
          <t>TIMRÅ</t>
        </is>
      </c>
      <c r="G51" t="n">
        <v>18.8</v>
      </c>
      <c r="H51" t="n">
        <v>0</v>
      </c>
      <c r="I51" t="n">
        <v>0</v>
      </c>
      <c r="J51" t="n">
        <v>0</v>
      </c>
      <c r="K51" t="n">
        <v>0</v>
      </c>
      <c r="L51" t="n">
        <v>1</v>
      </c>
      <c r="M51" t="n">
        <v>0</v>
      </c>
      <c r="N51" t="n">
        <v>0</v>
      </c>
      <c r="O51" t="n">
        <v>1</v>
      </c>
      <c r="P51" t="n">
        <v>1</v>
      </c>
      <c r="Q51" t="n">
        <v>1</v>
      </c>
      <c r="R51" s="2" t="inlineStr">
        <is>
          <t>Flodpärlmussla</t>
        </is>
      </c>
      <c r="S51">
        <f>HYPERLINK("https://klasma.github.io/Logging_2262/artfynd/A 57242-2022 artfynd.xlsx", "A 57242-2022")</f>
        <v/>
      </c>
      <c r="T51">
        <f>HYPERLINK("https://klasma.github.io/Logging_2262/kartor/A 57242-2022 karta.png", "A 57242-2022")</f>
        <v/>
      </c>
      <c r="V51">
        <f>HYPERLINK("https://klasma.github.io/Logging_2262/klagomål/A 57242-2022 FSC-klagomål.docx", "A 57242-2022")</f>
        <v/>
      </c>
      <c r="W51">
        <f>HYPERLINK("https://klasma.github.io/Logging_2262/klagomålsmail/A 57242-2022 FSC-klagomål mail.docx", "A 57242-2022")</f>
        <v/>
      </c>
      <c r="X51">
        <f>HYPERLINK("https://klasma.github.io/Logging_2262/tillsyn/A 57242-2022 tillsynsbegäran.docx", "A 57242-2022")</f>
        <v/>
      </c>
      <c r="Y51">
        <f>HYPERLINK("https://klasma.github.io/Logging_2262/tillsynsmail/A 57242-2022 tillsynsbegäran mail.docx", "A 57242-2022")</f>
        <v/>
      </c>
    </row>
    <row r="52" ht="15" customHeight="1">
      <c r="A52" t="inlineStr">
        <is>
          <t>A 10313-2023</t>
        </is>
      </c>
      <c r="B52" s="1" t="n">
        <v>44986</v>
      </c>
      <c r="C52" s="1" t="n">
        <v>45473</v>
      </c>
      <c r="D52" t="inlineStr">
        <is>
          <t>VÄSTERNORRLANDS LÄN</t>
        </is>
      </c>
      <c r="E52" t="inlineStr">
        <is>
          <t>TIMRÅ</t>
        </is>
      </c>
      <c r="F52" t="inlineStr">
        <is>
          <t>SCA</t>
        </is>
      </c>
      <c r="G52" t="n">
        <v>39.3</v>
      </c>
      <c r="H52" t="n">
        <v>1</v>
      </c>
      <c r="I52" t="n">
        <v>0</v>
      </c>
      <c r="J52" t="n">
        <v>1</v>
      </c>
      <c r="K52" t="n">
        <v>0</v>
      </c>
      <c r="L52" t="n">
        <v>0</v>
      </c>
      <c r="M52" t="n">
        <v>0</v>
      </c>
      <c r="N52" t="n">
        <v>0</v>
      </c>
      <c r="O52" t="n">
        <v>1</v>
      </c>
      <c r="P52" t="n">
        <v>0</v>
      </c>
      <c r="Q52" t="n">
        <v>1</v>
      </c>
      <c r="R52" s="2" t="inlineStr">
        <is>
          <t>Slaguggla</t>
        </is>
      </c>
      <c r="S52">
        <f>HYPERLINK("https://klasma.github.io/Logging_2262/artfynd/A 10313-2023 artfynd.xlsx", "A 10313-2023")</f>
        <v/>
      </c>
      <c r="T52">
        <f>HYPERLINK("https://klasma.github.io/Logging_2262/kartor/A 10313-2023 karta.png", "A 10313-2023")</f>
        <v/>
      </c>
      <c r="V52">
        <f>HYPERLINK("https://klasma.github.io/Logging_2262/klagomål/A 10313-2023 FSC-klagomål.docx", "A 10313-2023")</f>
        <v/>
      </c>
      <c r="W52">
        <f>HYPERLINK("https://klasma.github.io/Logging_2262/klagomålsmail/A 10313-2023 FSC-klagomål mail.docx", "A 10313-2023")</f>
        <v/>
      </c>
      <c r="X52">
        <f>HYPERLINK("https://klasma.github.io/Logging_2262/tillsyn/A 10313-2023 tillsynsbegäran.docx", "A 10313-2023")</f>
        <v/>
      </c>
      <c r="Y52">
        <f>HYPERLINK("https://klasma.github.io/Logging_2262/tillsynsmail/A 10313-2023 tillsynsbegäran mail.docx", "A 10313-2023")</f>
        <v/>
      </c>
      <c r="Z52">
        <f>HYPERLINK("https://klasma.github.io/Logging_2262/fåglar/A 10313-2023 prioriterade fågelarter.docx", "A 10313-2023")</f>
        <v/>
      </c>
    </row>
    <row r="53" ht="15" customHeight="1">
      <c r="A53" t="inlineStr">
        <is>
          <t>A 33330-2023</t>
        </is>
      </c>
      <c r="B53" s="1" t="n">
        <v>45127</v>
      </c>
      <c r="C53" s="1" t="n">
        <v>45473</v>
      </c>
      <c r="D53" t="inlineStr">
        <is>
          <t>VÄSTERNORRLANDS LÄN</t>
        </is>
      </c>
      <c r="E53" t="inlineStr">
        <is>
          <t>TIMRÅ</t>
        </is>
      </c>
      <c r="F53" t="inlineStr">
        <is>
          <t>SCA</t>
        </is>
      </c>
      <c r="G53" t="n">
        <v>4</v>
      </c>
      <c r="H53" t="n">
        <v>0</v>
      </c>
      <c r="I53" t="n">
        <v>0</v>
      </c>
      <c r="J53" t="n">
        <v>1</v>
      </c>
      <c r="K53" t="n">
        <v>0</v>
      </c>
      <c r="L53" t="n">
        <v>0</v>
      </c>
      <c r="M53" t="n">
        <v>0</v>
      </c>
      <c r="N53" t="n">
        <v>0</v>
      </c>
      <c r="O53" t="n">
        <v>1</v>
      </c>
      <c r="P53" t="n">
        <v>0</v>
      </c>
      <c r="Q53" t="n">
        <v>1</v>
      </c>
      <c r="R53" s="2" t="inlineStr">
        <is>
          <t>Lunglav</t>
        </is>
      </c>
      <c r="S53">
        <f>HYPERLINK("https://klasma.github.io/Logging_2262/artfynd/A 33330-2023 artfynd.xlsx", "A 33330-2023")</f>
        <v/>
      </c>
      <c r="T53">
        <f>HYPERLINK("https://klasma.github.io/Logging_2262/kartor/A 33330-2023 karta.png", "A 33330-2023")</f>
        <v/>
      </c>
      <c r="V53">
        <f>HYPERLINK("https://klasma.github.io/Logging_2262/klagomål/A 33330-2023 FSC-klagomål.docx", "A 33330-2023")</f>
        <v/>
      </c>
      <c r="W53">
        <f>HYPERLINK("https://klasma.github.io/Logging_2262/klagomålsmail/A 33330-2023 FSC-klagomål mail.docx", "A 33330-2023")</f>
        <v/>
      </c>
      <c r="X53">
        <f>HYPERLINK("https://klasma.github.io/Logging_2262/tillsyn/A 33330-2023 tillsynsbegäran.docx", "A 33330-2023")</f>
        <v/>
      </c>
      <c r="Y53">
        <f>HYPERLINK("https://klasma.github.io/Logging_2262/tillsynsmail/A 33330-2023 tillsynsbegäran mail.docx", "A 33330-2023")</f>
        <v/>
      </c>
    </row>
    <row r="54" ht="15" customHeight="1">
      <c r="A54" t="inlineStr">
        <is>
          <t>A 33503-2023</t>
        </is>
      </c>
      <c r="B54" s="1" t="n">
        <v>45131</v>
      </c>
      <c r="C54" s="1" t="n">
        <v>45473</v>
      </c>
      <c r="D54" t="inlineStr">
        <is>
          <t>VÄSTERNORRLANDS LÄN</t>
        </is>
      </c>
      <c r="E54" t="inlineStr">
        <is>
          <t>TIMRÅ</t>
        </is>
      </c>
      <c r="G54" t="n">
        <v>28.3</v>
      </c>
      <c r="H54" t="n">
        <v>1</v>
      </c>
      <c r="I54" t="n">
        <v>0</v>
      </c>
      <c r="J54" t="n">
        <v>1</v>
      </c>
      <c r="K54" t="n">
        <v>0</v>
      </c>
      <c r="L54" t="n">
        <v>0</v>
      </c>
      <c r="M54" t="n">
        <v>0</v>
      </c>
      <c r="N54" t="n">
        <v>0</v>
      </c>
      <c r="O54" t="n">
        <v>1</v>
      </c>
      <c r="P54" t="n">
        <v>0</v>
      </c>
      <c r="Q54" t="n">
        <v>1</v>
      </c>
      <c r="R54" s="2" t="inlineStr">
        <is>
          <t>Utter</t>
        </is>
      </c>
      <c r="S54">
        <f>HYPERLINK("https://klasma.github.io/Logging_2262/artfynd/A 33503-2023 artfynd.xlsx", "A 33503-2023")</f>
        <v/>
      </c>
      <c r="T54">
        <f>HYPERLINK("https://klasma.github.io/Logging_2262/kartor/A 33503-2023 karta.png", "A 33503-2023")</f>
        <v/>
      </c>
      <c r="V54">
        <f>HYPERLINK("https://klasma.github.io/Logging_2262/klagomål/A 33503-2023 FSC-klagomål.docx", "A 33503-2023")</f>
        <v/>
      </c>
      <c r="W54">
        <f>HYPERLINK("https://klasma.github.io/Logging_2262/klagomålsmail/A 33503-2023 FSC-klagomål mail.docx", "A 33503-2023")</f>
        <v/>
      </c>
      <c r="X54">
        <f>HYPERLINK("https://klasma.github.io/Logging_2262/tillsyn/A 33503-2023 tillsynsbegäran.docx", "A 33503-2023")</f>
        <v/>
      </c>
      <c r="Y54">
        <f>HYPERLINK("https://klasma.github.io/Logging_2262/tillsynsmail/A 33503-2023 tillsynsbegäran mail.docx", "A 33503-2023")</f>
        <v/>
      </c>
    </row>
    <row r="55" ht="15" customHeight="1">
      <c r="A55" t="inlineStr">
        <is>
          <t>A 35510-2023</t>
        </is>
      </c>
      <c r="B55" s="1" t="n">
        <v>45147</v>
      </c>
      <c r="C55" s="1" t="n">
        <v>45473</v>
      </c>
      <c r="D55" t="inlineStr">
        <is>
          <t>VÄSTERNORRLANDS LÄN</t>
        </is>
      </c>
      <c r="E55" t="inlineStr">
        <is>
          <t>TIMRÅ</t>
        </is>
      </c>
      <c r="F55" t="inlineStr">
        <is>
          <t>SCA</t>
        </is>
      </c>
      <c r="G55" t="n">
        <v>3.5</v>
      </c>
      <c r="H55" t="n">
        <v>1</v>
      </c>
      <c r="I55" t="n">
        <v>0</v>
      </c>
      <c r="J55" t="n">
        <v>0</v>
      </c>
      <c r="K55" t="n">
        <v>0</v>
      </c>
      <c r="L55" t="n">
        <v>0</v>
      </c>
      <c r="M55" t="n">
        <v>0</v>
      </c>
      <c r="N55" t="n">
        <v>0</v>
      </c>
      <c r="O55" t="n">
        <v>0</v>
      </c>
      <c r="P55" t="n">
        <v>0</v>
      </c>
      <c r="Q55" t="n">
        <v>1</v>
      </c>
      <c r="R55" s="2" t="inlineStr">
        <is>
          <t>Revlummer</t>
        </is>
      </c>
      <c r="S55">
        <f>HYPERLINK("https://klasma.github.io/Logging_2262/artfynd/A 35510-2023 artfynd.xlsx", "A 35510-2023")</f>
        <v/>
      </c>
      <c r="T55">
        <f>HYPERLINK("https://klasma.github.io/Logging_2262/kartor/A 35510-2023 karta.png", "A 35510-2023")</f>
        <v/>
      </c>
      <c r="V55">
        <f>HYPERLINK("https://klasma.github.io/Logging_2262/klagomål/A 35510-2023 FSC-klagomål.docx", "A 35510-2023")</f>
        <v/>
      </c>
      <c r="W55">
        <f>HYPERLINK("https://klasma.github.io/Logging_2262/klagomålsmail/A 35510-2023 FSC-klagomål mail.docx", "A 35510-2023")</f>
        <v/>
      </c>
      <c r="X55">
        <f>HYPERLINK("https://klasma.github.io/Logging_2262/tillsyn/A 35510-2023 tillsynsbegäran.docx", "A 35510-2023")</f>
        <v/>
      </c>
      <c r="Y55">
        <f>HYPERLINK("https://klasma.github.io/Logging_2262/tillsynsmail/A 35510-2023 tillsynsbegäran mail.docx", "A 35510-2023")</f>
        <v/>
      </c>
    </row>
    <row r="56" ht="15" customHeight="1">
      <c r="A56" t="inlineStr">
        <is>
          <t>A 39141-2023</t>
        </is>
      </c>
      <c r="B56" s="1" t="n">
        <v>45165</v>
      </c>
      <c r="C56" s="1" t="n">
        <v>45473</v>
      </c>
      <c r="D56" t="inlineStr">
        <is>
          <t>VÄSTERNORRLANDS LÄN</t>
        </is>
      </c>
      <c r="E56" t="inlineStr">
        <is>
          <t>TIMRÅ</t>
        </is>
      </c>
      <c r="F56" t="inlineStr">
        <is>
          <t>SCA</t>
        </is>
      </c>
      <c r="G56" t="n">
        <v>11.3</v>
      </c>
      <c r="H56" t="n">
        <v>1</v>
      </c>
      <c r="I56" t="n">
        <v>1</v>
      </c>
      <c r="J56" t="n">
        <v>0</v>
      </c>
      <c r="K56" t="n">
        <v>0</v>
      </c>
      <c r="L56" t="n">
        <v>0</v>
      </c>
      <c r="M56" t="n">
        <v>0</v>
      </c>
      <c r="N56" t="n">
        <v>0</v>
      </c>
      <c r="O56" t="n">
        <v>0</v>
      </c>
      <c r="P56" t="n">
        <v>0</v>
      </c>
      <c r="Q56" t="n">
        <v>1</v>
      </c>
      <c r="R56" s="2" t="inlineStr">
        <is>
          <t>Plattlummer</t>
        </is>
      </c>
      <c r="S56">
        <f>HYPERLINK("https://klasma.github.io/Logging_2262/artfynd/A 39141-2023 artfynd.xlsx", "A 39141-2023")</f>
        <v/>
      </c>
      <c r="T56">
        <f>HYPERLINK("https://klasma.github.io/Logging_2262/kartor/A 39141-2023 karta.png", "A 39141-2023")</f>
        <v/>
      </c>
      <c r="V56">
        <f>HYPERLINK("https://klasma.github.io/Logging_2262/klagomål/A 39141-2023 FSC-klagomål.docx", "A 39141-2023")</f>
        <v/>
      </c>
      <c r="W56">
        <f>HYPERLINK("https://klasma.github.io/Logging_2262/klagomålsmail/A 39141-2023 FSC-klagomål mail.docx", "A 39141-2023")</f>
        <v/>
      </c>
      <c r="X56">
        <f>HYPERLINK("https://klasma.github.io/Logging_2262/tillsyn/A 39141-2023 tillsynsbegäran.docx", "A 39141-2023")</f>
        <v/>
      </c>
      <c r="Y56">
        <f>HYPERLINK("https://klasma.github.io/Logging_2262/tillsynsmail/A 39141-2023 tillsynsbegäran mail.docx", "A 39141-2023")</f>
        <v/>
      </c>
    </row>
    <row r="57" ht="15" customHeight="1">
      <c r="A57" t="inlineStr">
        <is>
          <t>A 47793-2023</t>
        </is>
      </c>
      <c r="B57" s="1" t="n">
        <v>45203</v>
      </c>
      <c r="C57" s="1" t="n">
        <v>45473</v>
      </c>
      <c r="D57" t="inlineStr">
        <is>
          <t>VÄSTERNORRLANDS LÄN</t>
        </is>
      </c>
      <c r="E57" t="inlineStr">
        <is>
          <t>TIMRÅ</t>
        </is>
      </c>
      <c r="F57" t="inlineStr">
        <is>
          <t>SCA</t>
        </is>
      </c>
      <c r="G57" t="n">
        <v>9.699999999999999</v>
      </c>
      <c r="H57" t="n">
        <v>1</v>
      </c>
      <c r="I57" t="n">
        <v>0</v>
      </c>
      <c r="J57" t="n">
        <v>0</v>
      </c>
      <c r="K57" t="n">
        <v>0</v>
      </c>
      <c r="L57" t="n">
        <v>0</v>
      </c>
      <c r="M57" t="n">
        <v>0</v>
      </c>
      <c r="N57" t="n">
        <v>0</v>
      </c>
      <c r="O57" t="n">
        <v>0</v>
      </c>
      <c r="P57" t="n">
        <v>0</v>
      </c>
      <c r="Q57" t="n">
        <v>1</v>
      </c>
      <c r="R57" s="2" t="inlineStr">
        <is>
          <t>Revlummer</t>
        </is>
      </c>
      <c r="S57">
        <f>HYPERLINK("https://klasma.github.io/Logging_2262/artfynd/A 47793-2023 artfynd.xlsx", "A 47793-2023")</f>
        <v/>
      </c>
      <c r="T57">
        <f>HYPERLINK("https://klasma.github.io/Logging_2262/kartor/A 47793-2023 karta.png", "A 47793-2023")</f>
        <v/>
      </c>
      <c r="V57">
        <f>HYPERLINK("https://klasma.github.io/Logging_2262/klagomål/A 47793-2023 FSC-klagomål.docx", "A 47793-2023")</f>
        <v/>
      </c>
      <c r="W57">
        <f>HYPERLINK("https://klasma.github.io/Logging_2262/klagomålsmail/A 47793-2023 FSC-klagomål mail.docx", "A 47793-2023")</f>
        <v/>
      </c>
      <c r="X57">
        <f>HYPERLINK("https://klasma.github.io/Logging_2262/tillsyn/A 47793-2023 tillsynsbegäran.docx", "A 47793-2023")</f>
        <v/>
      </c>
      <c r="Y57">
        <f>HYPERLINK("https://klasma.github.io/Logging_2262/tillsynsmail/A 47793-2023 tillsynsbegäran mail.docx", "A 47793-2023")</f>
        <v/>
      </c>
    </row>
    <row r="58" ht="15" customHeight="1">
      <c r="A58" t="inlineStr">
        <is>
          <t>A 47792-2023</t>
        </is>
      </c>
      <c r="B58" s="1" t="n">
        <v>45203</v>
      </c>
      <c r="C58" s="1" t="n">
        <v>45473</v>
      </c>
      <c r="D58" t="inlineStr">
        <is>
          <t>VÄSTERNORRLANDS LÄN</t>
        </is>
      </c>
      <c r="E58" t="inlineStr">
        <is>
          <t>TIMRÅ</t>
        </is>
      </c>
      <c r="F58" t="inlineStr">
        <is>
          <t>SCA</t>
        </is>
      </c>
      <c r="G58" t="n">
        <v>4.1</v>
      </c>
      <c r="H58" t="n">
        <v>0</v>
      </c>
      <c r="I58" t="n">
        <v>1</v>
      </c>
      <c r="J58" t="n">
        <v>0</v>
      </c>
      <c r="K58" t="n">
        <v>0</v>
      </c>
      <c r="L58" t="n">
        <v>0</v>
      </c>
      <c r="M58" t="n">
        <v>0</v>
      </c>
      <c r="N58" t="n">
        <v>0</v>
      </c>
      <c r="O58" t="n">
        <v>0</v>
      </c>
      <c r="P58" t="n">
        <v>0</v>
      </c>
      <c r="Q58" t="n">
        <v>1</v>
      </c>
      <c r="R58" s="2" t="inlineStr">
        <is>
          <t>Gräsull</t>
        </is>
      </c>
      <c r="S58">
        <f>HYPERLINK("https://klasma.github.io/Logging_2262/artfynd/A 47792-2023 artfynd.xlsx", "A 47792-2023")</f>
        <v/>
      </c>
      <c r="T58">
        <f>HYPERLINK("https://klasma.github.io/Logging_2262/kartor/A 47792-2023 karta.png", "A 47792-2023")</f>
        <v/>
      </c>
      <c r="V58">
        <f>HYPERLINK("https://klasma.github.io/Logging_2262/klagomål/A 47792-2023 FSC-klagomål.docx", "A 47792-2023")</f>
        <v/>
      </c>
      <c r="W58">
        <f>HYPERLINK("https://klasma.github.io/Logging_2262/klagomålsmail/A 47792-2023 FSC-klagomål mail.docx", "A 47792-2023")</f>
        <v/>
      </c>
      <c r="X58">
        <f>HYPERLINK("https://klasma.github.io/Logging_2262/tillsyn/A 47792-2023 tillsynsbegäran.docx", "A 47792-2023")</f>
        <v/>
      </c>
      <c r="Y58">
        <f>HYPERLINK("https://klasma.github.io/Logging_2262/tillsynsmail/A 47792-2023 tillsynsbegäran mail.docx", "A 47792-2023")</f>
        <v/>
      </c>
    </row>
    <row r="59" ht="15" customHeight="1">
      <c r="A59" t="inlineStr">
        <is>
          <t>A 49329-2023</t>
        </is>
      </c>
      <c r="B59" s="1" t="n">
        <v>45210</v>
      </c>
      <c r="C59" s="1" t="n">
        <v>45473</v>
      </c>
      <c r="D59" t="inlineStr">
        <is>
          <t>VÄSTERNORRLANDS LÄN</t>
        </is>
      </c>
      <c r="E59" t="inlineStr">
        <is>
          <t>TIMRÅ</t>
        </is>
      </c>
      <c r="F59" t="inlineStr">
        <is>
          <t>SCA</t>
        </is>
      </c>
      <c r="G59" t="n">
        <v>12.9</v>
      </c>
      <c r="H59" t="n">
        <v>0</v>
      </c>
      <c r="I59" t="n">
        <v>0</v>
      </c>
      <c r="J59" t="n">
        <v>1</v>
      </c>
      <c r="K59" t="n">
        <v>0</v>
      </c>
      <c r="L59" t="n">
        <v>0</v>
      </c>
      <c r="M59" t="n">
        <v>0</v>
      </c>
      <c r="N59" t="n">
        <v>0</v>
      </c>
      <c r="O59" t="n">
        <v>1</v>
      </c>
      <c r="P59" t="n">
        <v>0</v>
      </c>
      <c r="Q59" t="n">
        <v>1</v>
      </c>
      <c r="R59" s="2" t="inlineStr">
        <is>
          <t>Ullticka</t>
        </is>
      </c>
      <c r="S59">
        <f>HYPERLINK("https://klasma.github.io/Logging_2262/artfynd/A 49329-2023 artfynd.xlsx", "A 49329-2023")</f>
        <v/>
      </c>
      <c r="T59">
        <f>HYPERLINK("https://klasma.github.io/Logging_2262/kartor/A 49329-2023 karta.png", "A 49329-2023")</f>
        <v/>
      </c>
      <c r="V59">
        <f>HYPERLINK("https://klasma.github.io/Logging_2262/klagomål/A 49329-2023 FSC-klagomål.docx", "A 49329-2023")</f>
        <v/>
      </c>
      <c r="W59">
        <f>HYPERLINK("https://klasma.github.io/Logging_2262/klagomålsmail/A 49329-2023 FSC-klagomål mail.docx", "A 49329-2023")</f>
        <v/>
      </c>
      <c r="X59">
        <f>HYPERLINK("https://klasma.github.io/Logging_2262/tillsyn/A 49329-2023 tillsynsbegäran.docx", "A 49329-2023")</f>
        <v/>
      </c>
      <c r="Y59">
        <f>HYPERLINK("https://klasma.github.io/Logging_2262/tillsynsmail/A 49329-2023 tillsynsbegäran mail.docx", "A 49329-2023")</f>
        <v/>
      </c>
    </row>
    <row r="60" ht="15" customHeight="1">
      <c r="A60" t="inlineStr">
        <is>
          <t>A 56372-2023</t>
        </is>
      </c>
      <c r="B60" s="1" t="n">
        <v>45243</v>
      </c>
      <c r="C60" s="1" t="n">
        <v>45473</v>
      </c>
      <c r="D60" t="inlineStr">
        <is>
          <t>VÄSTERNORRLANDS LÄN</t>
        </is>
      </c>
      <c r="E60" t="inlineStr">
        <is>
          <t>TIMRÅ</t>
        </is>
      </c>
      <c r="G60" t="n">
        <v>6.9</v>
      </c>
      <c r="H60" t="n">
        <v>1</v>
      </c>
      <c r="I60" t="n">
        <v>0</v>
      </c>
      <c r="J60" t="n">
        <v>0</v>
      </c>
      <c r="K60" t="n">
        <v>1</v>
      </c>
      <c r="L60" t="n">
        <v>0</v>
      </c>
      <c r="M60" t="n">
        <v>0</v>
      </c>
      <c r="N60" t="n">
        <v>0</v>
      </c>
      <c r="O60" t="n">
        <v>1</v>
      </c>
      <c r="P60" t="n">
        <v>1</v>
      </c>
      <c r="Q60" t="n">
        <v>1</v>
      </c>
      <c r="R60" s="2" t="inlineStr">
        <is>
          <t>Knärot</t>
        </is>
      </c>
      <c r="S60">
        <f>HYPERLINK("https://klasma.github.io/Logging_2262/artfynd/A 56372-2023 artfynd.xlsx", "A 56372-2023")</f>
        <v/>
      </c>
      <c r="T60">
        <f>HYPERLINK("https://klasma.github.io/Logging_2262/kartor/A 56372-2023 karta.png", "A 56372-2023")</f>
        <v/>
      </c>
      <c r="U60">
        <f>HYPERLINK("https://klasma.github.io/Logging_2262/knärot/A 56372-2023 karta knärot.png", "A 56372-2023")</f>
        <v/>
      </c>
      <c r="V60">
        <f>HYPERLINK("https://klasma.github.io/Logging_2262/klagomål/A 56372-2023 FSC-klagomål.docx", "A 56372-2023")</f>
        <v/>
      </c>
      <c r="W60">
        <f>HYPERLINK("https://klasma.github.io/Logging_2262/klagomålsmail/A 56372-2023 FSC-klagomål mail.docx", "A 56372-2023")</f>
        <v/>
      </c>
      <c r="X60">
        <f>HYPERLINK("https://klasma.github.io/Logging_2262/tillsyn/A 56372-2023 tillsynsbegäran.docx", "A 56372-2023")</f>
        <v/>
      </c>
      <c r="Y60">
        <f>HYPERLINK("https://klasma.github.io/Logging_2262/tillsynsmail/A 56372-2023 tillsynsbegäran mail.docx", "A 56372-2023")</f>
        <v/>
      </c>
    </row>
    <row r="61" ht="15" customHeight="1">
      <c r="A61" t="inlineStr">
        <is>
          <t>A 58464-2023</t>
        </is>
      </c>
      <c r="B61" s="1" t="n">
        <v>45250</v>
      </c>
      <c r="C61" s="1" t="n">
        <v>45473</v>
      </c>
      <c r="D61" t="inlineStr">
        <is>
          <t>VÄSTERNORRLANDS LÄN</t>
        </is>
      </c>
      <c r="E61" t="inlineStr">
        <is>
          <t>TIMRÅ</t>
        </is>
      </c>
      <c r="F61" t="inlineStr">
        <is>
          <t>SCA</t>
        </is>
      </c>
      <c r="G61" t="n">
        <v>6.5</v>
      </c>
      <c r="H61" t="n">
        <v>0</v>
      </c>
      <c r="I61" t="n">
        <v>0</v>
      </c>
      <c r="J61" t="n">
        <v>1</v>
      </c>
      <c r="K61" t="n">
        <v>0</v>
      </c>
      <c r="L61" t="n">
        <v>0</v>
      </c>
      <c r="M61" t="n">
        <v>0</v>
      </c>
      <c r="N61" t="n">
        <v>0</v>
      </c>
      <c r="O61" t="n">
        <v>1</v>
      </c>
      <c r="P61" t="n">
        <v>0</v>
      </c>
      <c r="Q61" t="n">
        <v>1</v>
      </c>
      <c r="R61" s="2" t="inlineStr">
        <is>
          <t>Granticka</t>
        </is>
      </c>
      <c r="S61">
        <f>HYPERLINK("https://klasma.github.io/Logging_2262/artfynd/A 58464-2023 artfynd.xlsx", "A 58464-2023")</f>
        <v/>
      </c>
      <c r="T61">
        <f>HYPERLINK("https://klasma.github.io/Logging_2262/kartor/A 58464-2023 karta.png", "A 58464-2023")</f>
        <v/>
      </c>
      <c r="V61">
        <f>HYPERLINK("https://klasma.github.io/Logging_2262/klagomål/A 58464-2023 FSC-klagomål.docx", "A 58464-2023")</f>
        <v/>
      </c>
      <c r="W61">
        <f>HYPERLINK("https://klasma.github.io/Logging_2262/klagomålsmail/A 58464-2023 FSC-klagomål mail.docx", "A 58464-2023")</f>
        <v/>
      </c>
      <c r="X61">
        <f>HYPERLINK("https://klasma.github.io/Logging_2262/tillsyn/A 58464-2023 tillsynsbegäran.docx", "A 58464-2023")</f>
        <v/>
      </c>
      <c r="Y61">
        <f>HYPERLINK("https://klasma.github.io/Logging_2262/tillsynsmail/A 58464-2023 tillsynsbegäran mail.docx", "A 58464-2023")</f>
        <v/>
      </c>
    </row>
    <row r="62" ht="15" customHeight="1">
      <c r="A62" t="inlineStr">
        <is>
          <t>A 1152-2024</t>
        </is>
      </c>
      <c r="B62" s="1" t="n">
        <v>45302</v>
      </c>
      <c r="C62" s="1" t="n">
        <v>45473</v>
      </c>
      <c r="D62" t="inlineStr">
        <is>
          <t>VÄSTERNORRLANDS LÄN</t>
        </is>
      </c>
      <c r="E62" t="inlineStr">
        <is>
          <t>TIMRÅ</t>
        </is>
      </c>
      <c r="G62" t="n">
        <v>5.8</v>
      </c>
      <c r="H62" t="n">
        <v>0</v>
      </c>
      <c r="I62" t="n">
        <v>1</v>
      </c>
      <c r="J62" t="n">
        <v>0</v>
      </c>
      <c r="K62" t="n">
        <v>0</v>
      </c>
      <c r="L62" t="n">
        <v>0</v>
      </c>
      <c r="M62" t="n">
        <v>0</v>
      </c>
      <c r="N62" t="n">
        <v>0</v>
      </c>
      <c r="O62" t="n">
        <v>0</v>
      </c>
      <c r="P62" t="n">
        <v>0</v>
      </c>
      <c r="Q62" t="n">
        <v>1</v>
      </c>
      <c r="R62" s="2" t="inlineStr">
        <is>
          <t>Tibast</t>
        </is>
      </c>
      <c r="S62">
        <f>HYPERLINK("https://klasma.github.io/Logging_2262/artfynd/A 1152-2024 artfynd.xlsx", "A 1152-2024")</f>
        <v/>
      </c>
      <c r="T62">
        <f>HYPERLINK("https://klasma.github.io/Logging_2262/kartor/A 1152-2024 karta.png", "A 1152-2024")</f>
        <v/>
      </c>
      <c r="V62">
        <f>HYPERLINK("https://klasma.github.io/Logging_2262/klagomål/A 1152-2024 FSC-klagomål.docx", "A 1152-2024")</f>
        <v/>
      </c>
      <c r="W62">
        <f>HYPERLINK("https://klasma.github.io/Logging_2262/klagomålsmail/A 1152-2024 FSC-klagomål mail.docx", "A 1152-2024")</f>
        <v/>
      </c>
      <c r="X62">
        <f>HYPERLINK("https://klasma.github.io/Logging_2262/tillsyn/A 1152-2024 tillsynsbegäran.docx", "A 1152-2024")</f>
        <v/>
      </c>
      <c r="Y62">
        <f>HYPERLINK("https://klasma.github.io/Logging_2262/tillsynsmail/A 1152-2024 tillsynsbegäran mail.docx", "A 1152-2024")</f>
        <v/>
      </c>
    </row>
    <row r="63" ht="15" customHeight="1">
      <c r="A63" t="inlineStr">
        <is>
          <t>A 7904-2024</t>
        </is>
      </c>
      <c r="B63" s="1" t="n">
        <v>45349</v>
      </c>
      <c r="C63" s="1" t="n">
        <v>45473</v>
      </c>
      <c r="D63" t="inlineStr">
        <is>
          <t>VÄSTERNORRLANDS LÄN</t>
        </is>
      </c>
      <c r="E63" t="inlineStr">
        <is>
          <t>TIMRÅ</t>
        </is>
      </c>
      <c r="G63" t="n">
        <v>7.3</v>
      </c>
      <c r="H63" t="n">
        <v>1</v>
      </c>
      <c r="I63" t="n">
        <v>0</v>
      </c>
      <c r="J63" t="n">
        <v>0</v>
      </c>
      <c r="K63" t="n">
        <v>1</v>
      </c>
      <c r="L63" t="n">
        <v>0</v>
      </c>
      <c r="M63" t="n">
        <v>0</v>
      </c>
      <c r="N63" t="n">
        <v>0</v>
      </c>
      <c r="O63" t="n">
        <v>1</v>
      </c>
      <c r="P63" t="n">
        <v>1</v>
      </c>
      <c r="Q63" t="n">
        <v>1</v>
      </c>
      <c r="R63" s="2" t="inlineStr">
        <is>
          <t>Bergviol</t>
        </is>
      </c>
      <c r="S63">
        <f>HYPERLINK("https://klasma.github.io/Logging_2262/artfynd/A 7904-2024 artfynd.xlsx", "A 7904-2024")</f>
        <v/>
      </c>
      <c r="T63">
        <f>HYPERLINK("https://klasma.github.io/Logging_2262/kartor/A 7904-2024 karta.png", "A 7904-2024")</f>
        <v/>
      </c>
      <c r="V63">
        <f>HYPERLINK("https://klasma.github.io/Logging_2262/klagomål/A 7904-2024 FSC-klagomål.docx", "A 7904-2024")</f>
        <v/>
      </c>
      <c r="W63">
        <f>HYPERLINK("https://klasma.github.io/Logging_2262/klagomålsmail/A 7904-2024 FSC-klagomål mail.docx", "A 7904-2024")</f>
        <v/>
      </c>
      <c r="X63">
        <f>HYPERLINK("https://klasma.github.io/Logging_2262/tillsyn/A 7904-2024 tillsynsbegäran.docx", "A 7904-2024")</f>
        <v/>
      </c>
      <c r="Y63">
        <f>HYPERLINK("https://klasma.github.io/Logging_2262/tillsynsmail/A 7904-2024 tillsynsbegäran mail.docx", "A 7904-2024")</f>
        <v/>
      </c>
    </row>
    <row r="64" ht="15" customHeight="1">
      <c r="A64" t="inlineStr">
        <is>
          <t>A 8998-2024</t>
        </is>
      </c>
      <c r="B64" s="1" t="n">
        <v>45356</v>
      </c>
      <c r="C64" s="1" t="n">
        <v>45473</v>
      </c>
      <c r="D64" t="inlineStr">
        <is>
          <t>VÄSTERNORRLANDS LÄN</t>
        </is>
      </c>
      <c r="E64" t="inlineStr">
        <is>
          <t>TIMRÅ</t>
        </is>
      </c>
      <c r="G64" t="n">
        <v>2.1</v>
      </c>
      <c r="H64" t="n">
        <v>0</v>
      </c>
      <c r="I64" t="n">
        <v>1</v>
      </c>
      <c r="J64" t="n">
        <v>0</v>
      </c>
      <c r="K64" t="n">
        <v>0</v>
      </c>
      <c r="L64" t="n">
        <v>0</v>
      </c>
      <c r="M64" t="n">
        <v>0</v>
      </c>
      <c r="N64" t="n">
        <v>0</v>
      </c>
      <c r="O64" t="n">
        <v>0</v>
      </c>
      <c r="P64" t="n">
        <v>0</v>
      </c>
      <c r="Q64" t="n">
        <v>1</v>
      </c>
      <c r="R64" s="2" t="inlineStr">
        <is>
          <t>Strutbräken</t>
        </is>
      </c>
      <c r="S64">
        <f>HYPERLINK("https://klasma.github.io/Logging_2262/artfynd/A 8998-2024 artfynd.xlsx", "A 8998-2024")</f>
        <v/>
      </c>
      <c r="T64">
        <f>HYPERLINK("https://klasma.github.io/Logging_2262/kartor/A 8998-2024 karta.png", "A 8998-2024")</f>
        <v/>
      </c>
      <c r="V64">
        <f>HYPERLINK("https://klasma.github.io/Logging_2262/klagomål/A 8998-2024 FSC-klagomål.docx", "A 8998-2024")</f>
        <v/>
      </c>
      <c r="W64">
        <f>HYPERLINK("https://klasma.github.io/Logging_2262/klagomålsmail/A 8998-2024 FSC-klagomål mail.docx", "A 8998-2024")</f>
        <v/>
      </c>
      <c r="X64">
        <f>HYPERLINK("https://klasma.github.io/Logging_2262/tillsyn/A 8998-2024 tillsynsbegäran.docx", "A 8998-2024")</f>
        <v/>
      </c>
      <c r="Y64">
        <f>HYPERLINK("https://klasma.github.io/Logging_2262/tillsynsmail/A 8998-2024 tillsynsbegäran mail.docx", "A 8998-2024")</f>
        <v/>
      </c>
    </row>
    <row r="65" ht="15" customHeight="1">
      <c r="A65" t="inlineStr">
        <is>
          <t>A 14168-2024</t>
        </is>
      </c>
      <c r="B65" s="1" t="n">
        <v>45392</v>
      </c>
      <c r="C65" s="1" t="n">
        <v>45473</v>
      </c>
      <c r="D65" t="inlineStr">
        <is>
          <t>VÄSTERNORRLANDS LÄN</t>
        </is>
      </c>
      <c r="E65" t="inlineStr">
        <is>
          <t>TIMRÅ</t>
        </is>
      </c>
      <c r="F65" t="inlineStr">
        <is>
          <t>SCA</t>
        </is>
      </c>
      <c r="G65" t="n">
        <v>6.3</v>
      </c>
      <c r="H65" t="n">
        <v>0</v>
      </c>
      <c r="I65" t="n">
        <v>1</v>
      </c>
      <c r="J65" t="n">
        <v>0</v>
      </c>
      <c r="K65" t="n">
        <v>0</v>
      </c>
      <c r="L65" t="n">
        <v>0</v>
      </c>
      <c r="M65" t="n">
        <v>0</v>
      </c>
      <c r="N65" t="n">
        <v>0</v>
      </c>
      <c r="O65" t="n">
        <v>0</v>
      </c>
      <c r="P65" t="n">
        <v>0</v>
      </c>
      <c r="Q65" t="n">
        <v>1</v>
      </c>
      <c r="R65" s="2" t="inlineStr">
        <is>
          <t>Vedticka</t>
        </is>
      </c>
      <c r="S65">
        <f>HYPERLINK("https://klasma.github.io/Logging_2262/artfynd/A 14168-2024 artfynd.xlsx", "A 14168-2024")</f>
        <v/>
      </c>
      <c r="T65">
        <f>HYPERLINK("https://klasma.github.io/Logging_2262/kartor/A 14168-2024 karta.png", "A 14168-2024")</f>
        <v/>
      </c>
      <c r="V65">
        <f>HYPERLINK("https://klasma.github.io/Logging_2262/klagomål/A 14168-2024 FSC-klagomål.docx", "A 14168-2024")</f>
        <v/>
      </c>
      <c r="W65">
        <f>HYPERLINK("https://klasma.github.io/Logging_2262/klagomålsmail/A 14168-2024 FSC-klagomål mail.docx", "A 14168-2024")</f>
        <v/>
      </c>
      <c r="X65">
        <f>HYPERLINK("https://klasma.github.io/Logging_2262/tillsyn/A 14168-2024 tillsynsbegäran.docx", "A 14168-2024")</f>
        <v/>
      </c>
      <c r="Y65">
        <f>HYPERLINK("https://klasma.github.io/Logging_2262/tillsynsmail/A 14168-2024 tillsynsbegäran mail.docx", "A 14168-2024")</f>
        <v/>
      </c>
    </row>
    <row r="66" ht="15" customHeight="1">
      <c r="A66" t="inlineStr">
        <is>
          <t>A 15477-2024</t>
        </is>
      </c>
      <c r="B66" s="1" t="n">
        <v>45401</v>
      </c>
      <c r="C66" s="1" t="n">
        <v>45473</v>
      </c>
      <c r="D66" t="inlineStr">
        <is>
          <t>VÄSTERNORRLANDS LÄN</t>
        </is>
      </c>
      <c r="E66" t="inlineStr">
        <is>
          <t>TIMRÅ</t>
        </is>
      </c>
      <c r="G66" t="n">
        <v>2.1</v>
      </c>
      <c r="H66" t="n">
        <v>0</v>
      </c>
      <c r="I66" t="n">
        <v>0</v>
      </c>
      <c r="J66" t="n">
        <v>1</v>
      </c>
      <c r="K66" t="n">
        <v>0</v>
      </c>
      <c r="L66" t="n">
        <v>0</v>
      </c>
      <c r="M66" t="n">
        <v>0</v>
      </c>
      <c r="N66" t="n">
        <v>0</v>
      </c>
      <c r="O66" t="n">
        <v>1</v>
      </c>
      <c r="P66" t="n">
        <v>0</v>
      </c>
      <c r="Q66" t="n">
        <v>1</v>
      </c>
      <c r="R66" s="2" t="inlineStr">
        <is>
          <t>Tallticka</t>
        </is>
      </c>
      <c r="S66">
        <f>HYPERLINK("https://klasma.github.io/Logging_2262/artfynd/A 15477-2024 artfynd.xlsx", "A 15477-2024")</f>
        <v/>
      </c>
      <c r="T66">
        <f>HYPERLINK("https://klasma.github.io/Logging_2262/kartor/A 15477-2024 karta.png", "A 15477-2024")</f>
        <v/>
      </c>
      <c r="V66">
        <f>HYPERLINK("https://klasma.github.io/Logging_2262/klagomål/A 15477-2024 FSC-klagomål.docx", "A 15477-2024")</f>
        <v/>
      </c>
      <c r="W66">
        <f>HYPERLINK("https://klasma.github.io/Logging_2262/klagomålsmail/A 15477-2024 FSC-klagomål mail.docx", "A 15477-2024")</f>
        <v/>
      </c>
      <c r="X66">
        <f>HYPERLINK("https://klasma.github.io/Logging_2262/tillsyn/A 15477-2024 tillsynsbegäran.docx", "A 15477-2024")</f>
        <v/>
      </c>
      <c r="Y66">
        <f>HYPERLINK("https://klasma.github.io/Logging_2262/tillsynsmail/A 15477-2024 tillsynsbegäran mail.docx", "A 15477-2024")</f>
        <v/>
      </c>
    </row>
    <row r="67" ht="15" customHeight="1">
      <c r="A67" t="inlineStr">
        <is>
          <t>A 16244-2024</t>
        </is>
      </c>
      <c r="B67" s="1" t="n">
        <v>45407</v>
      </c>
      <c r="C67" s="1" t="n">
        <v>45473</v>
      </c>
      <c r="D67" t="inlineStr">
        <is>
          <t>VÄSTERNORRLANDS LÄN</t>
        </is>
      </c>
      <c r="E67" t="inlineStr">
        <is>
          <t>TIMRÅ</t>
        </is>
      </c>
      <c r="F67" t="inlineStr">
        <is>
          <t>SCA</t>
        </is>
      </c>
      <c r="G67" t="n">
        <v>22.8</v>
      </c>
      <c r="H67" t="n">
        <v>1</v>
      </c>
      <c r="I67" t="n">
        <v>0</v>
      </c>
      <c r="J67" t="n">
        <v>0</v>
      </c>
      <c r="K67" t="n">
        <v>0</v>
      </c>
      <c r="L67" t="n">
        <v>0</v>
      </c>
      <c r="M67" t="n">
        <v>0</v>
      </c>
      <c r="N67" t="n">
        <v>0</v>
      </c>
      <c r="O67" t="n">
        <v>0</v>
      </c>
      <c r="P67" t="n">
        <v>0</v>
      </c>
      <c r="Q67" t="n">
        <v>1</v>
      </c>
      <c r="R67" s="2" t="inlineStr">
        <is>
          <t>Orre</t>
        </is>
      </c>
      <c r="S67">
        <f>HYPERLINK("https://klasma.github.io/Logging_2262/artfynd/A 16244-2024 artfynd.xlsx", "A 16244-2024")</f>
        <v/>
      </c>
      <c r="T67">
        <f>HYPERLINK("https://klasma.github.io/Logging_2262/kartor/A 16244-2024 karta.png", "A 16244-2024")</f>
        <v/>
      </c>
      <c r="V67">
        <f>HYPERLINK("https://klasma.github.io/Logging_2262/klagomål/A 16244-2024 FSC-klagomål.docx", "A 16244-2024")</f>
        <v/>
      </c>
      <c r="W67">
        <f>HYPERLINK("https://klasma.github.io/Logging_2262/klagomålsmail/A 16244-2024 FSC-klagomål mail.docx", "A 16244-2024")</f>
        <v/>
      </c>
      <c r="X67">
        <f>HYPERLINK("https://klasma.github.io/Logging_2262/tillsyn/A 16244-2024 tillsynsbegäran.docx", "A 16244-2024")</f>
        <v/>
      </c>
      <c r="Y67">
        <f>HYPERLINK("https://klasma.github.io/Logging_2262/tillsynsmail/A 16244-2024 tillsynsbegäran mail.docx", "A 16244-2024")</f>
        <v/>
      </c>
      <c r="Z67">
        <f>HYPERLINK("https://klasma.github.io/Logging_2262/fåglar/A 16244-2024 prioriterade fågelarter.docx", "A 16244-2024")</f>
        <v/>
      </c>
    </row>
    <row r="68" ht="15" customHeight="1">
      <c r="A68" t="inlineStr">
        <is>
          <t>A 19449-2024</t>
        </is>
      </c>
      <c r="B68" s="1" t="n">
        <v>45429</v>
      </c>
      <c r="C68" s="1" t="n">
        <v>45473</v>
      </c>
      <c r="D68" t="inlineStr">
        <is>
          <t>VÄSTERNORRLANDS LÄN</t>
        </is>
      </c>
      <c r="E68" t="inlineStr">
        <is>
          <t>TIMRÅ</t>
        </is>
      </c>
      <c r="G68" t="n">
        <v>2.5</v>
      </c>
      <c r="H68" t="n">
        <v>1</v>
      </c>
      <c r="I68" t="n">
        <v>0</v>
      </c>
      <c r="J68" t="n">
        <v>0</v>
      </c>
      <c r="K68" t="n">
        <v>0</v>
      </c>
      <c r="L68" t="n">
        <v>0</v>
      </c>
      <c r="M68" t="n">
        <v>0</v>
      </c>
      <c r="N68" t="n">
        <v>0</v>
      </c>
      <c r="O68" t="n">
        <v>0</v>
      </c>
      <c r="P68" t="n">
        <v>0</v>
      </c>
      <c r="Q68" t="n">
        <v>1</v>
      </c>
      <c r="R68" s="2" t="inlineStr">
        <is>
          <t>Gråspett</t>
        </is>
      </c>
      <c r="S68">
        <f>HYPERLINK("https://klasma.github.io/Logging_2262/artfynd/A 19449-2024 artfynd.xlsx", "A 19449-2024")</f>
        <v/>
      </c>
      <c r="T68">
        <f>HYPERLINK("https://klasma.github.io/Logging_2262/kartor/A 19449-2024 karta.png", "A 19449-2024")</f>
        <v/>
      </c>
      <c r="V68">
        <f>HYPERLINK("https://klasma.github.io/Logging_2262/klagomål/A 19449-2024 FSC-klagomål.docx", "A 19449-2024")</f>
        <v/>
      </c>
      <c r="W68">
        <f>HYPERLINK("https://klasma.github.io/Logging_2262/klagomålsmail/A 19449-2024 FSC-klagomål mail.docx", "A 19449-2024")</f>
        <v/>
      </c>
      <c r="X68">
        <f>HYPERLINK("https://klasma.github.io/Logging_2262/tillsyn/A 19449-2024 tillsynsbegäran.docx", "A 19449-2024")</f>
        <v/>
      </c>
      <c r="Y68">
        <f>HYPERLINK("https://klasma.github.io/Logging_2262/tillsynsmail/A 19449-2024 tillsynsbegäran mail.docx", "A 19449-2024")</f>
        <v/>
      </c>
      <c r="Z68">
        <f>HYPERLINK("https://klasma.github.io/Logging_2262/fåglar/A 19449-2024 prioriterade fågelarter.docx", "A 19449-2024")</f>
        <v/>
      </c>
    </row>
    <row r="69" ht="15" customHeight="1">
      <c r="A69" t="inlineStr">
        <is>
          <t>A 20350-2024</t>
        </is>
      </c>
      <c r="B69" s="1" t="n">
        <v>45435</v>
      </c>
      <c r="C69" s="1" t="n">
        <v>45473</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45473</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45473</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45473</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45473</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45473</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45473</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45473</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45473</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45473</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45473</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45473</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45473</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45473</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45473</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45473</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45473</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45473</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45473</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45473</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45473</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45473</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45473</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45473</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45473</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45473</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45473</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45473</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45473</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45473</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45473</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45473</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45473</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45473</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45473</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45473</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45473</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45473</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45473</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45473</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45473</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45473</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45473</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45473</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45473</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45473</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45473</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45473</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45473</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45473</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45473</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45473</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45473</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45473</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45473</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45473</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45473</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45473</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45473</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45473</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45473</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45473</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45473</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45473</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45473</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45473</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45473</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45473</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45473</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45473</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45473</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45473</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45473</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45473</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45473</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45473</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45473</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45473</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45473</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45473</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45473</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45473</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45473</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45473</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45473</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45473</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45473</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45473</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45473</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45473</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45473</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45473</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45473</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45473</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45473</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45473</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45473</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45473</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45473</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45473</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45473</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45473</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45473</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45473</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45473</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45473</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45473</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45473</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45473</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45473</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45473</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45473</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45473</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45473</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45473</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45473</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45473</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45473</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45473</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45473</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45473</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45473</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45473</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45473</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45473</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45473</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45473</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45473</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45473</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45473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45473</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45473</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45473</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45473</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45473</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45473</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45473</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45473</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45473</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45473</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45473</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45473</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45473</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45473</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45473</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45473</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45473</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45473</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45473</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45473</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45473</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45473</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45473</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45473</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45473</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45473</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45473</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45473</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45473</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45473</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45473</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45473</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45473</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45473</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45473</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45473</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45473</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45473</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45473</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45473</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45473</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45473</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45473</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45473</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45473</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45473</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45473</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45473</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45473</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45473</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45473</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45473</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45473</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45473</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45473</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45473</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45473</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45473</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45473</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45473</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45473</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45473</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45473</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45473</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45473</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45473</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45473</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45473</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45473</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45473</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45473</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45473</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45473</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45473</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45473</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45473</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45473</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45473</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45473</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45473</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45473</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45473</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45473</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45473</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45473</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45473</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45473</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45473</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45473</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45473</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45473</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45473</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45473</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45473</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45473</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45473</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45473</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45473</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45473</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45473</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45473</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45473</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45473</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45473</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45473</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45473</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45473</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45473</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45473</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45473</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45473</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45473</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45473</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45473</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45473</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45473</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45473</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45473</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45473</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45473</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45473</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45473</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45473</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45473</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45473</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45473</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45473</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45473</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45473</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45473</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45473</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45473</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45473</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45473</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45473</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45473</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45473</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45473</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45473</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45473</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45473</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45473</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45473</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45473</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45473</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45473</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45473</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45473</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45473</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45473</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45473</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45473</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45473</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45473</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45473</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45473</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45473</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45473</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45473</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45473</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45473</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45473</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45473</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45473</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45473</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45473</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45473</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45473</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45473</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45473</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45473</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45473</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45473</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45473</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45473</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45473</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45473</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45473</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45473</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45473</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45473</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45473</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45473</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45473</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45473</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45473</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45473</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45473</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45473</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45473</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45473</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45473</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45473</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45473</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45473</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45473</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45473</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45473</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45473</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45473</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45473</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45473</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45473</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45473</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45473</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45473</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45473</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45473</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45473</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45473</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45473</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45473</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45473</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45473</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45473</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45473</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45473</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45473</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45473</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45473</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45473</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45473</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45473</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45473</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45473</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45473</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45473</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45473</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45473</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45473</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45473</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45473</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45473</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45473</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45473</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45473</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45473</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45473</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45473</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45473</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45473</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45473</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45473</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45473</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45473</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45473</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45473</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45473</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45473</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45473</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45473</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45473</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45473</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45473</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45473</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45473</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45473</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45473</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45473</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45473</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45473</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45473</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45473</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45473</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45473</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45473</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45473</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45473</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45473</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45473</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45473</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45473</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45473</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45473</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45473</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45473</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45473</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45473</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45473</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45473</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45473</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45473</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45473</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45473</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45473</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45473</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45473</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45473</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45473</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45473</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45473</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45473</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45473</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45473</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45473</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45473</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45473</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45473</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45473</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45473</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45473</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45473</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45473</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45473</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45473</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45473</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45473</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45473</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45473</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45473</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45473</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45473</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45473</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45473</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45473</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45473</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45473</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45473</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45473</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45473</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45473</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45473</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45473</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45473</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45473</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45473</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45473</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45473</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45473</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45473</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45473</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45473</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45473</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45473</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45473</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45473</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45473</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45473</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45473</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45473</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45473</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45473</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45473</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45473</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45473</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45473</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45473</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45473</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45473</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45473</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45473</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45473</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45473</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45473</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45473</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45473</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45473</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45473</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45473</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45473</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45473</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45473</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45473</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45473</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45473</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45473</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45473</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45473</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45473</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45473</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45473</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45473</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45473</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45473</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45473</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45473</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45473</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45473</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45473</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45473</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45473</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45473</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45473</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45473</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45473</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45473</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45473</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45473</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45473</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45473</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45473</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45473</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45473</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45473</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45473</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45473</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45473</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45473</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45473</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45473</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45473</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45473</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45473</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45473</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45473</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45473</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45473</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45473</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45473</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45473</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45473</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45473</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45473</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45473</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45473</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45473</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45473</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45473</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45473</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45473</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45473</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45473</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45473</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45473</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45473</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45473</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45473</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45473</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45473</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45473</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45473</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45473</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45473</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45473</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45473</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45473</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45473</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45473</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45473</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45473</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45473</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45473</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45473</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45473</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45473</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45473</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45473</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45473</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45473</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45473</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45473</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45473</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45473</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45473</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45473</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45473</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45473</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45473</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45473</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45473</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45473</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45473</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45473</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23851-2024</t>
        </is>
      </c>
      <c r="B662" s="1" t="n">
        <v>45455</v>
      </c>
      <c r="C662" s="1" t="n">
        <v>45473</v>
      </c>
      <c r="D662" t="inlineStr">
        <is>
          <t>VÄSTERNORRLANDS LÄN</t>
        </is>
      </c>
      <c r="E662" t="inlineStr">
        <is>
          <t>TIMRÅ</t>
        </is>
      </c>
      <c r="G662" t="n">
        <v>3.5</v>
      </c>
      <c r="H662" t="n">
        <v>0</v>
      </c>
      <c r="I662" t="n">
        <v>0</v>
      </c>
      <c r="J662" t="n">
        <v>0</v>
      </c>
      <c r="K662" t="n">
        <v>0</v>
      </c>
      <c r="L662" t="n">
        <v>0</v>
      </c>
      <c r="M662" t="n">
        <v>0</v>
      </c>
      <c r="N662" t="n">
        <v>0</v>
      </c>
      <c r="O662" t="n">
        <v>0</v>
      </c>
      <c r="P662" t="n">
        <v>0</v>
      </c>
      <c r="Q662" t="n">
        <v>0</v>
      </c>
      <c r="R662" s="2" t="inlineStr"/>
    </row>
    <row r="663" ht="15" customHeight="1">
      <c r="A663" t="inlineStr">
        <is>
          <t>A 23878-2024</t>
        </is>
      </c>
      <c r="B663" s="1" t="n">
        <v>45455</v>
      </c>
      <c r="C663" s="1" t="n">
        <v>45473</v>
      </c>
      <c r="D663" t="inlineStr">
        <is>
          <t>VÄSTERNORRLANDS LÄN</t>
        </is>
      </c>
      <c r="E663" t="inlineStr">
        <is>
          <t>TIMRÅ</t>
        </is>
      </c>
      <c r="G663" t="n">
        <v>2.1</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45473</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c r="A665" t="inlineStr">
        <is>
          <t>A 26662-2024</t>
        </is>
      </c>
      <c r="B665" s="1" t="n">
        <v>45469</v>
      </c>
      <c r="C665" s="1" t="n">
        <v>45473</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2024-06-30T10:04:21Z</dcterms:created>
  <dcterms:modified xmlns:dcterms="http://purl.org/dc/terms/" xmlns:xsi="http://www.w3.org/2001/XMLSchema-instance" xsi:type="dcterms:W3CDTF">2024-06-30T10:04:22Z</dcterms:modified>
</cp:coreProperties>
</file>