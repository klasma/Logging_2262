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45643</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45643</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45643</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45643</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45643</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45643</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45643</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45643</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45643</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45643</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45643</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45643</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45643</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45643</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45643</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45643</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45643</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45643</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45643</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45643</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45643</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45643</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45643</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45643</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45643</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45643</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45643</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45643</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45643</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45643</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45643</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45643</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45643</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45643</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45643</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45643</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45643</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45643</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45643</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45643</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45643</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45643</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45643</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45643</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45643</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45643</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45643</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45643</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45643</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45643</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45643</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45643</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45643</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45643</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45643</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45643</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45643</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45643</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45643</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45643</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45643</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45643</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45643</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45643</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45643</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53300-2024</t>
        </is>
      </c>
      <c r="B90" s="1" t="n">
        <v>45614</v>
      </c>
      <c r="C90" s="1" t="n">
        <v>45643</v>
      </c>
      <c r="D90" t="inlineStr">
        <is>
          <t>VÄSTERNORRLANDS LÄN</t>
        </is>
      </c>
      <c r="E90" t="inlineStr">
        <is>
          <t>TIMRÅ</t>
        </is>
      </c>
      <c r="F90" t="inlineStr">
        <is>
          <t>SCA</t>
        </is>
      </c>
      <c r="G90" t="n">
        <v>1</v>
      </c>
      <c r="H90" t="n">
        <v>0</v>
      </c>
      <c r="I90" t="n">
        <v>0</v>
      </c>
      <c r="J90" t="n">
        <v>1</v>
      </c>
      <c r="K90" t="n">
        <v>0</v>
      </c>
      <c r="L90" t="n">
        <v>0</v>
      </c>
      <c r="M90" t="n">
        <v>0</v>
      </c>
      <c r="N90" t="n">
        <v>0</v>
      </c>
      <c r="O90" t="n">
        <v>1</v>
      </c>
      <c r="P90" t="n">
        <v>0</v>
      </c>
      <c r="Q90" t="n">
        <v>1</v>
      </c>
      <c r="R90" s="2" t="inlineStr">
        <is>
          <t>Garnlav</t>
        </is>
      </c>
      <c r="S90">
        <f>HYPERLINK("https://klasma.github.io/Logging_2262/artfynd/A 53300-2024 artfynd.xlsx", "A 53300-2024")</f>
        <v/>
      </c>
      <c r="T90">
        <f>HYPERLINK("https://klasma.github.io/Logging_2262/kartor/A 53300-2024 karta.png", "A 53300-2024")</f>
        <v/>
      </c>
      <c r="V90">
        <f>HYPERLINK("https://klasma.github.io/Logging_2262/klagomål/A 53300-2024 FSC-klagomål.docx", "A 53300-2024")</f>
        <v/>
      </c>
      <c r="W90">
        <f>HYPERLINK("https://klasma.github.io/Logging_2262/klagomålsmail/A 53300-2024 FSC-klagomål mail.docx", "A 53300-2024")</f>
        <v/>
      </c>
      <c r="X90">
        <f>HYPERLINK("https://klasma.github.io/Logging_2262/tillsyn/A 53300-2024 tillsynsbegäran.docx", "A 53300-2024")</f>
        <v/>
      </c>
      <c r="Y90">
        <f>HYPERLINK("https://klasma.github.io/Logging_2262/tillsynsmail/A 53300-2024 tillsynsbegäran mail.docx", "A 53300-2024")</f>
        <v/>
      </c>
    </row>
    <row r="91" ht="15" customHeight="1">
      <c r="A91" t="inlineStr">
        <is>
          <t>A 53295-2024</t>
        </is>
      </c>
      <c r="B91" s="1" t="n">
        <v>45614</v>
      </c>
      <c r="C91" s="1" t="n">
        <v>45643</v>
      </c>
      <c r="D91" t="inlineStr">
        <is>
          <t>VÄSTERNORRLANDS LÄN</t>
        </is>
      </c>
      <c r="E91" t="inlineStr">
        <is>
          <t>TIMRÅ</t>
        </is>
      </c>
      <c r="F91" t="inlineStr">
        <is>
          <t>SCA</t>
        </is>
      </c>
      <c r="G91" t="n">
        <v>1.9</v>
      </c>
      <c r="H91" t="n">
        <v>0</v>
      </c>
      <c r="I91" t="n">
        <v>0</v>
      </c>
      <c r="J91" t="n">
        <v>1</v>
      </c>
      <c r="K91" t="n">
        <v>0</v>
      </c>
      <c r="L91" t="n">
        <v>0</v>
      </c>
      <c r="M91" t="n">
        <v>0</v>
      </c>
      <c r="N91" t="n">
        <v>0</v>
      </c>
      <c r="O91" t="n">
        <v>1</v>
      </c>
      <c r="P91" t="n">
        <v>0</v>
      </c>
      <c r="Q91" t="n">
        <v>1</v>
      </c>
      <c r="R91" s="2" t="inlineStr">
        <is>
          <t>Vedskivlav</t>
        </is>
      </c>
      <c r="S91">
        <f>HYPERLINK("https://klasma.github.io/Logging_2262/artfynd/A 53295-2024 artfynd.xlsx", "A 53295-2024")</f>
        <v/>
      </c>
      <c r="T91">
        <f>HYPERLINK("https://klasma.github.io/Logging_2262/kartor/A 53295-2024 karta.png", "A 53295-2024")</f>
        <v/>
      </c>
      <c r="V91">
        <f>HYPERLINK("https://klasma.github.io/Logging_2262/klagomål/A 53295-2024 FSC-klagomål.docx", "A 53295-2024")</f>
        <v/>
      </c>
      <c r="W91">
        <f>HYPERLINK("https://klasma.github.io/Logging_2262/klagomålsmail/A 53295-2024 FSC-klagomål mail.docx", "A 53295-2024")</f>
        <v/>
      </c>
      <c r="X91">
        <f>HYPERLINK("https://klasma.github.io/Logging_2262/tillsyn/A 53295-2024 tillsynsbegäran.docx", "A 53295-2024")</f>
        <v/>
      </c>
      <c r="Y91">
        <f>HYPERLINK("https://klasma.github.io/Logging_2262/tillsynsmail/A 53295-2024 tillsynsbegäran mail.docx", "A 53295-2024")</f>
        <v/>
      </c>
    </row>
    <row r="92" ht="15" customHeight="1">
      <c r="A92" t="inlineStr">
        <is>
          <t>A 56287-2024</t>
        </is>
      </c>
      <c r="B92" s="1" t="n">
        <v>45624</v>
      </c>
      <c r="C92" s="1" t="n">
        <v>45643</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45643</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45643</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45643</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45643</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45643</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45643</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45643</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45643</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45643</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45643</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45643</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45643</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45643</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45643</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45643</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45643</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45643</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45643</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45643</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45643</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45643</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45643</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45643</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45643</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45643</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45643</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45643</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45643</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45643</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45643</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45643</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45643</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45643</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45643</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45643</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45643</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45643</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45643</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45643</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45643</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45643</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45643</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45643</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45643</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45643</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45643</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45643</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45643</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45643</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45643</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45643</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45643</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45643</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45643</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45643</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45643</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45643</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45643</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45643</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45643</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45643</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45643</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45643</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45643</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45643</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45643</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45643</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45643</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45643</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45643</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45643</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45643</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45643</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45643</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45643</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45643</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45643</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45643</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45643</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45643</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45643</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45643</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45643</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45643</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45643</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45643</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45643</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45643</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45643</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45643</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45643</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45643</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45643</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45643</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45643</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45643</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45643</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45643</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45643</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45643</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45643</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45643</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45643</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45643</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45643</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45643</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45643</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45643</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45643</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45643</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45643</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45643</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45643</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45643</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45643</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45643</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45643</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45643</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45643</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45643</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45643</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45643</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45643</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45643</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45643</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45643</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45643</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45643</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45643</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45643</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45643</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45643</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45643</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45643</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45643</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45643</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45643</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45643</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45643</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45643</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45643</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45643</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45643</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45643</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45643</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45643</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45643</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45643</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45643</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45643</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45643</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45643</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45643</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45643</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45643</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45643</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45643</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45643</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45643</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45643</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45643</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45643</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45643</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45643</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45643</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45643</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45643</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45643</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45643</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45643</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45643</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45643</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45643</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45643</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45643</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45643</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45643</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45643</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45643</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45643</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45643</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45643</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45643</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45643</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45643</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45643</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45643</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45643</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45643</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45643</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45643</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45643</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45643</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45643</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45643</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45643</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45643</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45643</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45643</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45643</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45643</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45643</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45643</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45643</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45643</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45643</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45643</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45643</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45643</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45643</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45643</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45643</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45643</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45643</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45643</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45643</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45643</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45643</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45643</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45643</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45643</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45643</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45643</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45643</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45643</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45643</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45643</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45643</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45643</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45643</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45643</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45643</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45643</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45643</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45643</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45643</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45643</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45643</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45643</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45643</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45643</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45643</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45643</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45643</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45643</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45643</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45643</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45643</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45643</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45643</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45643</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45643</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45643</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45643</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45643</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45643</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45643</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45643</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45643</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45643</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45643</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45643</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45643</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45643</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45643</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45643</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45643</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45643</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45643</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45643</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45643</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45643</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45643</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45643</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45643</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45643</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45643</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45643</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45643</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45643</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45643</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45643</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45643</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45643</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45643</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45643</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45643</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45643</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45643</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45643</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45643</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45643</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45643</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45643</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45643</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45643</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45643</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45643</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45643</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45643</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45643</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45643</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45643</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45643</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45643</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45643</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45643</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45643</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45643</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45643</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45643</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45643</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45643</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45643</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45643</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45643</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45643</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45643</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45643</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45643</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45643</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45643</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45643</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45643</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45643</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45643</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45643</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45643</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45643</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45643</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45643</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45643</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45643</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45643</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45643</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45643</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45643</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45643</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45643</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45643</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45643</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45643</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45643</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45643</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45643</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45643</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45643</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45643</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45643</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45643</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45643</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45643</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45643</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45643</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45643</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45643</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45643</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45643</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45643</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45643</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45643</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45643</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45643</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45643</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45643</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45643</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45643</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45643</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45643</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45643</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45643</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45643</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45643</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45643</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45643</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45643</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45643</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45643</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45643</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45643</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45643</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45643</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45643</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45643</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45643</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45643</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45643</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45643</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45643</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45643</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45643</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45643</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45643</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45643</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45643</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45643</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45643</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45643</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45643</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45643</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45643</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45643</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45643</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45643</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45643</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45643</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45643</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45643</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45643</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45643</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45643</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45643</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45643</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45643</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45643</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45643</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45643</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45643</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45643</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45643</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45643</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45643</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45643</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45643</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45643</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45643</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45643</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45643</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45643</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45643</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45643</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45643</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45643</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45643</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45643</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45643</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45643</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45643</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45643</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45643</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45643</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45643</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45643</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45643</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45643</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45643</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45643</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45643</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45643</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45643</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45643</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45643</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45643</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45643</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45643</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45643</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45643</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45643</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45643</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45643</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45643</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45643</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45643</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45643</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45643</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45643</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45643</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45643</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45643</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45643</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45643</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45643</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45643</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45643</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45643</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45643</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45643</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45643</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45643</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45643</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45643</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45643</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45643</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45643</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45643</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45643</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45643</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45643</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45643</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45643</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45643</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45643</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45643</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45643</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45643</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45643</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45643</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45643</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45643</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45643</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45643</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45643</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45643</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45643</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45643</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45643</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45643</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45643</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45643</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45643</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45643</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45643</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45643</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45643</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45643</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45643</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45643</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45643</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45643</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45643</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45643</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45643</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45643</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45643</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45643</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45643</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45643</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45643</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45643</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45643</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45643</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45643</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45643</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45643</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45643</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45643</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45643</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45643</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45643</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45643</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45643</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45643</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45643</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45643</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45643</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45643</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45643</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45643</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45643</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45643</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45643</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45643</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45643</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45643</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45643</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45643</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45643</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45643</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45643</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45643</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45643</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45643</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45643</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45643</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45643</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45643</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45643</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45643</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45643</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45643</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45643</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45643</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45643</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45643</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45643</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45643</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45643</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45643</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45643</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45643</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45643</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45643</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45643</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45643</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45643</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45643</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45643</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45643</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45643</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45643</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45643</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45643</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45643</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45643</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45643</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45643</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45643</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45643</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45643</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45643</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45643</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45643</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45643</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45643</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45643</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45643</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45643</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45643</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45643</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45643</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45643</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45643</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45643</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45643</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45643</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45643</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45643</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45643</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45643</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45643</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45643</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45643</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45643</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45643</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45643</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45643</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45643</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45643</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45643</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45643</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45643</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45643</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45643</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45643</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45643</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45643</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45643</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45643</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45643</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45643</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45643</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45643</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45643</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45643</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45643</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45643</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45643</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45643</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45643</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45643</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45643</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45643</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45643</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45643</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45643</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45643</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45643</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45643</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45643</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45643</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45643</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45643</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45643</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45643</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45643</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45643</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45643</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45643</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45643</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45643</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45643</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45643</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45643</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45643</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45643</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45643</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53292-2024</t>
        </is>
      </c>
      <c r="B769" s="1" t="n">
        <v>45614</v>
      </c>
      <c r="C769" s="1" t="n">
        <v>45643</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53289-2024</t>
        </is>
      </c>
      <c r="B770" s="1" t="n">
        <v>45614</v>
      </c>
      <c r="C770" s="1" t="n">
        <v>45643</v>
      </c>
      <c r="D770" t="inlineStr">
        <is>
          <t>VÄSTERNORRLANDS LÄN</t>
        </is>
      </c>
      <c r="E770" t="inlineStr">
        <is>
          <t>TIMRÅ</t>
        </is>
      </c>
      <c r="F770" t="inlineStr">
        <is>
          <t>SCA</t>
        </is>
      </c>
      <c r="G770" t="n">
        <v>7.8</v>
      </c>
      <c r="H770" t="n">
        <v>0</v>
      </c>
      <c r="I770" t="n">
        <v>0</v>
      </c>
      <c r="J770" t="n">
        <v>0</v>
      </c>
      <c r="K770" t="n">
        <v>0</v>
      </c>
      <c r="L770" t="n">
        <v>0</v>
      </c>
      <c r="M770" t="n">
        <v>0</v>
      </c>
      <c r="N770" t="n">
        <v>0</v>
      </c>
      <c r="O770" t="n">
        <v>0</v>
      </c>
      <c r="P770" t="n">
        <v>0</v>
      </c>
      <c r="Q770" t="n">
        <v>0</v>
      </c>
      <c r="R770" s="2" t="inlineStr"/>
    </row>
    <row r="771" ht="15" customHeight="1">
      <c r="A771" t="inlineStr">
        <is>
          <t>A 53294-2024</t>
        </is>
      </c>
      <c r="B771" s="1" t="n">
        <v>45614</v>
      </c>
      <c r="C771" s="1" t="n">
        <v>45643</v>
      </c>
      <c r="D771" t="inlineStr">
        <is>
          <t>VÄSTERNORRLANDS LÄN</t>
        </is>
      </c>
      <c r="E771" t="inlineStr">
        <is>
          <t>TIMRÅ</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53298-2024</t>
        </is>
      </c>
      <c r="B772" s="1" t="n">
        <v>45614</v>
      </c>
      <c r="C772" s="1" t="n">
        <v>45643</v>
      </c>
      <c r="D772" t="inlineStr">
        <is>
          <t>VÄSTERNORRLANDS LÄN</t>
        </is>
      </c>
      <c r="E772" t="inlineStr">
        <is>
          <t>TIMRÅ</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53302-2024</t>
        </is>
      </c>
      <c r="B773" s="1" t="n">
        <v>45614</v>
      </c>
      <c r="C773" s="1" t="n">
        <v>45643</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53288-2024</t>
        </is>
      </c>
      <c r="B774" s="1" t="n">
        <v>45614</v>
      </c>
      <c r="C774" s="1" t="n">
        <v>45643</v>
      </c>
      <c r="D774" t="inlineStr">
        <is>
          <t>VÄSTERNORRLANDS LÄN</t>
        </is>
      </c>
      <c r="E774" t="inlineStr">
        <is>
          <t>TIMRÅ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53293-2024</t>
        </is>
      </c>
      <c r="B775" s="1" t="n">
        <v>45614</v>
      </c>
      <c r="C775" s="1" t="n">
        <v>45643</v>
      </c>
      <c r="D775" t="inlineStr">
        <is>
          <t>VÄSTERNORRLANDS LÄN</t>
        </is>
      </c>
      <c r="E775" t="inlineStr">
        <is>
          <t>TIMRÅ</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53301-2024</t>
        </is>
      </c>
      <c r="B776" s="1" t="n">
        <v>45614</v>
      </c>
      <c r="C776" s="1" t="n">
        <v>45643</v>
      </c>
      <c r="D776" t="inlineStr">
        <is>
          <t>VÄSTERNORRLANDS LÄN</t>
        </is>
      </c>
      <c r="E776" t="inlineStr">
        <is>
          <t>TIMRÅ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45643</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53303-2024</t>
        </is>
      </c>
      <c r="B778" s="1" t="n">
        <v>45614</v>
      </c>
      <c r="C778" s="1" t="n">
        <v>45643</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45643</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54547-2024</t>
        </is>
      </c>
      <c r="B780" s="1" t="n">
        <v>45617</v>
      </c>
      <c r="C780" s="1" t="n">
        <v>45643</v>
      </c>
      <c r="D780" t="inlineStr">
        <is>
          <t>VÄSTERNORRLANDS LÄN</t>
        </is>
      </c>
      <c r="E780" t="inlineStr">
        <is>
          <t>TIMRÅ</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54322-2024</t>
        </is>
      </c>
      <c r="B781" s="1" t="n">
        <v>45617</v>
      </c>
      <c r="C781" s="1" t="n">
        <v>45643</v>
      </c>
      <c r="D781" t="inlineStr">
        <is>
          <t>VÄSTERNORRLANDS LÄN</t>
        </is>
      </c>
      <c r="E781" t="inlineStr">
        <is>
          <t>TIMRÅ</t>
        </is>
      </c>
      <c r="G781" t="n">
        <v>8</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45643</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45643</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45643</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55618-2024</t>
        </is>
      </c>
      <c r="B785" s="1" t="n">
        <v>45622</v>
      </c>
      <c r="C785" s="1" t="n">
        <v>45643</v>
      </c>
      <c r="D785" t="inlineStr">
        <is>
          <t>VÄSTERNORRLANDS LÄN</t>
        </is>
      </c>
      <c r="E785" t="inlineStr">
        <is>
          <t>TIMRÅ</t>
        </is>
      </c>
      <c r="G785" t="n">
        <v>4.3</v>
      </c>
      <c r="H785" t="n">
        <v>0</v>
      </c>
      <c r="I785" t="n">
        <v>0</v>
      </c>
      <c r="J785" t="n">
        <v>0</v>
      </c>
      <c r="K785" t="n">
        <v>0</v>
      </c>
      <c r="L785" t="n">
        <v>0</v>
      </c>
      <c r="M785" t="n">
        <v>0</v>
      </c>
      <c r="N785" t="n">
        <v>0</v>
      </c>
      <c r="O785" t="n">
        <v>0</v>
      </c>
      <c r="P785" t="n">
        <v>0</v>
      </c>
      <c r="Q785" t="n">
        <v>0</v>
      </c>
      <c r="R785" s="2" t="inlineStr"/>
    </row>
    <row r="786" ht="15" customHeight="1">
      <c r="A786" t="inlineStr">
        <is>
          <t>A 55576-2024</t>
        </is>
      </c>
      <c r="B786" s="1" t="n">
        <v>45622</v>
      </c>
      <c r="C786" s="1" t="n">
        <v>45643</v>
      </c>
      <c r="D786" t="inlineStr">
        <is>
          <t>VÄSTERNORRLANDS LÄN</t>
        </is>
      </c>
      <c r="E786" t="inlineStr">
        <is>
          <t>TIMRÅ</t>
        </is>
      </c>
      <c r="G786" t="n">
        <v>5.1</v>
      </c>
      <c r="H786" t="n">
        <v>0</v>
      </c>
      <c r="I786" t="n">
        <v>0</v>
      </c>
      <c r="J786" t="n">
        <v>0</v>
      </c>
      <c r="K786" t="n">
        <v>0</v>
      </c>
      <c r="L786" t="n">
        <v>0</v>
      </c>
      <c r="M786" t="n">
        <v>0</v>
      </c>
      <c r="N786" t="n">
        <v>0</v>
      </c>
      <c r="O786" t="n">
        <v>0</v>
      </c>
      <c r="P786" t="n">
        <v>0</v>
      </c>
      <c r="Q786" t="n">
        <v>0</v>
      </c>
      <c r="R786" s="2" t="inlineStr"/>
    </row>
    <row r="787" ht="15" customHeight="1">
      <c r="A787" t="inlineStr">
        <is>
          <t>A 55588-2024</t>
        </is>
      </c>
      <c r="B787" s="1" t="n">
        <v>45622</v>
      </c>
      <c r="C787" s="1" t="n">
        <v>45643</v>
      </c>
      <c r="D787" t="inlineStr">
        <is>
          <t>VÄSTERNORRLANDS LÄN</t>
        </is>
      </c>
      <c r="E787" t="inlineStr">
        <is>
          <t>TIMRÅ</t>
        </is>
      </c>
      <c r="G787" t="n">
        <v>2.9</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45643</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45643</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45643</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45643</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45643</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56155-2024</t>
        </is>
      </c>
      <c r="B793" s="1" t="n">
        <v>45624</v>
      </c>
      <c r="C793" s="1" t="n">
        <v>45643</v>
      </c>
      <c r="D793" t="inlineStr">
        <is>
          <t>VÄSTERNORRLANDS LÄN</t>
        </is>
      </c>
      <c r="E793" t="inlineStr">
        <is>
          <t>TIMRÅ</t>
        </is>
      </c>
      <c r="G793" t="n">
        <v>5.9</v>
      </c>
      <c r="H793" t="n">
        <v>0</v>
      </c>
      <c r="I793" t="n">
        <v>0</v>
      </c>
      <c r="J793" t="n">
        <v>0</v>
      </c>
      <c r="K793" t="n">
        <v>0</v>
      </c>
      <c r="L793" t="n">
        <v>0</v>
      </c>
      <c r="M793" t="n">
        <v>0</v>
      </c>
      <c r="N793" t="n">
        <v>0</v>
      </c>
      <c r="O793" t="n">
        <v>0</v>
      </c>
      <c r="P793" t="n">
        <v>0</v>
      </c>
      <c r="Q793" t="n">
        <v>0</v>
      </c>
      <c r="R793" s="2" t="inlineStr"/>
    </row>
    <row r="794" ht="15" customHeight="1">
      <c r="A794" t="inlineStr">
        <is>
          <t>A 56284-2024</t>
        </is>
      </c>
      <c r="B794" s="1" t="n">
        <v>45624</v>
      </c>
      <c r="C794" s="1" t="n">
        <v>45643</v>
      </c>
      <c r="D794" t="inlineStr">
        <is>
          <t>VÄSTERNORRLANDS LÄN</t>
        </is>
      </c>
      <c r="E794" t="inlineStr">
        <is>
          <t>TIMRÅ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56288-2024</t>
        </is>
      </c>
      <c r="B795" s="1" t="n">
        <v>45624</v>
      </c>
      <c r="C795" s="1" t="n">
        <v>45643</v>
      </c>
      <c r="D795" t="inlineStr">
        <is>
          <t>VÄSTERNORRLANDS LÄN</t>
        </is>
      </c>
      <c r="E795" t="inlineStr">
        <is>
          <t>TIMRÅ</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56285-2024</t>
        </is>
      </c>
      <c r="B796" s="1" t="n">
        <v>45624</v>
      </c>
      <c r="C796" s="1" t="n">
        <v>45643</v>
      </c>
      <c r="D796" t="inlineStr">
        <is>
          <t>VÄSTERNORRLANDS LÄN</t>
        </is>
      </c>
      <c r="E796" t="inlineStr">
        <is>
          <t>TIMRÅ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45643</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56442-2024</t>
        </is>
      </c>
      <c r="B798" s="1" t="n">
        <v>45625</v>
      </c>
      <c r="C798" s="1" t="n">
        <v>45643</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56443-2024</t>
        </is>
      </c>
      <c r="B799" s="1" t="n">
        <v>45625</v>
      </c>
      <c r="C799" s="1" t="n">
        <v>45643</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45643</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45643</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58754-2024</t>
        </is>
      </c>
      <c r="B802" s="1" t="n">
        <v>45635</v>
      </c>
      <c r="C802" s="1" t="n">
        <v>45643</v>
      </c>
      <c r="D802" t="inlineStr">
        <is>
          <t>VÄSTERNORRLANDS LÄN</t>
        </is>
      </c>
      <c r="E802" t="inlineStr">
        <is>
          <t>TIMRÅ</t>
        </is>
      </c>
      <c r="F802" t="inlineStr">
        <is>
          <t>SCA</t>
        </is>
      </c>
      <c r="G802" t="n">
        <v>9.1</v>
      </c>
      <c r="H802" t="n">
        <v>0</v>
      </c>
      <c r="I802" t="n">
        <v>0</v>
      </c>
      <c r="J802" t="n">
        <v>0</v>
      </c>
      <c r="K802" t="n">
        <v>0</v>
      </c>
      <c r="L802" t="n">
        <v>0</v>
      </c>
      <c r="M802" t="n">
        <v>0</v>
      </c>
      <c r="N802" t="n">
        <v>0</v>
      </c>
      <c r="O802" t="n">
        <v>0</v>
      </c>
      <c r="P802" t="n">
        <v>0</v>
      </c>
      <c r="Q802" t="n">
        <v>0</v>
      </c>
      <c r="R802" s="2" t="inlineStr"/>
    </row>
    <row r="803" ht="15" customHeight="1">
      <c r="A803" t="inlineStr">
        <is>
          <t>A 58755-2024</t>
        </is>
      </c>
      <c r="B803" s="1" t="n">
        <v>45635</v>
      </c>
      <c r="C803" s="1" t="n">
        <v>45643</v>
      </c>
      <c r="D803" t="inlineStr">
        <is>
          <t>VÄSTERNORRLANDS LÄN</t>
        </is>
      </c>
      <c r="E803" t="inlineStr">
        <is>
          <t>TIMRÅ</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58759-2024</t>
        </is>
      </c>
      <c r="B804" s="1" t="n">
        <v>45635</v>
      </c>
      <c r="C804" s="1" t="n">
        <v>45643</v>
      </c>
      <c r="D804" t="inlineStr">
        <is>
          <t>VÄSTERNORRLANDS LÄN</t>
        </is>
      </c>
      <c r="E804" t="inlineStr">
        <is>
          <t>TIMRÅ</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58752-2024</t>
        </is>
      </c>
      <c r="B805" s="1" t="n">
        <v>45635</v>
      </c>
      <c r="C805" s="1" t="n">
        <v>45643</v>
      </c>
      <c r="D805" t="inlineStr">
        <is>
          <t>VÄSTERNORRLANDS LÄN</t>
        </is>
      </c>
      <c r="E805" t="inlineStr">
        <is>
          <t>TIMRÅ</t>
        </is>
      </c>
      <c r="F805" t="inlineStr">
        <is>
          <t>SCA</t>
        </is>
      </c>
      <c r="G805" t="n">
        <v>4.4</v>
      </c>
      <c r="H805" t="n">
        <v>0</v>
      </c>
      <c r="I805" t="n">
        <v>0</v>
      </c>
      <c r="J805" t="n">
        <v>0</v>
      </c>
      <c r="K805" t="n">
        <v>0</v>
      </c>
      <c r="L805" t="n">
        <v>0</v>
      </c>
      <c r="M805" t="n">
        <v>0</v>
      </c>
      <c r="N805" t="n">
        <v>0</v>
      </c>
      <c r="O805" t="n">
        <v>0</v>
      </c>
      <c r="P805" t="n">
        <v>0</v>
      </c>
      <c r="Q805" t="n">
        <v>0</v>
      </c>
      <c r="R805" s="2" t="inlineStr"/>
    </row>
    <row r="806" ht="15" customHeight="1">
      <c r="A806" t="inlineStr">
        <is>
          <t>A 58760-2024</t>
        </is>
      </c>
      <c r="B806" s="1" t="n">
        <v>45635</v>
      </c>
      <c r="C806" s="1" t="n">
        <v>45643</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58879-2024</t>
        </is>
      </c>
      <c r="B807" s="1" t="n">
        <v>45636</v>
      </c>
      <c r="C807" s="1" t="n">
        <v>45643</v>
      </c>
      <c r="D807" t="inlineStr">
        <is>
          <t>VÄSTERNORRLANDS LÄN</t>
        </is>
      </c>
      <c r="E807" t="inlineStr">
        <is>
          <t>TIMRÅ</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58866-2024</t>
        </is>
      </c>
      <c r="B808" s="1" t="n">
        <v>45636</v>
      </c>
      <c r="C808" s="1" t="n">
        <v>45643</v>
      </c>
      <c r="D808" t="inlineStr">
        <is>
          <t>VÄSTERNORRLANDS LÄN</t>
        </is>
      </c>
      <c r="E808" t="inlineStr">
        <is>
          <t>TIMRÅ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45643</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59189-2024</t>
        </is>
      </c>
      <c r="B810" s="1" t="n">
        <v>45637</v>
      </c>
      <c r="C810" s="1" t="n">
        <v>45643</v>
      </c>
      <c r="D810" t="inlineStr">
        <is>
          <t>VÄSTERNORRLANDS LÄN</t>
        </is>
      </c>
      <c r="E810" t="inlineStr">
        <is>
          <t>TIMRÅ</t>
        </is>
      </c>
      <c r="G810" t="n">
        <v>1.7</v>
      </c>
      <c r="H810" t="n">
        <v>0</v>
      </c>
      <c r="I810" t="n">
        <v>0</v>
      </c>
      <c r="J810" t="n">
        <v>0</v>
      </c>
      <c r="K810" t="n">
        <v>0</v>
      </c>
      <c r="L810" t="n">
        <v>0</v>
      </c>
      <c r="M810" t="n">
        <v>0</v>
      </c>
      <c r="N810" t="n">
        <v>0</v>
      </c>
      <c r="O810" t="n">
        <v>0</v>
      </c>
      <c r="P810" t="n">
        <v>0</v>
      </c>
      <c r="Q810" t="n">
        <v>0</v>
      </c>
      <c r="R810" s="2" t="inlineStr"/>
    </row>
    <row r="811" ht="15" customHeight="1">
      <c r="A811" t="inlineStr">
        <is>
          <t>A 59894-2024</t>
        </is>
      </c>
      <c r="B811" s="1" t="n">
        <v>45641</v>
      </c>
      <c r="C811" s="1" t="n">
        <v>45643</v>
      </c>
      <c r="D811" t="inlineStr">
        <is>
          <t>VÄSTERNORRLANDS LÄN</t>
        </is>
      </c>
      <c r="E811" t="inlineStr">
        <is>
          <t>TIMRÅ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59948-2024</t>
        </is>
      </c>
      <c r="B812" s="1" t="n">
        <v>45642</v>
      </c>
      <c r="C812" s="1" t="n">
        <v>45643</v>
      </c>
      <c r="D812" t="inlineStr">
        <is>
          <t>VÄSTERNORRLANDS LÄN</t>
        </is>
      </c>
      <c r="E812" t="inlineStr">
        <is>
          <t>TIMRÅ</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59995-2024</t>
        </is>
      </c>
      <c r="B813" s="1" t="n">
        <v>45642</v>
      </c>
      <c r="C813" s="1" t="n">
        <v>45643</v>
      </c>
      <c r="D813" t="inlineStr">
        <is>
          <t>VÄSTERNORRLANDS LÄN</t>
        </is>
      </c>
      <c r="E813" t="inlineStr">
        <is>
          <t>TIMRÅ</t>
        </is>
      </c>
      <c r="F813" t="inlineStr">
        <is>
          <t>SCA</t>
        </is>
      </c>
      <c r="G813" t="n">
        <v>19.6</v>
      </c>
      <c r="H813" t="n">
        <v>0</v>
      </c>
      <c r="I813" t="n">
        <v>0</v>
      </c>
      <c r="J813" t="n">
        <v>0</v>
      </c>
      <c r="K813" t="n">
        <v>0</v>
      </c>
      <c r="L813" t="n">
        <v>0</v>
      </c>
      <c r="M813" t="n">
        <v>0</v>
      </c>
      <c r="N813" t="n">
        <v>0</v>
      </c>
      <c r="O813" t="n">
        <v>0</v>
      </c>
      <c r="P813" t="n">
        <v>0</v>
      </c>
      <c r="Q813" t="n">
        <v>0</v>
      </c>
      <c r="R813" s="2" t="inlineStr"/>
    </row>
    <row r="814" ht="15" customHeight="1">
      <c r="A814" t="inlineStr">
        <is>
          <t>A 60110-2024</t>
        </is>
      </c>
      <c r="B814" s="1" t="n">
        <v>45642</v>
      </c>
      <c r="C814" s="1" t="n">
        <v>45643</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c r="A815" t="inlineStr">
        <is>
          <t>A 60111-2024</t>
        </is>
      </c>
      <c r="B815" s="1" t="n">
        <v>45642</v>
      </c>
      <c r="C815" s="1" t="n">
        <v>45643</v>
      </c>
      <c r="D815" t="inlineStr">
        <is>
          <t>VÄSTERNORRLANDS LÄN</t>
        </is>
      </c>
      <c r="E815" t="inlineStr">
        <is>
          <t>TIMRÅ</t>
        </is>
      </c>
      <c r="F815" t="inlineStr">
        <is>
          <t>SCA</t>
        </is>
      </c>
      <c r="G815" t="n">
        <v>1.6</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2024-12-17T15:13:35Z</dcterms:created>
  <dcterms:modified xmlns:dcterms="http://purl.org/dc/terms/" xmlns:xsi="http://www.w3.org/2001/XMLSchema-instance" xsi:type="dcterms:W3CDTF">2024-12-17T15:13:36Z</dcterms:modified>
</cp:coreProperties>
</file>