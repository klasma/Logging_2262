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51546-2024</t>
        </is>
      </c>
      <c r="B26" s="1" t="n">
        <v>45604</v>
      </c>
      <c r="C26" s="1" t="n">
        <v>45631</v>
      </c>
      <c r="D26" t="inlineStr">
        <is>
          <t>VÄSTERNORRLANDS LÄN</t>
        </is>
      </c>
      <c r="E26" t="inlineStr">
        <is>
          <t>TIMRÅ</t>
        </is>
      </c>
      <c r="F26" t="inlineStr">
        <is>
          <t>SCA</t>
        </is>
      </c>
      <c r="G26" t="n">
        <v>7.3</v>
      </c>
      <c r="H26" t="n">
        <v>0</v>
      </c>
      <c r="I26" t="n">
        <v>1</v>
      </c>
      <c r="J26" t="n">
        <v>3</v>
      </c>
      <c r="K26" t="n">
        <v>0</v>
      </c>
      <c r="L26" t="n">
        <v>0</v>
      </c>
      <c r="M26" t="n">
        <v>0</v>
      </c>
      <c r="N26" t="n">
        <v>0</v>
      </c>
      <c r="O26" t="n">
        <v>3</v>
      </c>
      <c r="P26" t="n">
        <v>0</v>
      </c>
      <c r="Q26" t="n">
        <v>4</v>
      </c>
      <c r="R26" s="2" t="inlineStr">
        <is>
          <t>Granticka
Lunglav
Ullticka
Stuplav</t>
        </is>
      </c>
      <c r="S26">
        <f>HYPERLINK("https://klasma.github.io/Logging_2262/artfynd/A 51546-2024 artfynd.xlsx", "A 51546-2024")</f>
        <v/>
      </c>
      <c r="T26">
        <f>HYPERLINK("https://klasma.github.io/Logging_2262/kartor/A 51546-2024 karta.png", "A 51546-2024")</f>
        <v/>
      </c>
      <c r="V26">
        <f>HYPERLINK("https://klasma.github.io/Logging_2262/klagomål/A 51546-2024 FSC-klagomål.docx", "A 51546-2024")</f>
        <v/>
      </c>
      <c r="W26">
        <f>HYPERLINK("https://klasma.github.io/Logging_2262/klagomålsmail/A 51546-2024 FSC-klagomål mail.docx", "A 51546-2024")</f>
        <v/>
      </c>
      <c r="X26">
        <f>HYPERLINK("https://klasma.github.io/Logging_2262/tillsyn/A 51546-2024 tillsynsbegäran.docx", "A 51546-2024")</f>
        <v/>
      </c>
      <c r="Y26">
        <f>HYPERLINK("https://klasma.github.io/Logging_2262/tillsynsmail/A 51546-2024 tillsynsbegäran mail.docx", "A 51546-2024")</f>
        <v/>
      </c>
    </row>
    <row r="27" ht="15" customHeight="1">
      <c r="A27" t="inlineStr">
        <is>
          <t>A 51450-2024</t>
        </is>
      </c>
      <c r="B27" s="1" t="n">
        <v>45604</v>
      </c>
      <c r="C27" s="1" t="n">
        <v>45631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53296-2024</t>
        </is>
      </c>
      <c r="B28" s="1" t="n">
        <v>45614</v>
      </c>
      <c r="C28" s="1" t="n">
        <v>45631</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45631</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45631</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45631</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45631</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45631</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45631</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45631</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45631</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45631</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45631</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45631</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45631</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45631</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45631</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45631</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45631</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45631</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45631</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45631</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45631</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45631</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45631</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45631</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45631</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45631</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45631</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45631</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45631</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45631</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45631</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45631</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45631</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45631</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45631</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45631</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45631</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45631</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45631</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45631</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45631</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45631</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45631</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45631</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45631</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45631</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45631</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45631</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45631</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45631</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45631</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45631</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45631</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45631</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45631</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45631</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45631</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45631</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45631</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45631</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45631</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45631</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45631</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45631</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45631</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45631</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45631</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45631</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45631</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45631</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45631</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45631</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45631</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45631</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45631</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45631</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45631</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45631</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45631</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45631</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45631</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45631</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45631</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45631</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45631</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45631</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45631</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45631</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45631</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45631</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45631</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45631</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45631</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45631</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45631</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45631</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45631</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45631</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45631</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45631</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45631</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45631</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45631</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45631</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45631</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45631</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45631</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45631</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45631</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45631</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45631</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45631</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45631</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45631</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45631</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45631</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45631</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45631</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45631</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45631</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45631</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45631</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45631</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45631</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45631</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45631</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45631</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45631</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45631</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45631</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45631</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45631</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45631</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45631</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45631</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45631</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45631</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45631</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45631</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45631</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45631</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45631</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45631</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45631</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45631</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45631</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45631</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45631</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45631</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45631</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45631</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45631</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45631</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45631</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45631</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45631</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45631</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45631</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45631</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45631</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45631</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45631</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45631</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45631</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45631</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45631</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45631</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45631</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45631</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45631</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45631</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45631</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45631</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45631</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45631</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45631</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45631</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45631</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45631</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45631</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45631</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45631</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45631</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45631</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45631</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45631</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45631</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45631</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45631</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45631</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45631</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45631</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45631</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45631</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45631</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45631</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45631</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45631</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45631</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45631</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45631</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45631</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45631</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45631</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45631</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45631</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45631</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45631</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45631</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45631</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45631</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45631</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45631</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45631</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45631</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45631</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45631</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45631</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45631</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45631</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45631</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45631</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45631</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45631</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45631</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45631</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45631</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45631</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45631</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45631</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45631</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45631</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45631</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45631</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45631</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45631</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45631</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45631</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45631</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45631</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45631</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45631</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45631</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45631</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45631</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45631</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45631</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45631</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45631</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45631</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45631</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45631</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45631</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45631</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45631</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45631</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45631</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45631</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45631</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45631</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45631</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45631</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45631</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45631</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45631</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45631</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45631</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45631</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45631</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45631</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45631</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45631</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45631</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45631</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45631</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45631</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45631</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45631</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45631</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45631</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45631</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45631</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45631</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45631</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45631</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45631</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45631</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45631</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45631</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45631</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45631</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45631</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45631</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45631</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45631</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45631</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45631</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45631</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45631</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45631</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45631</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45631</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45631</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45631</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45631</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45631</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45631</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45631</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45631</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45631</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45631</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45631</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45631</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45631</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45631</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45631</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45631</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45631</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45631</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45631</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45631</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45631</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45631</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45631</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45631</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45631</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45631</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45631</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45631</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45631</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45631</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45631</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45631</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45631</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45631</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45631</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45631</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45631</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45631</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45631</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45631</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45631</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45631</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45631</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45631</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45631</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45631</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45631</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45631</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45631</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45631</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45631</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45631</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45631</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45631</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45631</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45631</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45631</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45631</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45631</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45631</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45631</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45631</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45631</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45631</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45631</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45631</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45631</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45631</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45631</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45631</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45631</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45631</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45631</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45631</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45631</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45631</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45631</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45631</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45631</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45631</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45631</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45631</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45631</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45631</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45631</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45631</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45631</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45631</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45631</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45631</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45631</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45631</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45631</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45631</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45631</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45631</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45631</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45631</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45631</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45631</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45631</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45631</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45631</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45631</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45631</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45631</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45631</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45631</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45631</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45631</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45631</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45631</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45631</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45631</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45631</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45631</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45631</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45631</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45631</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45631</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45631</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45631</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45631</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45631</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45631</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45631</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45631</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45631</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45631</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45631</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45631</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45631</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45631</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45631</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45631</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45631</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45631</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45631</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45631</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45631</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45631</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45631</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45631</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45631</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45631</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45631</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45631</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45631</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45631</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45631</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45631</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45631</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45631</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45631</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45631</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45631</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45631</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45631</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45631</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45631</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45631</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45631</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45631</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45631</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45631</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45631</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45631</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45631</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45631</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45631</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45631</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45631</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45631</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45631</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45631</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45631</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45631</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45631</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45631</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45631</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45631</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45631</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45631</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45631</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45631</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45631</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45631</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45631</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45631</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45631</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45631</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45631</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45631</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45631</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45631</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45631</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45631</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45631</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45631</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45631</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45631</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45631</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45631</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45631</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45631</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45631</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45631</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45631</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45631</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45631</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45631</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45631</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45631</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45631</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45631</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45631</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45631</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45631</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45631</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45631</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45631</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45631</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45631</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45631</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45631</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45631</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45631</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45631</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45631</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45631</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45631</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45631</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45631</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45631</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45631</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45631</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45631</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45631</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45631</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45631</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45631</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45631</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45631</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45631</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45631</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45631</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45631</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45631</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45631</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45631</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45631</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45631</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45631</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45631</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45631</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45631</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45631</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45631</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45631</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45631</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45631</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45631</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45631</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45631</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45631</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45631</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45631</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45631</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45631</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45631</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45631</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45631</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45631</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45631</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45631</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45631</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45631</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45631</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45631</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45631</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45631</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45631</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45631</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45631</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45631</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45631</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45631</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45631</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45631</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45631</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45631</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45631</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45631</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45631</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45631</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45631</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45631</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45631</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45631</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45631</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45631</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45631</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45631</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45631</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45631</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45631</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45631</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45631</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45631</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45631</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45631</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45631</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45631</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45631</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45631</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45631</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45631</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45631</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45631</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45631</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45631</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45631</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45631</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45631</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45631</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45631</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45631</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45631</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45631</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45631</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45631</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45631</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45631</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45631</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45631</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45631</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45631</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45631</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45631</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45631</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45631</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45631</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45631</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45631</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45631</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45631</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45631</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45631</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45631</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45631</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45631</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45631</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45631</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45631</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45631</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45631</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45631</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45631</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45631</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45631</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45631</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45631</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45631</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45631</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45631</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45631</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45631</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45631</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45631</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45631</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45631</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45631</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45631</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45631</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45631</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45631</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45631</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45631</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45631</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45631</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45631</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45631</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45631</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45631</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45631</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45631</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45631</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45631</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45631</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45631</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45631</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45631</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45631</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45631</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45631</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45631</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45631</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45631</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45631</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45631</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45631</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45631</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45631</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45631</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45631</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45631</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45631</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45631</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45631</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45631</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45631</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45631</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45631</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45631</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45631</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45631</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45631</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45631</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45631</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45631</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45631</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45631</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45631</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45631</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45631</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45631</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45631</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45631</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45631</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45631</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45631</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45631</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45631</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45631</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45631</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45631</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45631</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45631</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45631</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45631</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53299-2024</t>
        </is>
      </c>
      <c r="B769" s="1" t="n">
        <v>45614</v>
      </c>
      <c r="C769" s="1" t="n">
        <v>45631</v>
      </c>
      <c r="D769" t="inlineStr">
        <is>
          <t>VÄSTERNORRLANDS LÄN</t>
        </is>
      </c>
      <c r="E769" t="inlineStr">
        <is>
          <t>TIMRÅ</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45631</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53292-2024</t>
        </is>
      </c>
      <c r="B771" s="1" t="n">
        <v>45614</v>
      </c>
      <c r="C771" s="1" t="n">
        <v>45631</v>
      </c>
      <c r="D771" t="inlineStr">
        <is>
          <t>VÄSTERNORRLANDS LÄN</t>
        </is>
      </c>
      <c r="E771" t="inlineStr">
        <is>
          <t>TIMRÅ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53289-2024</t>
        </is>
      </c>
      <c r="B772" s="1" t="n">
        <v>45614</v>
      </c>
      <c r="C772" s="1" t="n">
        <v>45631</v>
      </c>
      <c r="D772" t="inlineStr">
        <is>
          <t>VÄSTERNORRLANDS LÄN</t>
        </is>
      </c>
      <c r="E772" t="inlineStr">
        <is>
          <t>TIMRÅ</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53294-2024</t>
        </is>
      </c>
      <c r="B773" s="1" t="n">
        <v>45614</v>
      </c>
      <c r="C773" s="1" t="n">
        <v>45631</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45631</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53302-2024</t>
        </is>
      </c>
      <c r="B775" s="1" t="n">
        <v>45614</v>
      </c>
      <c r="C775" s="1" t="n">
        <v>45631</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53288-2024</t>
        </is>
      </c>
      <c r="B776" s="1" t="n">
        <v>45614</v>
      </c>
      <c r="C776" s="1" t="n">
        <v>45631</v>
      </c>
      <c r="D776" t="inlineStr">
        <is>
          <t>VÄSTERNORRLANDS LÄN</t>
        </is>
      </c>
      <c r="E776" t="inlineStr">
        <is>
          <t>TIMRÅ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53293-2024</t>
        </is>
      </c>
      <c r="B777" s="1" t="n">
        <v>45614</v>
      </c>
      <c r="C777" s="1" t="n">
        <v>45631</v>
      </c>
      <c r="D777" t="inlineStr">
        <is>
          <t>VÄSTERNORRLANDS LÄN</t>
        </is>
      </c>
      <c r="E777" t="inlineStr">
        <is>
          <t>TIMRÅ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45631</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45631</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45631</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45631</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45631</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45631</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45631</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55588-2024</t>
        </is>
      </c>
      <c r="B785" s="1" t="n">
        <v>45622</v>
      </c>
      <c r="C785" s="1" t="n">
        <v>45631</v>
      </c>
      <c r="D785" t="inlineStr">
        <is>
          <t>VÄSTERNORRLANDS LÄN</t>
        </is>
      </c>
      <c r="E785" t="inlineStr">
        <is>
          <t>TIMRÅ</t>
        </is>
      </c>
      <c r="G785" t="n">
        <v>2.9</v>
      </c>
      <c r="H785" t="n">
        <v>0</v>
      </c>
      <c r="I785" t="n">
        <v>0</v>
      </c>
      <c r="J785" t="n">
        <v>0</v>
      </c>
      <c r="K785" t="n">
        <v>0</v>
      </c>
      <c r="L785" t="n">
        <v>0</v>
      </c>
      <c r="M785" t="n">
        <v>0</v>
      </c>
      <c r="N785" t="n">
        <v>0</v>
      </c>
      <c r="O785" t="n">
        <v>0</v>
      </c>
      <c r="P785" t="n">
        <v>0</v>
      </c>
      <c r="Q785" t="n">
        <v>0</v>
      </c>
      <c r="R785" s="2" t="inlineStr"/>
    </row>
    <row r="786" ht="15" customHeight="1">
      <c r="A786" t="inlineStr">
        <is>
          <t>A 55729-2024</t>
        </is>
      </c>
      <c r="B786" s="1" t="n">
        <v>45622</v>
      </c>
      <c r="C786" s="1" t="n">
        <v>45631</v>
      </c>
      <c r="D786" t="inlineStr">
        <is>
          <t>VÄSTERNORRLANDS LÄN</t>
        </is>
      </c>
      <c r="E786" t="inlineStr">
        <is>
          <t>TIMRÅ</t>
        </is>
      </c>
      <c r="G786" t="n">
        <v>3.1</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45631</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45631</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45631</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45631</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45631</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45631</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45631</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45631</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45631</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45631</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45631</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45631</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45631</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45631</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c r="A801" t="inlineStr">
        <is>
          <t>A 57316-2024</t>
        </is>
      </c>
      <c r="B801" s="1" t="n">
        <v>45629</v>
      </c>
      <c r="C801" s="1" t="n">
        <v>45631</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2024-12-05T15:52:03Z</dcterms:created>
  <dcterms:modified xmlns:dcterms="http://purl.org/dc/terms/" xmlns:xsi="http://www.w3.org/2001/XMLSchema-instance" xsi:type="dcterms:W3CDTF">2024-12-05T15:52:03Z</dcterms:modified>
</cp:coreProperties>
</file>