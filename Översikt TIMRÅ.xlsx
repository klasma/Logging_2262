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45889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45889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45889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45889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45889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45889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45889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39815-2023</t>
        </is>
      </c>
      <c r="B18" s="1" t="n">
        <v>45167</v>
      </c>
      <c r="C18" s="1" t="n">
        <v>45889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Kortskaftad ärgspik
Vedflamlav
Vedskivlav
Dropptaggsvamp</t>
        </is>
      </c>
      <c r="S18">
        <f>HYPERLINK("https://klasma.github.io/Logging_2262/artfynd/A 39815-2023 artfynd.xlsx", "A 39815-2023")</f>
        <v/>
      </c>
      <c r="T18">
        <f>HYPERLINK("https://klasma.github.io/Logging_2262/kartor/A 39815-2023 karta.png", "A 39815-2023")</f>
        <v/>
      </c>
      <c r="V18">
        <f>HYPERLINK("https://klasma.github.io/Logging_2262/klagomål/A 39815-2023 FSC-klagomål.docx", "A 39815-2023")</f>
        <v/>
      </c>
      <c r="W18">
        <f>HYPERLINK("https://klasma.github.io/Logging_2262/klagomålsmail/A 39815-2023 FSC-klagomål mail.docx", "A 39815-2023")</f>
        <v/>
      </c>
      <c r="X18">
        <f>HYPERLINK("https://klasma.github.io/Logging_2262/tillsyn/A 39815-2023 tillsynsbegäran.docx", "A 39815-2023")</f>
        <v/>
      </c>
      <c r="Y18">
        <f>HYPERLINK("https://klasma.github.io/Logging_2262/tillsynsmail/A 39815-2023 tillsynsbegäran mail.docx", "A 39815-2023")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45889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45889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45889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45889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45889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45889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45889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45889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45889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45889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45889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45889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45889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45889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45889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45889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45889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45889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45889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45889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45889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45889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45889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45889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45889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45889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18827-2025</t>
        </is>
      </c>
      <c r="B51" s="1" t="n">
        <v>45764.38619212963</v>
      </c>
      <c r="C51" s="1" t="n">
        <v>45889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Laxporing
Doftskinn</t>
        </is>
      </c>
      <c r="S51">
        <f>HYPERLINK("https://klasma.github.io/Logging_2262/artfynd/A 18827-2025 artfynd.xlsx", "A 18827-2025")</f>
        <v/>
      </c>
      <c r="T51">
        <f>HYPERLINK("https://klasma.github.io/Logging_2262/kartor/A 18827-2025 karta.png", "A 18827-2025")</f>
        <v/>
      </c>
      <c r="V51">
        <f>HYPERLINK("https://klasma.github.io/Logging_2262/klagomål/A 18827-2025 FSC-klagomål.docx", "A 18827-2025")</f>
        <v/>
      </c>
      <c r="W51">
        <f>HYPERLINK("https://klasma.github.io/Logging_2262/klagomålsmail/A 18827-2025 FSC-klagomål mail.docx", "A 18827-2025")</f>
        <v/>
      </c>
      <c r="X51">
        <f>HYPERLINK("https://klasma.github.io/Logging_2262/tillsyn/A 18827-2025 tillsynsbegäran.docx", "A 18827-2025")</f>
        <v/>
      </c>
      <c r="Y51">
        <f>HYPERLINK("https://klasma.github.io/Logging_2262/tillsynsmail/A 18827-2025 tillsynsbegäran mail.docx", "A 18827-2025")</f>
        <v/>
      </c>
    </row>
    <row r="52" ht="15" customHeight="1">
      <c r="A52" t="inlineStr">
        <is>
          <t>A 49202-2022</t>
        </is>
      </c>
      <c r="B52" s="1" t="n">
        <v>44860</v>
      </c>
      <c r="C52" s="1" t="n">
        <v>45889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HYPERLINK("https://klasma.github.io/Logging_2262/artfynd/A 49202-2022 artfynd.xlsx", "A 49202-2022")</f>
        <v/>
      </c>
      <c r="T52">
        <f>HYPERLINK("https://klasma.github.io/Logging_2262/kartor/A 49202-2022 karta.png", "A 49202-2022")</f>
        <v/>
      </c>
      <c r="V52">
        <f>HYPERLINK("https://klasma.github.io/Logging_2262/klagomål/A 49202-2022 FSC-klagomål.docx", "A 49202-2022")</f>
        <v/>
      </c>
      <c r="W52">
        <f>HYPERLINK("https://klasma.github.io/Logging_2262/klagomålsmail/A 49202-2022 FSC-klagomål mail.docx", "A 49202-2022")</f>
        <v/>
      </c>
      <c r="X52">
        <f>HYPERLINK("https://klasma.github.io/Logging_2262/tillsyn/A 49202-2022 tillsynsbegäran.docx", "A 49202-2022")</f>
        <v/>
      </c>
      <c r="Y52">
        <f>HYPERLINK("https://klasma.github.io/Logging_2262/tillsynsmail/A 49202-2022 tillsynsbegäran mail.docx", "A 49202-2022")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45889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45889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18399-2025</t>
        </is>
      </c>
      <c r="B55" s="1" t="n">
        <v>45762.595</v>
      </c>
      <c r="C55" s="1" t="n">
        <v>45889</v>
      </c>
      <c r="D55" t="inlineStr">
        <is>
          <t>VÄSTERNORRLANDS LÄN</t>
        </is>
      </c>
      <c r="E55" t="inlineStr">
        <is>
          <t>TIMRÅ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Kopparödla</t>
        </is>
      </c>
      <c r="S55">
        <f>HYPERLINK("https://klasma.github.io/Logging_2262/artfynd/A 18399-2025 artfynd.xlsx", "A 18399-2025")</f>
        <v/>
      </c>
      <c r="T55">
        <f>HYPERLINK("https://klasma.github.io/Logging_2262/kartor/A 18399-2025 karta.png", "A 18399-2025")</f>
        <v/>
      </c>
      <c r="V55">
        <f>HYPERLINK("https://klasma.github.io/Logging_2262/klagomål/A 18399-2025 FSC-klagomål.docx", "A 18399-2025")</f>
        <v/>
      </c>
      <c r="W55">
        <f>HYPERLINK("https://klasma.github.io/Logging_2262/klagomålsmail/A 18399-2025 FSC-klagomål mail.docx", "A 18399-2025")</f>
        <v/>
      </c>
      <c r="X55">
        <f>HYPERLINK("https://klasma.github.io/Logging_2262/tillsyn/A 18399-2025 tillsynsbegäran.docx", "A 18399-2025")</f>
        <v/>
      </c>
      <c r="Y55">
        <f>HYPERLINK("https://klasma.github.io/Logging_2262/tillsynsmail/A 18399-2025 tillsynsbegäran mail.docx", "A 18399-2025")</f>
        <v/>
      </c>
    </row>
    <row r="56" ht="15" customHeight="1">
      <c r="A56" t="inlineStr">
        <is>
          <t>A 20882-2025</t>
        </is>
      </c>
      <c r="B56" s="1" t="n">
        <v>45777.36506944444</v>
      </c>
      <c r="C56" s="1" t="n">
        <v>45889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20882-2025 artfynd.xlsx", "A 20882-2025")</f>
        <v/>
      </c>
      <c r="T56">
        <f>HYPERLINK("https://klasma.github.io/Logging_2262/kartor/A 20882-2025 karta.png", "A 20882-2025")</f>
        <v/>
      </c>
      <c r="V56">
        <f>HYPERLINK("https://klasma.github.io/Logging_2262/klagomål/A 20882-2025 FSC-klagomål.docx", "A 20882-2025")</f>
        <v/>
      </c>
      <c r="W56">
        <f>HYPERLINK("https://klasma.github.io/Logging_2262/klagomålsmail/A 20882-2025 FSC-klagomål mail.docx", "A 20882-2025")</f>
        <v/>
      </c>
      <c r="X56">
        <f>HYPERLINK("https://klasma.github.io/Logging_2262/tillsyn/A 20882-2025 tillsynsbegäran.docx", "A 20882-2025")</f>
        <v/>
      </c>
      <c r="Y56">
        <f>HYPERLINK("https://klasma.github.io/Logging_2262/tillsynsmail/A 20882-2025 tillsynsbegäran mail.docx", "A 20882-2025")</f>
        <v/>
      </c>
    </row>
    <row r="57" ht="15" customHeight="1">
      <c r="A57" t="inlineStr">
        <is>
          <t>A 21621-2025</t>
        </is>
      </c>
      <c r="B57" s="1" t="n">
        <v>45783.40657407408</v>
      </c>
      <c r="C57" s="1" t="n">
        <v>45889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Rosenticka</t>
        </is>
      </c>
      <c r="S57">
        <f>HYPERLINK("https://klasma.github.io/Logging_2262/artfynd/A 21621-2025 artfynd.xlsx", "A 21621-2025")</f>
        <v/>
      </c>
      <c r="T57">
        <f>HYPERLINK("https://klasma.github.io/Logging_2262/kartor/A 21621-2025 karta.png", "A 21621-2025")</f>
        <v/>
      </c>
      <c r="U57">
        <f>HYPERLINK("https://klasma.github.io/Logging_2262/knärot/A 21621-2025 karta knärot.png", "A 21621-2025")</f>
        <v/>
      </c>
      <c r="V57">
        <f>HYPERLINK("https://klasma.github.io/Logging_2262/klagomål/A 21621-2025 FSC-klagomål.docx", "A 21621-2025")</f>
        <v/>
      </c>
      <c r="W57">
        <f>HYPERLINK("https://klasma.github.io/Logging_2262/klagomålsmail/A 21621-2025 FSC-klagomål mail.docx", "A 21621-2025")</f>
        <v/>
      </c>
      <c r="X57">
        <f>HYPERLINK("https://klasma.github.io/Logging_2262/tillsyn/A 21621-2025 tillsynsbegäran.docx", "A 21621-2025")</f>
        <v/>
      </c>
      <c r="Y57">
        <f>HYPERLINK("https://klasma.github.io/Logging_2262/tillsynsmail/A 21621-2025 tillsynsbegäran mail.docx", "A 21621-2025")</f>
        <v/>
      </c>
    </row>
    <row r="58" ht="15" customHeight="1">
      <c r="A58" t="inlineStr">
        <is>
          <t>A 60670-2024</t>
        </is>
      </c>
      <c r="B58" s="1" t="n">
        <v>45642</v>
      </c>
      <c r="C58" s="1" t="n">
        <v>45889</v>
      </c>
      <c r="D58" t="inlineStr">
        <is>
          <t>VÄSTERNORRLANDS LÄN</t>
        </is>
      </c>
      <c r="E58" t="inlineStr">
        <is>
          <t>TIMRÅ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Fläcknycklar</t>
        </is>
      </c>
      <c r="S58">
        <f>HYPERLINK("https://klasma.github.io/Logging_2262/artfynd/A 60670-2024 artfynd.xlsx", "A 60670-2024")</f>
        <v/>
      </c>
      <c r="T58">
        <f>HYPERLINK("https://klasma.github.io/Logging_2262/kartor/A 60670-2024 karta.png", "A 60670-2024")</f>
        <v/>
      </c>
      <c r="V58">
        <f>HYPERLINK("https://klasma.github.io/Logging_2262/klagomål/A 60670-2024 FSC-klagomål.docx", "A 60670-2024")</f>
        <v/>
      </c>
      <c r="W58">
        <f>HYPERLINK("https://klasma.github.io/Logging_2262/klagomålsmail/A 60670-2024 FSC-klagomål mail.docx", "A 60670-2024")</f>
        <v/>
      </c>
      <c r="X58">
        <f>HYPERLINK("https://klasma.github.io/Logging_2262/tillsyn/A 60670-2024 tillsynsbegäran.docx", "A 60670-2024")</f>
        <v/>
      </c>
      <c r="Y58">
        <f>HYPERLINK("https://klasma.github.io/Logging_2262/tillsynsmail/A 60670-2024 tillsynsbegäran mail.docx", "A 60670-2024")</f>
        <v/>
      </c>
    </row>
    <row r="59" ht="15" customHeight="1">
      <c r="A59" t="inlineStr">
        <is>
          <t>A 22204-2025</t>
        </is>
      </c>
      <c r="B59" s="1" t="n">
        <v>45785.65672453704</v>
      </c>
      <c r="C59" s="1" t="n">
        <v>45889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22204-2025 artfynd.xlsx", "A 22204-2025")</f>
        <v/>
      </c>
      <c r="T59">
        <f>HYPERLINK("https://klasma.github.io/Logging_2262/kartor/A 22204-2025 karta.png", "A 22204-2025")</f>
        <v/>
      </c>
      <c r="V59">
        <f>HYPERLINK("https://klasma.github.io/Logging_2262/klagomål/A 22204-2025 FSC-klagomål.docx", "A 22204-2025")</f>
        <v/>
      </c>
      <c r="W59">
        <f>HYPERLINK("https://klasma.github.io/Logging_2262/klagomålsmail/A 22204-2025 FSC-klagomål mail.docx", "A 22204-2025")</f>
        <v/>
      </c>
      <c r="X59">
        <f>HYPERLINK("https://klasma.github.io/Logging_2262/tillsyn/A 22204-2025 tillsynsbegäran.docx", "A 22204-2025")</f>
        <v/>
      </c>
      <c r="Y59">
        <f>HYPERLINK("https://klasma.github.io/Logging_2262/tillsynsmail/A 22204-2025 tillsynsbegäran mail.docx", "A 22204-2025")</f>
        <v/>
      </c>
    </row>
    <row r="60" ht="15" customHeight="1">
      <c r="A60" t="inlineStr">
        <is>
          <t>A 22379-2025</t>
        </is>
      </c>
      <c r="B60" s="1" t="n">
        <v>45786</v>
      </c>
      <c r="C60" s="1" t="n">
        <v>45889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8.300000000000001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Mörk kolflarnlav</t>
        </is>
      </c>
      <c r="S60">
        <f>HYPERLINK("https://klasma.github.io/Logging_2262/artfynd/A 22379-2025 artfynd.xlsx", "A 22379-2025")</f>
        <v/>
      </c>
      <c r="T60">
        <f>HYPERLINK("https://klasma.github.io/Logging_2262/kartor/A 22379-2025 karta.png", "A 22379-2025")</f>
        <v/>
      </c>
      <c r="V60">
        <f>HYPERLINK("https://klasma.github.io/Logging_2262/klagomål/A 22379-2025 FSC-klagomål.docx", "A 22379-2025")</f>
        <v/>
      </c>
      <c r="W60">
        <f>HYPERLINK("https://klasma.github.io/Logging_2262/klagomålsmail/A 22379-2025 FSC-klagomål mail.docx", "A 22379-2025")</f>
        <v/>
      </c>
      <c r="X60">
        <f>HYPERLINK("https://klasma.github.io/Logging_2262/tillsyn/A 22379-2025 tillsynsbegäran.docx", "A 22379-2025")</f>
        <v/>
      </c>
      <c r="Y60">
        <f>HYPERLINK("https://klasma.github.io/Logging_2262/tillsynsmail/A 22379-2025 tillsynsbegäran mail.docx", "A 22379-2025")</f>
        <v/>
      </c>
    </row>
    <row r="61" ht="15" customHeight="1">
      <c r="A61" t="inlineStr">
        <is>
          <t>A 22072-2025</t>
        </is>
      </c>
      <c r="B61" s="1" t="n">
        <v>45785.40699074074</v>
      </c>
      <c r="C61" s="1" t="n">
        <v>45889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Ullticka</t>
        </is>
      </c>
      <c r="S61">
        <f>HYPERLINK("https://klasma.github.io/Logging_2262/artfynd/A 22072-2025 artfynd.xlsx", "A 22072-2025")</f>
        <v/>
      </c>
      <c r="T61">
        <f>HYPERLINK("https://klasma.github.io/Logging_2262/kartor/A 22072-2025 karta.png", "A 22072-2025")</f>
        <v/>
      </c>
      <c r="V61">
        <f>HYPERLINK("https://klasma.github.io/Logging_2262/klagomål/A 22072-2025 FSC-klagomål.docx", "A 22072-2025")</f>
        <v/>
      </c>
      <c r="W61">
        <f>HYPERLINK("https://klasma.github.io/Logging_2262/klagomålsmail/A 22072-2025 FSC-klagomål mail.docx", "A 22072-2025")</f>
        <v/>
      </c>
      <c r="X61">
        <f>HYPERLINK("https://klasma.github.io/Logging_2262/tillsyn/A 22072-2025 tillsynsbegäran.docx", "A 22072-2025")</f>
        <v/>
      </c>
      <c r="Y61">
        <f>HYPERLINK("https://klasma.github.io/Logging_2262/tillsynsmail/A 22072-2025 tillsynsbegäran mail.docx", "A 22072-2025")</f>
        <v/>
      </c>
    </row>
    <row r="62" ht="15" customHeight="1">
      <c r="A62" t="inlineStr">
        <is>
          <t>A 55709-2024</t>
        </is>
      </c>
      <c r="B62" s="1" t="n">
        <v>45622.69840277778</v>
      </c>
      <c r="C62" s="1" t="n">
        <v>45889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Skinnlav</t>
        </is>
      </c>
      <c r="S62">
        <f>HYPERLINK("https://klasma.github.io/Logging_2262/artfynd/A 55709-2024 artfynd.xlsx", "A 55709-2024")</f>
        <v/>
      </c>
      <c r="T62">
        <f>HYPERLINK("https://klasma.github.io/Logging_2262/kartor/A 55709-2024 karta.png", "A 55709-2024")</f>
        <v/>
      </c>
      <c r="V62">
        <f>HYPERLINK("https://klasma.github.io/Logging_2262/klagomål/A 55709-2024 FSC-klagomål.docx", "A 55709-2024")</f>
        <v/>
      </c>
      <c r="W62">
        <f>HYPERLINK("https://klasma.github.io/Logging_2262/klagomålsmail/A 55709-2024 FSC-klagomål mail.docx", "A 55709-2024")</f>
        <v/>
      </c>
      <c r="X62">
        <f>HYPERLINK("https://klasma.github.io/Logging_2262/tillsyn/A 55709-2024 tillsynsbegäran.docx", "A 55709-2024")</f>
        <v/>
      </c>
      <c r="Y62">
        <f>HYPERLINK("https://klasma.github.io/Logging_2262/tillsynsmail/A 55709-2024 tillsynsbegäran mail.docx", "A 55709-2024")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45889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45889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45889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45889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45889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45889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41784-2024</t>
        </is>
      </c>
      <c r="B69" s="1" t="n">
        <v>45561</v>
      </c>
      <c r="C69" s="1" t="n">
        <v>45889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10.7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Koralltaggsvamp</t>
        </is>
      </c>
      <c r="S69">
        <f>HYPERLINK("https://klasma.github.io/Logging_2262/artfynd/A 41784-2024 artfynd.xlsx", "A 41784-2024")</f>
        <v/>
      </c>
      <c r="T69">
        <f>HYPERLINK("https://klasma.github.io/Logging_2262/kartor/A 41784-2024 karta.png", "A 41784-2024")</f>
        <v/>
      </c>
      <c r="U69">
        <f>HYPERLINK("https://klasma.github.io/Logging_2262/knärot/A 41784-2024 karta knärot.png", "A 41784-2024")</f>
        <v/>
      </c>
      <c r="V69">
        <f>HYPERLINK("https://klasma.github.io/Logging_2262/klagomål/A 41784-2024 FSC-klagomål.docx", "A 41784-2024")</f>
        <v/>
      </c>
      <c r="W69">
        <f>HYPERLINK("https://klasma.github.io/Logging_2262/klagomålsmail/A 41784-2024 FSC-klagomål mail.docx", "A 41784-2024")</f>
        <v/>
      </c>
      <c r="X69">
        <f>HYPERLINK("https://klasma.github.io/Logging_2262/tillsyn/A 41784-2024 tillsynsbegäran.docx", "A 41784-2024")</f>
        <v/>
      </c>
      <c r="Y69">
        <f>HYPERLINK("https://klasma.github.io/Logging_2262/tillsynsmail/A 41784-2024 tillsynsbegäran mail.docx", "A 41784-2024")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45889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20679-2021</t>
        </is>
      </c>
      <c r="B71" s="1" t="n">
        <v>44316</v>
      </c>
      <c r="C71" s="1" t="n">
        <v>45889</v>
      </c>
      <c r="D71" t="inlineStr">
        <is>
          <t>VÄSTERNORRLANDS LÄN</t>
        </is>
      </c>
      <c r="E71" t="inlineStr">
        <is>
          <t>TIMRÅ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HYPERLINK("https://klasma.github.io/Logging_2262/artfynd/A 20679-2021 artfynd.xlsx", "A 20679-2021")</f>
        <v/>
      </c>
      <c r="T71">
        <f>HYPERLINK("https://klasma.github.io/Logging_2262/kartor/A 20679-2021 karta.png", "A 20679-2021")</f>
        <v/>
      </c>
      <c r="V71">
        <f>HYPERLINK("https://klasma.github.io/Logging_2262/klagomål/A 20679-2021 FSC-klagomål.docx", "A 20679-2021")</f>
        <v/>
      </c>
      <c r="W71">
        <f>HYPERLINK("https://klasma.github.io/Logging_2262/klagomålsmail/A 20679-2021 FSC-klagomål mail.docx", "A 20679-2021")</f>
        <v/>
      </c>
      <c r="X71">
        <f>HYPERLINK("https://klasma.github.io/Logging_2262/tillsyn/A 20679-2021 tillsynsbegäran.docx", "A 20679-2021")</f>
        <v/>
      </c>
      <c r="Y71">
        <f>HYPERLINK("https://klasma.github.io/Logging_2262/tillsynsmail/A 20679-2021 tillsynsbegäran mail.docx", "A 20679-2021")</f>
        <v/>
      </c>
      <c r="Z71">
        <f>HYPERLINK("https://klasma.github.io/Logging_2262/fåglar/A 20679-2021 prioriterade fågelarter.docx", "A 20679-2021")</f>
        <v/>
      </c>
    </row>
    <row r="72" ht="15" customHeight="1">
      <c r="A72" t="inlineStr">
        <is>
          <t>A 7272-2025</t>
        </is>
      </c>
      <c r="B72" s="1" t="n">
        <v>45702.61481481481</v>
      </c>
      <c r="C72" s="1" t="n">
        <v>45889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Reliktbock</t>
        </is>
      </c>
      <c r="S72">
        <f>HYPERLINK("https://klasma.github.io/Logging_2262/artfynd/A 7272-2025 artfynd.xlsx", "A 7272-2025")</f>
        <v/>
      </c>
      <c r="T72">
        <f>HYPERLINK("https://klasma.github.io/Logging_2262/kartor/A 7272-2025 karta.png", "A 7272-2025")</f>
        <v/>
      </c>
      <c r="V72">
        <f>HYPERLINK("https://klasma.github.io/Logging_2262/klagomål/A 7272-2025 FSC-klagomål.docx", "A 7272-2025")</f>
        <v/>
      </c>
      <c r="W72">
        <f>HYPERLINK("https://klasma.github.io/Logging_2262/klagomålsmail/A 7272-2025 FSC-klagomål mail.docx", "A 7272-2025")</f>
        <v/>
      </c>
      <c r="X72">
        <f>HYPERLINK("https://klasma.github.io/Logging_2262/tillsyn/A 7272-2025 tillsynsbegäran.docx", "A 7272-2025")</f>
        <v/>
      </c>
      <c r="Y72">
        <f>HYPERLINK("https://klasma.github.io/Logging_2262/tillsynsmail/A 7272-2025 tillsynsbegäran mail.docx", "A 7272-2025")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45889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39150-2024</t>
        </is>
      </c>
      <c r="B74" s="1" t="n">
        <v>45548</v>
      </c>
      <c r="C74" s="1" t="n">
        <v>45889</v>
      </c>
      <c r="D74" t="inlineStr">
        <is>
          <t>VÄSTERNORRLANDS LÄN</t>
        </is>
      </c>
      <c r="E74" t="inlineStr">
        <is>
          <t>TIMRÅ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HYPERLINK("https://klasma.github.io/Logging_2262/artfynd/A 39150-2024 artfynd.xlsx", "A 39150-2024")</f>
        <v/>
      </c>
      <c r="T74">
        <f>HYPERLINK("https://klasma.github.io/Logging_2262/kartor/A 39150-2024 karta.png", "A 39150-2024")</f>
        <v/>
      </c>
      <c r="V74">
        <f>HYPERLINK("https://klasma.github.io/Logging_2262/klagomål/A 39150-2024 FSC-klagomål.docx", "A 39150-2024")</f>
        <v/>
      </c>
      <c r="W74">
        <f>HYPERLINK("https://klasma.github.io/Logging_2262/klagomålsmail/A 39150-2024 FSC-klagomål mail.docx", "A 39150-2024")</f>
        <v/>
      </c>
      <c r="X74">
        <f>HYPERLINK("https://klasma.github.io/Logging_2262/tillsyn/A 39150-2024 tillsynsbegäran.docx", "A 39150-2024")</f>
        <v/>
      </c>
      <c r="Y74">
        <f>HYPERLINK("https://klasma.github.io/Logging_2262/tillsynsmail/A 39150-2024 tillsynsbegäran mail.docx", "A 39150-2024")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45889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53295-2024</t>
        </is>
      </c>
      <c r="B76" s="1" t="n">
        <v>45614.38761574074</v>
      </c>
      <c r="C76" s="1" t="n">
        <v>45889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HYPERLINK("https://klasma.github.io/Logging_2262/artfynd/A 53295-2024 artfynd.xlsx", "A 53295-2024")</f>
        <v/>
      </c>
      <c r="T76">
        <f>HYPERLINK("https://klasma.github.io/Logging_2262/kartor/A 53295-2024 karta.png", "A 53295-2024")</f>
        <v/>
      </c>
      <c r="V76">
        <f>HYPERLINK("https://klasma.github.io/Logging_2262/klagomål/A 53295-2024 FSC-klagomål.docx", "A 53295-2024")</f>
        <v/>
      </c>
      <c r="W76">
        <f>HYPERLINK("https://klasma.github.io/Logging_2262/klagomålsmail/A 53295-2024 FSC-klagomål mail.docx", "A 53295-2024")</f>
        <v/>
      </c>
      <c r="X76">
        <f>HYPERLINK("https://klasma.github.io/Logging_2262/tillsyn/A 53295-2024 tillsynsbegäran.docx", "A 53295-2024")</f>
        <v/>
      </c>
      <c r="Y76">
        <f>HYPERLINK("https://klasma.github.io/Logging_2262/tillsynsmail/A 53295-2024 tillsynsbegäran mail.docx", "A 53295-2024")</f>
        <v/>
      </c>
    </row>
    <row r="77" ht="15" customHeight="1">
      <c r="A77" t="inlineStr">
        <is>
          <t>A 56372-2023</t>
        </is>
      </c>
      <c r="B77" s="1" t="n">
        <v>45243</v>
      </c>
      <c r="C77" s="1" t="n">
        <v>45889</v>
      </c>
      <c r="D77" t="inlineStr">
        <is>
          <t>VÄSTERNORRLANDS LÄN</t>
        </is>
      </c>
      <c r="E77" t="inlineStr">
        <is>
          <t>TIMRÅ</t>
        </is>
      </c>
      <c r="G77" t="n">
        <v>6.9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HYPERLINK("https://klasma.github.io/Logging_2262/artfynd/A 56372-2023 artfynd.xlsx", "A 56372-2023")</f>
        <v/>
      </c>
      <c r="T77">
        <f>HYPERLINK("https://klasma.github.io/Logging_2262/kartor/A 56372-2023 karta.png", "A 56372-2023")</f>
        <v/>
      </c>
      <c r="U77">
        <f>HYPERLINK("https://klasma.github.io/Logging_2262/knärot/A 56372-2023 karta knärot.png", "A 56372-2023")</f>
        <v/>
      </c>
      <c r="V77">
        <f>HYPERLINK("https://klasma.github.io/Logging_2262/klagomål/A 56372-2023 FSC-klagomål.docx", "A 56372-2023")</f>
        <v/>
      </c>
      <c r="W77">
        <f>HYPERLINK("https://klasma.github.io/Logging_2262/klagomålsmail/A 56372-2023 FSC-klagomål mail.docx", "A 56372-2023")</f>
        <v/>
      </c>
      <c r="X77">
        <f>HYPERLINK("https://klasma.github.io/Logging_2262/tillsyn/A 56372-2023 tillsynsbegäran.docx", "A 56372-2023")</f>
        <v/>
      </c>
      <c r="Y77">
        <f>HYPERLINK("https://klasma.github.io/Logging_2262/tillsynsmail/A 56372-2023 tillsynsbegäran mail.docx", "A 56372-2023")</f>
        <v/>
      </c>
    </row>
    <row r="78" ht="15" customHeight="1">
      <c r="A78" t="inlineStr">
        <is>
          <t>A 22050-2025</t>
        </is>
      </c>
      <c r="B78" s="1" t="n">
        <v>45785.34451388889</v>
      </c>
      <c r="C78" s="1" t="n">
        <v>45889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22050-2025 artfynd.xlsx", "A 22050-2025")</f>
        <v/>
      </c>
      <c r="T78">
        <f>HYPERLINK("https://klasma.github.io/Logging_2262/kartor/A 22050-2025 karta.png", "A 22050-2025")</f>
        <v/>
      </c>
      <c r="V78">
        <f>HYPERLINK("https://klasma.github.io/Logging_2262/klagomål/A 22050-2025 FSC-klagomål.docx", "A 22050-2025")</f>
        <v/>
      </c>
      <c r="W78">
        <f>HYPERLINK("https://klasma.github.io/Logging_2262/klagomålsmail/A 22050-2025 FSC-klagomål mail.docx", "A 22050-2025")</f>
        <v/>
      </c>
      <c r="X78">
        <f>HYPERLINK("https://klasma.github.io/Logging_2262/tillsyn/A 22050-2025 tillsynsbegäran.docx", "A 22050-2025")</f>
        <v/>
      </c>
      <c r="Y78">
        <f>HYPERLINK("https://klasma.github.io/Logging_2262/tillsynsmail/A 22050-2025 tillsynsbegäran mail.docx", "A 22050-2025")</f>
        <v/>
      </c>
    </row>
    <row r="79" ht="15" customHeight="1">
      <c r="A79" t="inlineStr">
        <is>
          <t>A 22212-2025</t>
        </is>
      </c>
      <c r="B79" s="1" t="n">
        <v>45785.65763888889</v>
      </c>
      <c r="C79" s="1" t="n">
        <v>45889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HYPERLINK("https://klasma.github.io/Logging_2262/artfynd/A 22212-2025 artfynd.xlsx", "A 22212-2025")</f>
        <v/>
      </c>
      <c r="T79">
        <f>HYPERLINK("https://klasma.github.io/Logging_2262/kartor/A 22212-2025 karta.png", "A 22212-2025")</f>
        <v/>
      </c>
      <c r="V79">
        <f>HYPERLINK("https://klasma.github.io/Logging_2262/klagomål/A 22212-2025 FSC-klagomål.docx", "A 22212-2025")</f>
        <v/>
      </c>
      <c r="W79">
        <f>HYPERLINK("https://klasma.github.io/Logging_2262/klagomålsmail/A 22212-2025 FSC-klagomål mail.docx", "A 22212-2025")</f>
        <v/>
      </c>
      <c r="X79">
        <f>HYPERLINK("https://klasma.github.io/Logging_2262/tillsyn/A 22212-2025 tillsynsbegäran.docx", "A 22212-2025")</f>
        <v/>
      </c>
      <c r="Y79">
        <f>HYPERLINK("https://klasma.github.io/Logging_2262/tillsynsmail/A 22212-2025 tillsynsbegäran mail.docx", "A 22212-2025")</f>
        <v/>
      </c>
    </row>
    <row r="80" ht="15" customHeight="1">
      <c r="A80" t="inlineStr">
        <is>
          <t>A 12753-2022</t>
        </is>
      </c>
      <c r="B80" s="1" t="n">
        <v>44641</v>
      </c>
      <c r="C80" s="1" t="n">
        <v>45889</v>
      </c>
      <c r="D80" t="inlineStr">
        <is>
          <t>VÄSTERNORRLANDS LÄN</t>
        </is>
      </c>
      <c r="E80" t="inlineStr">
        <is>
          <t>TIMRÅ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12753-2022 artfynd.xlsx", "A 12753-2022")</f>
        <v/>
      </c>
      <c r="T80">
        <f>HYPERLINK("https://klasma.github.io/Logging_2262/kartor/A 12753-2022 karta.png", "A 12753-2022")</f>
        <v/>
      </c>
      <c r="V80">
        <f>HYPERLINK("https://klasma.github.io/Logging_2262/klagomål/A 12753-2022 FSC-klagomål.docx", "A 12753-2022")</f>
        <v/>
      </c>
      <c r="W80">
        <f>HYPERLINK("https://klasma.github.io/Logging_2262/klagomålsmail/A 12753-2022 FSC-klagomål mail.docx", "A 12753-2022")</f>
        <v/>
      </c>
      <c r="X80">
        <f>HYPERLINK("https://klasma.github.io/Logging_2262/tillsyn/A 12753-2022 tillsynsbegäran.docx", "A 12753-2022")</f>
        <v/>
      </c>
      <c r="Y80">
        <f>HYPERLINK("https://klasma.github.io/Logging_2262/tillsynsmail/A 12753-2022 tillsynsbegäran mail.docx", "A 12753-2022")</f>
        <v/>
      </c>
    </row>
    <row r="81" ht="15" customHeight="1">
      <c r="A81" t="inlineStr">
        <is>
          <t>A 22897-2025</t>
        </is>
      </c>
      <c r="B81" s="1" t="n">
        <v>45790</v>
      </c>
      <c r="C81" s="1" t="n">
        <v>45889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22897-2025 artfynd.xlsx", "A 22897-2025")</f>
        <v/>
      </c>
      <c r="T81">
        <f>HYPERLINK("https://klasma.github.io/Logging_2262/kartor/A 22897-2025 karta.png", "A 22897-2025")</f>
        <v/>
      </c>
      <c r="V81">
        <f>HYPERLINK("https://klasma.github.io/Logging_2262/klagomål/A 22897-2025 FSC-klagomål.docx", "A 22897-2025")</f>
        <v/>
      </c>
      <c r="W81">
        <f>HYPERLINK("https://klasma.github.io/Logging_2262/klagomålsmail/A 22897-2025 FSC-klagomål mail.docx", "A 22897-2025")</f>
        <v/>
      </c>
      <c r="X81">
        <f>HYPERLINK("https://klasma.github.io/Logging_2262/tillsyn/A 22897-2025 tillsynsbegäran.docx", "A 22897-2025")</f>
        <v/>
      </c>
      <c r="Y81">
        <f>HYPERLINK("https://klasma.github.io/Logging_2262/tillsynsmail/A 22897-2025 tillsynsbegäran mail.docx", "A 22897-2025")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45889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56287-2024</t>
        </is>
      </c>
      <c r="B83" s="1" t="n">
        <v>45624.67935185185</v>
      </c>
      <c r="C83" s="1" t="n">
        <v>45889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56287-2024 artfynd.xlsx", "A 56287-2024")</f>
        <v/>
      </c>
      <c r="T83">
        <f>HYPERLINK("https://klasma.github.io/Logging_2262/kartor/A 56287-2024 karta.png", "A 56287-2024")</f>
        <v/>
      </c>
      <c r="V83">
        <f>HYPERLINK("https://klasma.github.io/Logging_2262/klagomål/A 56287-2024 FSC-klagomål.docx", "A 56287-2024")</f>
        <v/>
      </c>
      <c r="W83">
        <f>HYPERLINK("https://klasma.github.io/Logging_2262/klagomålsmail/A 56287-2024 FSC-klagomål mail.docx", "A 56287-2024")</f>
        <v/>
      </c>
      <c r="X83">
        <f>HYPERLINK("https://klasma.github.io/Logging_2262/tillsyn/A 56287-2024 tillsynsbegäran.docx", "A 56287-2024")</f>
        <v/>
      </c>
      <c r="Y83">
        <f>HYPERLINK("https://klasma.github.io/Logging_2262/tillsynsmail/A 56287-2024 tillsynsbegäran mail.docx", "A 56287-2024")</f>
        <v/>
      </c>
    </row>
    <row r="84" ht="15" customHeight="1">
      <c r="A84" t="inlineStr">
        <is>
          <t>A 22819-2025</t>
        </is>
      </c>
      <c r="B84" s="1" t="n">
        <v>45789.71935185185</v>
      </c>
      <c r="C84" s="1" t="n">
        <v>45889</v>
      </c>
      <c r="D84" t="inlineStr">
        <is>
          <t>VÄSTERNORRLANDS LÄN</t>
        </is>
      </c>
      <c r="E84" t="inlineStr">
        <is>
          <t>TIMRÅ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HYPERLINK("https://klasma.github.io/Logging_2262/artfynd/A 22819-2025 artfynd.xlsx", "A 22819-2025")</f>
        <v/>
      </c>
      <c r="T84">
        <f>HYPERLINK("https://klasma.github.io/Logging_2262/kartor/A 22819-2025 karta.png", "A 22819-2025")</f>
        <v/>
      </c>
      <c r="V84">
        <f>HYPERLINK("https://klasma.github.io/Logging_2262/klagomål/A 22819-2025 FSC-klagomål.docx", "A 22819-2025")</f>
        <v/>
      </c>
      <c r="W84">
        <f>HYPERLINK("https://klasma.github.io/Logging_2262/klagomålsmail/A 22819-2025 FSC-klagomål mail.docx", "A 22819-2025")</f>
        <v/>
      </c>
      <c r="X84">
        <f>HYPERLINK("https://klasma.github.io/Logging_2262/tillsyn/A 22819-2025 tillsynsbegäran.docx", "A 22819-2025")</f>
        <v/>
      </c>
      <c r="Y84">
        <f>HYPERLINK("https://klasma.github.io/Logging_2262/tillsynsmail/A 22819-2025 tillsynsbegäran mail.docx", "A 22819-2025")</f>
        <v/>
      </c>
      <c r="Z84">
        <f>HYPERLINK("https://klasma.github.io/Logging_2262/fåglar/A 22819-2025 prioriterade fågelarter.docx", "A 22819-2025")</f>
        <v/>
      </c>
    </row>
    <row r="85" ht="15" customHeight="1">
      <c r="A85" t="inlineStr">
        <is>
          <t>A 23171-2025</t>
        </is>
      </c>
      <c r="B85" s="1" t="n">
        <v>45791.4278587963</v>
      </c>
      <c r="C85" s="1" t="n">
        <v>45889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23171-2025 artfynd.xlsx", "A 23171-2025")</f>
        <v/>
      </c>
      <c r="T85">
        <f>HYPERLINK("https://klasma.github.io/Logging_2262/kartor/A 23171-2025 karta.png", "A 23171-2025")</f>
        <v/>
      </c>
      <c r="V85">
        <f>HYPERLINK("https://klasma.github.io/Logging_2262/klagomål/A 23171-2025 FSC-klagomål.docx", "A 23171-2025")</f>
        <v/>
      </c>
      <c r="W85">
        <f>HYPERLINK("https://klasma.github.io/Logging_2262/klagomålsmail/A 23171-2025 FSC-klagomål mail.docx", "A 23171-2025")</f>
        <v/>
      </c>
      <c r="X85">
        <f>HYPERLINK("https://klasma.github.io/Logging_2262/tillsyn/A 23171-2025 tillsynsbegäran.docx", "A 23171-2025")</f>
        <v/>
      </c>
      <c r="Y85">
        <f>HYPERLINK("https://klasma.github.io/Logging_2262/tillsynsmail/A 23171-2025 tillsynsbegäran mail.docx", "A 23171-2025")</f>
        <v/>
      </c>
    </row>
    <row r="86" ht="15" customHeight="1">
      <c r="A86" t="inlineStr">
        <is>
          <t>A 12785-2022</t>
        </is>
      </c>
      <c r="B86" s="1" t="n">
        <v>44641</v>
      </c>
      <c r="C86" s="1" t="n">
        <v>45889</v>
      </c>
      <c r="D86" t="inlineStr">
        <is>
          <t>VÄSTERNORRLANDS LÄN</t>
        </is>
      </c>
      <c r="E86" t="inlineStr">
        <is>
          <t>TIMRÅ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12785-2022 artfynd.xlsx", "A 12785-2022")</f>
        <v/>
      </c>
      <c r="T86">
        <f>HYPERLINK("https://klasma.github.io/Logging_2262/kartor/A 12785-2022 karta.png", "A 12785-2022")</f>
        <v/>
      </c>
      <c r="V86">
        <f>HYPERLINK("https://klasma.github.io/Logging_2262/klagomål/A 12785-2022 FSC-klagomål.docx", "A 12785-2022")</f>
        <v/>
      </c>
      <c r="W86">
        <f>HYPERLINK("https://klasma.github.io/Logging_2262/klagomålsmail/A 12785-2022 FSC-klagomål mail.docx", "A 12785-2022")</f>
        <v/>
      </c>
      <c r="X86">
        <f>HYPERLINK("https://klasma.github.io/Logging_2262/tillsyn/A 12785-2022 tillsynsbegäran.docx", "A 12785-2022")</f>
        <v/>
      </c>
      <c r="Y86">
        <f>HYPERLINK("https://klasma.github.io/Logging_2262/tillsynsmail/A 12785-2022 tillsynsbegäran mail.docx", "A 12785-2022")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45889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45889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45889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45889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45889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45889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45889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45889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45889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45889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45889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45889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45889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45889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45889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45889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45889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42443-2020</t>
        </is>
      </c>
      <c r="B104" s="1" t="n">
        <v>44074</v>
      </c>
      <c r="C104" s="1" t="n">
        <v>45889</v>
      </c>
      <c r="D104" t="inlineStr">
        <is>
          <t>VÄSTERNORRLANDS LÄN</t>
        </is>
      </c>
      <c r="E104" t="inlineStr">
        <is>
          <t>TIMRÅ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47203-2021</t>
        </is>
      </c>
      <c r="B105" s="1" t="n">
        <v>44447.3393287037</v>
      </c>
      <c r="C105" s="1" t="n">
        <v>45889</v>
      </c>
      <c r="D105" t="inlineStr">
        <is>
          <t>VÄSTERNORRLANDS LÄN</t>
        </is>
      </c>
      <c r="E105" t="inlineStr">
        <is>
          <t>TIMRÅ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65001-2020</t>
        </is>
      </c>
      <c r="B106" s="1" t="n">
        <v>44167</v>
      </c>
      <c r="C106" s="1" t="n">
        <v>45889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47570-2021</t>
        </is>
      </c>
      <c r="B107" s="1" t="n">
        <v>44447.94371527778</v>
      </c>
      <c r="C107" s="1" t="n">
        <v>45889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28695-2021</t>
        </is>
      </c>
      <c r="B108" s="1" t="n">
        <v>44357</v>
      </c>
      <c r="C108" s="1" t="n">
        <v>45889</v>
      </c>
      <c r="D108" t="inlineStr">
        <is>
          <t>VÄSTERNORRLANDS LÄN</t>
        </is>
      </c>
      <c r="E108" t="inlineStr">
        <is>
          <t>TIMRÅ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20487-2021</t>
        </is>
      </c>
      <c r="B109" s="1" t="n">
        <v>44315</v>
      </c>
      <c r="C109" s="1" t="n">
        <v>45889</v>
      </c>
      <c r="D109" t="inlineStr">
        <is>
          <t>VÄSTERNORRLANDS LÄN</t>
        </is>
      </c>
      <c r="E109" t="inlineStr">
        <is>
          <t>TIMRÅ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66154-2021</t>
        </is>
      </c>
      <c r="B110" s="1" t="n">
        <v>44517</v>
      </c>
      <c r="C110" s="1" t="n">
        <v>45889</v>
      </c>
      <c r="D110" t="inlineStr">
        <is>
          <t>VÄSTERNORRLANDS LÄN</t>
        </is>
      </c>
      <c r="E110" t="inlineStr">
        <is>
          <t>TIMRÅ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74044-2021</t>
        </is>
      </c>
      <c r="B111" s="1" t="n">
        <v>44557</v>
      </c>
      <c r="C111" s="1" t="n">
        <v>45889</v>
      </c>
      <c r="D111" t="inlineStr">
        <is>
          <t>VÄSTERNORRLANDS LÄN</t>
        </is>
      </c>
      <c r="E111" t="inlineStr">
        <is>
          <t>TIMRÅ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45889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45889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45889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45889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23693-2022</t>
        </is>
      </c>
      <c r="B116" s="1" t="n">
        <v>44721</v>
      </c>
      <c r="C116" s="1" t="n">
        <v>45889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47569-2021</t>
        </is>
      </c>
      <c r="B117" s="1" t="n">
        <v>44447</v>
      </c>
      <c r="C117" s="1" t="n">
        <v>45889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38445-2022</t>
        </is>
      </c>
      <c r="B118" s="1" t="n">
        <v>44813</v>
      </c>
      <c r="C118" s="1" t="n">
        <v>45889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52474-2022</t>
        </is>
      </c>
      <c r="B119" s="1" t="n">
        <v>44874.48275462963</v>
      </c>
      <c r="C119" s="1" t="n">
        <v>45889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45889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48574-2020</t>
        </is>
      </c>
      <c r="B121" s="1" t="n">
        <v>44103</v>
      </c>
      <c r="C121" s="1" t="n">
        <v>45889</v>
      </c>
      <c r="D121" t="inlineStr">
        <is>
          <t>VÄSTERNORRLANDS LÄN</t>
        </is>
      </c>
      <c r="E121" t="inlineStr">
        <is>
          <t>TIMRÅ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28702-2021</t>
        </is>
      </c>
      <c r="B122" s="1" t="n">
        <v>44357</v>
      </c>
      <c r="C122" s="1" t="n">
        <v>45889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1555-2021</t>
        </is>
      </c>
      <c r="B123" s="1" t="n">
        <v>44209</v>
      </c>
      <c r="C123" s="1" t="n">
        <v>45889</v>
      </c>
      <c r="D123" t="inlineStr">
        <is>
          <t>VÄSTERNORRLANDS LÄN</t>
        </is>
      </c>
      <c r="E123" t="inlineStr">
        <is>
          <t>TIMRÅ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45889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50162-2020</t>
        </is>
      </c>
      <c r="B125" s="1" t="n">
        <v>44104</v>
      </c>
      <c r="C125" s="1" t="n">
        <v>45889</v>
      </c>
      <c r="D125" t="inlineStr">
        <is>
          <t>VÄSTERNORRLANDS LÄN</t>
        </is>
      </c>
      <c r="E125" t="inlineStr">
        <is>
          <t>TIMRÅ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45889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45889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74148-2021</t>
        </is>
      </c>
      <c r="B128" s="1" t="n">
        <v>44557</v>
      </c>
      <c r="C128" s="1" t="n">
        <v>45889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45889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45889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59570-2021</t>
        </is>
      </c>
      <c r="B131" s="1" t="n">
        <v>44491</v>
      </c>
      <c r="C131" s="1" t="n">
        <v>45889</v>
      </c>
      <c r="D131" t="inlineStr">
        <is>
          <t>VÄSTERNORRLANDS LÄN</t>
        </is>
      </c>
      <c r="E131" t="inlineStr">
        <is>
          <t>TIMRÅ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30098-2021</t>
        </is>
      </c>
      <c r="B132" s="1" t="n">
        <v>44363</v>
      </c>
      <c r="C132" s="1" t="n">
        <v>45889</v>
      </c>
      <c r="D132" t="inlineStr">
        <is>
          <t>VÄSTERNORRLANDS LÄN</t>
        </is>
      </c>
      <c r="E132" t="inlineStr">
        <is>
          <t>TIMRÅ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28650-2021</t>
        </is>
      </c>
      <c r="B133" s="1" t="n">
        <v>44357.3500462963</v>
      </c>
      <c r="C133" s="1" t="n">
        <v>45889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67610-2020</t>
        </is>
      </c>
      <c r="B134" s="1" t="n">
        <v>44181</v>
      </c>
      <c r="C134" s="1" t="n">
        <v>45889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45889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32210-2021</t>
        </is>
      </c>
      <c r="B136" s="1" t="n">
        <v>44371</v>
      </c>
      <c r="C136" s="1" t="n">
        <v>45889</v>
      </c>
      <c r="D136" t="inlineStr">
        <is>
          <t>VÄSTERNORRLANDS LÄN</t>
        </is>
      </c>
      <c r="E136" t="inlineStr">
        <is>
          <t>TIMRÅ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32287-2021</t>
        </is>
      </c>
      <c r="B137" s="1" t="n">
        <v>44371</v>
      </c>
      <c r="C137" s="1" t="n">
        <v>45889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Kyrkan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45889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52448-2022</t>
        </is>
      </c>
      <c r="B139" s="1" t="n">
        <v>44874.46287037037</v>
      </c>
      <c r="C139" s="1" t="n">
        <v>45889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45889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45889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45889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35448-2022</t>
        </is>
      </c>
      <c r="B143" s="1" t="n">
        <v>44798</v>
      </c>
      <c r="C143" s="1" t="n">
        <v>45889</v>
      </c>
      <c r="D143" t="inlineStr">
        <is>
          <t>VÄSTERNORRLANDS LÄN</t>
        </is>
      </c>
      <c r="E143" t="inlineStr">
        <is>
          <t>TIMRÅ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55511-2022</t>
        </is>
      </c>
      <c r="B144" s="1" t="n">
        <v>44887.9284375</v>
      </c>
      <c r="C144" s="1" t="n">
        <v>45889</v>
      </c>
      <c r="D144" t="inlineStr">
        <is>
          <t>VÄSTERNORRLANDS LÄN</t>
        </is>
      </c>
      <c r="E144" t="inlineStr">
        <is>
          <t>TIMRÅ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45695-2022</t>
        </is>
      </c>
      <c r="B145" s="1" t="n">
        <v>44845.95347222222</v>
      </c>
      <c r="C145" s="1" t="n">
        <v>45889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46650-2022</t>
        </is>
      </c>
      <c r="B146" s="1" t="n">
        <v>44849</v>
      </c>
      <c r="C146" s="1" t="n">
        <v>45889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46028-2022</t>
        </is>
      </c>
      <c r="B147" s="1" t="n">
        <v>44846</v>
      </c>
      <c r="C147" s="1" t="n">
        <v>45889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12880-2022</t>
        </is>
      </c>
      <c r="B148" s="1" t="n">
        <v>44642</v>
      </c>
      <c r="C148" s="1" t="n">
        <v>45889</v>
      </c>
      <c r="D148" t="inlineStr">
        <is>
          <t>VÄSTERNORRLANDS LÄN</t>
        </is>
      </c>
      <c r="E148" t="inlineStr">
        <is>
          <t>TIMRÅ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12882-2022</t>
        </is>
      </c>
      <c r="B149" s="1" t="n">
        <v>44642</v>
      </c>
      <c r="C149" s="1" t="n">
        <v>45889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43237-2022</t>
        </is>
      </c>
      <c r="B150" s="1" t="n">
        <v>44833</v>
      </c>
      <c r="C150" s="1" t="n">
        <v>45889</v>
      </c>
      <c r="D150" t="inlineStr">
        <is>
          <t>VÄSTERNORRLANDS LÄN</t>
        </is>
      </c>
      <c r="E150" t="inlineStr">
        <is>
          <t>TIMRÅ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45889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45889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45889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45889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45889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45889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26936-2021</t>
        </is>
      </c>
      <c r="B157" s="1" t="n">
        <v>44349</v>
      </c>
      <c r="C157" s="1" t="n">
        <v>45889</v>
      </c>
      <c r="D157" t="inlineStr">
        <is>
          <t>VÄSTERNORRLANDS LÄN</t>
        </is>
      </c>
      <c r="E157" t="inlineStr">
        <is>
          <t>TIMRÅ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28706-2021</t>
        </is>
      </c>
      <c r="B158" s="1" t="n">
        <v>44357</v>
      </c>
      <c r="C158" s="1" t="n">
        <v>45889</v>
      </c>
      <c r="D158" t="inlineStr">
        <is>
          <t>VÄSTERNORRLANDS LÄN</t>
        </is>
      </c>
      <c r="E158" t="inlineStr">
        <is>
          <t>TIMRÅ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45889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1559-2021</t>
        </is>
      </c>
      <c r="B160" s="1" t="n">
        <v>44209.44664351852</v>
      </c>
      <c r="C160" s="1" t="n">
        <v>45889</v>
      </c>
      <c r="D160" t="inlineStr">
        <is>
          <t>VÄSTERNORRLANDS LÄN</t>
        </is>
      </c>
      <c r="E160" t="inlineStr">
        <is>
          <t>TIMRÅ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49203-2022</t>
        </is>
      </c>
      <c r="B161" s="1" t="n">
        <v>44860</v>
      </c>
      <c r="C161" s="1" t="n">
        <v>45889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7367-2021</t>
        </is>
      </c>
      <c r="B162" s="1" t="n">
        <v>44237</v>
      </c>
      <c r="C162" s="1" t="n">
        <v>45889</v>
      </c>
      <c r="D162" t="inlineStr">
        <is>
          <t>VÄSTERNORRLANDS LÄN</t>
        </is>
      </c>
      <c r="E162" t="inlineStr">
        <is>
          <t>TIMRÅ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43135-2022</t>
        </is>
      </c>
      <c r="B163" s="1" t="n">
        <v>44833</v>
      </c>
      <c r="C163" s="1" t="n">
        <v>45889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45889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43848-2021</t>
        </is>
      </c>
      <c r="B165" s="1" t="n">
        <v>44433.94230324074</v>
      </c>
      <c r="C165" s="1" t="n">
        <v>45889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45889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45441-2021</t>
        </is>
      </c>
      <c r="B167" s="1" t="n">
        <v>44440</v>
      </c>
      <c r="C167" s="1" t="n">
        <v>45889</v>
      </c>
      <c r="D167" t="inlineStr">
        <is>
          <t>VÄSTERNORRLANDS LÄN</t>
        </is>
      </c>
      <c r="E167" t="inlineStr">
        <is>
          <t>TIMRÅ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22194-2022</t>
        </is>
      </c>
      <c r="B168" s="1" t="n">
        <v>44712</v>
      </c>
      <c r="C168" s="1" t="n">
        <v>45889</v>
      </c>
      <c r="D168" t="inlineStr">
        <is>
          <t>VÄSTERNORRLANDS LÄN</t>
        </is>
      </c>
      <c r="E168" t="inlineStr">
        <is>
          <t>TIMRÅ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35758-2022</t>
        </is>
      </c>
      <c r="B169" s="1" t="n">
        <v>44799</v>
      </c>
      <c r="C169" s="1" t="n">
        <v>45889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45889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47815-2022</t>
        </is>
      </c>
      <c r="B171" s="1" t="n">
        <v>44854</v>
      </c>
      <c r="C171" s="1" t="n">
        <v>45889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35477-2022</t>
        </is>
      </c>
      <c r="B172" s="1" t="n">
        <v>44798.92681712963</v>
      </c>
      <c r="C172" s="1" t="n">
        <v>45889</v>
      </c>
      <c r="D172" t="inlineStr">
        <is>
          <t>VÄSTERNORRLANDS LÄN</t>
        </is>
      </c>
      <c r="E172" t="inlineStr">
        <is>
          <t>TIMRÅ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40410-2020</t>
        </is>
      </c>
      <c r="B173" s="1" t="n">
        <v>44068</v>
      </c>
      <c r="C173" s="1" t="n">
        <v>45889</v>
      </c>
      <c r="D173" t="inlineStr">
        <is>
          <t>VÄSTERNORRLANDS LÄN</t>
        </is>
      </c>
      <c r="E173" t="inlineStr">
        <is>
          <t>TIMRÅ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16935-2025</t>
        </is>
      </c>
      <c r="B174" s="1" t="n">
        <v>45755.40678240741</v>
      </c>
      <c r="C174" s="1" t="n">
        <v>45889</v>
      </c>
      <c r="D174" t="inlineStr">
        <is>
          <t>VÄSTERNORRLANDS LÄN</t>
        </is>
      </c>
      <c r="E174" t="inlineStr">
        <is>
          <t>TIMRÅ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5722-2024</t>
        </is>
      </c>
      <c r="B175" s="1" t="n">
        <v>45334</v>
      </c>
      <c r="C175" s="1" t="n">
        <v>45889</v>
      </c>
      <c r="D175" t="inlineStr">
        <is>
          <t>VÄSTERNORRLANDS LÄN</t>
        </is>
      </c>
      <c r="E175" t="inlineStr">
        <is>
          <t>TIMRÅ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45889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45889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47089-2024</t>
        </is>
      </c>
      <c r="B178" s="1" t="n">
        <v>45586.51078703703</v>
      </c>
      <c r="C178" s="1" t="n">
        <v>45889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4124-2023</t>
        </is>
      </c>
      <c r="B179" s="1" t="n">
        <v>44952</v>
      </c>
      <c r="C179" s="1" t="n">
        <v>45889</v>
      </c>
      <c r="D179" t="inlineStr">
        <is>
          <t>VÄSTERNORRLANDS LÄN</t>
        </is>
      </c>
      <c r="E179" t="inlineStr">
        <is>
          <t>TIMRÅ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24304-2023</t>
        </is>
      </c>
      <c r="B180" s="1" t="n">
        <v>45079</v>
      </c>
      <c r="C180" s="1" t="n">
        <v>45889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18375-2025</t>
        </is>
      </c>
      <c r="B181" s="1" t="n">
        <v>45762.57328703703</v>
      </c>
      <c r="C181" s="1" t="n">
        <v>45889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45889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45889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45889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56284-2024</t>
        </is>
      </c>
      <c r="B185" s="1" t="n">
        <v>45624.67894675926</v>
      </c>
      <c r="C185" s="1" t="n">
        <v>45889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45889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45889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13861-2025</t>
        </is>
      </c>
      <c r="B188" s="1" t="n">
        <v>45737.5741550926</v>
      </c>
      <c r="C188" s="1" t="n">
        <v>45889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52346-2024</t>
        </is>
      </c>
      <c r="B189" s="1" t="n">
        <v>45609.34423611111</v>
      </c>
      <c r="C189" s="1" t="n">
        <v>45889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HYPERLINK("https://klasma.github.io/Logging_2262/knärot/A 52346-2024 karta knärot.png", "A 52346-2024")</f>
        <v/>
      </c>
      <c r="V189">
        <f>HYPERLINK("https://klasma.github.io/Logging_2262/klagomål/A 52346-2024 FSC-klagomål.docx", "A 52346-2024")</f>
        <v/>
      </c>
      <c r="W189">
        <f>HYPERLINK("https://klasma.github.io/Logging_2262/klagomålsmail/A 52346-2024 FSC-klagomål mail.docx", "A 52346-2024")</f>
        <v/>
      </c>
      <c r="X189">
        <f>HYPERLINK("https://klasma.github.io/Logging_2262/tillsyn/A 52346-2024 tillsynsbegäran.docx", "A 52346-2024")</f>
        <v/>
      </c>
      <c r="Y189">
        <f>HYPERLINK("https://klasma.github.io/Logging_2262/tillsynsmail/A 52346-2024 tillsynsbegäran mail.docx", "A 52346-2024")</f>
        <v/>
      </c>
    </row>
    <row r="190" ht="15" customHeight="1">
      <c r="A190" t="inlineStr">
        <is>
          <t>A 41605-2023</t>
        </is>
      </c>
      <c r="B190" s="1" t="n">
        <v>45175.65100694444</v>
      </c>
      <c r="C190" s="1" t="n">
        <v>45889</v>
      </c>
      <c r="D190" t="inlineStr">
        <is>
          <t>VÄSTERNORRLANDS LÄN</t>
        </is>
      </c>
      <c r="E190" t="inlineStr">
        <is>
          <t>TIMRÅ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44378-2023</t>
        </is>
      </c>
      <c r="B191" s="1" t="n">
        <v>45188.92491898148</v>
      </c>
      <c r="C191" s="1" t="n">
        <v>45889</v>
      </c>
      <c r="D191" t="inlineStr">
        <is>
          <t>VÄSTERNORRLANDS LÄN</t>
        </is>
      </c>
      <c r="E191" t="inlineStr">
        <is>
          <t>TIMRÅ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18778-2023</t>
        </is>
      </c>
      <c r="B192" s="1" t="n">
        <v>45043</v>
      </c>
      <c r="C192" s="1" t="n">
        <v>45889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1416-2023</t>
        </is>
      </c>
      <c r="B193" s="1" t="n">
        <v>44936.92666666667</v>
      </c>
      <c r="C193" s="1" t="n">
        <v>45889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18824-2025</t>
        </is>
      </c>
      <c r="B194" s="1" t="n">
        <v>45764.38584490741</v>
      </c>
      <c r="C194" s="1" t="n">
        <v>45889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2403-2025</t>
        </is>
      </c>
      <c r="B195" s="1" t="n">
        <v>45672</v>
      </c>
      <c r="C195" s="1" t="n">
        <v>45889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55602-2024</t>
        </is>
      </c>
      <c r="B196" s="1" t="n">
        <v>45622</v>
      </c>
      <c r="C196" s="1" t="n">
        <v>45889</v>
      </c>
      <c r="D196" t="inlineStr">
        <is>
          <t>VÄSTERNORRLANDS LÄN</t>
        </is>
      </c>
      <c r="E196" t="inlineStr">
        <is>
          <t>TIMRÅ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9317-2022</t>
        </is>
      </c>
      <c r="B197" s="1" t="n">
        <v>44616</v>
      </c>
      <c r="C197" s="1" t="n">
        <v>45889</v>
      </c>
      <c r="D197" t="inlineStr">
        <is>
          <t>VÄSTERNORRLANDS LÄN</t>
        </is>
      </c>
      <c r="E197" t="inlineStr">
        <is>
          <t>TIMRÅ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13218-2025</t>
        </is>
      </c>
      <c r="B198" s="1" t="n">
        <v>45735.44883101852</v>
      </c>
      <c r="C198" s="1" t="n">
        <v>45889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16302-2025</t>
        </is>
      </c>
      <c r="B199" s="1" t="n">
        <v>45751.34613425926</v>
      </c>
      <c r="C199" s="1" t="n">
        <v>45889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27489-2023</t>
        </is>
      </c>
      <c r="B200" s="1" t="n">
        <v>45092</v>
      </c>
      <c r="C200" s="1" t="n">
        <v>45889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48397-2024</t>
        </is>
      </c>
      <c r="B201" s="1" t="n">
        <v>45590.61517361111</v>
      </c>
      <c r="C201" s="1" t="n">
        <v>45889</v>
      </c>
      <c r="D201" t="inlineStr">
        <is>
          <t>VÄSTERNORRLANDS LÄN</t>
        </is>
      </c>
      <c r="E201" t="inlineStr">
        <is>
          <t>TIMRÅ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39046-2023</t>
        </is>
      </c>
      <c r="B202" s="1" t="n">
        <v>45163</v>
      </c>
      <c r="C202" s="1" t="n">
        <v>45889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16863-2024</t>
        </is>
      </c>
      <c r="B203" s="1" t="n">
        <v>45411</v>
      </c>
      <c r="C203" s="1" t="n">
        <v>45889</v>
      </c>
      <c r="D203" t="inlineStr">
        <is>
          <t>VÄSTERNORRLANDS LÄN</t>
        </is>
      </c>
      <c r="E203" t="inlineStr">
        <is>
          <t>TIMRÅ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21131-2024</t>
        </is>
      </c>
      <c r="B204" s="1" t="n">
        <v>45440</v>
      </c>
      <c r="C204" s="1" t="n">
        <v>45889</v>
      </c>
      <c r="D204" t="inlineStr">
        <is>
          <t>VÄSTERNORRLANDS LÄN</t>
        </is>
      </c>
      <c r="E204" t="inlineStr">
        <is>
          <t>TIMRÅ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20226-2024</t>
        </is>
      </c>
      <c r="B205" s="1" t="n">
        <v>45434</v>
      </c>
      <c r="C205" s="1" t="n">
        <v>45889</v>
      </c>
      <c r="D205" t="inlineStr">
        <is>
          <t>VÄSTERNORRLANDS LÄN</t>
        </is>
      </c>
      <c r="E205" t="inlineStr">
        <is>
          <t>TIMRÅ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57268-2022</t>
        </is>
      </c>
      <c r="B206" s="1" t="n">
        <v>44895.92809027778</v>
      </c>
      <c r="C206" s="1" t="n">
        <v>45889</v>
      </c>
      <c r="D206" t="inlineStr">
        <is>
          <t>VÄSTERNORRLANDS LÄN</t>
        </is>
      </c>
      <c r="E206" t="inlineStr">
        <is>
          <t>TIMRÅ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45889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13251-2025</t>
        </is>
      </c>
      <c r="B208" s="1" t="n">
        <v>45735</v>
      </c>
      <c r="C208" s="1" t="n">
        <v>45889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13862-2025</t>
        </is>
      </c>
      <c r="B209" s="1" t="n">
        <v>45737.57420138889</v>
      </c>
      <c r="C209" s="1" t="n">
        <v>45889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53293-2024</t>
        </is>
      </c>
      <c r="B210" s="1" t="n">
        <v>45614.38722222222</v>
      </c>
      <c r="C210" s="1" t="n">
        <v>45889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58998-2023</t>
        </is>
      </c>
      <c r="B211" s="1" t="n">
        <v>45250</v>
      </c>
      <c r="C211" s="1" t="n">
        <v>45889</v>
      </c>
      <c r="D211" t="inlineStr">
        <is>
          <t>VÄSTERNORRLANDS LÄN</t>
        </is>
      </c>
      <c r="E211" t="inlineStr">
        <is>
          <t>TIMRÅ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53298-2024</t>
        </is>
      </c>
      <c r="B212" s="1" t="n">
        <v>45614.38810185185</v>
      </c>
      <c r="C212" s="1" t="n">
        <v>45889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53299-2024</t>
        </is>
      </c>
      <c r="B213" s="1" t="n">
        <v>45614.38815972222</v>
      </c>
      <c r="C213" s="1" t="n">
        <v>45889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54547-2024</t>
        </is>
      </c>
      <c r="B214" s="1" t="n">
        <v>45617.61572916667</v>
      </c>
      <c r="C214" s="1" t="n">
        <v>45889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24988-2022</t>
        </is>
      </c>
      <c r="B215" s="1" t="n">
        <v>44728</v>
      </c>
      <c r="C215" s="1" t="n">
        <v>45889</v>
      </c>
      <c r="D215" t="inlineStr">
        <is>
          <t>VÄSTERNORRLANDS LÄN</t>
        </is>
      </c>
      <c r="E215" t="inlineStr">
        <is>
          <t>TIMRÅ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44405-2023</t>
        </is>
      </c>
      <c r="B216" s="1" t="n">
        <v>45188</v>
      </c>
      <c r="C216" s="1" t="n">
        <v>45889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51999-2022</t>
        </is>
      </c>
      <c r="B217" s="1" t="n">
        <v>44872</v>
      </c>
      <c r="C217" s="1" t="n">
        <v>45889</v>
      </c>
      <c r="D217" t="inlineStr">
        <is>
          <t>VÄSTERNORRLANDS LÄN</t>
        </is>
      </c>
      <c r="E217" t="inlineStr">
        <is>
          <t>TIMRÅ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50355-2023</t>
        </is>
      </c>
      <c r="B218" s="1" t="n">
        <v>45209</v>
      </c>
      <c r="C218" s="1" t="n">
        <v>45889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52220-2022</t>
        </is>
      </c>
      <c r="B219" s="1" t="n">
        <v>44869</v>
      </c>
      <c r="C219" s="1" t="n">
        <v>45889</v>
      </c>
      <c r="D219" t="inlineStr">
        <is>
          <t>VÄSTERNORRLANDS LÄN</t>
        </is>
      </c>
      <c r="E219" t="inlineStr">
        <is>
          <t>TIMRÅ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52232-2022</t>
        </is>
      </c>
      <c r="B220" s="1" t="n">
        <v>44869</v>
      </c>
      <c r="C220" s="1" t="n">
        <v>45889</v>
      </c>
      <c r="D220" t="inlineStr">
        <is>
          <t>VÄSTERNORRLANDS LÄN</t>
        </is>
      </c>
      <c r="E220" t="inlineStr">
        <is>
          <t>TIMRÅ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4126-2023</t>
        </is>
      </c>
      <c r="B221" s="1" t="n">
        <v>44952</v>
      </c>
      <c r="C221" s="1" t="n">
        <v>45889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14578-2024</t>
        </is>
      </c>
      <c r="B222" s="1" t="n">
        <v>45394.95059027777</v>
      </c>
      <c r="C222" s="1" t="n">
        <v>45889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6814-2025</t>
        </is>
      </c>
      <c r="B223" s="1" t="n">
        <v>45700.69871527778</v>
      </c>
      <c r="C223" s="1" t="n">
        <v>45889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27495-2023</t>
        </is>
      </c>
      <c r="B224" s="1" t="n">
        <v>45092</v>
      </c>
      <c r="C224" s="1" t="n">
        <v>45889</v>
      </c>
      <c r="D224" t="inlineStr">
        <is>
          <t>VÄSTERNORRLANDS LÄN</t>
        </is>
      </c>
      <c r="E224" t="inlineStr">
        <is>
          <t>TIMRÅ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18130-2025</t>
        </is>
      </c>
      <c r="B225" s="1" t="n">
        <v>45761.59958333334</v>
      </c>
      <c r="C225" s="1" t="n">
        <v>45889</v>
      </c>
      <c r="D225" t="inlineStr">
        <is>
          <t>VÄSTERNORRLANDS LÄN</t>
        </is>
      </c>
      <c r="E225" t="inlineStr">
        <is>
          <t>TIMRÅ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48031-2024</t>
        </is>
      </c>
      <c r="B226" s="1" t="n">
        <v>45589.48760416666</v>
      </c>
      <c r="C226" s="1" t="n">
        <v>45889</v>
      </c>
      <c r="D226" t="inlineStr">
        <is>
          <t>VÄSTERNORRLANDS LÄN</t>
        </is>
      </c>
      <c r="E226" t="inlineStr">
        <is>
          <t>TIMRÅ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38286-2024</t>
        </is>
      </c>
      <c r="B227" s="1" t="n">
        <v>45545.61614583333</v>
      </c>
      <c r="C227" s="1" t="n">
        <v>45889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14572-2024</t>
        </is>
      </c>
      <c r="B228" s="1" t="n">
        <v>45394.94991898148</v>
      </c>
      <c r="C228" s="1" t="n">
        <v>45889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31150-2023</t>
        </is>
      </c>
      <c r="B229" s="1" t="n">
        <v>45103</v>
      </c>
      <c r="C229" s="1" t="n">
        <v>45889</v>
      </c>
      <c r="D229" t="inlineStr">
        <is>
          <t>VÄSTERNORRLANDS LÄN</t>
        </is>
      </c>
      <c r="E229" t="inlineStr">
        <is>
          <t>TIMRÅ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40519-2021</t>
        </is>
      </c>
      <c r="B230" s="1" t="n">
        <v>44420</v>
      </c>
      <c r="C230" s="1" t="n">
        <v>45889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53305-2021</t>
        </is>
      </c>
      <c r="B231" s="1" t="n">
        <v>44467</v>
      </c>
      <c r="C231" s="1" t="n">
        <v>45889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27623-2024</t>
        </is>
      </c>
      <c r="B232" s="1" t="n">
        <v>45474</v>
      </c>
      <c r="C232" s="1" t="n">
        <v>45889</v>
      </c>
      <c r="D232" t="inlineStr">
        <is>
          <t>VÄSTERNORRLANDS LÄN</t>
        </is>
      </c>
      <c r="E232" t="inlineStr">
        <is>
          <t>TIMRÅ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19244-2023</t>
        </is>
      </c>
      <c r="B233" s="1" t="n">
        <v>45048</v>
      </c>
      <c r="C233" s="1" t="n">
        <v>45889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24304-2022</t>
        </is>
      </c>
      <c r="B234" s="1" t="n">
        <v>44725</v>
      </c>
      <c r="C234" s="1" t="n">
        <v>45889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20786-2024</t>
        </is>
      </c>
      <c r="B235" s="1" t="n">
        <v>45437</v>
      </c>
      <c r="C235" s="1" t="n">
        <v>45889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45608-2024</t>
        </is>
      </c>
      <c r="B236" s="1" t="n">
        <v>45579.4483912037</v>
      </c>
      <c r="C236" s="1" t="n">
        <v>45889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45629-2024</t>
        </is>
      </c>
      <c r="B237" s="1" t="n">
        <v>45579.46957175926</v>
      </c>
      <c r="C237" s="1" t="n">
        <v>45889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57762-2023</t>
        </is>
      </c>
      <c r="B238" s="1" t="n">
        <v>45246</v>
      </c>
      <c r="C238" s="1" t="n">
        <v>45889</v>
      </c>
      <c r="D238" t="inlineStr">
        <is>
          <t>VÄSTERNORRLANDS LÄN</t>
        </is>
      </c>
      <c r="E238" t="inlineStr">
        <is>
          <t>TIMRÅ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44991-2023</t>
        </is>
      </c>
      <c r="B239" s="1" t="n">
        <v>45190</v>
      </c>
      <c r="C239" s="1" t="n">
        <v>45889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68391-2021</t>
        </is>
      </c>
      <c r="B240" s="1" t="n">
        <v>44526</v>
      </c>
      <c r="C240" s="1" t="n">
        <v>45889</v>
      </c>
      <c r="D240" t="inlineStr">
        <is>
          <t>VÄSTERNORRLANDS LÄN</t>
        </is>
      </c>
      <c r="E240" t="inlineStr">
        <is>
          <t>TIMRÅ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33667-2023</t>
        </is>
      </c>
      <c r="B241" s="1" t="n">
        <v>45119</v>
      </c>
      <c r="C241" s="1" t="n">
        <v>45889</v>
      </c>
      <c r="D241" t="inlineStr">
        <is>
          <t>VÄSTERNORRLANDS LÄN</t>
        </is>
      </c>
      <c r="E241" t="inlineStr">
        <is>
          <t>TIMRÅ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22416-2024</t>
        </is>
      </c>
      <c r="B242" s="1" t="n">
        <v>45446</v>
      </c>
      <c r="C242" s="1" t="n">
        <v>45889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7151-2024</t>
        </is>
      </c>
      <c r="B243" s="1" t="n">
        <v>45344</v>
      </c>
      <c r="C243" s="1" t="n">
        <v>45889</v>
      </c>
      <c r="D243" t="inlineStr">
        <is>
          <t>VÄSTERNORRLANDS LÄN</t>
        </is>
      </c>
      <c r="E243" t="inlineStr">
        <is>
          <t>TIMRÅ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62133-2024</t>
        </is>
      </c>
      <c r="B244" s="1" t="n">
        <v>45656.63576388889</v>
      </c>
      <c r="C244" s="1" t="n">
        <v>45889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13254-2023</t>
        </is>
      </c>
      <c r="B245" s="1" t="n">
        <v>45002</v>
      </c>
      <c r="C245" s="1" t="n">
        <v>45889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20835-2023</t>
        </is>
      </c>
      <c r="B246" s="1" t="n">
        <v>45058</v>
      </c>
      <c r="C246" s="1" t="n">
        <v>45889</v>
      </c>
      <c r="D246" t="inlineStr">
        <is>
          <t>VÄSTERNORRLANDS LÄN</t>
        </is>
      </c>
      <c r="E246" t="inlineStr">
        <is>
          <t>TIMRÅ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20839-2023</t>
        </is>
      </c>
      <c r="B247" s="1" t="n">
        <v>45058.68923611111</v>
      </c>
      <c r="C247" s="1" t="n">
        <v>45889</v>
      </c>
      <c r="D247" t="inlineStr">
        <is>
          <t>VÄSTERNORRLANDS LÄN</t>
        </is>
      </c>
      <c r="E247" t="inlineStr">
        <is>
          <t>TIMRÅ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44432-2022</t>
        </is>
      </c>
      <c r="B248" s="1" t="n">
        <v>44839</v>
      </c>
      <c r="C248" s="1" t="n">
        <v>45889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60011-2023</t>
        </is>
      </c>
      <c r="B249" s="1" t="n">
        <v>45257</v>
      </c>
      <c r="C249" s="1" t="n">
        <v>45889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47150-2023</t>
        </is>
      </c>
      <c r="B250" s="1" t="n">
        <v>45201</v>
      </c>
      <c r="C250" s="1" t="n">
        <v>45889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32070-2023</t>
        </is>
      </c>
      <c r="B251" s="1" t="n">
        <v>45107</v>
      </c>
      <c r="C251" s="1" t="n">
        <v>45889</v>
      </c>
      <c r="D251" t="inlineStr">
        <is>
          <t>VÄSTERNORRLANDS LÄN</t>
        </is>
      </c>
      <c r="E251" t="inlineStr">
        <is>
          <t>TIMRÅ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20526-2024</t>
        </is>
      </c>
      <c r="B252" s="1" t="n">
        <v>45435</v>
      </c>
      <c r="C252" s="1" t="n">
        <v>45889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20840-2023</t>
        </is>
      </c>
      <c r="B253" s="1" t="n">
        <v>45058</v>
      </c>
      <c r="C253" s="1" t="n">
        <v>45889</v>
      </c>
      <c r="D253" t="inlineStr">
        <is>
          <t>VÄSTERNORRLANDS LÄN</t>
        </is>
      </c>
      <c r="E253" t="inlineStr">
        <is>
          <t>TIMRÅ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524-2023</t>
        </is>
      </c>
      <c r="B254" s="1" t="n">
        <v>44924</v>
      </c>
      <c r="C254" s="1" t="n">
        <v>45889</v>
      </c>
      <c r="D254" t="inlineStr">
        <is>
          <t>VÄSTERNORRLANDS LÄN</t>
        </is>
      </c>
      <c r="E254" t="inlineStr">
        <is>
          <t>TIMRÅ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5211-2025</t>
        </is>
      </c>
      <c r="B255" s="1" t="n">
        <v>45691</v>
      </c>
      <c r="C255" s="1" t="n">
        <v>45889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9717-2025</t>
        </is>
      </c>
      <c r="B256" s="1" t="n">
        <v>45716</v>
      </c>
      <c r="C256" s="1" t="n">
        <v>45889</v>
      </c>
      <c r="D256" t="inlineStr">
        <is>
          <t>VÄSTERNORRLANDS LÄN</t>
        </is>
      </c>
      <c r="E256" t="inlineStr">
        <is>
          <t>TIMRÅ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56443-2024</t>
        </is>
      </c>
      <c r="B257" s="1" t="n">
        <v>45625</v>
      </c>
      <c r="C257" s="1" t="n">
        <v>45889</v>
      </c>
      <c r="D257" t="inlineStr">
        <is>
          <t>VÄSTERNORRLANDS LÄN</t>
        </is>
      </c>
      <c r="E257" t="inlineStr">
        <is>
          <t>TIMRÅ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33287-2024</t>
        </is>
      </c>
      <c r="B258" s="1" t="n">
        <v>45518.74296296296</v>
      </c>
      <c r="C258" s="1" t="n">
        <v>45889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6770-2023</t>
        </is>
      </c>
      <c r="B259" s="1" t="n">
        <v>44966</v>
      </c>
      <c r="C259" s="1" t="n">
        <v>45889</v>
      </c>
      <c r="D259" t="inlineStr">
        <is>
          <t>VÄSTERNORRLANDS LÄN</t>
        </is>
      </c>
      <c r="E259" t="inlineStr">
        <is>
          <t>TIMRÅ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69663-2021</t>
        </is>
      </c>
      <c r="B260" s="1" t="n">
        <v>44531</v>
      </c>
      <c r="C260" s="1" t="n">
        <v>45889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9472-2021</t>
        </is>
      </c>
      <c r="B261" s="1" t="n">
        <v>44250</v>
      </c>
      <c r="C261" s="1" t="n">
        <v>45889</v>
      </c>
      <c r="D261" t="inlineStr">
        <is>
          <t>VÄSTERNORRLANDS LÄN</t>
        </is>
      </c>
      <c r="E261" t="inlineStr">
        <is>
          <t>TIMRÅ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55179-2022</t>
        </is>
      </c>
      <c r="B262" s="1" t="n">
        <v>44886</v>
      </c>
      <c r="C262" s="1" t="n">
        <v>45889</v>
      </c>
      <c r="D262" t="inlineStr">
        <is>
          <t>VÄSTERNORRLANDS LÄN</t>
        </is>
      </c>
      <c r="E262" t="inlineStr">
        <is>
          <t>TIMRÅ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39691-2022</t>
        </is>
      </c>
      <c r="B263" s="1" t="n">
        <v>44818.9474537037</v>
      </c>
      <c r="C263" s="1" t="n">
        <v>45889</v>
      </c>
      <c r="D263" t="inlineStr">
        <is>
          <t>VÄSTERNORRLANDS LÄN</t>
        </is>
      </c>
      <c r="E263" t="inlineStr">
        <is>
          <t>TIMRÅ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55080-2024</t>
        </is>
      </c>
      <c r="B264" s="1" t="n">
        <v>45621.4275462963</v>
      </c>
      <c r="C264" s="1" t="n">
        <v>45889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54993-2024</t>
        </is>
      </c>
      <c r="B265" s="1" t="n">
        <v>45620.95182870371</v>
      </c>
      <c r="C265" s="1" t="n">
        <v>45889</v>
      </c>
      <c r="D265" t="inlineStr">
        <is>
          <t>VÄSTERNORRLANDS LÄN</t>
        </is>
      </c>
      <c r="E265" t="inlineStr">
        <is>
          <t>TIMRÅ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74177-2021</t>
        </is>
      </c>
      <c r="B266" s="1" t="n">
        <v>44558</v>
      </c>
      <c r="C266" s="1" t="n">
        <v>45889</v>
      </c>
      <c r="D266" t="inlineStr">
        <is>
          <t>VÄSTERNORRLANDS LÄN</t>
        </is>
      </c>
      <c r="E266" t="inlineStr">
        <is>
          <t>TIMRÅ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38996-2024</t>
        </is>
      </c>
      <c r="B267" s="1" t="n">
        <v>45548.41377314815</v>
      </c>
      <c r="C267" s="1" t="n">
        <v>45889</v>
      </c>
      <c r="D267" t="inlineStr">
        <is>
          <t>VÄSTERNORRLANDS LÄN</t>
        </is>
      </c>
      <c r="E267" t="inlineStr">
        <is>
          <t>TIMRÅ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26662-2024</t>
        </is>
      </c>
      <c r="B268" s="1" t="n">
        <v>45469</v>
      </c>
      <c r="C268" s="1" t="n">
        <v>45889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57063-2024</t>
        </is>
      </c>
      <c r="B269" s="1" t="n">
        <v>45629.35313657407</v>
      </c>
      <c r="C269" s="1" t="n">
        <v>45889</v>
      </c>
      <c r="D269" t="inlineStr">
        <is>
          <t>VÄSTERNORRLANDS LÄN</t>
        </is>
      </c>
      <c r="E269" t="inlineStr">
        <is>
          <t>TIMRÅ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30907-2024</t>
        </is>
      </c>
      <c r="B270" s="1" t="n">
        <v>45498</v>
      </c>
      <c r="C270" s="1" t="n">
        <v>45889</v>
      </c>
      <c r="D270" t="inlineStr">
        <is>
          <t>VÄSTERNORRLANDS LÄN</t>
        </is>
      </c>
      <c r="E270" t="inlineStr">
        <is>
          <t>TIMRÅ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23851-2024</t>
        </is>
      </c>
      <c r="B271" s="1" t="n">
        <v>45455</v>
      </c>
      <c r="C271" s="1" t="n">
        <v>45889</v>
      </c>
      <c r="D271" t="inlineStr">
        <is>
          <t>VÄSTERNORRLANDS LÄN</t>
        </is>
      </c>
      <c r="E271" t="inlineStr">
        <is>
          <t>TIMRÅ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16315-2024</t>
        </is>
      </c>
      <c r="B272" s="1" t="n">
        <v>45407</v>
      </c>
      <c r="C272" s="1" t="n">
        <v>45889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52213-2022</t>
        </is>
      </c>
      <c r="B273" s="1" t="n">
        <v>44869</v>
      </c>
      <c r="C273" s="1" t="n">
        <v>45889</v>
      </c>
      <c r="D273" t="inlineStr">
        <is>
          <t>VÄSTERNORRLANDS LÄN</t>
        </is>
      </c>
      <c r="E273" t="inlineStr">
        <is>
          <t>TIMRÅ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53302-2024</t>
        </is>
      </c>
      <c r="B274" s="1" t="n">
        <v>45614.38864583334</v>
      </c>
      <c r="C274" s="1" t="n">
        <v>45889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53303-2024</t>
        </is>
      </c>
      <c r="B275" s="1" t="n">
        <v>45614.38878472222</v>
      </c>
      <c r="C275" s="1" t="n">
        <v>45889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25414-2022</t>
        </is>
      </c>
      <c r="B276" s="1" t="n">
        <v>44732</v>
      </c>
      <c r="C276" s="1" t="n">
        <v>45889</v>
      </c>
      <c r="D276" t="inlineStr">
        <is>
          <t>VÄSTERNORRLANDS LÄN</t>
        </is>
      </c>
      <c r="E276" t="inlineStr">
        <is>
          <t>TIMRÅ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16555-2023</t>
        </is>
      </c>
      <c r="B277" s="1" t="n">
        <v>45029</v>
      </c>
      <c r="C277" s="1" t="n">
        <v>45889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20843-2023</t>
        </is>
      </c>
      <c r="B278" s="1" t="n">
        <v>45058</v>
      </c>
      <c r="C278" s="1" t="n">
        <v>45889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20844-2023</t>
        </is>
      </c>
      <c r="B279" s="1" t="n">
        <v>45058</v>
      </c>
      <c r="C279" s="1" t="n">
        <v>45889</v>
      </c>
      <c r="D279" t="inlineStr">
        <is>
          <t>VÄSTERNORRLANDS LÄN</t>
        </is>
      </c>
      <c r="E279" t="inlineStr">
        <is>
          <t>TIMRÅ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49495-2024</t>
        </is>
      </c>
      <c r="B280" s="1" t="n">
        <v>45596.36559027778</v>
      </c>
      <c r="C280" s="1" t="n">
        <v>45889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37165-2021</t>
        </is>
      </c>
      <c r="B281" s="1" t="n">
        <v>44396</v>
      </c>
      <c r="C281" s="1" t="n">
        <v>45889</v>
      </c>
      <c r="D281" t="inlineStr">
        <is>
          <t>VÄSTERNORRLANDS LÄN</t>
        </is>
      </c>
      <c r="E281" t="inlineStr">
        <is>
          <t>TIMRÅ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60681-2024</t>
        </is>
      </c>
      <c r="B282" s="1" t="n">
        <v>45642</v>
      </c>
      <c r="C282" s="1" t="n">
        <v>45889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60681-2024 karta knärot.png", "A 60681-2024")</f>
        <v/>
      </c>
      <c r="V282">
        <f>HYPERLINK("https://klasma.github.io/Logging_2262/klagomål/A 60681-2024 FSC-klagomål.docx", "A 60681-2024")</f>
        <v/>
      </c>
      <c r="W282">
        <f>HYPERLINK("https://klasma.github.io/Logging_2262/klagomålsmail/A 60681-2024 FSC-klagomål mail.docx", "A 60681-2024")</f>
        <v/>
      </c>
      <c r="X282">
        <f>HYPERLINK("https://klasma.github.io/Logging_2262/tillsyn/A 60681-2024 tillsynsbegäran.docx", "A 60681-2024")</f>
        <v/>
      </c>
      <c r="Y282">
        <f>HYPERLINK("https://klasma.github.io/Logging_2262/tillsynsmail/A 60681-2024 tillsynsbegäran mail.docx", "A 60681-2024")</f>
        <v/>
      </c>
    </row>
    <row r="283" ht="15" customHeight="1">
      <c r="A283" t="inlineStr">
        <is>
          <t>A 53957-2022</t>
        </is>
      </c>
      <c r="B283" s="1" t="n">
        <v>44880.95756944444</v>
      </c>
      <c r="C283" s="1" t="n">
        <v>45889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48563-2024</t>
        </is>
      </c>
      <c r="B284" s="1" t="n">
        <v>45593.38608796296</v>
      </c>
      <c r="C284" s="1" t="n">
        <v>45889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49310-2024</t>
        </is>
      </c>
      <c r="B285" s="1" t="n">
        <v>45595</v>
      </c>
      <c r="C285" s="1" t="n">
        <v>45889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17002-2023</t>
        </is>
      </c>
      <c r="B286" s="1" t="n">
        <v>45033</v>
      </c>
      <c r="C286" s="1" t="n">
        <v>45889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20936-2024</t>
        </is>
      </c>
      <c r="B287" s="1" t="n">
        <v>45439</v>
      </c>
      <c r="C287" s="1" t="n">
        <v>45889</v>
      </c>
      <c r="D287" t="inlineStr">
        <is>
          <t>VÄSTERNORRLANDS LÄN</t>
        </is>
      </c>
      <c r="E287" t="inlineStr">
        <is>
          <t>TIMRÅ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59964-2021</t>
        </is>
      </c>
      <c r="B288" s="1" t="n">
        <v>44494</v>
      </c>
      <c r="C288" s="1" t="n">
        <v>45889</v>
      </c>
      <c r="D288" t="inlineStr">
        <is>
          <t>VÄSTERNORRLANDS LÄN</t>
        </is>
      </c>
      <c r="E288" t="inlineStr">
        <is>
          <t>TIMRÅ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1467-2024</t>
        </is>
      </c>
      <c r="B289" s="1" t="n">
        <v>45303</v>
      </c>
      <c r="C289" s="1" t="n">
        <v>45889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43130-2023</t>
        </is>
      </c>
      <c r="B290" s="1" t="n">
        <v>45182.94908564815</v>
      </c>
      <c r="C290" s="1" t="n">
        <v>45889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57403-2022</t>
        </is>
      </c>
      <c r="B291" s="1" t="n">
        <v>44889</v>
      </c>
      <c r="C291" s="1" t="n">
        <v>45889</v>
      </c>
      <c r="D291" t="inlineStr">
        <is>
          <t>VÄSTERNORRLANDS LÄN</t>
        </is>
      </c>
      <c r="E291" t="inlineStr">
        <is>
          <t>TIMRÅ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52010-2022</t>
        </is>
      </c>
      <c r="B292" s="1" t="n">
        <v>44872</v>
      </c>
      <c r="C292" s="1" t="n">
        <v>45889</v>
      </c>
      <c r="D292" t="inlineStr">
        <is>
          <t>VÄSTERNORRLANDS LÄN</t>
        </is>
      </c>
      <c r="E292" t="inlineStr">
        <is>
          <t>TIMRÅ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57840-2022</t>
        </is>
      </c>
      <c r="B293" s="1" t="n">
        <v>44897</v>
      </c>
      <c r="C293" s="1" t="n">
        <v>45889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17974-2025</t>
        </is>
      </c>
      <c r="B294" s="1" t="n">
        <v>45761</v>
      </c>
      <c r="C294" s="1" t="n">
        <v>45889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21483-2025</t>
        </is>
      </c>
      <c r="B295" s="1" t="n">
        <v>45782.59474537037</v>
      </c>
      <c r="C295" s="1" t="n">
        <v>45889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33043-2023</t>
        </is>
      </c>
      <c r="B296" s="1" t="n">
        <v>45125</v>
      </c>
      <c r="C296" s="1" t="n">
        <v>45889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21286-2025</t>
        </is>
      </c>
      <c r="B297" s="1" t="n">
        <v>45779.69825231482</v>
      </c>
      <c r="C297" s="1" t="n">
        <v>45889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69274-2021</t>
        </is>
      </c>
      <c r="B298" s="1" t="n">
        <v>44530</v>
      </c>
      <c r="C298" s="1" t="n">
        <v>45889</v>
      </c>
      <c r="D298" t="inlineStr">
        <is>
          <t>VÄSTERNORRLANDS LÄN</t>
        </is>
      </c>
      <c r="E298" t="inlineStr">
        <is>
          <t>TIMRÅ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69278-2021</t>
        </is>
      </c>
      <c r="B299" s="1" t="n">
        <v>44531.44428240741</v>
      </c>
      <c r="C299" s="1" t="n">
        <v>45889</v>
      </c>
      <c r="D299" t="inlineStr">
        <is>
          <t>VÄSTERNORRLANDS LÄN</t>
        </is>
      </c>
      <c r="E299" t="inlineStr">
        <is>
          <t>TIMRÅ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21596-2025</t>
        </is>
      </c>
      <c r="B300" s="1" t="n">
        <v>45783.34482638889</v>
      </c>
      <c r="C300" s="1" t="n">
        <v>45889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21998-2025</t>
        </is>
      </c>
      <c r="B301" s="1" t="n">
        <v>45784.69828703703</v>
      </c>
      <c r="C301" s="1" t="n">
        <v>45889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2073-2022</t>
        </is>
      </c>
      <c r="B302" s="1" t="n">
        <v>44575.92912037037</v>
      </c>
      <c r="C302" s="1" t="n">
        <v>45889</v>
      </c>
      <c r="D302" t="inlineStr">
        <is>
          <t>VÄSTERNORRLANDS LÄN</t>
        </is>
      </c>
      <c r="E302" t="inlineStr">
        <is>
          <t>TIMRÅ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23049-2024</t>
        </is>
      </c>
      <c r="B303" s="1" t="n">
        <v>45450</v>
      </c>
      <c r="C303" s="1" t="n">
        <v>45889</v>
      </c>
      <c r="D303" t="inlineStr">
        <is>
          <t>VÄSTERNORRLANDS LÄN</t>
        </is>
      </c>
      <c r="E303" t="inlineStr">
        <is>
          <t>TIMRÅ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24739-2024</t>
        </is>
      </c>
      <c r="B304" s="1" t="n">
        <v>45460</v>
      </c>
      <c r="C304" s="1" t="n">
        <v>45889</v>
      </c>
      <c r="D304" t="inlineStr">
        <is>
          <t>VÄSTERNORRLANDS LÄN</t>
        </is>
      </c>
      <c r="E304" t="inlineStr">
        <is>
          <t>TIMRÅ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39693-2023</t>
        </is>
      </c>
      <c r="B305" s="1" t="n">
        <v>45166</v>
      </c>
      <c r="C305" s="1" t="n">
        <v>45889</v>
      </c>
      <c r="D305" t="inlineStr">
        <is>
          <t>VÄSTERNORRLANDS LÄN</t>
        </is>
      </c>
      <c r="E305" t="inlineStr">
        <is>
          <t>TIMRÅ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21764-2025</t>
        </is>
      </c>
      <c r="B306" s="1" t="n">
        <v>45783.63800925926</v>
      </c>
      <c r="C306" s="1" t="n">
        <v>45889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21599-2025</t>
        </is>
      </c>
      <c r="B307" s="1" t="n">
        <v>45783.34505787037</v>
      </c>
      <c r="C307" s="1" t="n">
        <v>45889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21929-2025</t>
        </is>
      </c>
      <c r="B308" s="1" t="n">
        <v>45784.55241898148</v>
      </c>
      <c r="C308" s="1" t="n">
        <v>45889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45886-2024</t>
        </is>
      </c>
      <c r="B309" s="1" t="n">
        <v>45580</v>
      </c>
      <c r="C309" s="1" t="n">
        <v>45889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48704-2024</t>
        </is>
      </c>
      <c r="B310" s="1" t="n">
        <v>45593.53160879629</v>
      </c>
      <c r="C310" s="1" t="n">
        <v>45889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40664-2024</t>
        </is>
      </c>
      <c r="B311" s="1" t="n">
        <v>45558</v>
      </c>
      <c r="C311" s="1" t="n">
        <v>45889</v>
      </c>
      <c r="D311" t="inlineStr">
        <is>
          <t>VÄSTERNORRLANDS LÄN</t>
        </is>
      </c>
      <c r="E311" t="inlineStr">
        <is>
          <t>TIMRÅ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55729-2024</t>
        </is>
      </c>
      <c r="B312" s="1" t="n">
        <v>45622</v>
      </c>
      <c r="C312" s="1" t="n">
        <v>45889</v>
      </c>
      <c r="D312" t="inlineStr">
        <is>
          <t>VÄSTERNORRLANDS LÄN</t>
        </is>
      </c>
      <c r="E312" t="inlineStr">
        <is>
          <t>TIMRÅ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21760-2025</t>
        </is>
      </c>
      <c r="B313" s="1" t="n">
        <v>45783.63148148148</v>
      </c>
      <c r="C313" s="1" t="n">
        <v>45889</v>
      </c>
      <c r="D313" t="inlineStr">
        <is>
          <t>VÄSTERNORRLANDS LÄN</t>
        </is>
      </c>
      <c r="E313" t="inlineStr">
        <is>
          <t>TIMRÅ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74150-2021</t>
        </is>
      </c>
      <c r="B314" s="1" t="n">
        <v>44557</v>
      </c>
      <c r="C314" s="1" t="n">
        <v>45889</v>
      </c>
      <c r="D314" t="inlineStr">
        <is>
          <t>VÄSTERNORRLANDS LÄN</t>
        </is>
      </c>
      <c r="E314" t="inlineStr">
        <is>
          <t>TIMRÅ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22368-2024</t>
        </is>
      </c>
      <c r="B315" s="1" t="n">
        <v>45446</v>
      </c>
      <c r="C315" s="1" t="n">
        <v>45889</v>
      </c>
      <c r="D315" t="inlineStr">
        <is>
          <t>VÄSTERNORRLANDS LÄN</t>
        </is>
      </c>
      <c r="E315" t="inlineStr">
        <is>
          <t>TIMRÅ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23670-2022</t>
        </is>
      </c>
      <c r="B316" s="1" t="n">
        <v>44721.92605324074</v>
      </c>
      <c r="C316" s="1" t="n">
        <v>45889</v>
      </c>
      <c r="D316" t="inlineStr">
        <is>
          <t>VÄSTERNORRLANDS LÄN</t>
        </is>
      </c>
      <c r="E316" t="inlineStr">
        <is>
          <t>TIMRÅ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22240-2025</t>
        </is>
      </c>
      <c r="B317" s="1" t="n">
        <v>45785.67780092593</v>
      </c>
      <c r="C317" s="1" t="n">
        <v>45889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44030-2024</t>
        </is>
      </c>
      <c r="B318" s="1" t="n">
        <v>45572</v>
      </c>
      <c r="C318" s="1" t="n">
        <v>45889</v>
      </c>
      <c r="D318" t="inlineStr">
        <is>
          <t>VÄSTERNORRLANDS LÄN</t>
        </is>
      </c>
      <c r="E318" t="inlineStr">
        <is>
          <t>TIMRÅ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43994-2023</t>
        </is>
      </c>
      <c r="B319" s="1" t="n">
        <v>45187</v>
      </c>
      <c r="C319" s="1" t="n">
        <v>45889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56170-2022</t>
        </is>
      </c>
      <c r="B320" s="1" t="n">
        <v>44889</v>
      </c>
      <c r="C320" s="1" t="n">
        <v>45889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16055-2024</t>
        </is>
      </c>
      <c r="B321" s="1" t="n">
        <v>45406</v>
      </c>
      <c r="C321" s="1" t="n">
        <v>45889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22389-2025</t>
        </is>
      </c>
      <c r="B322" s="1" t="n">
        <v>45786.51099537037</v>
      </c>
      <c r="C322" s="1" t="n">
        <v>45889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2226-2022</t>
        </is>
      </c>
      <c r="B323" s="1" t="n">
        <v>44578</v>
      </c>
      <c r="C323" s="1" t="n">
        <v>45889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35939-2023</t>
        </is>
      </c>
      <c r="B324" s="1" t="n">
        <v>45148</v>
      </c>
      <c r="C324" s="1" t="n">
        <v>45889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40593-2024</t>
        </is>
      </c>
      <c r="B325" s="1" t="n">
        <v>45555</v>
      </c>
      <c r="C325" s="1" t="n">
        <v>45889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37861-2024</t>
        </is>
      </c>
      <c r="B326" s="1" t="n">
        <v>45544</v>
      </c>
      <c r="C326" s="1" t="n">
        <v>45889</v>
      </c>
      <c r="D326" t="inlineStr">
        <is>
          <t>VÄSTERNORRLANDS LÄN</t>
        </is>
      </c>
      <c r="E326" t="inlineStr">
        <is>
          <t>TIMRÅ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8506-2024</t>
        </is>
      </c>
      <c r="B327" s="1" t="n">
        <v>45351</v>
      </c>
      <c r="C327" s="1" t="n">
        <v>45889</v>
      </c>
      <c r="D327" t="inlineStr">
        <is>
          <t>VÄSTERNORRLANDS LÄN</t>
        </is>
      </c>
      <c r="E327" t="inlineStr">
        <is>
          <t>TIMRÅ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22820-2025</t>
        </is>
      </c>
      <c r="B328" s="1" t="n">
        <v>45789.71949074074</v>
      </c>
      <c r="C328" s="1" t="n">
        <v>45889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22821-2025</t>
        </is>
      </c>
      <c r="B329" s="1" t="n">
        <v>45789.71967592592</v>
      </c>
      <c r="C329" s="1" t="n">
        <v>45889</v>
      </c>
      <c r="D329" t="inlineStr">
        <is>
          <t>VÄSTERNORRLANDS LÄN</t>
        </is>
      </c>
      <c r="E329" t="inlineStr">
        <is>
          <t>TIMRÅ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74020-2021</t>
        </is>
      </c>
      <c r="B330" s="1" t="n">
        <v>44557.43879629629</v>
      </c>
      <c r="C330" s="1" t="n">
        <v>45889</v>
      </c>
      <c r="D330" t="inlineStr">
        <is>
          <t>VÄSTERNORRLANDS LÄN</t>
        </is>
      </c>
      <c r="E330" t="inlineStr">
        <is>
          <t>TIMRÅ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22668-2025</t>
        </is>
      </c>
      <c r="B331" s="1" t="n">
        <v>45789</v>
      </c>
      <c r="C331" s="1" t="n">
        <v>45889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55872-2022</t>
        </is>
      </c>
      <c r="B332" s="1" t="n">
        <v>44888.92847222222</v>
      </c>
      <c r="C332" s="1" t="n">
        <v>45889</v>
      </c>
      <c r="D332" t="inlineStr">
        <is>
          <t>VÄSTERNORRLANDS LÄN</t>
        </is>
      </c>
      <c r="E332" t="inlineStr">
        <is>
          <t>TIMRÅ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14926-2025</t>
        </is>
      </c>
      <c r="B333" s="1" t="n">
        <v>45743.55283564814</v>
      </c>
      <c r="C333" s="1" t="n">
        <v>45889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43129-2023</t>
        </is>
      </c>
      <c r="B334" s="1" t="n">
        <v>45182</v>
      </c>
      <c r="C334" s="1" t="n">
        <v>45889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45720-2024</t>
        </is>
      </c>
      <c r="B335" s="1" t="n">
        <v>45579.59424768519</v>
      </c>
      <c r="C335" s="1" t="n">
        <v>45889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1826-2025</t>
        </is>
      </c>
      <c r="B336" s="1" t="n">
        <v>45671.53855324074</v>
      </c>
      <c r="C336" s="1" t="n">
        <v>45889</v>
      </c>
      <c r="D336" t="inlineStr">
        <is>
          <t>VÄSTERNORRLANDS LÄN</t>
        </is>
      </c>
      <c r="E336" t="inlineStr">
        <is>
          <t>TIMRÅ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56285-2024</t>
        </is>
      </c>
      <c r="B337" s="1" t="n">
        <v>45624.67908564815</v>
      </c>
      <c r="C337" s="1" t="n">
        <v>45889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56286-2024</t>
        </is>
      </c>
      <c r="B338" s="1" t="n">
        <v>45624.67921296296</v>
      </c>
      <c r="C338" s="1" t="n">
        <v>45889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5207-2025</t>
        </is>
      </c>
      <c r="B339" s="1" t="n">
        <v>45691</v>
      </c>
      <c r="C339" s="1" t="n">
        <v>45889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22818-2025</t>
        </is>
      </c>
      <c r="B340" s="1" t="n">
        <v>45789.71915509259</v>
      </c>
      <c r="C340" s="1" t="n">
        <v>45889</v>
      </c>
      <c r="D340" t="inlineStr">
        <is>
          <t>VÄSTERNORRLANDS LÄN</t>
        </is>
      </c>
      <c r="E340" t="inlineStr">
        <is>
          <t>TIMRÅ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22855-2025</t>
        </is>
      </c>
      <c r="B341" s="1" t="n">
        <v>45790.34469907408</v>
      </c>
      <c r="C341" s="1" t="n">
        <v>45889</v>
      </c>
      <c r="D341" t="inlineStr">
        <is>
          <t>VÄSTERNORRLANDS LÄN</t>
        </is>
      </c>
      <c r="E341" t="inlineStr">
        <is>
          <t>TIMRÅ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16786-2023</t>
        </is>
      </c>
      <c r="B342" s="1" t="n">
        <v>45032</v>
      </c>
      <c r="C342" s="1" t="n">
        <v>45889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23030-2025</t>
        </is>
      </c>
      <c r="B343" s="1" t="n">
        <v>45790.65737268519</v>
      </c>
      <c r="C343" s="1" t="n">
        <v>45889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23346-2025</t>
        </is>
      </c>
      <c r="B344" s="1" t="n">
        <v>45791.65733796296</v>
      </c>
      <c r="C344" s="1" t="n">
        <v>45889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61373-2022</t>
        </is>
      </c>
      <c r="B345" s="1" t="n">
        <v>44915</v>
      </c>
      <c r="C345" s="1" t="n">
        <v>45889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54322-2024</t>
        </is>
      </c>
      <c r="B346" s="1" t="n">
        <v>45617</v>
      </c>
      <c r="C346" s="1" t="n">
        <v>45889</v>
      </c>
      <c r="D346" t="inlineStr">
        <is>
          <t>VÄSTERNORRLANDS LÄN</t>
        </is>
      </c>
      <c r="E346" t="inlineStr">
        <is>
          <t>TIMRÅ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23173-2025</t>
        </is>
      </c>
      <c r="B347" s="1" t="n">
        <v>45791.42796296296</v>
      </c>
      <c r="C347" s="1" t="n">
        <v>45889</v>
      </c>
      <c r="D347" t="inlineStr">
        <is>
          <t>VÄSTERNORRLANDS LÄN</t>
        </is>
      </c>
      <c r="E347" t="inlineStr">
        <is>
          <t>TIMRÅ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HYPERLINK("https://klasma.github.io/Logging_2262/knärot/A 23173-2025 karta knärot.png", "A 23173-2025")</f>
        <v/>
      </c>
      <c r="V347">
        <f>HYPERLINK("https://klasma.github.io/Logging_2262/klagomål/A 23173-2025 FSC-klagomål.docx", "A 23173-2025")</f>
        <v/>
      </c>
      <c r="W347">
        <f>HYPERLINK("https://klasma.github.io/Logging_2262/klagomålsmail/A 23173-2025 FSC-klagomål mail.docx", "A 23173-2025")</f>
        <v/>
      </c>
      <c r="X347">
        <f>HYPERLINK("https://klasma.github.io/Logging_2262/tillsyn/A 23173-2025 tillsynsbegäran.docx", "A 23173-2025")</f>
        <v/>
      </c>
      <c r="Y347">
        <f>HYPERLINK("https://klasma.github.io/Logging_2262/tillsynsmail/A 23173-2025 tillsynsbegäran mail.docx", "A 23173-2025")</f>
        <v/>
      </c>
    </row>
    <row r="348" ht="15" customHeight="1">
      <c r="A348" t="inlineStr">
        <is>
          <t>A 2123-2025</t>
        </is>
      </c>
      <c r="B348" s="1" t="n">
        <v>45672</v>
      </c>
      <c r="C348" s="1" t="n">
        <v>45889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43006-2024</t>
        </is>
      </c>
      <c r="B349" s="1" t="n">
        <v>45567.38202546296</v>
      </c>
      <c r="C349" s="1" t="n">
        <v>45889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20837-2023</t>
        </is>
      </c>
      <c r="B350" s="1" t="n">
        <v>45058.68621527778</v>
      </c>
      <c r="C350" s="1" t="n">
        <v>45889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14955-2025</t>
        </is>
      </c>
      <c r="B351" s="1" t="n">
        <v>45743</v>
      </c>
      <c r="C351" s="1" t="n">
        <v>45889</v>
      </c>
      <c r="D351" t="inlineStr">
        <is>
          <t>VÄSTERNORRLANDS LÄN</t>
        </is>
      </c>
      <c r="E351" t="inlineStr">
        <is>
          <t>TIMRÅ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61821-2024</t>
        </is>
      </c>
      <c r="B352" s="1" t="n">
        <v>45649.61491898148</v>
      </c>
      <c r="C352" s="1" t="n">
        <v>45889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23839-2025</t>
        </is>
      </c>
      <c r="B353" s="1" t="n">
        <v>45793.61495370371</v>
      </c>
      <c r="C353" s="1" t="n">
        <v>45889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7152-2022</t>
        </is>
      </c>
      <c r="B354" s="1" t="n">
        <v>44603.92236111111</v>
      </c>
      <c r="C354" s="1" t="n">
        <v>45889</v>
      </c>
      <c r="D354" t="inlineStr">
        <is>
          <t>VÄSTERNORRLANDS LÄN</t>
        </is>
      </c>
      <c r="E354" t="inlineStr">
        <is>
          <t>TIMRÅ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6394-2025</t>
        </is>
      </c>
      <c r="B355" s="1" t="n">
        <v>45699.43229166666</v>
      </c>
      <c r="C355" s="1" t="n">
        <v>45889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38992-2024</t>
        </is>
      </c>
      <c r="B356" s="1" t="n">
        <v>45548</v>
      </c>
      <c r="C356" s="1" t="n">
        <v>45889</v>
      </c>
      <c r="D356" t="inlineStr">
        <is>
          <t>VÄSTERNORRLANDS LÄN</t>
        </is>
      </c>
      <c r="E356" t="inlineStr">
        <is>
          <t>TIMRÅ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45889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23957-2025</t>
        </is>
      </c>
      <c r="B358" s="1" t="n">
        <v>45796.365</v>
      </c>
      <c r="C358" s="1" t="n">
        <v>45889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61484-2024</t>
        </is>
      </c>
      <c r="B359" s="1" t="n">
        <v>45646.53160879629</v>
      </c>
      <c r="C359" s="1" t="n">
        <v>45889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57316-2024</t>
        </is>
      </c>
      <c r="B360" s="1" t="n">
        <v>45629.61498842593</v>
      </c>
      <c r="C360" s="1" t="n">
        <v>45889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50699-2024</t>
        </is>
      </c>
      <c r="B361" s="1" t="n">
        <v>45602</v>
      </c>
      <c r="C361" s="1" t="n">
        <v>45889</v>
      </c>
      <c r="D361" t="inlineStr">
        <is>
          <t>VÄSTERNORRLANDS LÄN</t>
        </is>
      </c>
      <c r="E361" t="inlineStr">
        <is>
          <t>TIMRÅ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7966-2022</t>
        </is>
      </c>
      <c r="B362" s="1" t="n">
        <v>44608</v>
      </c>
      <c r="C362" s="1" t="n">
        <v>45889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9202-2022</t>
        </is>
      </c>
      <c r="B363" s="1" t="n">
        <v>44615</v>
      </c>
      <c r="C363" s="1" t="n">
        <v>45889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9203-2022</t>
        </is>
      </c>
      <c r="B364" s="1" t="n">
        <v>44615</v>
      </c>
      <c r="C364" s="1" t="n">
        <v>45889</v>
      </c>
      <c r="D364" t="inlineStr">
        <is>
          <t>VÄSTERNORRLANDS LÄN</t>
        </is>
      </c>
      <c r="E364" t="inlineStr">
        <is>
          <t>TIMRÅ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60074-2023</t>
        </is>
      </c>
      <c r="B365" s="1" t="n">
        <v>45258</v>
      </c>
      <c r="C365" s="1" t="n">
        <v>45889</v>
      </c>
      <c r="D365" t="inlineStr">
        <is>
          <t>VÄSTERNORRLANDS LÄN</t>
        </is>
      </c>
      <c r="E365" t="inlineStr">
        <is>
          <t>TIMRÅ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11479-2022</t>
        </is>
      </c>
      <c r="B366" s="1" t="n">
        <v>44630.92299768519</v>
      </c>
      <c r="C366" s="1" t="n">
        <v>45889</v>
      </c>
      <c r="D366" t="inlineStr">
        <is>
          <t>VÄSTERNORRLANDS LÄN</t>
        </is>
      </c>
      <c r="E366" t="inlineStr">
        <is>
          <t>TIMRÅ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35262-2021</t>
        </is>
      </c>
      <c r="B367" s="1" t="n">
        <v>44384</v>
      </c>
      <c r="C367" s="1" t="n">
        <v>45889</v>
      </c>
      <c r="D367" t="inlineStr">
        <is>
          <t>VÄSTERNORRLANDS LÄN</t>
        </is>
      </c>
      <c r="E367" t="inlineStr">
        <is>
          <t>TIMRÅ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32105-2024</t>
        </is>
      </c>
      <c r="B368" s="1" t="n">
        <v>45511</v>
      </c>
      <c r="C368" s="1" t="n">
        <v>45889</v>
      </c>
      <c r="D368" t="inlineStr">
        <is>
          <t>VÄSTERNORRLANDS LÄN</t>
        </is>
      </c>
      <c r="E368" t="inlineStr">
        <is>
          <t>TIMRÅ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53301-2024</t>
        </is>
      </c>
      <c r="B369" s="1" t="n">
        <v>45614.3884837963</v>
      </c>
      <c r="C369" s="1" t="n">
        <v>45889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25190-2025</t>
        </is>
      </c>
      <c r="B370" s="1" t="n">
        <v>45798</v>
      </c>
      <c r="C370" s="1" t="n">
        <v>45889</v>
      </c>
      <c r="D370" t="inlineStr">
        <is>
          <t>VÄSTERNORRLANDS LÄN</t>
        </is>
      </c>
      <c r="E370" t="inlineStr">
        <is>
          <t>TIMRÅ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69203-2020</t>
        </is>
      </c>
      <c r="B371" s="1" t="n">
        <v>44191</v>
      </c>
      <c r="C371" s="1" t="n">
        <v>45889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52705-2022</t>
        </is>
      </c>
      <c r="B372" s="1" t="n">
        <v>44874.92969907408</v>
      </c>
      <c r="C372" s="1" t="n">
        <v>45889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24529-2025</t>
        </is>
      </c>
      <c r="B373" s="1" t="n">
        <v>45798.42756944444</v>
      </c>
      <c r="C373" s="1" t="n">
        <v>45889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39048-2023</t>
        </is>
      </c>
      <c r="B374" s="1" t="n">
        <v>45163.92715277777</v>
      </c>
      <c r="C374" s="1" t="n">
        <v>45889</v>
      </c>
      <c r="D374" t="inlineStr">
        <is>
          <t>VÄSTERNORRLANDS LÄN</t>
        </is>
      </c>
      <c r="E374" t="inlineStr">
        <is>
          <t>TIMRÅ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45673-2024</t>
        </is>
      </c>
      <c r="B375" s="1" t="n">
        <v>45579.51072916666</v>
      </c>
      <c r="C375" s="1" t="n">
        <v>45889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31562-2023</t>
        </is>
      </c>
      <c r="B376" s="1" t="n">
        <v>45117</v>
      </c>
      <c r="C376" s="1" t="n">
        <v>45889</v>
      </c>
      <c r="D376" t="inlineStr">
        <is>
          <t>VÄSTERNORRLANDS LÄN</t>
        </is>
      </c>
      <c r="E376" t="inlineStr">
        <is>
          <t>TIMRÅ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30680-2024</t>
        </is>
      </c>
      <c r="B377" s="1" t="n">
        <v>45495</v>
      </c>
      <c r="C377" s="1" t="n">
        <v>45889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19455-2024</t>
        </is>
      </c>
      <c r="B378" s="1" t="n">
        <v>45429</v>
      </c>
      <c r="C378" s="1" t="n">
        <v>45889</v>
      </c>
      <c r="D378" t="inlineStr">
        <is>
          <t>VÄSTERNORRLANDS LÄN</t>
        </is>
      </c>
      <c r="E378" t="inlineStr">
        <is>
          <t>TIMRÅ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55441-2023</t>
        </is>
      </c>
      <c r="B379" s="1" t="n">
        <v>45231</v>
      </c>
      <c r="C379" s="1" t="n">
        <v>45889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48785-2023</t>
        </is>
      </c>
      <c r="B380" s="1" t="n">
        <v>45208</v>
      </c>
      <c r="C380" s="1" t="n">
        <v>45889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56723-2022</t>
        </is>
      </c>
      <c r="B381" s="1" t="n">
        <v>44893.9297337963</v>
      </c>
      <c r="C381" s="1" t="n">
        <v>45889</v>
      </c>
      <c r="D381" t="inlineStr">
        <is>
          <t>VÄSTERNORRLANDS LÄN</t>
        </is>
      </c>
      <c r="E381" t="inlineStr">
        <is>
          <t>TIMRÅ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44011-2024</t>
        </is>
      </c>
      <c r="B382" s="1" t="n">
        <v>45572.55322916667</v>
      </c>
      <c r="C382" s="1" t="n">
        <v>45889</v>
      </c>
      <c r="D382" t="inlineStr">
        <is>
          <t>VÄSTERNORRLANDS LÄN</t>
        </is>
      </c>
      <c r="E382" t="inlineStr">
        <is>
          <t>TIMRÅ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25644-2022</t>
        </is>
      </c>
      <c r="B383" s="1" t="n">
        <v>44732</v>
      </c>
      <c r="C383" s="1" t="n">
        <v>45889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17040-2022</t>
        </is>
      </c>
      <c r="B384" s="1" t="n">
        <v>44676</v>
      </c>
      <c r="C384" s="1" t="n">
        <v>45889</v>
      </c>
      <c r="D384" t="inlineStr">
        <is>
          <t>VÄSTERNORRLANDS LÄN</t>
        </is>
      </c>
      <c r="E384" t="inlineStr">
        <is>
          <t>TIMRÅ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41596-2024</t>
        </is>
      </c>
      <c r="B385" s="1" t="n">
        <v>45560.57388888889</v>
      </c>
      <c r="C385" s="1" t="n">
        <v>45889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45630-2024</t>
        </is>
      </c>
      <c r="B386" s="1" t="n">
        <v>45579.46971064815</v>
      </c>
      <c r="C386" s="1" t="n">
        <v>45889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25427-2025</t>
        </is>
      </c>
      <c r="B387" s="1" t="n">
        <v>45800.70986111111</v>
      </c>
      <c r="C387" s="1" t="n">
        <v>45889</v>
      </c>
      <c r="D387" t="inlineStr">
        <is>
          <t>VÄSTERNORRLANDS LÄN</t>
        </is>
      </c>
      <c r="E387" t="inlineStr">
        <is>
          <t>TIMRÅ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8632-2023</t>
        </is>
      </c>
      <c r="B388" s="1" t="n">
        <v>44977.934375</v>
      </c>
      <c r="C388" s="1" t="n">
        <v>45889</v>
      </c>
      <c r="D388" t="inlineStr">
        <is>
          <t>VÄSTERNORRLANDS LÄN</t>
        </is>
      </c>
      <c r="E388" t="inlineStr">
        <is>
          <t>TIMRÅ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22486-2024</t>
        </is>
      </c>
      <c r="B389" s="1" t="n">
        <v>45446</v>
      </c>
      <c r="C389" s="1" t="n">
        <v>45889</v>
      </c>
      <c r="D389" t="inlineStr">
        <is>
          <t>VÄSTERNORRLANDS LÄN</t>
        </is>
      </c>
      <c r="E389" t="inlineStr">
        <is>
          <t>TIMRÅ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13343-2024</t>
        </is>
      </c>
      <c r="B390" s="1" t="n">
        <v>45386.94517361111</v>
      </c>
      <c r="C390" s="1" t="n">
        <v>45889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19341-2025</t>
        </is>
      </c>
      <c r="B391" s="1" t="n">
        <v>45769.59504629629</v>
      </c>
      <c r="C391" s="1" t="n">
        <v>45889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30835-2023</t>
        </is>
      </c>
      <c r="B392" s="1" t="n">
        <v>45112.94381944444</v>
      </c>
      <c r="C392" s="1" t="n">
        <v>45889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21443-2024</t>
        </is>
      </c>
      <c r="B393" s="1" t="n">
        <v>45441</v>
      </c>
      <c r="C393" s="1" t="n">
        <v>45889</v>
      </c>
      <c r="D393" t="inlineStr">
        <is>
          <t>VÄSTERNORRLANDS LÄN</t>
        </is>
      </c>
      <c r="E393" t="inlineStr">
        <is>
          <t>TIMRÅ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43568-2024</t>
        </is>
      </c>
      <c r="B394" s="1" t="n">
        <v>45569.40684027778</v>
      </c>
      <c r="C394" s="1" t="n">
        <v>45889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26300-2025</t>
        </is>
      </c>
      <c r="B395" s="1" t="n">
        <v>45805.6364699074</v>
      </c>
      <c r="C395" s="1" t="n">
        <v>45889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20527-2024</t>
        </is>
      </c>
      <c r="B396" s="1" t="n">
        <v>45435.94592592592</v>
      </c>
      <c r="C396" s="1" t="n">
        <v>45889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43113-2023</t>
        </is>
      </c>
      <c r="B397" s="1" t="n">
        <v>45182</v>
      </c>
      <c r="C397" s="1" t="n">
        <v>45889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34498-2025</t>
        </is>
      </c>
      <c r="B398" s="1" t="n">
        <v>45847.42768518518</v>
      </c>
      <c r="C398" s="1" t="n">
        <v>45889</v>
      </c>
      <c r="D398" t="inlineStr">
        <is>
          <t>VÄSTERNORRLANDS LÄN</t>
        </is>
      </c>
      <c r="E398" t="inlineStr">
        <is>
          <t>TIMRÅ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55576-2024</t>
        </is>
      </c>
      <c r="B399" s="1" t="n">
        <v>45622</v>
      </c>
      <c r="C399" s="1" t="n">
        <v>45889</v>
      </c>
      <c r="D399" t="inlineStr">
        <is>
          <t>VÄSTERNORRLANDS LÄN</t>
        </is>
      </c>
      <c r="E399" t="inlineStr">
        <is>
          <t>TIMRÅ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4123-2023</t>
        </is>
      </c>
      <c r="B400" s="1" t="n">
        <v>44952</v>
      </c>
      <c r="C400" s="1" t="n">
        <v>45889</v>
      </c>
      <c r="D400" t="inlineStr">
        <is>
          <t>VÄSTERNORRLANDS LÄN</t>
        </is>
      </c>
      <c r="E400" t="inlineStr">
        <is>
          <t>TIMRÅ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4125-2023</t>
        </is>
      </c>
      <c r="B401" s="1" t="n">
        <v>44952</v>
      </c>
      <c r="C401" s="1" t="n">
        <v>45889</v>
      </c>
      <c r="D401" t="inlineStr">
        <is>
          <t>VÄSTERNORRLANDS LÄN</t>
        </is>
      </c>
      <c r="E401" t="inlineStr">
        <is>
          <t>TIMRÅ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6055-2025</t>
        </is>
      </c>
      <c r="B402" s="1" t="n">
        <v>45695.71903935185</v>
      </c>
      <c r="C402" s="1" t="n">
        <v>45889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45774-2023</t>
        </is>
      </c>
      <c r="B403" s="1" t="n">
        <v>45189</v>
      </c>
      <c r="C403" s="1" t="n">
        <v>45889</v>
      </c>
      <c r="D403" t="inlineStr">
        <is>
          <t>VÄSTERNORRLANDS LÄN</t>
        </is>
      </c>
      <c r="E403" t="inlineStr">
        <is>
          <t>TIMRÅ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45942-2024</t>
        </is>
      </c>
      <c r="B404" s="1" t="n">
        <v>45580</v>
      </c>
      <c r="C404" s="1" t="n">
        <v>45889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59942-2022</t>
        </is>
      </c>
      <c r="B405" s="1" t="n">
        <v>44901</v>
      </c>
      <c r="C405" s="1" t="n">
        <v>45889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53288-2024</t>
        </is>
      </c>
      <c r="B406" s="1" t="n">
        <v>45614.38604166666</v>
      </c>
      <c r="C406" s="1" t="n">
        <v>45889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53294-2024</t>
        </is>
      </c>
      <c r="B407" s="1" t="n">
        <v>45614.3875462963</v>
      </c>
      <c r="C407" s="1" t="n">
        <v>45889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16519-2022</t>
        </is>
      </c>
      <c r="B408" s="1" t="n">
        <v>44671.926875</v>
      </c>
      <c r="C408" s="1" t="n">
        <v>45889</v>
      </c>
      <c r="D408" t="inlineStr">
        <is>
          <t>VÄSTERNORRLANDS LÄN</t>
        </is>
      </c>
      <c r="E408" t="inlineStr">
        <is>
          <t>TIMRÅ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43526-2024</t>
        </is>
      </c>
      <c r="B409" s="1" t="n">
        <v>45569.34474537037</v>
      </c>
      <c r="C409" s="1" t="n">
        <v>45889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45586-2024</t>
        </is>
      </c>
      <c r="B410" s="1" t="n">
        <v>45579.40659722222</v>
      </c>
      <c r="C410" s="1" t="n">
        <v>45889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8078-2025</t>
        </is>
      </c>
      <c r="B411" s="1" t="n">
        <v>45707.6568287037</v>
      </c>
      <c r="C411" s="1" t="n">
        <v>45889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56288-2024</t>
        </is>
      </c>
      <c r="B412" s="1" t="n">
        <v>45624.67949074074</v>
      </c>
      <c r="C412" s="1" t="n">
        <v>45889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23676-2022</t>
        </is>
      </c>
      <c r="B413" s="1" t="n">
        <v>44721</v>
      </c>
      <c r="C413" s="1" t="n">
        <v>45889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58879-2024</t>
        </is>
      </c>
      <c r="B414" s="1" t="n">
        <v>45636.44822916666</v>
      </c>
      <c r="C414" s="1" t="n">
        <v>45889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53289-2024</t>
        </is>
      </c>
      <c r="B415" s="1" t="n">
        <v>45614.38622685185</v>
      </c>
      <c r="C415" s="1" t="n">
        <v>45889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53292-2024</t>
        </is>
      </c>
      <c r="B416" s="1" t="n">
        <v>45614.38694444444</v>
      </c>
      <c r="C416" s="1" t="n">
        <v>45889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56442-2024</t>
        </is>
      </c>
      <c r="B417" s="1" t="n">
        <v>45625</v>
      </c>
      <c r="C417" s="1" t="n">
        <v>45889</v>
      </c>
      <c r="D417" t="inlineStr">
        <is>
          <t>VÄSTERNORRLANDS LÄN</t>
        </is>
      </c>
      <c r="E417" t="inlineStr">
        <is>
          <t>TIMRÅ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57072-2023</t>
        </is>
      </c>
      <c r="B418" s="1" t="n">
        <v>45244.96715277778</v>
      </c>
      <c r="C418" s="1" t="n">
        <v>45889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27098-2025</t>
        </is>
      </c>
      <c r="B419" s="1" t="n">
        <v>45811.6778125</v>
      </c>
      <c r="C419" s="1" t="n">
        <v>45889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16084-2025</t>
        </is>
      </c>
      <c r="B420" s="1" t="n">
        <v>45749</v>
      </c>
      <c r="C420" s="1" t="n">
        <v>45889</v>
      </c>
      <c r="D420" t="inlineStr">
        <is>
          <t>VÄSTERNORRLANDS LÄN</t>
        </is>
      </c>
      <c r="E420" t="inlineStr">
        <is>
          <t>TIMRÅ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45889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60111-2024</t>
        </is>
      </c>
      <c r="B422" s="1" t="n">
        <v>45642</v>
      </c>
      <c r="C422" s="1" t="n">
        <v>45889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1842-2025</t>
        </is>
      </c>
      <c r="B423" s="1" t="n">
        <v>45671.57582175926</v>
      </c>
      <c r="C423" s="1" t="n">
        <v>45889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34499-2025</t>
        </is>
      </c>
      <c r="B424" s="1" t="n">
        <v>45847.42783564814</v>
      </c>
      <c r="C424" s="1" t="n">
        <v>45889</v>
      </c>
      <c r="D424" t="inlineStr">
        <is>
          <t>VÄSTERNORRLANDS LÄN</t>
        </is>
      </c>
      <c r="E424" t="inlineStr">
        <is>
          <t>TIMRÅ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27696-2025</t>
        </is>
      </c>
      <c r="B425" s="1" t="n">
        <v>45813</v>
      </c>
      <c r="C425" s="1" t="n">
        <v>45889</v>
      </c>
      <c r="D425" t="inlineStr">
        <is>
          <t>VÄSTERNORRLANDS LÄN</t>
        </is>
      </c>
      <c r="E425" t="inlineStr">
        <is>
          <t>TIMRÅ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1825-2025</t>
        </is>
      </c>
      <c r="B426" s="1" t="n">
        <v>45671.53853009259</v>
      </c>
      <c r="C426" s="1" t="n">
        <v>45889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44404-2023</t>
        </is>
      </c>
      <c r="B427" s="1" t="n">
        <v>45188</v>
      </c>
      <c r="C427" s="1" t="n">
        <v>45889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10852-2024</t>
        </is>
      </c>
      <c r="B428" s="1" t="n">
        <v>45370</v>
      </c>
      <c r="C428" s="1" t="n">
        <v>45889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53703-2021</t>
        </is>
      </c>
      <c r="B429" s="1" t="n">
        <v>44469</v>
      </c>
      <c r="C429" s="1" t="n">
        <v>45889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55874-2024</t>
        </is>
      </c>
      <c r="B430" s="1" t="n">
        <v>45623.55289351852</v>
      </c>
      <c r="C430" s="1" t="n">
        <v>45889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35476-2025</t>
        </is>
      </c>
      <c r="B431" s="1" t="n">
        <v>45855.67744212963</v>
      </c>
      <c r="C431" s="1" t="n">
        <v>45889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52909-2024</t>
        </is>
      </c>
      <c r="B432" s="1" t="n">
        <v>45610.69864583333</v>
      </c>
      <c r="C432" s="1" t="n">
        <v>45889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67063-2021</t>
        </is>
      </c>
      <c r="B433" s="1" t="n">
        <v>44522.92043981481</v>
      </c>
      <c r="C433" s="1" t="n">
        <v>45889</v>
      </c>
      <c r="D433" t="inlineStr">
        <is>
          <t>VÄSTERNORRLANDS LÄN</t>
        </is>
      </c>
      <c r="E433" t="inlineStr">
        <is>
          <t>TIMRÅ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5649-2022</t>
        </is>
      </c>
      <c r="B434" s="1" t="n">
        <v>44595.92520833333</v>
      </c>
      <c r="C434" s="1" t="n">
        <v>45889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31343-2023</t>
        </is>
      </c>
      <c r="B435" s="1" t="n">
        <v>45104</v>
      </c>
      <c r="C435" s="1" t="n">
        <v>45889</v>
      </c>
      <c r="D435" t="inlineStr">
        <is>
          <t>VÄSTERNORRLANDS LÄN</t>
        </is>
      </c>
      <c r="E435" t="inlineStr">
        <is>
          <t>TIMRÅ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28138-2025</t>
        </is>
      </c>
      <c r="B436" s="1" t="n">
        <v>45818.34482638889</v>
      </c>
      <c r="C436" s="1" t="n">
        <v>45889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35694-2025</t>
        </is>
      </c>
      <c r="B437" s="1" t="n">
        <v>45860.34461805555</v>
      </c>
      <c r="C437" s="1" t="n">
        <v>45889</v>
      </c>
      <c r="D437" t="inlineStr">
        <is>
          <t>VÄSTERNORRLANDS LÄN</t>
        </is>
      </c>
      <c r="E437" t="inlineStr">
        <is>
          <t>TIMRÅ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23611-2021</t>
        </is>
      </c>
      <c r="B438" s="1" t="n">
        <v>44334</v>
      </c>
      <c r="C438" s="1" t="n">
        <v>45889</v>
      </c>
      <c r="D438" t="inlineStr">
        <is>
          <t>VÄSTERNORRLANDS LÄN</t>
        </is>
      </c>
      <c r="E438" t="inlineStr">
        <is>
          <t>TIMRÅ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23556-2024</t>
        </is>
      </c>
      <c r="B439" s="1" t="n">
        <v>45453</v>
      </c>
      <c r="C439" s="1" t="n">
        <v>45889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35693-2025</t>
        </is>
      </c>
      <c r="B440" s="1" t="n">
        <v>45860.34459490741</v>
      </c>
      <c r="C440" s="1" t="n">
        <v>45889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50638-2023</t>
        </is>
      </c>
      <c r="B441" s="1" t="n">
        <v>45210</v>
      </c>
      <c r="C441" s="1" t="n">
        <v>45889</v>
      </c>
      <c r="D441" t="inlineStr">
        <is>
          <t>VÄSTERNORRLANDS LÄN</t>
        </is>
      </c>
      <c r="E441" t="inlineStr">
        <is>
          <t>TIMRÅ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34879-2025</t>
        </is>
      </c>
      <c r="B442" s="1" t="n">
        <v>45849.46824074074</v>
      </c>
      <c r="C442" s="1" t="n">
        <v>45889</v>
      </c>
      <c r="D442" t="inlineStr">
        <is>
          <t>VÄSTERNORRLANDS LÄN</t>
        </is>
      </c>
      <c r="E442" t="inlineStr">
        <is>
          <t>TIMRÅ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59189-2024</t>
        </is>
      </c>
      <c r="B443" s="1" t="n">
        <v>45637</v>
      </c>
      <c r="C443" s="1" t="n">
        <v>45889</v>
      </c>
      <c r="D443" t="inlineStr">
        <is>
          <t>VÄSTERNORRLANDS LÄN</t>
        </is>
      </c>
      <c r="E443" t="inlineStr">
        <is>
          <t>TIMRÅ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35659-2025</t>
        </is>
      </c>
      <c r="B444" s="1" t="n">
        <v>45859.59447916667</v>
      </c>
      <c r="C444" s="1" t="n">
        <v>45889</v>
      </c>
      <c r="D444" t="inlineStr">
        <is>
          <t>VÄSTERNORRLANDS LÄN</t>
        </is>
      </c>
      <c r="E444" t="inlineStr">
        <is>
          <t>TIMRÅ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23878-2024</t>
        </is>
      </c>
      <c r="B445" s="1" t="n">
        <v>45455</v>
      </c>
      <c r="C445" s="1" t="n">
        <v>45889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35667-2025</t>
        </is>
      </c>
      <c r="B446" s="1" t="n">
        <v>45859.61546296296</v>
      </c>
      <c r="C446" s="1" t="n">
        <v>45889</v>
      </c>
      <c r="D446" t="inlineStr">
        <is>
          <t>VÄSTERNORRLANDS LÄN</t>
        </is>
      </c>
      <c r="E446" t="inlineStr">
        <is>
          <t>TIMRÅ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41457-2022</t>
        </is>
      </c>
      <c r="B447" s="1" t="n">
        <v>44826</v>
      </c>
      <c r="C447" s="1" t="n">
        <v>45889</v>
      </c>
      <c r="D447" t="inlineStr">
        <is>
          <t>VÄSTERNORRLANDS LÄN</t>
        </is>
      </c>
      <c r="E447" t="inlineStr">
        <is>
          <t>TIMRÅ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41465-2022</t>
        </is>
      </c>
      <c r="B448" s="1" t="n">
        <v>44826.94804398148</v>
      </c>
      <c r="C448" s="1" t="n">
        <v>45889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61606-2023</t>
        </is>
      </c>
      <c r="B449" s="1" t="n">
        <v>45261</v>
      </c>
      <c r="C449" s="1" t="n">
        <v>45889</v>
      </c>
      <c r="D449" t="inlineStr">
        <is>
          <t>VÄSTERNORRLANDS LÄN</t>
        </is>
      </c>
      <c r="E449" t="inlineStr">
        <is>
          <t>TIMRÅ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27243-2021</t>
        </is>
      </c>
      <c r="B450" s="1" t="n">
        <v>44350</v>
      </c>
      <c r="C450" s="1" t="n">
        <v>45889</v>
      </c>
      <c r="D450" t="inlineStr">
        <is>
          <t>VÄSTERNORRLANDS LÄN</t>
        </is>
      </c>
      <c r="E450" t="inlineStr">
        <is>
          <t>TIMRÅ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28405-2025</t>
        </is>
      </c>
      <c r="B451" s="1" t="n">
        <v>45819.34549768519</v>
      </c>
      <c r="C451" s="1" t="n">
        <v>45889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25782-2025</t>
        </is>
      </c>
      <c r="B452" s="1" t="n">
        <v>45804</v>
      </c>
      <c r="C452" s="1" t="n">
        <v>45889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28674-2025</t>
        </is>
      </c>
      <c r="B453" s="1" t="n">
        <v>45819.67739583334</v>
      </c>
      <c r="C453" s="1" t="n">
        <v>45889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30612-2024</t>
        </is>
      </c>
      <c r="B454" s="1" t="n">
        <v>45495</v>
      </c>
      <c r="C454" s="1" t="n">
        <v>45889</v>
      </c>
      <c r="D454" t="inlineStr">
        <is>
          <t>VÄSTERNORRLANDS LÄN</t>
        </is>
      </c>
      <c r="E454" t="inlineStr">
        <is>
          <t>TIMRÅ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58754-2024</t>
        </is>
      </c>
      <c r="B455" s="1" t="n">
        <v>45635.71917824074</v>
      </c>
      <c r="C455" s="1" t="n">
        <v>45889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29437-2025</t>
        </is>
      </c>
      <c r="B456" s="1" t="n">
        <v>45824.6578125</v>
      </c>
      <c r="C456" s="1" t="n">
        <v>45889</v>
      </c>
      <c r="D456" t="inlineStr">
        <is>
          <t>VÄSTERNORRLANDS LÄN</t>
        </is>
      </c>
      <c r="E456" t="inlineStr">
        <is>
          <t>TIMRÅ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29003-2025</t>
        </is>
      </c>
      <c r="B457" s="1" t="n">
        <v>45821.39233796296</v>
      </c>
      <c r="C457" s="1" t="n">
        <v>45889</v>
      </c>
      <c r="D457" t="inlineStr">
        <is>
          <t>VÄSTERNORRLANDS LÄN</t>
        </is>
      </c>
      <c r="E457" t="inlineStr">
        <is>
          <t>TIMRÅ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29190-2025</t>
        </is>
      </c>
      <c r="B458" s="1" t="n">
        <v>45822.42746527777</v>
      </c>
      <c r="C458" s="1" t="n">
        <v>45889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37676-2024</t>
        </is>
      </c>
      <c r="B459" s="1" t="n">
        <v>45541</v>
      </c>
      <c r="C459" s="1" t="n">
        <v>45889</v>
      </c>
      <c r="D459" t="inlineStr">
        <is>
          <t>VÄSTERNORRLANDS LÄN</t>
        </is>
      </c>
      <c r="E459" t="inlineStr">
        <is>
          <t>TIMRÅ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10947-2025</t>
        </is>
      </c>
      <c r="B460" s="1" t="n">
        <v>45723.34417824074</v>
      </c>
      <c r="C460" s="1" t="n">
        <v>45889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20732-2021</t>
        </is>
      </c>
      <c r="B461" s="1" t="n">
        <v>44316</v>
      </c>
      <c r="C461" s="1" t="n">
        <v>45889</v>
      </c>
      <c r="D461" t="inlineStr">
        <is>
          <t>VÄSTERNORRLANDS LÄN</t>
        </is>
      </c>
      <c r="E461" t="inlineStr">
        <is>
          <t>TIMRÅ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29480-2025</t>
        </is>
      </c>
      <c r="B462" s="1" t="n">
        <v>45824.71908564815</v>
      </c>
      <c r="C462" s="1" t="n">
        <v>45889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29191-2025</t>
        </is>
      </c>
      <c r="B463" s="1" t="n">
        <v>45822.42765046296</v>
      </c>
      <c r="C463" s="1" t="n">
        <v>45889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36987-2021</t>
        </is>
      </c>
      <c r="B464" s="1" t="n">
        <v>44393</v>
      </c>
      <c r="C464" s="1" t="n">
        <v>45889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29186-2025</t>
        </is>
      </c>
      <c r="B465" s="1" t="n">
        <v>45821</v>
      </c>
      <c r="C465" s="1" t="n">
        <v>45889</v>
      </c>
      <c r="D465" t="inlineStr">
        <is>
          <t>VÄSTERNORRLANDS LÄN</t>
        </is>
      </c>
      <c r="E465" t="inlineStr">
        <is>
          <t>TIMRÅ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56765-2023</t>
        </is>
      </c>
      <c r="B466" s="1" t="n">
        <v>45244</v>
      </c>
      <c r="C466" s="1" t="n">
        <v>45889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43964-2023</t>
        </is>
      </c>
      <c r="B467" s="1" t="n">
        <v>45187</v>
      </c>
      <c r="C467" s="1" t="n">
        <v>45889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32048-2024</t>
        </is>
      </c>
      <c r="B468" s="1" t="n">
        <v>45510</v>
      </c>
      <c r="C468" s="1" t="n">
        <v>45889</v>
      </c>
      <c r="D468" t="inlineStr">
        <is>
          <t>VÄSTERNORRLANDS LÄN</t>
        </is>
      </c>
      <c r="E468" t="inlineStr">
        <is>
          <t>TIMRÅ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32487-2021</t>
        </is>
      </c>
      <c r="B469" s="1" t="n">
        <v>44371</v>
      </c>
      <c r="C469" s="1" t="n">
        <v>45889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Kyrkan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30315-2025</t>
        </is>
      </c>
      <c r="B470" s="1" t="n">
        <v>45827.49060185185</v>
      </c>
      <c r="C470" s="1" t="n">
        <v>45889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46971-2022</t>
        </is>
      </c>
      <c r="B471" s="1" t="n">
        <v>44851.953125</v>
      </c>
      <c r="C471" s="1" t="n">
        <v>45889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1817-2025</t>
        </is>
      </c>
      <c r="B472" s="1" t="n">
        <v>45671.51324074074</v>
      </c>
      <c r="C472" s="1" t="n">
        <v>45889</v>
      </c>
      <c r="D472" t="inlineStr">
        <is>
          <t>VÄSTERNORRLANDS LÄN</t>
        </is>
      </c>
      <c r="E472" t="inlineStr">
        <is>
          <t>TIMRÅ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30816-2025</t>
        </is>
      </c>
      <c r="B473" s="1" t="n">
        <v>45831.66094907407</v>
      </c>
      <c r="C473" s="1" t="n">
        <v>45889</v>
      </c>
      <c r="D473" t="inlineStr">
        <is>
          <t>VÄSTERNORRLANDS LÄN</t>
        </is>
      </c>
      <c r="E473" t="inlineStr">
        <is>
          <t>TIMRÅ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12786-2025</t>
        </is>
      </c>
      <c r="B474" s="1" t="n">
        <v>45733.60231481482</v>
      </c>
      <c r="C474" s="1" t="n">
        <v>45889</v>
      </c>
      <c r="D474" t="inlineStr">
        <is>
          <t>VÄSTERNORRLANDS LÄN</t>
        </is>
      </c>
      <c r="E474" t="inlineStr">
        <is>
          <t>TIMRÅ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55588-2024</t>
        </is>
      </c>
      <c r="B475" s="1" t="n">
        <v>45622</v>
      </c>
      <c r="C475" s="1" t="n">
        <v>45889</v>
      </c>
      <c r="D475" t="inlineStr">
        <is>
          <t>VÄSTERNORRLANDS LÄN</t>
        </is>
      </c>
      <c r="E475" t="inlineStr">
        <is>
          <t>TIMRÅ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33749-2024</t>
        </is>
      </c>
      <c r="B476" s="1" t="n">
        <v>45520</v>
      </c>
      <c r="C476" s="1" t="n">
        <v>45889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9480-2021</t>
        </is>
      </c>
      <c r="B477" s="1" t="n">
        <v>44250</v>
      </c>
      <c r="C477" s="1" t="n">
        <v>45889</v>
      </c>
      <c r="D477" t="inlineStr">
        <is>
          <t>VÄSTERNORRLANDS LÄN</t>
        </is>
      </c>
      <c r="E477" t="inlineStr">
        <is>
          <t>TIMRÅ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9503-2021</t>
        </is>
      </c>
      <c r="B478" s="1" t="n">
        <v>44250</v>
      </c>
      <c r="C478" s="1" t="n">
        <v>45889</v>
      </c>
      <c r="D478" t="inlineStr">
        <is>
          <t>VÄSTERNORRLANDS LÄN</t>
        </is>
      </c>
      <c r="E478" t="inlineStr">
        <is>
          <t>TIMRÅ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30827-2025</t>
        </is>
      </c>
      <c r="B479" s="1" t="n">
        <v>45831.67759259259</v>
      </c>
      <c r="C479" s="1" t="n">
        <v>45889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36869-2025</t>
        </is>
      </c>
      <c r="B480" s="1" t="n">
        <v>45874.42835648148</v>
      </c>
      <c r="C480" s="1" t="n">
        <v>45889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11269-2022</t>
        </is>
      </c>
      <c r="B481" s="1" t="n">
        <v>44629.71497685185</v>
      </c>
      <c r="C481" s="1" t="n">
        <v>45889</v>
      </c>
      <c r="D481" t="inlineStr">
        <is>
          <t>VÄSTERNORRLANDS LÄN</t>
        </is>
      </c>
      <c r="E481" t="inlineStr">
        <is>
          <t>TIMRÅ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61730-2020</t>
        </is>
      </c>
      <c r="B482" s="1" t="n">
        <v>44158</v>
      </c>
      <c r="C482" s="1" t="n">
        <v>45889</v>
      </c>
      <c r="D482" t="inlineStr">
        <is>
          <t>VÄSTERNORRLANDS LÄN</t>
        </is>
      </c>
      <c r="E482" t="inlineStr">
        <is>
          <t>TIMRÅ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580-2022</t>
        </is>
      </c>
      <c r="B483" s="1" t="n">
        <v>44566</v>
      </c>
      <c r="C483" s="1" t="n">
        <v>45889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31351-2025</t>
        </is>
      </c>
      <c r="B484" s="1" t="n">
        <v>45833.42950231482</v>
      </c>
      <c r="C484" s="1" t="n">
        <v>45889</v>
      </c>
      <c r="D484" t="inlineStr">
        <is>
          <t>VÄSTERNORRLANDS LÄN</t>
        </is>
      </c>
      <c r="E484" t="inlineStr">
        <is>
          <t>TIMRÅ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31370-2025</t>
        </is>
      </c>
      <c r="B485" s="1" t="n">
        <v>45833.44155092593</v>
      </c>
      <c r="C485" s="1" t="n">
        <v>45889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31325-2025</t>
        </is>
      </c>
      <c r="B486" s="1" t="n">
        <v>45833.41020833333</v>
      </c>
      <c r="C486" s="1" t="n">
        <v>45889</v>
      </c>
      <c r="D486" t="inlineStr">
        <is>
          <t>VÄSTERNORRLANDS LÄN</t>
        </is>
      </c>
      <c r="E486" t="inlineStr">
        <is>
          <t>TIMRÅ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31326-2025</t>
        </is>
      </c>
      <c r="B487" s="1" t="n">
        <v>45833.41144675926</v>
      </c>
      <c r="C487" s="1" t="n">
        <v>45889</v>
      </c>
      <c r="D487" t="inlineStr">
        <is>
          <t>VÄSTERNORRLANDS LÄN</t>
        </is>
      </c>
      <c r="E487" t="inlineStr">
        <is>
          <t>TIMRÅ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31353-2025</t>
        </is>
      </c>
      <c r="B488" s="1" t="n">
        <v>45833.43015046296</v>
      </c>
      <c r="C488" s="1" t="n">
        <v>45889</v>
      </c>
      <c r="D488" t="inlineStr">
        <is>
          <t>VÄSTERNORRLANDS LÄN</t>
        </is>
      </c>
      <c r="E488" t="inlineStr">
        <is>
          <t>TIMRÅ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31375-2025</t>
        </is>
      </c>
      <c r="B489" s="1" t="n">
        <v>45833.44674768519</v>
      </c>
      <c r="C489" s="1" t="n">
        <v>45889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31328-2025</t>
        </is>
      </c>
      <c r="B490" s="1" t="n">
        <v>45833.41259259259</v>
      </c>
      <c r="C490" s="1" t="n">
        <v>45889</v>
      </c>
      <c r="D490" t="inlineStr">
        <is>
          <t>VÄSTERNORRLANDS LÄN</t>
        </is>
      </c>
      <c r="E490" t="inlineStr">
        <is>
          <t>TIMRÅ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31508-2025</t>
        </is>
      </c>
      <c r="B491" s="1" t="n">
        <v>45833</v>
      </c>
      <c r="C491" s="1" t="n">
        <v>45889</v>
      </c>
      <c r="D491" t="inlineStr">
        <is>
          <t>VÄSTERNORRLANDS LÄN</t>
        </is>
      </c>
      <c r="E491" t="inlineStr">
        <is>
          <t>TIMRÅ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18814-2025</t>
        </is>
      </c>
      <c r="B492" s="1" t="n">
        <v>45764.3653587963</v>
      </c>
      <c r="C492" s="1" t="n">
        <v>45889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28373-2023</t>
        </is>
      </c>
      <c r="B493" s="1" t="n">
        <v>45099.95390046296</v>
      </c>
      <c r="C493" s="1" t="n">
        <v>45889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34035-2021</t>
        </is>
      </c>
      <c r="B494" s="1" t="n">
        <v>44378</v>
      </c>
      <c r="C494" s="1" t="n">
        <v>45889</v>
      </c>
      <c r="D494" t="inlineStr">
        <is>
          <t>VÄSTERNORRLANDS LÄN</t>
        </is>
      </c>
      <c r="E494" t="inlineStr">
        <is>
          <t>TIMRÅ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45688-2022</t>
        </is>
      </c>
      <c r="B495" s="1" t="n">
        <v>44845</v>
      </c>
      <c r="C495" s="1" t="n">
        <v>45889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31339-2025</t>
        </is>
      </c>
      <c r="B496" s="1" t="n">
        <v>45833.42782407408</v>
      </c>
      <c r="C496" s="1" t="n">
        <v>45889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1818-2025</t>
        </is>
      </c>
      <c r="B497" s="1" t="n">
        <v>45671</v>
      </c>
      <c r="C497" s="1" t="n">
        <v>45889</v>
      </c>
      <c r="D497" t="inlineStr">
        <is>
          <t>VÄSTERNORRLANDS LÄN</t>
        </is>
      </c>
      <c r="E497" t="inlineStr">
        <is>
          <t>TIMRÅ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31734-2025</t>
        </is>
      </c>
      <c r="B498" s="1" t="n">
        <v>45834.47052083333</v>
      </c>
      <c r="C498" s="1" t="n">
        <v>45889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46021-2022</t>
        </is>
      </c>
      <c r="B499" s="1" t="n">
        <v>44846</v>
      </c>
      <c r="C499" s="1" t="n">
        <v>45889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Kyrkan</t>
        </is>
      </c>
      <c r="G499" t="n">
        <v>18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37695-2025</t>
        </is>
      </c>
      <c r="B500" s="1" t="n">
        <v>45880.57357638889</v>
      </c>
      <c r="C500" s="1" t="n">
        <v>45889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32366-2025</t>
        </is>
      </c>
      <c r="B501" s="1" t="n">
        <v>45837.65679398148</v>
      </c>
      <c r="C501" s="1" t="n">
        <v>45889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35417-2021</t>
        </is>
      </c>
      <c r="B502" s="1" t="n">
        <v>44385.43622685185</v>
      </c>
      <c r="C502" s="1" t="n">
        <v>45889</v>
      </c>
      <c r="D502" t="inlineStr">
        <is>
          <t>VÄSTERNORRLANDS LÄN</t>
        </is>
      </c>
      <c r="E502" t="inlineStr">
        <is>
          <t>TIMRÅ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32375-2025</t>
        </is>
      </c>
      <c r="B503" s="1" t="n">
        <v>45837.71907407408</v>
      </c>
      <c r="C503" s="1" t="n">
        <v>45889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68774-2021</t>
        </is>
      </c>
      <c r="B504" s="1" t="n">
        <v>44529.94496527778</v>
      </c>
      <c r="C504" s="1" t="n">
        <v>45889</v>
      </c>
      <c r="D504" t="inlineStr">
        <is>
          <t>VÄSTERNORRLANDS LÄN</t>
        </is>
      </c>
      <c r="E504" t="inlineStr">
        <is>
          <t>TIMRÅ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32427-2025</t>
        </is>
      </c>
      <c r="B505" s="1" t="n">
        <v>45838.36493055556</v>
      </c>
      <c r="C505" s="1" t="n">
        <v>45889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32373-2025</t>
        </is>
      </c>
      <c r="B506" s="1" t="n">
        <v>45837.69824074074</v>
      </c>
      <c r="C506" s="1" t="n">
        <v>45889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37684-2025</t>
        </is>
      </c>
      <c r="B507" s="1" t="n">
        <v>45880.55261574074</v>
      </c>
      <c r="C507" s="1" t="n">
        <v>45889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37470-2025</t>
        </is>
      </c>
      <c r="B508" s="1" t="n">
        <v>45877.58502314815</v>
      </c>
      <c r="C508" s="1" t="n">
        <v>45889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33225-2025</t>
        </is>
      </c>
      <c r="B509" s="1" t="n">
        <v>45840.63600694444</v>
      </c>
      <c r="C509" s="1" t="n">
        <v>45889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38110-2025</t>
        </is>
      </c>
      <c r="B510" s="1" t="n">
        <v>45882</v>
      </c>
      <c r="C510" s="1" t="n">
        <v>45889</v>
      </c>
      <c r="D510" t="inlineStr">
        <is>
          <t>VÄSTERNORRLANDS LÄN</t>
        </is>
      </c>
      <c r="E510" t="inlineStr">
        <is>
          <t>TIMRÅ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33044-2025</t>
        </is>
      </c>
      <c r="B511" s="1" t="n">
        <v>45840.40699074074</v>
      </c>
      <c r="C511" s="1" t="n">
        <v>45889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33043-2025</t>
        </is>
      </c>
      <c r="B512" s="1" t="n">
        <v>45840.40680555555</v>
      </c>
      <c r="C512" s="1" t="n">
        <v>45889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32912-2025</t>
        </is>
      </c>
      <c r="B513" s="1" t="n">
        <v>45839.63586805556</v>
      </c>
      <c r="C513" s="1" t="n">
        <v>45889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33112-2025</t>
        </is>
      </c>
      <c r="B514" s="1" t="n">
        <v>45840.48953703704</v>
      </c>
      <c r="C514" s="1" t="n">
        <v>45889</v>
      </c>
      <c r="D514" t="inlineStr">
        <is>
          <t>VÄSTERNORRLANDS LÄN</t>
        </is>
      </c>
      <c r="E514" t="inlineStr">
        <is>
          <t>TIMRÅ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32964-2025</t>
        </is>
      </c>
      <c r="B515" s="1" t="n">
        <v>45839.71916666667</v>
      </c>
      <c r="C515" s="1" t="n">
        <v>45889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38624-2025</t>
        </is>
      </c>
      <c r="B516" s="1" t="n">
        <v>45884.55347222222</v>
      </c>
      <c r="C516" s="1" t="n">
        <v>45889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35666-2025</t>
        </is>
      </c>
      <c r="B517" s="1" t="n">
        <v>45859.61543981481</v>
      </c>
      <c r="C517" s="1" t="n">
        <v>45889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36204-2025</t>
        </is>
      </c>
      <c r="B518" s="1" t="n">
        <v>45867</v>
      </c>
      <c r="C518" s="1" t="n">
        <v>45889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HYPERLINK("https://klasma.github.io/Logging_2262/knärot/A 36204-2025 karta knärot.png", "A 36204-2025")</f>
        <v/>
      </c>
      <c r="V518">
        <f>HYPERLINK("https://klasma.github.io/Logging_2262/klagomål/A 36204-2025 FSC-klagomål.docx", "A 36204-2025")</f>
        <v/>
      </c>
      <c r="W518">
        <f>HYPERLINK("https://klasma.github.io/Logging_2262/klagomålsmail/A 36204-2025 FSC-klagomål mail.docx", "A 36204-2025")</f>
        <v/>
      </c>
      <c r="X518">
        <f>HYPERLINK("https://klasma.github.io/Logging_2262/tillsyn/A 36204-2025 tillsynsbegäran.docx", "A 36204-2025")</f>
        <v/>
      </c>
      <c r="Y518">
        <f>HYPERLINK("https://klasma.github.io/Logging_2262/tillsynsmail/A 36204-2025 tillsynsbegäran mail.docx", "A 36204-2025")</f>
        <v/>
      </c>
    </row>
    <row r="519" ht="15" customHeight="1">
      <c r="A519" t="inlineStr">
        <is>
          <t>A 18684-2023</t>
        </is>
      </c>
      <c r="B519" s="1" t="n">
        <v>45042</v>
      </c>
      <c r="C519" s="1" t="n">
        <v>45889</v>
      </c>
      <c r="D519" t="inlineStr">
        <is>
          <t>VÄSTERNORRLANDS LÄN</t>
        </is>
      </c>
      <c r="E519" t="inlineStr">
        <is>
          <t>TIMRÅ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35665-2025</t>
        </is>
      </c>
      <c r="B520" s="1" t="n">
        <v>45859</v>
      </c>
      <c r="C520" s="1" t="n">
        <v>45889</v>
      </c>
      <c r="D520" t="inlineStr">
        <is>
          <t>VÄSTERNORRLANDS LÄN</t>
        </is>
      </c>
      <c r="E520" t="inlineStr">
        <is>
          <t>TIMRÅ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33891-2025</t>
        </is>
      </c>
      <c r="B521" s="1" t="n">
        <v>45842.57388888889</v>
      </c>
      <c r="C521" s="1" t="n">
        <v>45889</v>
      </c>
      <c r="D521" t="inlineStr">
        <is>
          <t>VÄSTERNORRLANDS LÄN</t>
        </is>
      </c>
      <c r="E521" t="inlineStr">
        <is>
          <t>TIMRÅ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35854-2025</t>
        </is>
      </c>
      <c r="B522" s="1" t="n">
        <v>45861</v>
      </c>
      <c r="C522" s="1" t="n">
        <v>45889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38306-2025</t>
        </is>
      </c>
      <c r="B523" s="1" t="n">
        <v>45883.46928240741</v>
      </c>
      <c r="C523" s="1" t="n">
        <v>45889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38623-2025</t>
        </is>
      </c>
      <c r="B524" s="1" t="n">
        <v>45884.55336805555</v>
      </c>
      <c r="C524" s="1" t="n">
        <v>45889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61166-2024</t>
        </is>
      </c>
      <c r="B525" s="1" t="n">
        <v>45645.59753472222</v>
      </c>
      <c r="C525" s="1" t="n">
        <v>45889</v>
      </c>
      <c r="D525" t="inlineStr">
        <is>
          <t>VÄSTERNORRLANDS LÄN</t>
        </is>
      </c>
      <c r="E525" t="inlineStr">
        <is>
          <t>TIMRÅ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69266-2021</t>
        </is>
      </c>
      <c r="B526" s="1" t="n">
        <v>44530</v>
      </c>
      <c r="C526" s="1" t="n">
        <v>45889</v>
      </c>
      <c r="D526" t="inlineStr">
        <is>
          <t>VÄSTERNORRLANDS LÄN</t>
        </is>
      </c>
      <c r="E526" t="inlineStr">
        <is>
          <t>TIMRÅ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38716-2025</t>
        </is>
      </c>
      <c r="B527" s="1" t="n">
        <v>45886.51091435185</v>
      </c>
      <c r="C527" s="1" t="n">
        <v>45889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34299-2025</t>
        </is>
      </c>
      <c r="B528" s="1" t="n">
        <v>45846.34501157407</v>
      </c>
      <c r="C528" s="1" t="n">
        <v>45889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34229-2025</t>
        </is>
      </c>
      <c r="B529" s="1" t="n">
        <v>45845.65732638889</v>
      </c>
      <c r="C529" s="1" t="n">
        <v>45889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14680-2022</t>
        </is>
      </c>
      <c r="B530" s="1" t="n">
        <v>44655</v>
      </c>
      <c r="C530" s="1" t="n">
        <v>45889</v>
      </c>
      <c r="D530" t="inlineStr">
        <is>
          <t>VÄSTERNORRLANDS LÄN</t>
        </is>
      </c>
      <c r="E530" t="inlineStr">
        <is>
          <t>TIMRÅ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38938-2025</t>
        </is>
      </c>
      <c r="B531" s="1" t="n">
        <v>45884</v>
      </c>
      <c r="C531" s="1" t="n">
        <v>45889</v>
      </c>
      <c r="D531" t="inlineStr">
        <is>
          <t>VÄSTERNORRLANDS LÄN</t>
        </is>
      </c>
      <c r="E531" t="inlineStr">
        <is>
          <t>TIMRÅ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39194-2025</t>
        </is>
      </c>
      <c r="B532" s="1" t="n">
        <v>45888.67773148148</v>
      </c>
      <c r="C532" s="1" t="n">
        <v>45889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6259-2025</t>
        </is>
      </c>
      <c r="B533" s="1" t="n">
        <v>45698.59440972222</v>
      </c>
      <c r="C533" s="1" t="n">
        <v>45889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45723-2023</t>
        </is>
      </c>
      <c r="B534" s="1" t="n">
        <v>45195</v>
      </c>
      <c r="C534" s="1" t="n">
        <v>45889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58895-2023</t>
        </is>
      </c>
      <c r="B535" s="1" t="n">
        <v>45252</v>
      </c>
      <c r="C535" s="1" t="n">
        <v>45889</v>
      </c>
      <c r="D535" t="inlineStr">
        <is>
          <t>VÄSTERNORRLANDS LÄN</t>
        </is>
      </c>
      <c r="E535" t="inlineStr">
        <is>
          <t>TIMRÅ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42094-2024</t>
        </is>
      </c>
      <c r="B536" s="1" t="n">
        <v>45562</v>
      </c>
      <c r="C536" s="1" t="n">
        <v>45889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18415-2025</t>
        </is>
      </c>
      <c r="B537" s="1" t="n">
        <v>45762.61503472222</v>
      </c>
      <c r="C537" s="1" t="n">
        <v>45889</v>
      </c>
      <c r="D537" t="inlineStr">
        <is>
          <t>VÄSTERNORRLANDS LÄN</t>
        </is>
      </c>
      <c r="E537" t="inlineStr">
        <is>
          <t>TIMRÅ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45627-2024</t>
        </is>
      </c>
      <c r="B538" s="1" t="n">
        <v>45579</v>
      </c>
      <c r="C538" s="1" t="n">
        <v>45889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43959-2023</t>
        </is>
      </c>
      <c r="B539" s="1" t="n">
        <v>45187.9603587963</v>
      </c>
      <c r="C539" s="1" t="n">
        <v>45889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2025-08-20T08:24:44Z</dcterms:created>
  <dcterms:modified xmlns:dcterms="http://purl.org/dc/terms/" xmlns:xsi="http://www.w3.org/2001/XMLSchema-instance" xsi:type="dcterms:W3CDTF">2025-08-20T08:24:45Z</dcterms:modified>
</cp:coreProperties>
</file>