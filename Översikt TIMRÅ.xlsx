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45629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45629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45629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45629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45629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45629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45629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45629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45629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45629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45629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45629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45629</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45629</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45629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45629</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45629</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45629</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45629</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45629</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45629</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45629</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45629</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45629</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51546-2024</t>
        </is>
      </c>
      <c r="B26" s="1" t="n">
        <v>45604</v>
      </c>
      <c r="C26" s="1" t="n">
        <v>45629</v>
      </c>
      <c r="D26" t="inlineStr">
        <is>
          <t>VÄSTERNORRLANDS LÄN</t>
        </is>
      </c>
      <c r="E26" t="inlineStr">
        <is>
          <t>TIMRÅ</t>
        </is>
      </c>
      <c r="F26" t="inlineStr">
        <is>
          <t>SCA</t>
        </is>
      </c>
      <c r="G26" t="n">
        <v>7.3</v>
      </c>
      <c r="H26" t="n">
        <v>0</v>
      </c>
      <c r="I26" t="n">
        <v>1</v>
      </c>
      <c r="J26" t="n">
        <v>3</v>
      </c>
      <c r="K26" t="n">
        <v>0</v>
      </c>
      <c r="L26" t="n">
        <v>0</v>
      </c>
      <c r="M26" t="n">
        <v>0</v>
      </c>
      <c r="N26" t="n">
        <v>0</v>
      </c>
      <c r="O26" t="n">
        <v>3</v>
      </c>
      <c r="P26" t="n">
        <v>0</v>
      </c>
      <c r="Q26" t="n">
        <v>4</v>
      </c>
      <c r="R26" s="2" t="inlineStr">
        <is>
          <t>Granticka
Lunglav
Ullticka
Stuplav</t>
        </is>
      </c>
      <c r="S26">
        <f>HYPERLINK("https://klasma.github.io/Logging_2262/artfynd/A 51546-2024 artfynd.xlsx", "A 51546-2024")</f>
        <v/>
      </c>
      <c r="T26">
        <f>HYPERLINK("https://klasma.github.io/Logging_2262/kartor/A 51546-2024 karta.png", "A 51546-2024")</f>
        <v/>
      </c>
      <c r="V26">
        <f>HYPERLINK("https://klasma.github.io/Logging_2262/klagomål/A 51546-2024 FSC-klagomål.docx", "A 51546-2024")</f>
        <v/>
      </c>
      <c r="W26">
        <f>HYPERLINK("https://klasma.github.io/Logging_2262/klagomålsmail/A 51546-2024 FSC-klagomål mail.docx", "A 51546-2024")</f>
        <v/>
      </c>
      <c r="X26">
        <f>HYPERLINK("https://klasma.github.io/Logging_2262/tillsyn/A 51546-2024 tillsynsbegäran.docx", "A 51546-2024")</f>
        <v/>
      </c>
      <c r="Y26">
        <f>HYPERLINK("https://klasma.github.io/Logging_2262/tillsynsmail/A 51546-2024 tillsynsbegäran mail.docx", "A 51546-2024")</f>
        <v/>
      </c>
    </row>
    <row r="27" ht="15" customHeight="1">
      <c r="A27" t="inlineStr">
        <is>
          <t>A 51450-2024</t>
        </is>
      </c>
      <c r="B27" s="1" t="n">
        <v>45604</v>
      </c>
      <c r="C27" s="1" t="n">
        <v>45629</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53296-2024</t>
        </is>
      </c>
      <c r="B28" s="1" t="n">
        <v>45614</v>
      </c>
      <c r="C28" s="1" t="n">
        <v>45629</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45629</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45629</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45629</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45629</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45629</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45629</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45629</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45629</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45629</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45629</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45629</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45629</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45629</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45629</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45629</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45629</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45629</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45629</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45629</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45629</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45629</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45629</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45629</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45629</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45629</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45629</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45629</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45629</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45629</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45629</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45629</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45629</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45629</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45629</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45629</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45629</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45629</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45629</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45629</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45629</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45629</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45629</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45629</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45629</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45629</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45629</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45629</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45629</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45629</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45629</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45629</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45629</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45629</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45629</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45629</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45629</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45629</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45629</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45629</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45629</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45629</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53300-2024</t>
        </is>
      </c>
      <c r="B90" s="1" t="n">
        <v>45614</v>
      </c>
      <c r="C90" s="1" t="n">
        <v>45629</v>
      </c>
      <c r="D90" t="inlineStr">
        <is>
          <t>VÄSTERNORRLANDS LÄN</t>
        </is>
      </c>
      <c r="E90" t="inlineStr">
        <is>
          <t>TIMRÅ</t>
        </is>
      </c>
      <c r="F90" t="inlineStr">
        <is>
          <t>SCA</t>
        </is>
      </c>
      <c r="G90" t="n">
        <v>1</v>
      </c>
      <c r="H90" t="n">
        <v>0</v>
      </c>
      <c r="I90" t="n">
        <v>0</v>
      </c>
      <c r="J90" t="n">
        <v>1</v>
      </c>
      <c r="K90" t="n">
        <v>0</v>
      </c>
      <c r="L90" t="n">
        <v>0</v>
      </c>
      <c r="M90" t="n">
        <v>0</v>
      </c>
      <c r="N90" t="n">
        <v>0</v>
      </c>
      <c r="O90" t="n">
        <v>1</v>
      </c>
      <c r="P90" t="n">
        <v>0</v>
      </c>
      <c r="Q90" t="n">
        <v>1</v>
      </c>
      <c r="R90" s="2" t="inlineStr">
        <is>
          <t>Garnlav</t>
        </is>
      </c>
      <c r="S90">
        <f>HYPERLINK("https://klasma.github.io/Logging_2262/artfynd/A 53300-2024 artfynd.xlsx", "A 53300-2024")</f>
        <v/>
      </c>
      <c r="T90">
        <f>HYPERLINK("https://klasma.github.io/Logging_2262/kartor/A 53300-2024 karta.png", "A 53300-2024")</f>
        <v/>
      </c>
      <c r="V90">
        <f>HYPERLINK("https://klasma.github.io/Logging_2262/klagomål/A 53300-2024 FSC-klagomål.docx", "A 53300-2024")</f>
        <v/>
      </c>
      <c r="W90">
        <f>HYPERLINK("https://klasma.github.io/Logging_2262/klagomålsmail/A 53300-2024 FSC-klagomål mail.docx", "A 53300-2024")</f>
        <v/>
      </c>
      <c r="X90">
        <f>HYPERLINK("https://klasma.github.io/Logging_2262/tillsyn/A 53300-2024 tillsynsbegäran.docx", "A 53300-2024")</f>
        <v/>
      </c>
      <c r="Y90">
        <f>HYPERLINK("https://klasma.github.io/Logging_2262/tillsynsmail/A 53300-2024 tillsynsbegäran mail.docx", "A 53300-2024")</f>
        <v/>
      </c>
    </row>
    <row r="91" ht="15" customHeight="1">
      <c r="A91" t="inlineStr">
        <is>
          <t>A 53295-2024</t>
        </is>
      </c>
      <c r="B91" s="1" t="n">
        <v>45614</v>
      </c>
      <c r="C91" s="1" t="n">
        <v>45629</v>
      </c>
      <c r="D91" t="inlineStr">
        <is>
          <t>VÄSTERNORRLANDS LÄN</t>
        </is>
      </c>
      <c r="E91" t="inlineStr">
        <is>
          <t>TIMRÅ</t>
        </is>
      </c>
      <c r="F91" t="inlineStr">
        <is>
          <t>SCA</t>
        </is>
      </c>
      <c r="G91" t="n">
        <v>1.9</v>
      </c>
      <c r="H91" t="n">
        <v>0</v>
      </c>
      <c r="I91" t="n">
        <v>0</v>
      </c>
      <c r="J91" t="n">
        <v>1</v>
      </c>
      <c r="K91" t="n">
        <v>0</v>
      </c>
      <c r="L91" t="n">
        <v>0</v>
      </c>
      <c r="M91" t="n">
        <v>0</v>
      </c>
      <c r="N91" t="n">
        <v>0</v>
      </c>
      <c r="O91" t="n">
        <v>1</v>
      </c>
      <c r="P91" t="n">
        <v>0</v>
      </c>
      <c r="Q91" t="n">
        <v>1</v>
      </c>
      <c r="R91" s="2" t="inlineStr">
        <is>
          <t>Vedskivlav</t>
        </is>
      </c>
      <c r="S91">
        <f>HYPERLINK("https://klasma.github.io/Logging_2262/artfynd/A 53295-2024 artfynd.xlsx", "A 53295-2024")</f>
        <v/>
      </c>
      <c r="T91">
        <f>HYPERLINK("https://klasma.github.io/Logging_2262/kartor/A 53295-2024 karta.png", "A 53295-2024")</f>
        <v/>
      </c>
      <c r="V91">
        <f>HYPERLINK("https://klasma.github.io/Logging_2262/klagomål/A 53295-2024 FSC-klagomål.docx", "A 53295-2024")</f>
        <v/>
      </c>
      <c r="W91">
        <f>HYPERLINK("https://klasma.github.io/Logging_2262/klagomålsmail/A 53295-2024 FSC-klagomål mail.docx", "A 53295-2024")</f>
        <v/>
      </c>
      <c r="X91">
        <f>HYPERLINK("https://klasma.github.io/Logging_2262/tillsyn/A 53295-2024 tillsynsbegäran.docx", "A 53295-2024")</f>
        <v/>
      </c>
      <c r="Y91">
        <f>HYPERLINK("https://klasma.github.io/Logging_2262/tillsynsmail/A 53295-2024 tillsynsbegäran mail.docx", "A 53295-2024")</f>
        <v/>
      </c>
    </row>
    <row r="92" ht="15" customHeight="1">
      <c r="A92" t="inlineStr">
        <is>
          <t>A 56287-2024</t>
        </is>
      </c>
      <c r="B92" s="1" t="n">
        <v>45624</v>
      </c>
      <c r="C92" s="1" t="n">
        <v>45629</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45629</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45629</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45629</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45629</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45629</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45629</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45629</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45629</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45629</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45629</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45629</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45629</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45629</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45629</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45629</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45629</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45629</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45629</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45629</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45629</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45629</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45629</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45629</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45629</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45629</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45629</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45629</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45629</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45629</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45629</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45629</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45629</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45629</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45629</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45629</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45629</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45629</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45629</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45629</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45629</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45629</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45629</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45629</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45629</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45629</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45629</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45629</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45629</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45629</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45629</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45629</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45629</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45629</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45629</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45629</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45629</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45629</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45629</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45629</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45629</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45629</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45629</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45629</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45629</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45629</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45629</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45629</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45629</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45629</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45629</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45629</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45629</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45629</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45629</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45629</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45629</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45629</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45629</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45629</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45629</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45629</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45629</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45629</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45629</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45629</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45629</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45629</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45629</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45629</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45629</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45629</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45629</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45629</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45629</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45629</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45629</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45629</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45629</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45629</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45629</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45629</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45629</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45629</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45629</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45629</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45629</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45629</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45629</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45629</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45629</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45629</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45629</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45629</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45629</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45629</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45629</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45629</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45629</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45629</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45629</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45629</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45629</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45629</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45629</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45629</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45629</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45629</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45629</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45629</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45629</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45629</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45629</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45629</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45629</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45629</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45629</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45629</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45629</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45629</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45629</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45629</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45629</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45629</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45629</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45629</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45629</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45629</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45629</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45629</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45629</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45629</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45629</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45629</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45629</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45629</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45629</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45629</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45629</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45629</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45629</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45629</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45629</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45629</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45629</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45629</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45629</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45629</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45629</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45629</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45629</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45629</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45629</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45629</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45629</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45629</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45629</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45629</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45629</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45629</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45629</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45629</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45629</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45629</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45629</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45629</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45629</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45629</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45629</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45629</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45629</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45629</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45629</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45629</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45629</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45629</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45629</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45629</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45629</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45629</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45629</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45629</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45629</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45629</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45629</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45629</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45629</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45629</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45629</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45629</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45629</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45629</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45629</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45629</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45629</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45629</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45629</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45629</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45629</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45629</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45629</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45629</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45629</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45629</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45629</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45629</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45629</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45629</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45629</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45629</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45629</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45629</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45629</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45629</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45629</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45629</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45629</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45629</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45629</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45629</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45629</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45629</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45629</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45629</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45629</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45629</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45629</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45629</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45629</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45629</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45629</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45629</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45629</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45629</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45629</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45629</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45629</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45629</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45629</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45629</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45629</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45629</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45629</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45629</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45629</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45629</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45629</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45629</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45629</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45629</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45629</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45629</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45629</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45629</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45629</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45629</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45629</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45629</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45629</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45629</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45629</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45629</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45629</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45629</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45629</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45629</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45629</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45629</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45629</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45629</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45629</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45629</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45629</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45629</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45629</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45629</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45629</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45629</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45629</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45629</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45629</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45629</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45629</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45629</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45629</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45629</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45629</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45629</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45629</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45629</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45629</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45629</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45629</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45629</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45629</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45629</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45629</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45629</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45629</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45629</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45629</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45629</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45629</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45629</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45629</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45629</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45629</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45629</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45629</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45629</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45629</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45629</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45629</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45629</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45629</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45629</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45629</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45629</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45629</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45629</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45629</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45629</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45629</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45629</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45629</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45629</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45629</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45629</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45629</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45629</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45629</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45629</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45629</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45629</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45629</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45629</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45629</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45629</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45629</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45629</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45629</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45629</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45629</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45629</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45629</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45629</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45629</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45629</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45629</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45629</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45629</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45629</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45629</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45629</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45629</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45629</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45629</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45629</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45629</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45629</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45629</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45629</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45629</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45629</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45629</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45629</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45629</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45629</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45629</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45629</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45629</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45629</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45629</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45629</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45629</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45629</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45629</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45629</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45629</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45629</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45629</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45629</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45629</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45629</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45629</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45629</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45629</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45629</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45629</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45629</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45629</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45629</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45629</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45629</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45629</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45629</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45629</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45629</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45629</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45629</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45629</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45629</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45629</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45629</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45629</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45629</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45629</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45629</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45629</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45629</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45629</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45629</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45629</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45629</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45629</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45629</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45629</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45629</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45629</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45629</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45629</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45629</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45629</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45629</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45629</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45629</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45629</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45629</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45629</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45629</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45629</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45629</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45629</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45629</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45629</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45629</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45629</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45629</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45629</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45629</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45629</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45629</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45629</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45629</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45629</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45629</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45629</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45629</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45629</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45629</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45629</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45629</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45629</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45629</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45629</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45629</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45629</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45629</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45629</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45629</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45629</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45629</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45629</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45629</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45629</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45629</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45629</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45629</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45629</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45629</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45629</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45629</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45629</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45629</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45629</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45629</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45629</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45629</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45629</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45629</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45629</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45629</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45629</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45629</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45629</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45629</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45629</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45629</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45629</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45629</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45629</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45629</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45629</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45629</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45629</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45629</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45629</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45629</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45629</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45629</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45629</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45629</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45629</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45629</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45629</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45629</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45629</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45629</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45629</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45629</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45629</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45629</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45629</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45629</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45629</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45629</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45629</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45629</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45629</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45629</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45629</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45629</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45629</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45629</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45629</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45629</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45629</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45629</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45629</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45629</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45629</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45629</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45629</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45629</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45629</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45629</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45629</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45629</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45629</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45629</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45629</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45629</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45629</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45629</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45629</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45629</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45629</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45629</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45629</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45629</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45629</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45629</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45629</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45629</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45629</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45629</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45629</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45629</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45629</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45629</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45629</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45629</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45629</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45629</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45629</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45629</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45629</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45629</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45629</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45629</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45629</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45629</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45629</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45629</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45629</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45629</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45629</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45629</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45629</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45629</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45629</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45629</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45629</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45629</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45629</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45629</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45629</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45629</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45629</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45629</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45629</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45629</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45629</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45629</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45629</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45629</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45629</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45629</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45629</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45629</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45629</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45629</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45629</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45629</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45629</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45629</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45629</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45629</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45629</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45629</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45629</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45629</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45629</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45629</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45629</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45629</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45629</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45629</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45629</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45629</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45629</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45629</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45629</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45629</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45629</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45629</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45629</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45629</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45629</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45629</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45629</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45629</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45629</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45629</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45629</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45629</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45629</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45629</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45629</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45629</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45629</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45629</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45629</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45629</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45629</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45629</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45629</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45629</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45629</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45629</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45629</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45629</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45629</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45629</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45629</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45629</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45629</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53288-2024</t>
        </is>
      </c>
      <c r="B769" s="1" t="n">
        <v>45614</v>
      </c>
      <c r="C769" s="1" t="n">
        <v>45629</v>
      </c>
      <c r="D769" t="inlineStr">
        <is>
          <t>VÄSTERNORRLANDS LÄN</t>
        </is>
      </c>
      <c r="E769" t="inlineStr">
        <is>
          <t>TIMRÅ</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53293-2024</t>
        </is>
      </c>
      <c r="B770" s="1" t="n">
        <v>45614</v>
      </c>
      <c r="C770" s="1" t="n">
        <v>45629</v>
      </c>
      <c r="D770" t="inlineStr">
        <is>
          <t>VÄSTERNORRLANDS LÄN</t>
        </is>
      </c>
      <c r="E770" t="inlineStr">
        <is>
          <t>TIMRÅ</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53289-2024</t>
        </is>
      </c>
      <c r="B771" s="1" t="n">
        <v>45614</v>
      </c>
      <c r="C771" s="1" t="n">
        <v>45629</v>
      </c>
      <c r="D771" t="inlineStr">
        <is>
          <t>VÄSTERNORRLANDS LÄN</t>
        </is>
      </c>
      <c r="E771" t="inlineStr">
        <is>
          <t>TIMRÅ</t>
        </is>
      </c>
      <c r="F771" t="inlineStr">
        <is>
          <t>SCA</t>
        </is>
      </c>
      <c r="G771" t="n">
        <v>7.8</v>
      </c>
      <c r="H771" t="n">
        <v>0</v>
      </c>
      <c r="I771" t="n">
        <v>0</v>
      </c>
      <c r="J771" t="n">
        <v>0</v>
      </c>
      <c r="K771" t="n">
        <v>0</v>
      </c>
      <c r="L771" t="n">
        <v>0</v>
      </c>
      <c r="M771" t="n">
        <v>0</v>
      </c>
      <c r="N771" t="n">
        <v>0</v>
      </c>
      <c r="O771" t="n">
        <v>0</v>
      </c>
      <c r="P771" t="n">
        <v>0</v>
      </c>
      <c r="Q771" t="n">
        <v>0</v>
      </c>
      <c r="R771" s="2" t="inlineStr"/>
    </row>
    <row r="772" ht="15" customHeight="1">
      <c r="A772" t="inlineStr">
        <is>
          <t>A 53294-2024</t>
        </is>
      </c>
      <c r="B772" s="1" t="n">
        <v>45614</v>
      </c>
      <c r="C772" s="1" t="n">
        <v>45629</v>
      </c>
      <c r="D772" t="inlineStr">
        <is>
          <t>VÄSTERNORRLANDS LÄN</t>
        </is>
      </c>
      <c r="E772" t="inlineStr">
        <is>
          <t>TIMRÅ</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53298-2024</t>
        </is>
      </c>
      <c r="B773" s="1" t="n">
        <v>45614</v>
      </c>
      <c r="C773" s="1" t="n">
        <v>45629</v>
      </c>
      <c r="D773" t="inlineStr">
        <is>
          <t>VÄSTERNORRLANDS LÄN</t>
        </is>
      </c>
      <c r="E773" t="inlineStr">
        <is>
          <t>TIMRÅ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45629</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45629</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53301-2024</t>
        </is>
      </c>
      <c r="B776" s="1" t="n">
        <v>45614</v>
      </c>
      <c r="C776" s="1" t="n">
        <v>45629</v>
      </c>
      <c r="D776" t="inlineStr">
        <is>
          <t>VÄSTERNORRLANDS LÄN</t>
        </is>
      </c>
      <c r="E776" t="inlineStr">
        <is>
          <t>TIMRÅ</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45629</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53303-2024</t>
        </is>
      </c>
      <c r="B778" s="1" t="n">
        <v>45614</v>
      </c>
      <c r="C778" s="1" t="n">
        <v>45629</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45629</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45629</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45629</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45629</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45629</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45629</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55618-2024</t>
        </is>
      </c>
      <c r="B785" s="1" t="n">
        <v>45622</v>
      </c>
      <c r="C785" s="1" t="n">
        <v>45629</v>
      </c>
      <c r="D785" t="inlineStr">
        <is>
          <t>VÄSTERNORRLANDS LÄN</t>
        </is>
      </c>
      <c r="E785" t="inlineStr">
        <is>
          <t>TIMRÅ</t>
        </is>
      </c>
      <c r="G785" t="n">
        <v>4.3</v>
      </c>
      <c r="H785" t="n">
        <v>0</v>
      </c>
      <c r="I785" t="n">
        <v>0</v>
      </c>
      <c r="J785" t="n">
        <v>0</v>
      </c>
      <c r="K785" t="n">
        <v>0</v>
      </c>
      <c r="L785" t="n">
        <v>0</v>
      </c>
      <c r="M785" t="n">
        <v>0</v>
      </c>
      <c r="N785" t="n">
        <v>0</v>
      </c>
      <c r="O785" t="n">
        <v>0</v>
      </c>
      <c r="P785" t="n">
        <v>0</v>
      </c>
      <c r="Q785" t="n">
        <v>0</v>
      </c>
      <c r="R785" s="2" t="inlineStr"/>
    </row>
    <row r="786" ht="15" customHeight="1">
      <c r="A786" t="inlineStr">
        <is>
          <t>A 55588-2024</t>
        </is>
      </c>
      <c r="B786" s="1" t="n">
        <v>45622</v>
      </c>
      <c r="C786" s="1" t="n">
        <v>45629</v>
      </c>
      <c r="D786" t="inlineStr">
        <is>
          <t>VÄSTERNORRLANDS LÄN</t>
        </is>
      </c>
      <c r="E786" t="inlineStr">
        <is>
          <t>TIMRÅ</t>
        </is>
      </c>
      <c r="G786" t="n">
        <v>2.9</v>
      </c>
      <c r="H786" t="n">
        <v>0</v>
      </c>
      <c r="I786" t="n">
        <v>0</v>
      </c>
      <c r="J786" t="n">
        <v>0</v>
      </c>
      <c r="K786" t="n">
        <v>0</v>
      </c>
      <c r="L786" t="n">
        <v>0</v>
      </c>
      <c r="M786" t="n">
        <v>0</v>
      </c>
      <c r="N786" t="n">
        <v>0</v>
      </c>
      <c r="O786" t="n">
        <v>0</v>
      </c>
      <c r="P786" t="n">
        <v>0</v>
      </c>
      <c r="Q786" t="n">
        <v>0</v>
      </c>
      <c r="R786" s="2" t="inlineStr"/>
    </row>
    <row r="787" ht="15" customHeight="1">
      <c r="A787" t="inlineStr">
        <is>
          <t>A 55729-2024</t>
        </is>
      </c>
      <c r="B787" s="1" t="n">
        <v>45622</v>
      </c>
      <c r="C787" s="1" t="n">
        <v>45629</v>
      </c>
      <c r="D787" t="inlineStr">
        <is>
          <t>VÄSTERNORRLANDS LÄN</t>
        </is>
      </c>
      <c r="E787" t="inlineStr">
        <is>
          <t>TIMRÅ</t>
        </is>
      </c>
      <c r="G787" t="n">
        <v>3.1</v>
      </c>
      <c r="H787" t="n">
        <v>0</v>
      </c>
      <c r="I787" t="n">
        <v>0</v>
      </c>
      <c r="J787" t="n">
        <v>0</v>
      </c>
      <c r="K787" t="n">
        <v>0</v>
      </c>
      <c r="L787" t="n">
        <v>0</v>
      </c>
      <c r="M787" t="n">
        <v>0</v>
      </c>
      <c r="N787" t="n">
        <v>0</v>
      </c>
      <c r="O787" t="n">
        <v>0</v>
      </c>
      <c r="P787" t="n">
        <v>0</v>
      </c>
      <c r="Q787" t="n">
        <v>0</v>
      </c>
      <c r="R787" s="2" t="inlineStr"/>
    </row>
    <row r="788" ht="15" customHeight="1">
      <c r="A788" t="inlineStr">
        <is>
          <t>A 55576-2024</t>
        </is>
      </c>
      <c r="B788" s="1" t="n">
        <v>45622</v>
      </c>
      <c r="C788" s="1" t="n">
        <v>45629</v>
      </c>
      <c r="D788" t="inlineStr">
        <is>
          <t>VÄSTERNORRLANDS LÄN</t>
        </is>
      </c>
      <c r="E788" t="inlineStr">
        <is>
          <t>TIMRÅ</t>
        </is>
      </c>
      <c r="G788" t="n">
        <v>5.1</v>
      </c>
      <c r="H788" t="n">
        <v>0</v>
      </c>
      <c r="I788" t="n">
        <v>0</v>
      </c>
      <c r="J788" t="n">
        <v>0</v>
      </c>
      <c r="K788" t="n">
        <v>0</v>
      </c>
      <c r="L788" t="n">
        <v>0</v>
      </c>
      <c r="M788" t="n">
        <v>0</v>
      </c>
      <c r="N788" t="n">
        <v>0</v>
      </c>
      <c r="O788" t="n">
        <v>0</v>
      </c>
      <c r="P788" t="n">
        <v>0</v>
      </c>
      <c r="Q788" t="n">
        <v>0</v>
      </c>
      <c r="R788" s="2" t="inlineStr"/>
    </row>
    <row r="789" ht="15" customHeight="1">
      <c r="A789" t="inlineStr">
        <is>
          <t>A 55602-2024</t>
        </is>
      </c>
      <c r="B789" s="1" t="n">
        <v>45622</v>
      </c>
      <c r="C789" s="1" t="n">
        <v>45629</v>
      </c>
      <c r="D789" t="inlineStr">
        <is>
          <t>VÄSTERNORRLANDS LÄN</t>
        </is>
      </c>
      <c r="E789" t="inlineStr">
        <is>
          <t>TIMRÅ</t>
        </is>
      </c>
      <c r="G789" t="n">
        <v>3.9</v>
      </c>
      <c r="H789" t="n">
        <v>0</v>
      </c>
      <c r="I789" t="n">
        <v>0</v>
      </c>
      <c r="J789" t="n">
        <v>0</v>
      </c>
      <c r="K789" t="n">
        <v>0</v>
      </c>
      <c r="L789" t="n">
        <v>0</v>
      </c>
      <c r="M789" t="n">
        <v>0</v>
      </c>
      <c r="N789" t="n">
        <v>0</v>
      </c>
      <c r="O789" t="n">
        <v>0</v>
      </c>
      <c r="P789" t="n">
        <v>0</v>
      </c>
      <c r="Q789" t="n">
        <v>0</v>
      </c>
      <c r="R789" s="2" t="inlineStr"/>
    </row>
    <row r="790" ht="15" customHeight="1">
      <c r="A790" t="inlineStr">
        <is>
          <t>A 55874-2024</t>
        </is>
      </c>
      <c r="B790" s="1" t="n">
        <v>45623</v>
      </c>
      <c r="C790" s="1" t="n">
        <v>45629</v>
      </c>
      <c r="D790" t="inlineStr">
        <is>
          <t>VÄSTERNORRLANDS LÄN</t>
        </is>
      </c>
      <c r="E790" t="inlineStr">
        <is>
          <t>TIMRÅ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45629</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45629</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56155-2024</t>
        </is>
      </c>
      <c r="B793" s="1" t="n">
        <v>45624</v>
      </c>
      <c r="C793" s="1" t="n">
        <v>45629</v>
      </c>
      <c r="D793" t="inlineStr">
        <is>
          <t>VÄSTERNORRLANDS LÄN</t>
        </is>
      </c>
      <c r="E793" t="inlineStr">
        <is>
          <t>TIMRÅ</t>
        </is>
      </c>
      <c r="G793" t="n">
        <v>5.9</v>
      </c>
      <c r="H793" t="n">
        <v>0</v>
      </c>
      <c r="I793" t="n">
        <v>0</v>
      </c>
      <c r="J793" t="n">
        <v>0</v>
      </c>
      <c r="K793" t="n">
        <v>0</v>
      </c>
      <c r="L793" t="n">
        <v>0</v>
      </c>
      <c r="M793" t="n">
        <v>0</v>
      </c>
      <c r="N793" t="n">
        <v>0</v>
      </c>
      <c r="O793" t="n">
        <v>0</v>
      </c>
      <c r="P793" t="n">
        <v>0</v>
      </c>
      <c r="Q793" t="n">
        <v>0</v>
      </c>
      <c r="R793" s="2" t="inlineStr"/>
    </row>
    <row r="794" ht="15" customHeight="1">
      <c r="A794" t="inlineStr">
        <is>
          <t>A 56285-2024</t>
        </is>
      </c>
      <c r="B794" s="1" t="n">
        <v>45624</v>
      </c>
      <c r="C794" s="1" t="n">
        <v>45629</v>
      </c>
      <c r="D794" t="inlineStr">
        <is>
          <t>VÄSTERNORRLANDS LÄN</t>
        </is>
      </c>
      <c r="E794" t="inlineStr">
        <is>
          <t>TIMRÅ</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56286-2024</t>
        </is>
      </c>
      <c r="B795" s="1" t="n">
        <v>45624</v>
      </c>
      <c r="C795" s="1" t="n">
        <v>45629</v>
      </c>
      <c r="D795" t="inlineStr">
        <is>
          <t>VÄSTERNORRLANDS LÄN</t>
        </is>
      </c>
      <c r="E795" t="inlineStr">
        <is>
          <t>TIMRÅ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56284-2024</t>
        </is>
      </c>
      <c r="B796" s="1" t="n">
        <v>45624</v>
      </c>
      <c r="C796" s="1" t="n">
        <v>45629</v>
      </c>
      <c r="D796" t="inlineStr">
        <is>
          <t>VÄSTERNORRLANDS LÄN</t>
        </is>
      </c>
      <c r="E796" t="inlineStr">
        <is>
          <t>TIMRÅ</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56288-2024</t>
        </is>
      </c>
      <c r="B797" s="1" t="n">
        <v>45624</v>
      </c>
      <c r="C797" s="1" t="n">
        <v>45629</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45629</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c r="A799" t="inlineStr">
        <is>
          <t>A 56442-2024</t>
        </is>
      </c>
      <c r="B799" s="1" t="n">
        <v>45625</v>
      </c>
      <c r="C799" s="1" t="n">
        <v>45629</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2024-12-03T15:16:37Z</dcterms:created>
  <dcterms:modified xmlns:dcterms="http://purl.org/dc/terms/" xmlns:xsi="http://www.w3.org/2001/XMLSchema-instance" xsi:type="dcterms:W3CDTF">2024-12-03T15:16:37Z</dcterms:modified>
</cp:coreProperties>
</file>