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45512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45512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45512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45512</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45512</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45512</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45512</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45512</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45512</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45512</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45512</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45512</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45512</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45512</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45512</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45512</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45512</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45512</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45512</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45512</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45512</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45512</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45512</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45512</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45512</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45512</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45512</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45512</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45512</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45512</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45512</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45512</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45512</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45512</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45512</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45512</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45512</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45512</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45512</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45512</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45512</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19449-2024</t>
        </is>
      </c>
      <c r="B43" s="1" t="n">
        <v>45429</v>
      </c>
      <c r="C43" s="1" t="n">
        <v>45512</v>
      </c>
      <c r="D43" t="inlineStr">
        <is>
          <t>VÄSTERNORRLANDS LÄN</t>
        </is>
      </c>
      <c r="E43" t="inlineStr">
        <is>
          <t>TIMRÅ</t>
        </is>
      </c>
      <c r="G43" t="n">
        <v>2.5</v>
      </c>
      <c r="H43" t="n">
        <v>2</v>
      </c>
      <c r="I43" t="n">
        <v>0</v>
      </c>
      <c r="J43" t="n">
        <v>1</v>
      </c>
      <c r="K43" t="n">
        <v>0</v>
      </c>
      <c r="L43" t="n">
        <v>0</v>
      </c>
      <c r="M43" t="n">
        <v>0</v>
      </c>
      <c r="N43" t="n">
        <v>0</v>
      </c>
      <c r="O43" t="n">
        <v>1</v>
      </c>
      <c r="P43" t="n">
        <v>0</v>
      </c>
      <c r="Q43" t="n">
        <v>2</v>
      </c>
      <c r="R43" s="2" t="inlineStr">
        <is>
          <t>Hornuggla
Gråspett</t>
        </is>
      </c>
      <c r="S43">
        <f>HYPERLINK("https://klasma.github.io/Logging_2262/artfynd/A 19449-2024 artfynd.xlsx", "A 19449-2024")</f>
        <v/>
      </c>
      <c r="T43">
        <f>HYPERLINK("https://klasma.github.io/Logging_2262/kartor/A 19449-2024 karta.png", "A 19449-2024")</f>
        <v/>
      </c>
      <c r="V43">
        <f>HYPERLINK("https://klasma.github.io/Logging_2262/klagomål/A 19449-2024 FSC-klagomål.docx", "A 19449-2024")</f>
        <v/>
      </c>
      <c r="W43">
        <f>HYPERLINK("https://klasma.github.io/Logging_2262/klagomålsmail/A 19449-2024 FSC-klagomål mail.docx", "A 19449-2024")</f>
        <v/>
      </c>
      <c r="X43">
        <f>HYPERLINK("https://klasma.github.io/Logging_2262/tillsyn/A 19449-2024 tillsynsbegäran.docx", "A 19449-2024")</f>
        <v/>
      </c>
      <c r="Y43">
        <f>HYPERLINK("https://klasma.github.io/Logging_2262/tillsynsmail/A 19449-2024 tillsynsbegäran mail.docx", "A 19449-2024")</f>
        <v/>
      </c>
      <c r="Z43">
        <f>HYPERLINK("https://klasma.github.io/Logging_2262/fåglar/A 19449-2024 prioriterade fågelarter.docx", "A 19449-2024")</f>
        <v/>
      </c>
    </row>
    <row r="44" ht="15" customHeight="1">
      <c r="A44" t="inlineStr">
        <is>
          <t>A 66710-2019</t>
        </is>
      </c>
      <c r="B44" s="1" t="n">
        <v>43809</v>
      </c>
      <c r="C44" s="1" t="n">
        <v>45512</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45512</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45512</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45512</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45512</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45512</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45512</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45512</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57242-2022</t>
        </is>
      </c>
      <c r="B52" s="1" t="n">
        <v>44889</v>
      </c>
      <c r="C52" s="1" t="n">
        <v>45512</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45512</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45512</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45512</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45512</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45512</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45512</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45512</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45512</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45512</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45512</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1152-2024</t>
        </is>
      </c>
      <c r="B63" s="1" t="n">
        <v>45302</v>
      </c>
      <c r="C63" s="1" t="n">
        <v>45512</v>
      </c>
      <c r="D63" t="inlineStr">
        <is>
          <t>VÄSTERNORRLANDS LÄN</t>
        </is>
      </c>
      <c r="E63" t="inlineStr">
        <is>
          <t>TIMRÅ</t>
        </is>
      </c>
      <c r="G63" t="n">
        <v>5.8</v>
      </c>
      <c r="H63" t="n">
        <v>0</v>
      </c>
      <c r="I63" t="n">
        <v>1</v>
      </c>
      <c r="J63" t="n">
        <v>0</v>
      </c>
      <c r="K63" t="n">
        <v>0</v>
      </c>
      <c r="L63" t="n">
        <v>0</v>
      </c>
      <c r="M63" t="n">
        <v>0</v>
      </c>
      <c r="N63" t="n">
        <v>0</v>
      </c>
      <c r="O63" t="n">
        <v>0</v>
      </c>
      <c r="P63" t="n">
        <v>0</v>
      </c>
      <c r="Q63" t="n">
        <v>1</v>
      </c>
      <c r="R63" s="2" t="inlineStr">
        <is>
          <t>Tibast</t>
        </is>
      </c>
      <c r="S63">
        <f>HYPERLINK("https://klasma.github.io/Logging_2262/artfynd/A 1152-2024 artfynd.xlsx", "A 1152-2024")</f>
        <v/>
      </c>
      <c r="T63">
        <f>HYPERLINK("https://klasma.github.io/Logging_2262/kartor/A 1152-2024 karta.png", "A 1152-2024")</f>
        <v/>
      </c>
      <c r="V63">
        <f>HYPERLINK("https://klasma.github.io/Logging_2262/klagomål/A 1152-2024 FSC-klagomål.docx", "A 1152-2024")</f>
        <v/>
      </c>
      <c r="W63">
        <f>HYPERLINK("https://klasma.github.io/Logging_2262/klagomålsmail/A 1152-2024 FSC-klagomål mail.docx", "A 1152-2024")</f>
        <v/>
      </c>
      <c r="X63">
        <f>HYPERLINK("https://klasma.github.io/Logging_2262/tillsyn/A 1152-2024 tillsynsbegäran.docx", "A 1152-2024")</f>
        <v/>
      </c>
      <c r="Y63">
        <f>HYPERLINK("https://klasma.github.io/Logging_2262/tillsynsmail/A 1152-2024 tillsynsbegäran mail.docx", "A 1152-2024")</f>
        <v/>
      </c>
    </row>
    <row r="64" ht="15" customHeight="1">
      <c r="A64" t="inlineStr">
        <is>
          <t>A 7904-2024</t>
        </is>
      </c>
      <c r="B64" s="1" t="n">
        <v>45349</v>
      </c>
      <c r="C64" s="1" t="n">
        <v>45512</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8998-2024</t>
        </is>
      </c>
      <c r="B65" s="1" t="n">
        <v>45356</v>
      </c>
      <c r="C65" s="1" t="n">
        <v>45512</v>
      </c>
      <c r="D65" t="inlineStr">
        <is>
          <t>VÄSTERNORRLANDS LÄN</t>
        </is>
      </c>
      <c r="E65" t="inlineStr">
        <is>
          <t>TIMRÅ</t>
        </is>
      </c>
      <c r="G65" t="n">
        <v>2.1</v>
      </c>
      <c r="H65" t="n">
        <v>0</v>
      </c>
      <c r="I65" t="n">
        <v>1</v>
      </c>
      <c r="J65" t="n">
        <v>0</v>
      </c>
      <c r="K65" t="n">
        <v>0</v>
      </c>
      <c r="L65" t="n">
        <v>0</v>
      </c>
      <c r="M65" t="n">
        <v>0</v>
      </c>
      <c r="N65" t="n">
        <v>0</v>
      </c>
      <c r="O65" t="n">
        <v>0</v>
      </c>
      <c r="P65" t="n">
        <v>0</v>
      </c>
      <c r="Q65" t="n">
        <v>1</v>
      </c>
      <c r="R65" s="2" t="inlineStr">
        <is>
          <t>Strutbräken</t>
        </is>
      </c>
      <c r="S65">
        <f>HYPERLINK("https://klasma.github.io/Logging_2262/artfynd/A 8998-2024 artfynd.xlsx", "A 8998-2024")</f>
        <v/>
      </c>
      <c r="T65">
        <f>HYPERLINK("https://klasma.github.io/Logging_2262/kartor/A 8998-2024 karta.png", "A 8998-2024")</f>
        <v/>
      </c>
      <c r="V65">
        <f>HYPERLINK("https://klasma.github.io/Logging_2262/klagomål/A 8998-2024 FSC-klagomål.docx", "A 8998-2024")</f>
        <v/>
      </c>
      <c r="W65">
        <f>HYPERLINK("https://klasma.github.io/Logging_2262/klagomålsmail/A 8998-2024 FSC-klagomål mail.docx", "A 8998-2024")</f>
        <v/>
      </c>
      <c r="X65">
        <f>HYPERLINK("https://klasma.github.io/Logging_2262/tillsyn/A 8998-2024 tillsynsbegäran.docx", "A 8998-2024")</f>
        <v/>
      </c>
      <c r="Y65">
        <f>HYPERLINK("https://klasma.github.io/Logging_2262/tillsynsmail/A 8998-2024 tillsynsbegäran mail.docx", "A 8998-2024")</f>
        <v/>
      </c>
    </row>
    <row r="66" ht="15" customHeight="1">
      <c r="A66" t="inlineStr">
        <is>
          <t>A 14168-2024</t>
        </is>
      </c>
      <c r="B66" s="1" t="n">
        <v>45392</v>
      </c>
      <c r="C66" s="1" t="n">
        <v>45512</v>
      </c>
      <c r="D66" t="inlineStr">
        <is>
          <t>VÄSTERNORRLANDS LÄN</t>
        </is>
      </c>
      <c r="E66" t="inlineStr">
        <is>
          <t>TIMRÅ</t>
        </is>
      </c>
      <c r="F66" t="inlineStr">
        <is>
          <t>SCA</t>
        </is>
      </c>
      <c r="G66" t="n">
        <v>6.3</v>
      </c>
      <c r="H66" t="n">
        <v>0</v>
      </c>
      <c r="I66" t="n">
        <v>1</v>
      </c>
      <c r="J66" t="n">
        <v>0</v>
      </c>
      <c r="K66" t="n">
        <v>0</v>
      </c>
      <c r="L66" t="n">
        <v>0</v>
      </c>
      <c r="M66" t="n">
        <v>0</v>
      </c>
      <c r="N66" t="n">
        <v>0</v>
      </c>
      <c r="O66" t="n">
        <v>0</v>
      </c>
      <c r="P66" t="n">
        <v>0</v>
      </c>
      <c r="Q66" t="n">
        <v>1</v>
      </c>
      <c r="R66" s="2" t="inlineStr">
        <is>
          <t>Vedticka</t>
        </is>
      </c>
      <c r="S66">
        <f>HYPERLINK("https://klasma.github.io/Logging_2262/artfynd/A 14168-2024 artfynd.xlsx", "A 14168-2024")</f>
        <v/>
      </c>
      <c r="T66">
        <f>HYPERLINK("https://klasma.github.io/Logging_2262/kartor/A 14168-2024 karta.png", "A 14168-2024")</f>
        <v/>
      </c>
      <c r="V66">
        <f>HYPERLINK("https://klasma.github.io/Logging_2262/klagomål/A 14168-2024 FSC-klagomål.docx", "A 14168-2024")</f>
        <v/>
      </c>
      <c r="W66">
        <f>HYPERLINK("https://klasma.github.io/Logging_2262/klagomålsmail/A 14168-2024 FSC-klagomål mail.docx", "A 14168-2024")</f>
        <v/>
      </c>
      <c r="X66">
        <f>HYPERLINK("https://klasma.github.io/Logging_2262/tillsyn/A 14168-2024 tillsynsbegäran.docx", "A 14168-2024")</f>
        <v/>
      </c>
      <c r="Y66">
        <f>HYPERLINK("https://klasma.github.io/Logging_2262/tillsynsmail/A 14168-2024 tillsynsbegäran mail.docx", "A 14168-2024")</f>
        <v/>
      </c>
    </row>
    <row r="67" ht="15" customHeight="1">
      <c r="A67" t="inlineStr">
        <is>
          <t>A 15477-2024</t>
        </is>
      </c>
      <c r="B67" s="1" t="n">
        <v>45401</v>
      </c>
      <c r="C67" s="1" t="n">
        <v>45512</v>
      </c>
      <c r="D67" t="inlineStr">
        <is>
          <t>VÄSTERNORRLANDS LÄN</t>
        </is>
      </c>
      <c r="E67" t="inlineStr">
        <is>
          <t>TIMRÅ</t>
        </is>
      </c>
      <c r="G67" t="n">
        <v>2.1</v>
      </c>
      <c r="H67" t="n">
        <v>0</v>
      </c>
      <c r="I67" t="n">
        <v>0</v>
      </c>
      <c r="J67" t="n">
        <v>1</v>
      </c>
      <c r="K67" t="n">
        <v>0</v>
      </c>
      <c r="L67" t="n">
        <v>0</v>
      </c>
      <c r="M67" t="n">
        <v>0</v>
      </c>
      <c r="N67" t="n">
        <v>0</v>
      </c>
      <c r="O67" t="n">
        <v>1</v>
      </c>
      <c r="P67" t="n">
        <v>0</v>
      </c>
      <c r="Q67" t="n">
        <v>1</v>
      </c>
      <c r="R67" s="2" t="inlineStr">
        <is>
          <t>Tallticka</t>
        </is>
      </c>
      <c r="S67">
        <f>HYPERLINK("https://klasma.github.io/Logging_2262/artfynd/A 15477-2024 artfynd.xlsx", "A 15477-2024")</f>
        <v/>
      </c>
      <c r="T67">
        <f>HYPERLINK("https://klasma.github.io/Logging_2262/kartor/A 15477-2024 karta.png", "A 15477-2024")</f>
        <v/>
      </c>
      <c r="V67">
        <f>HYPERLINK("https://klasma.github.io/Logging_2262/klagomål/A 15477-2024 FSC-klagomål.docx", "A 15477-2024")</f>
        <v/>
      </c>
      <c r="W67">
        <f>HYPERLINK("https://klasma.github.io/Logging_2262/klagomålsmail/A 15477-2024 FSC-klagomål mail.docx", "A 15477-2024")</f>
        <v/>
      </c>
      <c r="X67">
        <f>HYPERLINK("https://klasma.github.io/Logging_2262/tillsyn/A 15477-2024 tillsynsbegäran.docx", "A 15477-2024")</f>
        <v/>
      </c>
      <c r="Y67">
        <f>HYPERLINK("https://klasma.github.io/Logging_2262/tillsynsmail/A 15477-2024 tillsynsbegäran mail.docx", "A 15477-2024")</f>
        <v/>
      </c>
    </row>
    <row r="68" ht="15" customHeight="1">
      <c r="A68" t="inlineStr">
        <is>
          <t>A 16244-2024</t>
        </is>
      </c>
      <c r="B68" s="1" t="n">
        <v>45407</v>
      </c>
      <c r="C68" s="1" t="n">
        <v>45512</v>
      </c>
      <c r="D68" t="inlineStr">
        <is>
          <t>VÄSTERNORRLANDS LÄN</t>
        </is>
      </c>
      <c r="E68" t="inlineStr">
        <is>
          <t>TIMRÅ</t>
        </is>
      </c>
      <c r="F68" t="inlineStr">
        <is>
          <t>SCA</t>
        </is>
      </c>
      <c r="G68" t="n">
        <v>22.8</v>
      </c>
      <c r="H68" t="n">
        <v>1</v>
      </c>
      <c r="I68" t="n">
        <v>0</v>
      </c>
      <c r="J68" t="n">
        <v>0</v>
      </c>
      <c r="K68" t="n">
        <v>0</v>
      </c>
      <c r="L68" t="n">
        <v>0</v>
      </c>
      <c r="M68" t="n">
        <v>0</v>
      </c>
      <c r="N68" t="n">
        <v>0</v>
      </c>
      <c r="O68" t="n">
        <v>0</v>
      </c>
      <c r="P68" t="n">
        <v>0</v>
      </c>
      <c r="Q68" t="n">
        <v>1</v>
      </c>
      <c r="R68" s="2" t="inlineStr">
        <is>
          <t>Orre</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20350-2024</t>
        </is>
      </c>
      <c r="B69" s="1" t="n">
        <v>45435</v>
      </c>
      <c r="C69" s="1" t="n">
        <v>45512</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45512</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45512</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45512</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45512</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45512</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45512</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45512</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45512</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45512</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45512</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45512</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45512</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45512</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45512</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45512</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45512</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45512</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45512</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45512</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45512</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45512</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45512</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45512</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45512</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45512</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45512</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45512</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45512</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45512</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45512</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45512</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45512</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45512</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45512</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45512</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45512</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45512</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45512</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45512</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45512</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45512</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45512</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45512</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45512</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45512</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45512</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45512</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45512</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45512</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45512</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45512</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45512</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45512</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45512</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45512</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45512</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45512</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45512</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45512</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45512</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45512</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45512</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45512</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45512</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45512</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45512</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45512</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45512</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45512</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45512</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45512</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45512</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45512</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45512</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45512</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45512</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45512</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45512</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45512</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45512</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45512</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45512</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45512</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45512</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45512</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45512</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45512</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45512</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45512</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45512</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45512</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45512</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45512</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45512</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45512</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45512</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45512</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45512</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45512</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45512</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45512</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45512</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45512</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45512</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45512</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45512</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45512</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45512</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45512</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45512</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45512</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45512</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45512</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45512</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45512</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45512</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45512</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45512</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45512</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45512</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45512</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45512</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45512</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45512</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45512</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45512</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45512</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45512</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45512</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45512</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45512</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45512</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45512</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45512</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45512</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45512</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45512</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45512</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45512</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45512</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45512</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45512</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45512</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45512</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45512</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45512</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45512</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45512</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45512</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45512</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45512</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45512</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45512</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45512</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45512</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45512</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45512</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45512</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45512</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45512</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45512</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45512</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45512</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45512</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45512</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45512</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45512</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45512</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45512</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45512</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45512</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45512</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45512</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45512</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45512</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45512</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45512</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45512</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45512</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45512</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45512</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45512</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45512</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45512</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45512</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45512</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45512</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45512</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45512</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45512</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45512</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45512</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45512</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45512</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45512</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45512</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45512</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45512</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45512</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45512</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45512</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45512</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45512</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45512</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45512</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45512</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45512</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45512</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45512</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45512</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45512</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45512</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45512</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45512</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45512</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45512</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45512</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45512</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45512</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45512</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45512</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45512</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45512</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45512</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45512</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45512</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45512</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45512</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45512</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45512</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45512</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45512</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45512</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45512</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45512</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45512</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45512</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45512</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45512</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45512</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45512</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45512</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45512</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45512</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45512</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45512</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45512</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45512</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45512</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45512</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45512</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45512</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45512</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45512</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45512</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45512</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45512</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45512</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45512</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45512</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45512</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45512</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45512</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45512</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45512</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45512</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45512</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45512</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45512</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45512</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45512</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45512</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45512</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45512</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45512</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45512</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45512</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45512</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45512</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45512</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45512</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45512</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45512</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45512</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45512</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45512</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45512</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45512</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45512</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45512</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45512</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45512</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45512</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45512</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45512</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45512</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45512</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45512</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45512</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45512</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45512</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45512</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45512</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45512</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45512</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45512</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45512</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45512</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45512</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45512</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45512</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45512</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45512</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45512</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45512</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45512</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45512</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45512</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45512</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45512</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45512</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45512</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45512</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45512</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45512</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45512</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45512</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45512</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45512</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45512</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45512</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45512</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45512</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45512</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45512</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45512</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45512</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45512</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45512</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45512</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45512</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45512</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45512</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45512</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45512</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45512</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45512</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45512</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45512</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45512</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45512</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45512</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45512</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45512</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45512</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45512</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45512</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45512</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45512</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45512</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45512</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45512</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45512</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45512</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45512</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45512</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45512</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45512</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45512</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45512</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45512</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45512</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45512</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45512</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45512</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45512</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45512</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45512</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45512</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45512</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45512</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45512</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45512</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45512</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45512</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45512</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45512</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45512</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45512</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45512</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45512</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45512</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45512</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45512</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45512</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45512</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45512</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45512</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45512</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45512</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45512</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45512</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45512</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45512</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45512</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45512</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45512</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45512</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45512</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45512</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45512</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45512</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45512</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45512</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45512</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45512</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45512</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45512</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45512</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45512</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45512</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45512</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45512</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45512</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45512</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45512</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45512</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45512</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45512</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45512</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45512</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45512</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45512</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45512</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45512</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45512</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45512</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45512</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45512</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45512</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45512</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45512</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45512</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45512</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45512</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45512</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45512</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45512</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45512</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45512</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45512</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45512</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45512</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45512</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45512</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45512</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45512</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45512</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45512</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45512</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45512</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45512</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45512</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45512</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45512</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45512</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45512</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45512</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45512</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45512</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45512</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45512</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45512</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45512</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45512</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45512</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45512</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45512</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45512</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45512</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45512</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45512</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45512</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45512</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45512</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45512</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45512</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45512</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45512</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45512</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45512</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45512</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45512</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45512</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45512</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45512</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45512</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45512</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45512</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45512</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45512</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45512</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45512</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45512</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45512</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45512</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45512</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45512</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45512</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45512</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45512</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45512</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45512</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45512</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45512</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45512</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45512</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45512</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45512</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45512</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45512</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45512</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45512</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45512</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45512</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45512</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45512</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45512</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45512</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45512</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45512</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45512</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45512</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45512</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45512</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45512</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45512</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45512</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45512</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45512</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45512</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45512</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45512</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45512</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45512</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45512</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45512</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45512</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45512</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45512</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45512</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45512</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45512</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45512</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45512</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45512</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45512</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45512</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45512</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45512</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45512</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45512</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45512</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45512</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45512</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45512</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45512</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45512</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45512</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45512</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45512</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45512</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45512</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45512</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45512</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45512</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45512</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45512</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45512</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45512</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45512</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45512</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45512</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45512</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45512</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45512</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45512</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45512</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45512</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45512</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45512</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45512</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45512</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45512</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45512</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ht="15" customHeight="1">
      <c r="A665" t="inlineStr">
        <is>
          <t>A 26662-2024</t>
        </is>
      </c>
      <c r="B665" s="1" t="n">
        <v>45469</v>
      </c>
      <c r="C665" s="1" t="n">
        <v>45512</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27623-2024</t>
        </is>
      </c>
      <c r="B666" s="1" t="n">
        <v>45474</v>
      </c>
      <c r="C666" s="1" t="n">
        <v>45512</v>
      </c>
      <c r="D666" t="inlineStr">
        <is>
          <t>VÄSTERNORRLANDS LÄN</t>
        </is>
      </c>
      <c r="E666" t="inlineStr">
        <is>
          <t>TIMRÅ</t>
        </is>
      </c>
      <c r="G666" t="n">
        <v>3.4</v>
      </c>
      <c r="H666" t="n">
        <v>0</v>
      </c>
      <c r="I666" t="n">
        <v>0</v>
      </c>
      <c r="J666" t="n">
        <v>0</v>
      </c>
      <c r="K666" t="n">
        <v>0</v>
      </c>
      <c r="L666" t="n">
        <v>0</v>
      </c>
      <c r="M666" t="n">
        <v>0</v>
      </c>
      <c r="N666" t="n">
        <v>0</v>
      </c>
      <c r="O666" t="n">
        <v>0</v>
      </c>
      <c r="P666" t="n">
        <v>0</v>
      </c>
      <c r="Q666" t="n">
        <v>0</v>
      </c>
      <c r="R666" s="2" t="inlineStr"/>
    </row>
    <row r="667" ht="15" customHeight="1">
      <c r="A667" t="inlineStr">
        <is>
          <t>A 28160-2024</t>
        </is>
      </c>
      <c r="B667" s="1" t="n">
        <v>45476</v>
      </c>
      <c r="C667" s="1" t="n">
        <v>45512</v>
      </c>
      <c r="D667" t="inlineStr">
        <is>
          <t>VÄSTERNORRLANDS LÄN</t>
        </is>
      </c>
      <c r="E667" t="inlineStr">
        <is>
          <t>TIMRÅ</t>
        </is>
      </c>
      <c r="F667" t="inlineStr">
        <is>
          <t>SCA</t>
        </is>
      </c>
      <c r="G667" t="n">
        <v>16.1</v>
      </c>
      <c r="H667" t="n">
        <v>0</v>
      </c>
      <c r="I667" t="n">
        <v>0</v>
      </c>
      <c r="J667" t="n">
        <v>0</v>
      </c>
      <c r="K667" t="n">
        <v>0</v>
      </c>
      <c r="L667" t="n">
        <v>0</v>
      </c>
      <c r="M667" t="n">
        <v>0</v>
      </c>
      <c r="N667" t="n">
        <v>0</v>
      </c>
      <c r="O667" t="n">
        <v>0</v>
      </c>
      <c r="P667" t="n">
        <v>0</v>
      </c>
      <c r="Q667" t="n">
        <v>0</v>
      </c>
      <c r="R667" s="2" t="inlineStr"/>
    </row>
    <row r="668" ht="15" customHeight="1">
      <c r="A668" t="inlineStr">
        <is>
          <t>A 28503-2024</t>
        </is>
      </c>
      <c r="B668" s="1" t="n">
        <v>45477</v>
      </c>
      <c r="C668" s="1" t="n">
        <v>45512</v>
      </c>
      <c r="D668" t="inlineStr">
        <is>
          <t>VÄSTERNORRLANDS LÄN</t>
        </is>
      </c>
      <c r="E668" t="inlineStr">
        <is>
          <t>TIMRÅ</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28256-2024</t>
        </is>
      </c>
      <c r="B669" s="1" t="n">
        <v>45477</v>
      </c>
      <c r="C669" s="1" t="n">
        <v>45512</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29267-2024</t>
        </is>
      </c>
      <c r="B670" s="1" t="n">
        <v>45482</v>
      </c>
      <c r="C670" s="1" t="n">
        <v>45512</v>
      </c>
      <c r="D670" t="inlineStr">
        <is>
          <t>VÄSTERNORRLANDS LÄN</t>
        </is>
      </c>
      <c r="E670" t="inlineStr">
        <is>
          <t>TIMRÅ</t>
        </is>
      </c>
      <c r="G670" t="n">
        <v>4.2</v>
      </c>
      <c r="H670" t="n">
        <v>0</v>
      </c>
      <c r="I670" t="n">
        <v>0</v>
      </c>
      <c r="J670" t="n">
        <v>0</v>
      </c>
      <c r="K670" t="n">
        <v>0</v>
      </c>
      <c r="L670" t="n">
        <v>0</v>
      </c>
      <c r="M670" t="n">
        <v>0</v>
      </c>
      <c r="N670" t="n">
        <v>0</v>
      </c>
      <c r="O670" t="n">
        <v>0</v>
      </c>
      <c r="P670" t="n">
        <v>0</v>
      </c>
      <c r="Q670" t="n">
        <v>0</v>
      </c>
      <c r="R670" s="2" t="inlineStr"/>
    </row>
    <row r="671" ht="15" customHeight="1">
      <c r="A671" t="inlineStr">
        <is>
          <t>A 30612-2024</t>
        </is>
      </c>
      <c r="B671" s="1" t="n">
        <v>45495</v>
      </c>
      <c r="C671" s="1" t="n">
        <v>45512</v>
      </c>
      <c r="D671" t="inlineStr">
        <is>
          <t>VÄSTERNORRLANDS LÄN</t>
        </is>
      </c>
      <c r="E671" t="inlineStr">
        <is>
          <t>TIMRÅ</t>
        </is>
      </c>
      <c r="G671" t="n">
        <v>4.6</v>
      </c>
      <c r="H671" t="n">
        <v>0</v>
      </c>
      <c r="I671" t="n">
        <v>0</v>
      </c>
      <c r="J671" t="n">
        <v>0</v>
      </c>
      <c r="K671" t="n">
        <v>0</v>
      </c>
      <c r="L671" t="n">
        <v>0</v>
      </c>
      <c r="M671" t="n">
        <v>0</v>
      </c>
      <c r="N671" t="n">
        <v>0</v>
      </c>
      <c r="O671" t="n">
        <v>0</v>
      </c>
      <c r="P671" t="n">
        <v>0</v>
      </c>
      <c r="Q671" t="n">
        <v>0</v>
      </c>
      <c r="R671" s="2" t="inlineStr"/>
    </row>
    <row r="672" ht="15" customHeight="1">
      <c r="A672" t="inlineStr">
        <is>
          <t>A 30680-2024</t>
        </is>
      </c>
      <c r="B672" s="1" t="n">
        <v>45495</v>
      </c>
      <c r="C672" s="1" t="n">
        <v>45512</v>
      </c>
      <c r="D672" t="inlineStr">
        <is>
          <t>VÄSTERNORRLANDS LÄN</t>
        </is>
      </c>
      <c r="E672" t="inlineStr">
        <is>
          <t>TIMRÅ</t>
        </is>
      </c>
      <c r="F672" t="inlineStr">
        <is>
          <t>SCA</t>
        </is>
      </c>
      <c r="G672" t="n">
        <v>6</v>
      </c>
      <c r="H672" t="n">
        <v>0</v>
      </c>
      <c r="I672" t="n">
        <v>0</v>
      </c>
      <c r="J672" t="n">
        <v>0</v>
      </c>
      <c r="K672" t="n">
        <v>0</v>
      </c>
      <c r="L672" t="n">
        <v>0</v>
      </c>
      <c r="M672" t="n">
        <v>0</v>
      </c>
      <c r="N672" t="n">
        <v>0</v>
      </c>
      <c r="O672" t="n">
        <v>0</v>
      </c>
      <c r="P672" t="n">
        <v>0</v>
      </c>
      <c r="Q672" t="n">
        <v>0</v>
      </c>
      <c r="R672" s="2" t="inlineStr"/>
    </row>
    <row r="673" ht="15" customHeight="1">
      <c r="A673" t="inlineStr">
        <is>
          <t>A 30907-2024</t>
        </is>
      </c>
      <c r="B673" s="1" t="n">
        <v>45498</v>
      </c>
      <c r="C673" s="1" t="n">
        <v>45512</v>
      </c>
      <c r="D673" t="inlineStr">
        <is>
          <t>VÄSTERNORRLANDS LÄN</t>
        </is>
      </c>
      <c r="E673" t="inlineStr">
        <is>
          <t>TIMRÅ</t>
        </is>
      </c>
      <c r="G673" t="n">
        <v>6.6</v>
      </c>
      <c r="H673" t="n">
        <v>0</v>
      </c>
      <c r="I673" t="n">
        <v>0</v>
      </c>
      <c r="J673" t="n">
        <v>0</v>
      </c>
      <c r="K673" t="n">
        <v>0</v>
      </c>
      <c r="L673" t="n">
        <v>0</v>
      </c>
      <c r="M673" t="n">
        <v>0</v>
      </c>
      <c r="N673" t="n">
        <v>0</v>
      </c>
      <c r="O673" t="n">
        <v>0</v>
      </c>
      <c r="P673" t="n">
        <v>0</v>
      </c>
      <c r="Q673" t="n">
        <v>0</v>
      </c>
      <c r="R673" s="2" t="inlineStr"/>
    </row>
    <row r="674" ht="15" customHeight="1">
      <c r="A674" t="inlineStr">
        <is>
          <t>A 31711-2024</t>
        </is>
      </c>
      <c r="B674" s="1" t="n">
        <v>45509</v>
      </c>
      <c r="C674" s="1" t="n">
        <v>45512</v>
      </c>
      <c r="D674" t="inlineStr">
        <is>
          <t>VÄSTERNORRLANDS LÄN</t>
        </is>
      </c>
      <c r="E674" t="inlineStr">
        <is>
          <t>TIMRÅ</t>
        </is>
      </c>
      <c r="F674" t="inlineStr">
        <is>
          <t>Kommuner</t>
        </is>
      </c>
      <c r="G674" t="n">
        <v>1.5</v>
      </c>
      <c r="H674" t="n">
        <v>0</v>
      </c>
      <c r="I674" t="n">
        <v>0</v>
      </c>
      <c r="J674" t="n">
        <v>0</v>
      </c>
      <c r="K674" t="n">
        <v>0</v>
      </c>
      <c r="L674" t="n">
        <v>0</v>
      </c>
      <c r="M674" t="n">
        <v>0</v>
      </c>
      <c r="N674" t="n">
        <v>0</v>
      </c>
      <c r="O674" t="n">
        <v>0</v>
      </c>
      <c r="P674" t="n">
        <v>0</v>
      </c>
      <c r="Q674" t="n">
        <v>0</v>
      </c>
      <c r="R674" s="2" t="inlineStr"/>
    </row>
    <row r="675" ht="15" customHeight="1">
      <c r="A675" t="inlineStr">
        <is>
          <t>A 32048-2024</t>
        </is>
      </c>
      <c r="B675" s="1" t="n">
        <v>45511</v>
      </c>
      <c r="C675" s="1" t="n">
        <v>45512</v>
      </c>
      <c r="D675" t="inlineStr">
        <is>
          <t>VÄSTERNORRLANDS LÄN</t>
        </is>
      </c>
      <c r="E675" t="inlineStr">
        <is>
          <t>TIMRÅ</t>
        </is>
      </c>
      <c r="G675" t="n">
        <v>2.7</v>
      </c>
      <c r="H675" t="n">
        <v>0</v>
      </c>
      <c r="I675" t="n">
        <v>0</v>
      </c>
      <c r="J675" t="n">
        <v>0</v>
      </c>
      <c r="K675" t="n">
        <v>0</v>
      </c>
      <c r="L675" t="n">
        <v>0</v>
      </c>
      <c r="M675" t="n">
        <v>0</v>
      </c>
      <c r="N675" t="n">
        <v>0</v>
      </c>
      <c r="O675" t="n">
        <v>0</v>
      </c>
      <c r="P675" t="n">
        <v>0</v>
      </c>
      <c r="Q675" t="n">
        <v>0</v>
      </c>
      <c r="R675" s="2" t="inlineStr"/>
    </row>
    <row r="676" ht="15" customHeight="1">
      <c r="A676" t="inlineStr">
        <is>
          <t>A 32105-2024</t>
        </is>
      </c>
      <c r="B676" s="1" t="n">
        <v>45511</v>
      </c>
      <c r="C676" s="1" t="n">
        <v>45512</v>
      </c>
      <c r="D676" t="inlineStr">
        <is>
          <t>VÄSTERNORRLANDS LÄN</t>
        </is>
      </c>
      <c r="E676" t="inlineStr">
        <is>
          <t>TIMRÅ</t>
        </is>
      </c>
      <c r="G676" t="n">
        <v>6.4</v>
      </c>
      <c r="H676" t="n">
        <v>0</v>
      </c>
      <c r="I676" t="n">
        <v>0</v>
      </c>
      <c r="J676" t="n">
        <v>0</v>
      </c>
      <c r="K676" t="n">
        <v>0</v>
      </c>
      <c r="L676" t="n">
        <v>0</v>
      </c>
      <c r="M676" t="n">
        <v>0</v>
      </c>
      <c r="N676" t="n">
        <v>0</v>
      </c>
      <c r="O676" t="n">
        <v>0</v>
      </c>
      <c r="P676" t="n">
        <v>0</v>
      </c>
      <c r="Q676" t="n">
        <v>0</v>
      </c>
      <c r="R676" s="2" t="inlineStr"/>
    </row>
    <row r="677">
      <c r="A677" t="inlineStr">
        <is>
          <t>A 32112-2024</t>
        </is>
      </c>
      <c r="B677" s="1" t="n">
        <v>45511</v>
      </c>
      <c r="C677" s="1" t="n">
        <v>45512</v>
      </c>
      <c r="D677" t="inlineStr">
        <is>
          <t>VÄSTERNORRLANDS LÄN</t>
        </is>
      </c>
      <c r="E677" t="inlineStr">
        <is>
          <t>TIMRÅ</t>
        </is>
      </c>
      <c r="G677" t="n">
        <v>2.7</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2024-08-08T10:10:55Z</dcterms:created>
  <dcterms:modified xmlns:dcterms="http://purl.org/dc/terms/" xmlns:xsi="http://www.w3.org/2001/XMLSchema-instance" xsi:type="dcterms:W3CDTF">2024-08-08T10:10:56Z</dcterms:modified>
</cp:coreProperties>
</file>