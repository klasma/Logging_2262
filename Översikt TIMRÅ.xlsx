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45511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45511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45511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45511</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45511</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45511</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45511</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45511</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45511</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45511</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45511</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39815-2023</t>
        </is>
      </c>
      <c r="B13" s="1" t="n">
        <v>45167</v>
      </c>
      <c r="C13" s="1" t="n">
        <v>45511</v>
      </c>
      <c r="D13" t="inlineStr">
        <is>
          <t>VÄSTERNORRLANDS LÄN</t>
        </is>
      </c>
      <c r="E13" t="inlineStr">
        <is>
          <t>TIMRÅ</t>
        </is>
      </c>
      <c r="F13" t="inlineStr">
        <is>
          <t>SCA</t>
        </is>
      </c>
      <c r="G13" t="n">
        <v>2.3</v>
      </c>
      <c r="H13" t="n">
        <v>0</v>
      </c>
      <c r="I13" t="n">
        <v>1</v>
      </c>
      <c r="J13" t="n">
        <v>4</v>
      </c>
      <c r="K13" t="n">
        <v>0</v>
      </c>
      <c r="L13" t="n">
        <v>0</v>
      </c>
      <c r="M13" t="n">
        <v>0</v>
      </c>
      <c r="N13" t="n">
        <v>0</v>
      </c>
      <c r="O13" t="n">
        <v>4</v>
      </c>
      <c r="P13" t="n">
        <v>0</v>
      </c>
      <c r="Q13" t="n">
        <v>5</v>
      </c>
      <c r="R13" s="2" t="inlineStr">
        <is>
          <t>Garnlav
Kortskaftad ärgspik
Vedflamlav
Vedskivlav
Dropptaggsvamp</t>
        </is>
      </c>
      <c r="S13">
        <f>HYPERLINK("https://klasma.github.io/Logging_2262/artfynd/A 39815-2023 artfynd.xlsx", "A 39815-2023")</f>
        <v/>
      </c>
      <c r="T13">
        <f>HYPERLINK("https://klasma.github.io/Logging_2262/kartor/A 39815-2023 karta.png", "A 39815-2023")</f>
        <v/>
      </c>
      <c r="V13">
        <f>HYPERLINK("https://klasma.github.io/Logging_2262/klagomål/A 39815-2023 FSC-klagomål.docx", "A 39815-2023")</f>
        <v/>
      </c>
      <c r="W13">
        <f>HYPERLINK("https://klasma.github.io/Logging_2262/klagomålsmail/A 39815-2023 FSC-klagomål mail.docx", "A 39815-2023")</f>
        <v/>
      </c>
      <c r="X13">
        <f>HYPERLINK("https://klasma.github.io/Logging_2262/tillsyn/A 39815-2023 tillsynsbegäran.docx", "A 39815-2023")</f>
        <v/>
      </c>
      <c r="Y13">
        <f>HYPERLINK("https://klasma.github.io/Logging_2262/tillsynsmail/A 39815-2023 tillsynsbegäran mail.docx", "A 39815-2023")</f>
        <v/>
      </c>
    </row>
    <row r="14" ht="15" customHeight="1">
      <c r="A14" t="inlineStr">
        <is>
          <t>A 50231-2023</t>
        </is>
      </c>
      <c r="B14" s="1" t="n">
        <v>45215</v>
      </c>
      <c r="C14" s="1" t="n">
        <v>45511</v>
      </c>
      <c r="D14" t="inlineStr">
        <is>
          <t>VÄSTERNORRLANDS LÄN</t>
        </is>
      </c>
      <c r="E14" t="inlineStr">
        <is>
          <t>TIMRÅ</t>
        </is>
      </c>
      <c r="F14" t="inlineStr">
        <is>
          <t>SCA</t>
        </is>
      </c>
      <c r="G14" t="n">
        <v>1.6</v>
      </c>
      <c r="H14" t="n">
        <v>1</v>
      </c>
      <c r="I14" t="n">
        <v>2</v>
      </c>
      <c r="J14" t="n">
        <v>2</v>
      </c>
      <c r="K14" t="n">
        <v>0</v>
      </c>
      <c r="L14" t="n">
        <v>0</v>
      </c>
      <c r="M14" t="n">
        <v>0</v>
      </c>
      <c r="N14" t="n">
        <v>0</v>
      </c>
      <c r="O14" t="n">
        <v>2</v>
      </c>
      <c r="P14" t="n">
        <v>0</v>
      </c>
      <c r="Q14" t="n">
        <v>5</v>
      </c>
      <c r="R14" s="2" t="inlineStr">
        <is>
          <t>Orange taggsvamp
Ullticka
Strutbräken
Stuplav
Revlummer</t>
        </is>
      </c>
      <c r="S14">
        <f>HYPERLINK("https://klasma.github.io/Logging_2262/artfynd/A 50231-2023 artfynd.xlsx", "A 50231-2023")</f>
        <v/>
      </c>
      <c r="T14">
        <f>HYPERLINK("https://klasma.github.io/Logging_2262/kartor/A 50231-2023 karta.png", "A 50231-2023")</f>
        <v/>
      </c>
      <c r="U14">
        <f>HYPERLINK("https://klasma.github.io/Logging_2262/knärot/A 50231-2023 karta knärot.png", "A 50231-2023")</f>
        <v/>
      </c>
      <c r="V14">
        <f>HYPERLINK("https://klasma.github.io/Logging_2262/klagomål/A 50231-2023 FSC-klagomål.docx", "A 50231-2023")</f>
        <v/>
      </c>
      <c r="W14">
        <f>HYPERLINK("https://klasma.github.io/Logging_2262/klagomålsmail/A 50231-2023 FSC-klagomål mail.docx", "A 50231-2023")</f>
        <v/>
      </c>
      <c r="X14">
        <f>HYPERLINK("https://klasma.github.io/Logging_2262/tillsyn/A 50231-2023 tillsynsbegäran.docx", "A 50231-2023")</f>
        <v/>
      </c>
      <c r="Y14">
        <f>HYPERLINK("https://klasma.github.io/Logging_2262/tillsynsmail/A 50231-2023 tillsynsbegäran mail.docx", "A 50231-2023")</f>
        <v/>
      </c>
    </row>
    <row r="15" ht="15" customHeight="1">
      <c r="A15" t="inlineStr">
        <is>
          <t>A 19805-2020</t>
        </is>
      </c>
      <c r="B15" s="1" t="n">
        <v>43937</v>
      </c>
      <c r="C15" s="1" t="n">
        <v>45511</v>
      </c>
      <c r="D15" t="inlineStr">
        <is>
          <t>VÄSTERNORRLANDS LÄN</t>
        </is>
      </c>
      <c r="E15" t="inlineStr">
        <is>
          <t>TIMRÅ</t>
        </is>
      </c>
      <c r="G15" t="n">
        <v>10.3</v>
      </c>
      <c r="H15" t="n">
        <v>1</v>
      </c>
      <c r="I15" t="n">
        <v>1</v>
      </c>
      <c r="J15" t="n">
        <v>2</v>
      </c>
      <c r="K15" t="n">
        <v>1</v>
      </c>
      <c r="L15" t="n">
        <v>0</v>
      </c>
      <c r="M15" t="n">
        <v>0</v>
      </c>
      <c r="N15" t="n">
        <v>0</v>
      </c>
      <c r="O15" t="n">
        <v>3</v>
      </c>
      <c r="P15" t="n">
        <v>1</v>
      </c>
      <c r="Q15" t="n">
        <v>4</v>
      </c>
      <c r="R15" s="2" t="inlineStr">
        <is>
          <t>Rynkskinn
Järpe
Lunglav
Skinnlav</t>
        </is>
      </c>
      <c r="S15">
        <f>HYPERLINK("https://klasma.github.io/Logging_2262/artfynd/A 19805-2020 artfynd.xlsx", "A 19805-2020")</f>
        <v/>
      </c>
      <c r="T15">
        <f>HYPERLINK("https://klasma.github.io/Logging_2262/kartor/A 19805-2020 karta.png", "A 19805-2020")</f>
        <v/>
      </c>
      <c r="V15">
        <f>HYPERLINK("https://klasma.github.io/Logging_2262/klagomål/A 19805-2020 FSC-klagomål.docx", "A 19805-2020")</f>
        <v/>
      </c>
      <c r="W15">
        <f>HYPERLINK("https://klasma.github.io/Logging_2262/klagomålsmail/A 19805-2020 FSC-klagomål mail.docx", "A 19805-2020")</f>
        <v/>
      </c>
      <c r="X15">
        <f>HYPERLINK("https://klasma.github.io/Logging_2262/tillsyn/A 19805-2020 tillsynsbegäran.docx", "A 19805-2020")</f>
        <v/>
      </c>
      <c r="Y15">
        <f>HYPERLINK("https://klasma.github.io/Logging_2262/tillsynsmail/A 19805-2020 tillsynsbegäran mail.docx", "A 19805-2020")</f>
        <v/>
      </c>
      <c r="Z15">
        <f>HYPERLINK("https://klasma.github.io/Logging_2262/fåglar/A 19805-2020 prioriterade fågelarter.docx", "A 19805-2020")</f>
        <v/>
      </c>
    </row>
    <row r="16" ht="15" customHeight="1">
      <c r="A16" t="inlineStr">
        <is>
          <t>A 57553-2021</t>
        </is>
      </c>
      <c r="B16" s="1" t="n">
        <v>44484</v>
      </c>
      <c r="C16" s="1" t="n">
        <v>45511</v>
      </c>
      <c r="D16" t="inlineStr">
        <is>
          <t>VÄSTERNORRLANDS LÄN</t>
        </is>
      </c>
      <c r="E16" t="inlineStr">
        <is>
          <t>TIMRÅ</t>
        </is>
      </c>
      <c r="F16" t="inlineStr">
        <is>
          <t>SCA</t>
        </is>
      </c>
      <c r="G16" t="n">
        <v>17.9</v>
      </c>
      <c r="H16" t="n">
        <v>1</v>
      </c>
      <c r="I16" t="n">
        <v>1</v>
      </c>
      <c r="J16" t="n">
        <v>2</v>
      </c>
      <c r="K16" t="n">
        <v>1</v>
      </c>
      <c r="L16" t="n">
        <v>0</v>
      </c>
      <c r="M16" t="n">
        <v>0</v>
      </c>
      <c r="N16" t="n">
        <v>0</v>
      </c>
      <c r="O16" t="n">
        <v>3</v>
      </c>
      <c r="P16" t="n">
        <v>1</v>
      </c>
      <c r="Q16" t="n">
        <v>4</v>
      </c>
      <c r="R16" s="2" t="inlineStr">
        <is>
          <t>Knärot
Garnlav
Tallticka
Vedticka</t>
        </is>
      </c>
      <c r="S16">
        <f>HYPERLINK("https://klasma.github.io/Logging_2262/artfynd/A 57553-2021 artfynd.xlsx", "A 57553-2021")</f>
        <v/>
      </c>
      <c r="T16">
        <f>HYPERLINK("https://klasma.github.io/Logging_2262/kartor/A 57553-2021 karta.png", "A 57553-2021")</f>
        <v/>
      </c>
      <c r="U16">
        <f>HYPERLINK("https://klasma.github.io/Logging_2262/knärot/A 57553-2021 karta knärot.png", "A 57553-2021")</f>
        <v/>
      </c>
      <c r="V16">
        <f>HYPERLINK("https://klasma.github.io/Logging_2262/klagomål/A 57553-2021 FSC-klagomål.docx", "A 57553-2021")</f>
        <v/>
      </c>
      <c r="W16">
        <f>HYPERLINK("https://klasma.github.io/Logging_2262/klagomålsmail/A 57553-2021 FSC-klagomål mail.docx", "A 57553-2021")</f>
        <v/>
      </c>
      <c r="X16">
        <f>HYPERLINK("https://klasma.github.io/Logging_2262/tillsyn/A 57553-2021 tillsynsbegäran.docx", "A 57553-2021")</f>
        <v/>
      </c>
      <c r="Y16">
        <f>HYPERLINK("https://klasma.github.io/Logging_2262/tillsynsmail/A 57553-2021 tillsynsbegäran mail.docx", "A 57553-2021")</f>
        <v/>
      </c>
    </row>
    <row r="17" ht="15" customHeight="1">
      <c r="A17" t="inlineStr">
        <is>
          <t>A 43963-2023</t>
        </is>
      </c>
      <c r="B17" s="1" t="n">
        <v>45187</v>
      </c>
      <c r="C17" s="1" t="n">
        <v>45511</v>
      </c>
      <c r="D17" t="inlineStr">
        <is>
          <t>VÄSTERNORRLANDS LÄN</t>
        </is>
      </c>
      <c r="E17" t="inlineStr">
        <is>
          <t>TIMRÅ</t>
        </is>
      </c>
      <c r="F17" t="inlineStr">
        <is>
          <t>SCA</t>
        </is>
      </c>
      <c r="G17" t="n">
        <v>15</v>
      </c>
      <c r="H17" t="n">
        <v>1</v>
      </c>
      <c r="I17" t="n">
        <v>1</v>
      </c>
      <c r="J17" t="n">
        <v>2</v>
      </c>
      <c r="K17" t="n">
        <v>1</v>
      </c>
      <c r="L17" t="n">
        <v>0</v>
      </c>
      <c r="M17" t="n">
        <v>0</v>
      </c>
      <c r="N17" t="n">
        <v>0</v>
      </c>
      <c r="O17" t="n">
        <v>3</v>
      </c>
      <c r="P17" t="n">
        <v>1</v>
      </c>
      <c r="Q17" t="n">
        <v>4</v>
      </c>
      <c r="R17" s="2" t="inlineStr">
        <is>
          <t>Knärot
Garnlav
Violettgrå tagellav
Vedticka</t>
        </is>
      </c>
      <c r="S17">
        <f>HYPERLINK("https://klasma.github.io/Logging_2262/artfynd/A 43963-2023 artfynd.xlsx", "A 43963-2023")</f>
        <v/>
      </c>
      <c r="T17">
        <f>HYPERLINK("https://klasma.github.io/Logging_2262/kartor/A 43963-2023 karta.png", "A 43963-2023")</f>
        <v/>
      </c>
      <c r="U17">
        <f>HYPERLINK("https://klasma.github.io/Logging_2262/knärot/A 43963-2023 karta knärot.png", "A 43963-2023")</f>
        <v/>
      </c>
      <c r="V17">
        <f>HYPERLINK("https://klasma.github.io/Logging_2262/klagomål/A 43963-2023 FSC-klagomål.docx", "A 43963-2023")</f>
        <v/>
      </c>
      <c r="W17">
        <f>HYPERLINK("https://klasma.github.io/Logging_2262/klagomålsmail/A 43963-2023 FSC-klagomål mail.docx", "A 43963-2023")</f>
        <v/>
      </c>
      <c r="X17">
        <f>HYPERLINK("https://klasma.github.io/Logging_2262/tillsyn/A 43963-2023 tillsynsbegäran.docx", "A 43963-2023")</f>
        <v/>
      </c>
      <c r="Y17">
        <f>HYPERLINK("https://klasma.github.io/Logging_2262/tillsynsmail/A 43963-2023 tillsynsbegäran mail.docx", "A 43963-2023")</f>
        <v/>
      </c>
    </row>
    <row r="18" ht="15" customHeight="1">
      <c r="A18" t="inlineStr">
        <is>
          <t>A 53436-2023</t>
        </is>
      </c>
      <c r="B18" s="1" t="n">
        <v>45229</v>
      </c>
      <c r="C18" s="1" t="n">
        <v>45511</v>
      </c>
      <c r="D18" t="inlineStr">
        <is>
          <t>VÄSTERNORRLANDS LÄN</t>
        </is>
      </c>
      <c r="E18" t="inlineStr">
        <is>
          <t>TIMRÅ</t>
        </is>
      </c>
      <c r="F18" t="inlineStr">
        <is>
          <t>SCA</t>
        </is>
      </c>
      <c r="G18" t="n">
        <v>4.2</v>
      </c>
      <c r="H18" t="n">
        <v>1</v>
      </c>
      <c r="I18" t="n">
        <v>2</v>
      </c>
      <c r="J18" t="n">
        <v>1</v>
      </c>
      <c r="K18" t="n">
        <v>0</v>
      </c>
      <c r="L18" t="n">
        <v>0</v>
      </c>
      <c r="M18" t="n">
        <v>0</v>
      </c>
      <c r="N18" t="n">
        <v>0</v>
      </c>
      <c r="O18" t="n">
        <v>1</v>
      </c>
      <c r="P18" t="n">
        <v>0</v>
      </c>
      <c r="Q18" t="n">
        <v>4</v>
      </c>
      <c r="R18" s="2" t="inlineStr">
        <is>
          <t>Ullticka
Strutbräken
Vårärt
Revlummer</t>
        </is>
      </c>
      <c r="S18">
        <f>HYPERLINK("https://klasma.github.io/Logging_2262/artfynd/A 53436-2023 artfynd.xlsx", "A 53436-2023")</f>
        <v/>
      </c>
      <c r="T18">
        <f>HYPERLINK("https://klasma.github.io/Logging_2262/kartor/A 53436-2023 karta.png", "A 53436-2023")</f>
        <v/>
      </c>
      <c r="V18">
        <f>HYPERLINK("https://klasma.github.io/Logging_2262/klagomål/A 53436-2023 FSC-klagomål.docx", "A 53436-2023")</f>
        <v/>
      </c>
      <c r="W18">
        <f>HYPERLINK("https://klasma.github.io/Logging_2262/klagomålsmail/A 53436-2023 FSC-klagomål mail.docx", "A 53436-2023")</f>
        <v/>
      </c>
      <c r="X18">
        <f>HYPERLINK("https://klasma.github.io/Logging_2262/tillsyn/A 53436-2023 tillsynsbegäran.docx", "A 53436-2023")</f>
        <v/>
      </c>
      <c r="Y18">
        <f>HYPERLINK("https://klasma.github.io/Logging_2262/tillsynsmail/A 53436-2023 tillsynsbegäran mail.docx", "A 53436-2023")</f>
        <v/>
      </c>
    </row>
    <row r="19" ht="15" customHeight="1">
      <c r="A19" t="inlineStr">
        <is>
          <t>A 62558-2023</t>
        </is>
      </c>
      <c r="B19" s="1" t="n">
        <v>45268</v>
      </c>
      <c r="C19" s="1" t="n">
        <v>45511</v>
      </c>
      <c r="D19" t="inlineStr">
        <is>
          <t>VÄSTERNORRLANDS LÄN</t>
        </is>
      </c>
      <c r="E19" t="inlineStr">
        <is>
          <t>TIMRÅ</t>
        </is>
      </c>
      <c r="F19" t="inlineStr">
        <is>
          <t>SCA</t>
        </is>
      </c>
      <c r="G19" t="n">
        <v>5.8</v>
      </c>
      <c r="H19" t="n">
        <v>1</v>
      </c>
      <c r="I19" t="n">
        <v>0</v>
      </c>
      <c r="J19" t="n">
        <v>4</v>
      </c>
      <c r="K19" t="n">
        <v>0</v>
      </c>
      <c r="L19" t="n">
        <v>0</v>
      </c>
      <c r="M19" t="n">
        <v>0</v>
      </c>
      <c r="N19" t="n">
        <v>0</v>
      </c>
      <c r="O19" t="n">
        <v>4</v>
      </c>
      <c r="P19" t="n">
        <v>0</v>
      </c>
      <c r="Q19" t="n">
        <v>4</v>
      </c>
      <c r="R19" s="2" t="inlineStr">
        <is>
          <t>Garnlav
Granticka
Gränsticka
Tretåig hackspett</t>
        </is>
      </c>
      <c r="S19">
        <f>HYPERLINK("https://klasma.github.io/Logging_2262/artfynd/A 62558-2023 artfynd.xlsx", "A 62558-2023")</f>
        <v/>
      </c>
      <c r="T19">
        <f>HYPERLINK("https://klasma.github.io/Logging_2262/kartor/A 62558-2023 karta.png", "A 62558-2023")</f>
        <v/>
      </c>
      <c r="V19">
        <f>HYPERLINK("https://klasma.github.io/Logging_2262/klagomål/A 62558-2023 FSC-klagomål.docx", "A 62558-2023")</f>
        <v/>
      </c>
      <c r="W19">
        <f>HYPERLINK("https://klasma.github.io/Logging_2262/klagomålsmail/A 62558-2023 FSC-klagomål mail.docx", "A 62558-2023")</f>
        <v/>
      </c>
      <c r="X19">
        <f>HYPERLINK("https://klasma.github.io/Logging_2262/tillsyn/A 62558-2023 tillsynsbegäran.docx", "A 62558-2023")</f>
        <v/>
      </c>
      <c r="Y19">
        <f>HYPERLINK("https://klasma.github.io/Logging_2262/tillsynsmail/A 62558-2023 tillsynsbegäran mail.docx", "A 62558-2023")</f>
        <v/>
      </c>
      <c r="Z19">
        <f>HYPERLINK("https://klasma.github.io/Logging_2262/fåglar/A 62558-2023 prioriterade fågelarter.docx", "A 62558-2023")</f>
        <v/>
      </c>
    </row>
    <row r="20" ht="15" customHeight="1">
      <c r="A20" t="inlineStr">
        <is>
          <t>A 11288-2024</t>
        </is>
      </c>
      <c r="B20" s="1" t="n">
        <v>45371</v>
      </c>
      <c r="C20" s="1" t="n">
        <v>45511</v>
      </c>
      <c r="D20" t="inlineStr">
        <is>
          <t>VÄSTERNORRLANDS LÄN</t>
        </is>
      </c>
      <c r="E20" t="inlineStr">
        <is>
          <t>TIMRÅ</t>
        </is>
      </c>
      <c r="G20" t="n">
        <v>2.4</v>
      </c>
      <c r="H20" t="n">
        <v>3</v>
      </c>
      <c r="I20" t="n">
        <v>1</v>
      </c>
      <c r="J20" t="n">
        <v>1</v>
      </c>
      <c r="K20" t="n">
        <v>0</v>
      </c>
      <c r="L20" t="n">
        <v>0</v>
      </c>
      <c r="M20" t="n">
        <v>0</v>
      </c>
      <c r="N20" t="n">
        <v>0</v>
      </c>
      <c r="O20" t="n">
        <v>1</v>
      </c>
      <c r="P20" t="n">
        <v>0</v>
      </c>
      <c r="Q20" t="n">
        <v>4</v>
      </c>
      <c r="R20" s="2" t="inlineStr">
        <is>
          <t>Spillkråka
Stor aspticka
Gråspett
Skogsduva</t>
        </is>
      </c>
      <c r="S20">
        <f>HYPERLINK("https://klasma.github.io/Logging_2262/artfynd/A 11288-2024 artfynd.xlsx", "A 11288-2024")</f>
        <v/>
      </c>
      <c r="T20">
        <f>HYPERLINK("https://klasma.github.io/Logging_2262/kartor/A 11288-2024 karta.png", "A 11288-2024")</f>
        <v/>
      </c>
      <c r="V20">
        <f>HYPERLINK("https://klasma.github.io/Logging_2262/klagomål/A 11288-2024 FSC-klagomål.docx", "A 11288-2024")</f>
        <v/>
      </c>
      <c r="W20">
        <f>HYPERLINK("https://klasma.github.io/Logging_2262/klagomålsmail/A 11288-2024 FSC-klagomål mail.docx", "A 11288-2024")</f>
        <v/>
      </c>
      <c r="X20">
        <f>HYPERLINK("https://klasma.github.io/Logging_2262/tillsyn/A 11288-2024 tillsynsbegäran.docx", "A 11288-2024")</f>
        <v/>
      </c>
      <c r="Y20">
        <f>HYPERLINK("https://klasma.github.io/Logging_2262/tillsynsmail/A 11288-2024 tillsynsbegäran mail.docx", "A 11288-2024")</f>
        <v/>
      </c>
      <c r="Z20">
        <f>HYPERLINK("https://klasma.github.io/Logging_2262/fåglar/A 11288-2024 prioriterade fågelarter.docx", "A 11288-2024")</f>
        <v/>
      </c>
    </row>
    <row r="21" ht="15" customHeight="1">
      <c r="A21" t="inlineStr">
        <is>
          <t>A 47816-2022</t>
        </is>
      </c>
      <c r="B21" s="1" t="n">
        <v>44854</v>
      </c>
      <c r="C21" s="1" t="n">
        <v>45511</v>
      </c>
      <c r="D21" t="inlineStr">
        <is>
          <t>VÄSTERNORRLANDS LÄN</t>
        </is>
      </c>
      <c r="E21" t="inlineStr">
        <is>
          <t>TIMRÅ</t>
        </is>
      </c>
      <c r="F21" t="inlineStr">
        <is>
          <t>SCA</t>
        </is>
      </c>
      <c r="G21" t="n">
        <v>2.9</v>
      </c>
      <c r="H21" t="n">
        <v>0</v>
      </c>
      <c r="I21" t="n">
        <v>0</v>
      </c>
      <c r="J21" t="n">
        <v>3</v>
      </c>
      <c r="K21" t="n">
        <v>0</v>
      </c>
      <c r="L21" t="n">
        <v>0</v>
      </c>
      <c r="M21" t="n">
        <v>0</v>
      </c>
      <c r="N21" t="n">
        <v>0</v>
      </c>
      <c r="O21" t="n">
        <v>3</v>
      </c>
      <c r="P21" t="n">
        <v>0</v>
      </c>
      <c r="Q21" t="n">
        <v>3</v>
      </c>
      <c r="R21" s="2" t="inlineStr">
        <is>
          <t>Garnlav
Tallticka
Violettgrå tagellav</t>
        </is>
      </c>
      <c r="S21">
        <f>HYPERLINK("https://klasma.github.io/Logging_2262/artfynd/A 47816-2022 artfynd.xlsx", "A 47816-2022")</f>
        <v/>
      </c>
      <c r="T21">
        <f>HYPERLINK("https://klasma.github.io/Logging_2262/kartor/A 47816-2022 karta.png", "A 47816-2022")</f>
        <v/>
      </c>
      <c r="V21">
        <f>HYPERLINK("https://klasma.github.io/Logging_2262/klagomål/A 47816-2022 FSC-klagomål.docx", "A 47816-2022")</f>
        <v/>
      </c>
      <c r="W21">
        <f>HYPERLINK("https://klasma.github.io/Logging_2262/klagomålsmail/A 47816-2022 FSC-klagomål mail.docx", "A 47816-2022")</f>
        <v/>
      </c>
      <c r="X21">
        <f>HYPERLINK("https://klasma.github.io/Logging_2262/tillsyn/A 47816-2022 tillsynsbegäran.docx", "A 47816-2022")</f>
        <v/>
      </c>
      <c r="Y21">
        <f>HYPERLINK("https://klasma.github.io/Logging_2262/tillsynsmail/A 47816-2022 tillsynsbegäran mail.docx", "A 47816-2022")</f>
        <v/>
      </c>
    </row>
    <row r="22" ht="15" customHeight="1">
      <c r="A22" t="inlineStr">
        <is>
          <t>A 17217-2023</t>
        </is>
      </c>
      <c r="B22" s="1" t="n">
        <v>45034</v>
      </c>
      <c r="C22" s="1" t="n">
        <v>45511</v>
      </c>
      <c r="D22" t="inlineStr">
        <is>
          <t>VÄSTERNORRLANDS LÄN</t>
        </is>
      </c>
      <c r="E22" t="inlineStr">
        <is>
          <t>TIMRÅ</t>
        </is>
      </c>
      <c r="F22" t="inlineStr">
        <is>
          <t>SCA</t>
        </is>
      </c>
      <c r="G22" t="n">
        <v>5.1</v>
      </c>
      <c r="H22" t="n">
        <v>0</v>
      </c>
      <c r="I22" t="n">
        <v>0</v>
      </c>
      <c r="J22" t="n">
        <v>3</v>
      </c>
      <c r="K22" t="n">
        <v>0</v>
      </c>
      <c r="L22" t="n">
        <v>0</v>
      </c>
      <c r="M22" t="n">
        <v>0</v>
      </c>
      <c r="N22" t="n">
        <v>0</v>
      </c>
      <c r="O22" t="n">
        <v>3</v>
      </c>
      <c r="P22" t="n">
        <v>0</v>
      </c>
      <c r="Q22" t="n">
        <v>3</v>
      </c>
      <c r="R22" s="2" t="inlineStr">
        <is>
          <t>Garnlav
Lunglav
Vedflamlav</t>
        </is>
      </c>
      <c r="S22">
        <f>HYPERLINK("https://klasma.github.io/Logging_2262/artfynd/A 17217-2023 artfynd.xlsx", "A 17217-2023")</f>
        <v/>
      </c>
      <c r="T22">
        <f>HYPERLINK("https://klasma.github.io/Logging_2262/kartor/A 17217-2023 karta.png", "A 17217-2023")</f>
        <v/>
      </c>
      <c r="V22">
        <f>HYPERLINK("https://klasma.github.io/Logging_2262/klagomål/A 17217-2023 FSC-klagomål.docx", "A 17217-2023")</f>
        <v/>
      </c>
      <c r="W22">
        <f>HYPERLINK("https://klasma.github.io/Logging_2262/klagomålsmail/A 17217-2023 FSC-klagomål mail.docx", "A 17217-2023")</f>
        <v/>
      </c>
      <c r="X22">
        <f>HYPERLINK("https://klasma.github.io/Logging_2262/tillsyn/A 17217-2023 tillsynsbegäran.docx", "A 17217-2023")</f>
        <v/>
      </c>
      <c r="Y22">
        <f>HYPERLINK("https://klasma.github.io/Logging_2262/tillsynsmail/A 17217-2023 tillsynsbegäran mail.docx", "A 17217-2023")</f>
        <v/>
      </c>
    </row>
    <row r="23" ht="15" customHeight="1">
      <c r="A23" t="inlineStr">
        <is>
          <t>A 37799-2023</t>
        </is>
      </c>
      <c r="B23" s="1" t="n">
        <v>45159</v>
      </c>
      <c r="C23" s="1" t="n">
        <v>45511</v>
      </c>
      <c r="D23" t="inlineStr">
        <is>
          <t>VÄSTERNORRLANDS LÄN</t>
        </is>
      </c>
      <c r="E23" t="inlineStr">
        <is>
          <t>TIMRÅ</t>
        </is>
      </c>
      <c r="F23" t="inlineStr">
        <is>
          <t>SCA</t>
        </is>
      </c>
      <c r="G23" t="n">
        <v>3.3</v>
      </c>
      <c r="H23" t="n">
        <v>0</v>
      </c>
      <c r="I23" t="n">
        <v>0</v>
      </c>
      <c r="J23" t="n">
        <v>3</v>
      </c>
      <c r="K23" t="n">
        <v>0</v>
      </c>
      <c r="L23" t="n">
        <v>0</v>
      </c>
      <c r="M23" t="n">
        <v>0</v>
      </c>
      <c r="N23" t="n">
        <v>0</v>
      </c>
      <c r="O23" t="n">
        <v>3</v>
      </c>
      <c r="P23" t="n">
        <v>0</v>
      </c>
      <c r="Q23" t="n">
        <v>3</v>
      </c>
      <c r="R23" s="2" t="inlineStr">
        <is>
          <t>Garnlav
Ullticka
Veckticka</t>
        </is>
      </c>
      <c r="S23">
        <f>HYPERLINK("https://klasma.github.io/Logging_2262/artfynd/A 37799-2023 artfynd.xlsx", "A 37799-2023")</f>
        <v/>
      </c>
      <c r="T23">
        <f>HYPERLINK("https://klasma.github.io/Logging_2262/kartor/A 37799-2023 karta.png", "A 37799-2023")</f>
        <v/>
      </c>
      <c r="V23">
        <f>HYPERLINK("https://klasma.github.io/Logging_2262/klagomål/A 37799-2023 FSC-klagomål.docx", "A 37799-2023")</f>
        <v/>
      </c>
      <c r="W23">
        <f>HYPERLINK("https://klasma.github.io/Logging_2262/klagomålsmail/A 37799-2023 FSC-klagomål mail.docx", "A 37799-2023")</f>
        <v/>
      </c>
      <c r="X23">
        <f>HYPERLINK("https://klasma.github.io/Logging_2262/tillsyn/A 37799-2023 tillsynsbegäran.docx", "A 37799-2023")</f>
        <v/>
      </c>
      <c r="Y23">
        <f>HYPERLINK("https://klasma.github.io/Logging_2262/tillsynsmail/A 37799-2023 tillsynsbegäran mail.docx", "A 37799-2023")</f>
        <v/>
      </c>
    </row>
    <row r="24" ht="15" customHeight="1">
      <c r="A24" t="inlineStr">
        <is>
          <t>A 43961-2023</t>
        </is>
      </c>
      <c r="B24" s="1" t="n">
        <v>45187</v>
      </c>
      <c r="C24" s="1" t="n">
        <v>45511</v>
      </c>
      <c r="D24" t="inlineStr">
        <is>
          <t>VÄSTERNORRLANDS LÄN</t>
        </is>
      </c>
      <c r="E24" t="inlineStr">
        <is>
          <t>TIMRÅ</t>
        </is>
      </c>
      <c r="F24" t="inlineStr">
        <is>
          <t>SCA</t>
        </is>
      </c>
      <c r="G24" t="n">
        <v>4</v>
      </c>
      <c r="H24" t="n">
        <v>0</v>
      </c>
      <c r="I24" t="n">
        <v>2</v>
      </c>
      <c r="J24" t="n">
        <v>1</v>
      </c>
      <c r="K24" t="n">
        <v>0</v>
      </c>
      <c r="L24" t="n">
        <v>0</v>
      </c>
      <c r="M24" t="n">
        <v>0</v>
      </c>
      <c r="N24" t="n">
        <v>0</v>
      </c>
      <c r="O24" t="n">
        <v>1</v>
      </c>
      <c r="P24" t="n">
        <v>0</v>
      </c>
      <c r="Q24" t="n">
        <v>3</v>
      </c>
      <c r="R24" s="2" t="inlineStr">
        <is>
          <t>Garnlav
Skinnlav
Vedticka</t>
        </is>
      </c>
      <c r="S24">
        <f>HYPERLINK("https://klasma.github.io/Logging_2262/artfynd/A 43961-2023 artfynd.xlsx", "A 43961-2023")</f>
        <v/>
      </c>
      <c r="T24">
        <f>HYPERLINK("https://klasma.github.io/Logging_2262/kartor/A 43961-2023 karta.png", "A 43961-2023")</f>
        <v/>
      </c>
      <c r="V24">
        <f>HYPERLINK("https://klasma.github.io/Logging_2262/klagomål/A 43961-2023 FSC-klagomål.docx", "A 43961-2023")</f>
        <v/>
      </c>
      <c r="W24">
        <f>HYPERLINK("https://klasma.github.io/Logging_2262/klagomålsmail/A 43961-2023 FSC-klagomål mail.docx", "A 43961-2023")</f>
        <v/>
      </c>
      <c r="X24">
        <f>HYPERLINK("https://klasma.github.io/Logging_2262/tillsyn/A 43961-2023 tillsynsbegäran.docx", "A 43961-2023")</f>
        <v/>
      </c>
      <c r="Y24">
        <f>HYPERLINK("https://klasma.github.io/Logging_2262/tillsynsmail/A 43961-2023 tillsynsbegäran mail.docx", "A 43961-2023")</f>
        <v/>
      </c>
    </row>
    <row r="25" ht="15" customHeight="1">
      <c r="A25" t="inlineStr">
        <is>
          <t>A 54039-2023</t>
        </is>
      </c>
      <c r="B25" s="1" t="n">
        <v>45231</v>
      </c>
      <c r="C25" s="1" t="n">
        <v>45511</v>
      </c>
      <c r="D25" t="inlineStr">
        <is>
          <t>VÄSTERNORRLANDS LÄN</t>
        </is>
      </c>
      <c r="E25" t="inlineStr">
        <is>
          <t>TIMRÅ</t>
        </is>
      </c>
      <c r="F25" t="inlineStr">
        <is>
          <t>SCA</t>
        </is>
      </c>
      <c r="G25" t="n">
        <v>8.4</v>
      </c>
      <c r="H25" t="n">
        <v>0</v>
      </c>
      <c r="I25" t="n">
        <v>0</v>
      </c>
      <c r="J25" t="n">
        <v>3</v>
      </c>
      <c r="K25" t="n">
        <v>0</v>
      </c>
      <c r="L25" t="n">
        <v>0</v>
      </c>
      <c r="M25" t="n">
        <v>0</v>
      </c>
      <c r="N25" t="n">
        <v>0</v>
      </c>
      <c r="O25" t="n">
        <v>3</v>
      </c>
      <c r="P25" t="n">
        <v>0</v>
      </c>
      <c r="Q25" t="n">
        <v>3</v>
      </c>
      <c r="R25" s="2" t="inlineStr">
        <is>
          <t>Garnlav
Granticka
Lunglav</t>
        </is>
      </c>
      <c r="S25">
        <f>HYPERLINK("https://klasma.github.io/Logging_2262/artfynd/A 54039-2023 artfynd.xlsx", "A 54039-2023")</f>
        <v/>
      </c>
      <c r="T25">
        <f>HYPERLINK("https://klasma.github.io/Logging_2262/kartor/A 54039-2023 karta.png", "A 54039-2023")</f>
        <v/>
      </c>
      <c r="V25">
        <f>HYPERLINK("https://klasma.github.io/Logging_2262/klagomål/A 54039-2023 FSC-klagomål.docx", "A 54039-2023")</f>
        <v/>
      </c>
      <c r="W25">
        <f>HYPERLINK("https://klasma.github.io/Logging_2262/klagomålsmail/A 54039-2023 FSC-klagomål mail.docx", "A 54039-2023")</f>
        <v/>
      </c>
      <c r="X25">
        <f>HYPERLINK("https://klasma.github.io/Logging_2262/tillsyn/A 54039-2023 tillsynsbegäran.docx", "A 54039-2023")</f>
        <v/>
      </c>
      <c r="Y25">
        <f>HYPERLINK("https://klasma.github.io/Logging_2262/tillsynsmail/A 54039-2023 tillsynsbegäran mail.docx", "A 54039-2023")</f>
        <v/>
      </c>
    </row>
    <row r="26" ht="15" customHeight="1">
      <c r="A26" t="inlineStr">
        <is>
          <t>A 5069-2024</t>
        </is>
      </c>
      <c r="B26" s="1" t="n">
        <v>45329</v>
      </c>
      <c r="C26" s="1" t="n">
        <v>45511</v>
      </c>
      <c r="D26" t="inlineStr">
        <is>
          <t>VÄSTERNORRLANDS LÄN</t>
        </is>
      </c>
      <c r="E26" t="inlineStr">
        <is>
          <t>TIMRÅ</t>
        </is>
      </c>
      <c r="F26" t="inlineStr">
        <is>
          <t>SCA</t>
        </is>
      </c>
      <c r="G26" t="n">
        <v>3.4</v>
      </c>
      <c r="H26" t="n">
        <v>1</v>
      </c>
      <c r="I26" t="n">
        <v>2</v>
      </c>
      <c r="J26" t="n">
        <v>1</v>
      </c>
      <c r="K26" t="n">
        <v>0</v>
      </c>
      <c r="L26" t="n">
        <v>0</v>
      </c>
      <c r="M26" t="n">
        <v>0</v>
      </c>
      <c r="N26" t="n">
        <v>0</v>
      </c>
      <c r="O26" t="n">
        <v>1</v>
      </c>
      <c r="P26" t="n">
        <v>0</v>
      </c>
      <c r="Q26" t="n">
        <v>3</v>
      </c>
      <c r="R26" s="2" t="inlineStr">
        <is>
          <t>Garnlav
Korallrot
Vedticka</t>
        </is>
      </c>
      <c r="S26">
        <f>HYPERLINK("https://klasma.github.io/Logging_2262/artfynd/A 5069-2024 artfynd.xlsx", "A 5069-2024")</f>
        <v/>
      </c>
      <c r="T26">
        <f>HYPERLINK("https://klasma.github.io/Logging_2262/kartor/A 5069-2024 karta.png", "A 5069-2024")</f>
        <v/>
      </c>
      <c r="V26">
        <f>HYPERLINK("https://klasma.github.io/Logging_2262/klagomål/A 5069-2024 FSC-klagomål.docx", "A 5069-2024")</f>
        <v/>
      </c>
      <c r="W26">
        <f>HYPERLINK("https://klasma.github.io/Logging_2262/klagomålsmail/A 5069-2024 FSC-klagomål mail.docx", "A 5069-2024")</f>
        <v/>
      </c>
      <c r="X26">
        <f>HYPERLINK("https://klasma.github.io/Logging_2262/tillsyn/A 5069-2024 tillsynsbegäran.docx", "A 5069-2024")</f>
        <v/>
      </c>
      <c r="Y26">
        <f>HYPERLINK("https://klasma.github.io/Logging_2262/tillsynsmail/A 5069-2024 tillsynsbegäran mail.docx", "A 5069-2024")</f>
        <v/>
      </c>
    </row>
    <row r="27" ht="15" customHeight="1">
      <c r="A27" t="inlineStr">
        <is>
          <t>A 21846-2024</t>
        </is>
      </c>
      <c r="B27" s="1" t="n">
        <v>45442</v>
      </c>
      <c r="C27" s="1" t="n">
        <v>45511</v>
      </c>
      <c r="D27" t="inlineStr">
        <is>
          <t>VÄSTERNORRLANDS LÄN</t>
        </is>
      </c>
      <c r="E27" t="inlineStr">
        <is>
          <t>TIMRÅ</t>
        </is>
      </c>
      <c r="F27" t="inlineStr">
        <is>
          <t>SCA</t>
        </is>
      </c>
      <c r="G27" t="n">
        <v>2.6</v>
      </c>
      <c r="H27" t="n">
        <v>1</v>
      </c>
      <c r="I27" t="n">
        <v>0</v>
      </c>
      <c r="J27" t="n">
        <v>3</v>
      </c>
      <c r="K27" t="n">
        <v>0</v>
      </c>
      <c r="L27" t="n">
        <v>0</v>
      </c>
      <c r="M27" t="n">
        <v>0</v>
      </c>
      <c r="N27" t="n">
        <v>0</v>
      </c>
      <c r="O27" t="n">
        <v>3</v>
      </c>
      <c r="P27" t="n">
        <v>0</v>
      </c>
      <c r="Q27" t="n">
        <v>3</v>
      </c>
      <c r="R27" s="2" t="inlineStr">
        <is>
          <t>Garnlav
Tretåig hackspett
Vedflamlav</t>
        </is>
      </c>
      <c r="S27">
        <f>HYPERLINK("https://klasma.github.io/Logging_2262/artfynd/A 21846-2024 artfynd.xlsx", "A 21846-2024")</f>
        <v/>
      </c>
      <c r="T27">
        <f>HYPERLINK("https://klasma.github.io/Logging_2262/kartor/A 21846-2024 karta.png", "A 21846-2024")</f>
        <v/>
      </c>
      <c r="V27">
        <f>HYPERLINK("https://klasma.github.io/Logging_2262/klagomål/A 21846-2024 FSC-klagomål.docx", "A 21846-2024")</f>
        <v/>
      </c>
      <c r="W27">
        <f>HYPERLINK("https://klasma.github.io/Logging_2262/klagomålsmail/A 21846-2024 FSC-klagomål mail.docx", "A 21846-2024")</f>
        <v/>
      </c>
      <c r="X27">
        <f>HYPERLINK("https://klasma.github.io/Logging_2262/tillsyn/A 21846-2024 tillsynsbegäran.docx", "A 21846-2024")</f>
        <v/>
      </c>
      <c r="Y27">
        <f>HYPERLINK("https://klasma.github.io/Logging_2262/tillsynsmail/A 21846-2024 tillsynsbegäran mail.docx", "A 21846-2024")</f>
        <v/>
      </c>
      <c r="Z27">
        <f>HYPERLINK("https://klasma.github.io/Logging_2262/fåglar/A 21846-2024 prioriterade fågelarter.docx", "A 21846-2024")</f>
        <v/>
      </c>
    </row>
    <row r="28" ht="15" customHeight="1">
      <c r="A28" t="inlineStr">
        <is>
          <t>A 18510-2021</t>
        </is>
      </c>
      <c r="B28" s="1" t="n">
        <v>44306</v>
      </c>
      <c r="C28" s="1" t="n">
        <v>45511</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23222-2022</t>
        </is>
      </c>
      <c r="B29" s="1" t="n">
        <v>44719</v>
      </c>
      <c r="C29" s="1" t="n">
        <v>45511</v>
      </c>
      <c r="D29" t="inlineStr">
        <is>
          <t>VÄSTERNORRLANDS LÄN</t>
        </is>
      </c>
      <c r="E29" t="inlineStr">
        <is>
          <t>TIMRÅ</t>
        </is>
      </c>
      <c r="F29" t="inlineStr">
        <is>
          <t>SCA</t>
        </is>
      </c>
      <c r="G29" t="n">
        <v>4</v>
      </c>
      <c r="H29" t="n">
        <v>0</v>
      </c>
      <c r="I29" t="n">
        <v>0</v>
      </c>
      <c r="J29" t="n">
        <v>2</v>
      </c>
      <c r="K29" t="n">
        <v>0</v>
      </c>
      <c r="L29" t="n">
        <v>0</v>
      </c>
      <c r="M29" t="n">
        <v>0</v>
      </c>
      <c r="N29" t="n">
        <v>0</v>
      </c>
      <c r="O29" t="n">
        <v>2</v>
      </c>
      <c r="P29" t="n">
        <v>0</v>
      </c>
      <c r="Q29" t="n">
        <v>2</v>
      </c>
      <c r="R29" s="2" t="inlineStr">
        <is>
          <t>Gammelgransskål
Garnlav</t>
        </is>
      </c>
      <c r="S29">
        <f>HYPERLINK("https://klasma.github.io/Logging_2262/artfynd/A 23222-2022 artfynd.xlsx", "A 23222-2022")</f>
        <v/>
      </c>
      <c r="T29">
        <f>HYPERLINK("https://klasma.github.io/Logging_2262/kartor/A 23222-2022 karta.png", "A 23222-2022")</f>
        <v/>
      </c>
      <c r="V29">
        <f>HYPERLINK("https://klasma.github.io/Logging_2262/klagomål/A 23222-2022 FSC-klagomål.docx", "A 23222-2022")</f>
        <v/>
      </c>
      <c r="W29">
        <f>HYPERLINK("https://klasma.github.io/Logging_2262/klagomålsmail/A 23222-2022 FSC-klagomål mail.docx", "A 23222-2022")</f>
        <v/>
      </c>
      <c r="X29">
        <f>HYPERLINK("https://klasma.github.io/Logging_2262/tillsyn/A 23222-2022 tillsynsbegäran.docx", "A 23222-2022")</f>
        <v/>
      </c>
      <c r="Y29">
        <f>HYPERLINK("https://klasma.github.io/Logging_2262/tillsynsmail/A 23222-2022 tillsynsbegäran mail.docx", "A 23222-2022")</f>
        <v/>
      </c>
    </row>
    <row r="30" ht="15" customHeight="1">
      <c r="A30" t="inlineStr">
        <is>
          <t>A 30246-2022</t>
        </is>
      </c>
      <c r="B30" s="1" t="n">
        <v>44758</v>
      </c>
      <c r="C30" s="1" t="n">
        <v>45511</v>
      </c>
      <c r="D30" t="inlineStr">
        <is>
          <t>VÄSTERNORRLANDS LÄN</t>
        </is>
      </c>
      <c r="E30" t="inlineStr">
        <is>
          <t>TIMRÅ</t>
        </is>
      </c>
      <c r="F30" t="inlineStr">
        <is>
          <t>SCA</t>
        </is>
      </c>
      <c r="G30" t="n">
        <v>0.8</v>
      </c>
      <c r="H30" t="n">
        <v>1</v>
      </c>
      <c r="I30" t="n">
        <v>0</v>
      </c>
      <c r="J30" t="n">
        <v>1</v>
      </c>
      <c r="K30" t="n">
        <v>0</v>
      </c>
      <c r="L30" t="n">
        <v>0</v>
      </c>
      <c r="M30" t="n">
        <v>0</v>
      </c>
      <c r="N30" t="n">
        <v>0</v>
      </c>
      <c r="O30" t="n">
        <v>1</v>
      </c>
      <c r="P30" t="n">
        <v>0</v>
      </c>
      <c r="Q30" t="n">
        <v>2</v>
      </c>
      <c r="R30" s="2" t="inlineStr">
        <is>
          <t>Garnlav
Vanlig padda</t>
        </is>
      </c>
      <c r="S30">
        <f>HYPERLINK("https://klasma.github.io/Logging_2262/artfynd/A 30246-2022 artfynd.xlsx", "A 30246-2022")</f>
        <v/>
      </c>
      <c r="T30">
        <f>HYPERLINK("https://klasma.github.io/Logging_2262/kartor/A 30246-2022 karta.png", "A 30246-2022")</f>
        <v/>
      </c>
      <c r="V30">
        <f>HYPERLINK("https://klasma.github.io/Logging_2262/klagomål/A 30246-2022 FSC-klagomål.docx", "A 30246-2022")</f>
        <v/>
      </c>
      <c r="W30">
        <f>HYPERLINK("https://klasma.github.io/Logging_2262/klagomålsmail/A 30246-2022 FSC-klagomål mail.docx", "A 30246-2022")</f>
        <v/>
      </c>
      <c r="X30">
        <f>HYPERLINK("https://klasma.github.io/Logging_2262/tillsyn/A 30246-2022 tillsynsbegäran.docx", "A 30246-2022")</f>
        <v/>
      </c>
      <c r="Y30">
        <f>HYPERLINK("https://klasma.github.io/Logging_2262/tillsynsmail/A 30246-2022 tillsynsbegäran mail.docx", "A 30246-2022")</f>
        <v/>
      </c>
    </row>
    <row r="31" ht="15" customHeight="1">
      <c r="A31" t="inlineStr">
        <is>
          <t>A 42283-2022</t>
        </is>
      </c>
      <c r="B31" s="1" t="n">
        <v>44830</v>
      </c>
      <c r="C31" s="1" t="n">
        <v>45511</v>
      </c>
      <c r="D31" t="inlineStr">
        <is>
          <t>VÄSTERNORRLANDS LÄN</t>
        </is>
      </c>
      <c r="E31" t="inlineStr">
        <is>
          <t>TIMRÅ</t>
        </is>
      </c>
      <c r="F31" t="inlineStr">
        <is>
          <t>SCA</t>
        </is>
      </c>
      <c r="G31" t="n">
        <v>5.2</v>
      </c>
      <c r="H31" t="n">
        <v>0</v>
      </c>
      <c r="I31" t="n">
        <v>0</v>
      </c>
      <c r="J31" t="n">
        <v>2</v>
      </c>
      <c r="K31" t="n">
        <v>0</v>
      </c>
      <c r="L31" t="n">
        <v>0</v>
      </c>
      <c r="M31" t="n">
        <v>0</v>
      </c>
      <c r="N31" t="n">
        <v>0</v>
      </c>
      <c r="O31" t="n">
        <v>2</v>
      </c>
      <c r="P31" t="n">
        <v>0</v>
      </c>
      <c r="Q31" t="n">
        <v>2</v>
      </c>
      <c r="R31" s="2" t="inlineStr">
        <is>
          <t>Garnlav
Lunglav</t>
        </is>
      </c>
      <c r="S31">
        <f>HYPERLINK("https://klasma.github.io/Logging_2262/artfynd/A 42283-2022 artfynd.xlsx", "A 42283-2022")</f>
        <v/>
      </c>
      <c r="T31">
        <f>HYPERLINK("https://klasma.github.io/Logging_2262/kartor/A 42283-2022 karta.png", "A 42283-2022")</f>
        <v/>
      </c>
      <c r="V31">
        <f>HYPERLINK("https://klasma.github.io/Logging_2262/klagomål/A 42283-2022 FSC-klagomål.docx", "A 42283-2022")</f>
        <v/>
      </c>
      <c r="W31">
        <f>HYPERLINK("https://klasma.github.io/Logging_2262/klagomålsmail/A 42283-2022 FSC-klagomål mail.docx", "A 42283-2022")</f>
        <v/>
      </c>
      <c r="X31">
        <f>HYPERLINK("https://klasma.github.io/Logging_2262/tillsyn/A 42283-2022 tillsynsbegäran.docx", "A 42283-2022")</f>
        <v/>
      </c>
      <c r="Y31">
        <f>HYPERLINK("https://klasma.github.io/Logging_2262/tillsynsmail/A 42283-2022 tillsynsbegäran mail.docx", "A 42283-2022")</f>
        <v/>
      </c>
    </row>
    <row r="32" ht="15" customHeight="1">
      <c r="A32" t="inlineStr">
        <is>
          <t>A 42284-2022</t>
        </is>
      </c>
      <c r="B32" s="1" t="n">
        <v>44830</v>
      </c>
      <c r="C32" s="1" t="n">
        <v>45511</v>
      </c>
      <c r="D32" t="inlineStr">
        <is>
          <t>VÄSTERNORRLANDS LÄN</t>
        </is>
      </c>
      <c r="E32" t="inlineStr">
        <is>
          <t>TIMRÅ</t>
        </is>
      </c>
      <c r="F32" t="inlineStr">
        <is>
          <t>SCA</t>
        </is>
      </c>
      <c r="G32" t="n">
        <v>7.4</v>
      </c>
      <c r="H32" t="n">
        <v>0</v>
      </c>
      <c r="I32" t="n">
        <v>0</v>
      </c>
      <c r="J32" t="n">
        <v>2</v>
      </c>
      <c r="K32" t="n">
        <v>0</v>
      </c>
      <c r="L32" t="n">
        <v>0</v>
      </c>
      <c r="M32" t="n">
        <v>0</v>
      </c>
      <c r="N32" t="n">
        <v>0</v>
      </c>
      <c r="O32" t="n">
        <v>2</v>
      </c>
      <c r="P32" t="n">
        <v>0</v>
      </c>
      <c r="Q32" t="n">
        <v>2</v>
      </c>
      <c r="R32" s="2" t="inlineStr">
        <is>
          <t>Garnlav
Violettgrå tagellav</t>
        </is>
      </c>
      <c r="S32">
        <f>HYPERLINK("https://klasma.github.io/Logging_2262/artfynd/A 42284-2022 artfynd.xlsx", "A 42284-2022")</f>
        <v/>
      </c>
      <c r="T32">
        <f>HYPERLINK("https://klasma.github.io/Logging_2262/kartor/A 42284-2022 karta.png", "A 42284-2022")</f>
        <v/>
      </c>
      <c r="V32">
        <f>HYPERLINK("https://klasma.github.io/Logging_2262/klagomål/A 42284-2022 FSC-klagomål.docx", "A 42284-2022")</f>
        <v/>
      </c>
      <c r="W32">
        <f>HYPERLINK("https://klasma.github.io/Logging_2262/klagomålsmail/A 42284-2022 FSC-klagomål mail.docx", "A 42284-2022")</f>
        <v/>
      </c>
      <c r="X32">
        <f>HYPERLINK("https://klasma.github.io/Logging_2262/tillsyn/A 42284-2022 tillsynsbegäran.docx", "A 42284-2022")</f>
        <v/>
      </c>
      <c r="Y32">
        <f>HYPERLINK("https://klasma.github.io/Logging_2262/tillsynsmail/A 42284-2022 tillsynsbegäran mail.docx", "A 42284-2022")</f>
        <v/>
      </c>
    </row>
    <row r="33" ht="15" customHeight="1">
      <c r="A33" t="inlineStr">
        <is>
          <t>A 42285-2022</t>
        </is>
      </c>
      <c r="B33" s="1" t="n">
        <v>44830</v>
      </c>
      <c r="C33" s="1" t="n">
        <v>45511</v>
      </c>
      <c r="D33" t="inlineStr">
        <is>
          <t>VÄSTERNORRLANDS LÄN</t>
        </is>
      </c>
      <c r="E33" t="inlineStr">
        <is>
          <t>TIMRÅ</t>
        </is>
      </c>
      <c r="F33" t="inlineStr">
        <is>
          <t>SCA</t>
        </is>
      </c>
      <c r="G33" t="n">
        <v>2.9</v>
      </c>
      <c r="H33" t="n">
        <v>0</v>
      </c>
      <c r="I33" t="n">
        <v>2</v>
      </c>
      <c r="J33" t="n">
        <v>0</v>
      </c>
      <c r="K33" t="n">
        <v>0</v>
      </c>
      <c r="L33" t="n">
        <v>0</v>
      </c>
      <c r="M33" t="n">
        <v>0</v>
      </c>
      <c r="N33" t="n">
        <v>0</v>
      </c>
      <c r="O33" t="n">
        <v>0</v>
      </c>
      <c r="P33" t="n">
        <v>0</v>
      </c>
      <c r="Q33" t="n">
        <v>2</v>
      </c>
      <c r="R33" s="2" t="inlineStr">
        <is>
          <t>Korallblylav
Skinnlav</t>
        </is>
      </c>
      <c r="S33">
        <f>HYPERLINK("https://klasma.github.io/Logging_2262/artfynd/A 42285-2022 artfynd.xlsx", "A 42285-2022")</f>
        <v/>
      </c>
      <c r="T33">
        <f>HYPERLINK("https://klasma.github.io/Logging_2262/kartor/A 42285-2022 karta.png", "A 42285-2022")</f>
        <v/>
      </c>
      <c r="V33">
        <f>HYPERLINK("https://klasma.github.io/Logging_2262/klagomål/A 42285-2022 FSC-klagomål.docx", "A 42285-2022")</f>
        <v/>
      </c>
      <c r="W33">
        <f>HYPERLINK("https://klasma.github.io/Logging_2262/klagomålsmail/A 42285-2022 FSC-klagomål mail.docx", "A 42285-2022")</f>
        <v/>
      </c>
      <c r="X33">
        <f>HYPERLINK("https://klasma.github.io/Logging_2262/tillsyn/A 42285-2022 tillsynsbegäran.docx", "A 42285-2022")</f>
        <v/>
      </c>
      <c r="Y33">
        <f>HYPERLINK("https://klasma.github.io/Logging_2262/tillsynsmail/A 42285-2022 tillsynsbegäran mail.docx", "A 42285-2022")</f>
        <v/>
      </c>
    </row>
    <row r="34" ht="15" customHeight="1">
      <c r="A34" t="inlineStr">
        <is>
          <t>A 42889-2022</t>
        </is>
      </c>
      <c r="B34" s="1" t="n">
        <v>44832</v>
      </c>
      <c r="C34" s="1" t="n">
        <v>45511</v>
      </c>
      <c r="D34" t="inlineStr">
        <is>
          <t>VÄSTERNORRLANDS LÄN</t>
        </is>
      </c>
      <c r="E34" t="inlineStr">
        <is>
          <t>TIMRÅ</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HYPERLINK("https://klasma.github.io/Logging_2262/artfynd/A 42889-2022 artfynd.xlsx", "A 42889-2022")</f>
        <v/>
      </c>
      <c r="T34">
        <f>HYPERLINK("https://klasma.github.io/Logging_2262/kartor/A 42889-2022 karta.png", "A 42889-2022")</f>
        <v/>
      </c>
      <c r="V34">
        <f>HYPERLINK("https://klasma.github.io/Logging_2262/klagomål/A 42889-2022 FSC-klagomål.docx", "A 42889-2022")</f>
        <v/>
      </c>
      <c r="W34">
        <f>HYPERLINK("https://klasma.github.io/Logging_2262/klagomålsmail/A 42889-2022 FSC-klagomål mail.docx", "A 42889-2022")</f>
        <v/>
      </c>
      <c r="X34">
        <f>HYPERLINK("https://klasma.github.io/Logging_2262/tillsyn/A 42889-2022 tillsynsbegäran.docx", "A 42889-2022")</f>
        <v/>
      </c>
      <c r="Y34">
        <f>HYPERLINK("https://klasma.github.io/Logging_2262/tillsynsmail/A 42889-2022 tillsynsbegäran mail.docx", "A 42889-2022")</f>
        <v/>
      </c>
      <c r="Z34">
        <f>HYPERLINK("https://klasma.github.io/Logging_2262/fåglar/A 42889-2022 prioriterade fågelarter.docx", "A 42889-2022")</f>
        <v/>
      </c>
    </row>
    <row r="35" ht="15" customHeight="1">
      <c r="A35" t="inlineStr">
        <is>
          <t>A 49202-2022</t>
        </is>
      </c>
      <c r="B35" s="1" t="n">
        <v>44860</v>
      </c>
      <c r="C35" s="1" t="n">
        <v>45511</v>
      </c>
      <c r="D35" t="inlineStr">
        <is>
          <t>VÄSTERNORRLANDS LÄN</t>
        </is>
      </c>
      <c r="E35" t="inlineStr">
        <is>
          <t>TIMRÅ</t>
        </is>
      </c>
      <c r="F35" t="inlineStr">
        <is>
          <t>SCA</t>
        </is>
      </c>
      <c r="G35" t="n">
        <v>2.2</v>
      </c>
      <c r="H35" t="n">
        <v>0</v>
      </c>
      <c r="I35" t="n">
        <v>0</v>
      </c>
      <c r="J35" t="n">
        <v>2</v>
      </c>
      <c r="K35" t="n">
        <v>0</v>
      </c>
      <c r="L35" t="n">
        <v>0</v>
      </c>
      <c r="M35" t="n">
        <v>0</v>
      </c>
      <c r="N35" t="n">
        <v>0</v>
      </c>
      <c r="O35" t="n">
        <v>2</v>
      </c>
      <c r="P35" t="n">
        <v>0</v>
      </c>
      <c r="Q35" t="n">
        <v>2</v>
      </c>
      <c r="R35" s="2" t="inlineStr">
        <is>
          <t>Garnlav
Violettgrå tagellav</t>
        </is>
      </c>
      <c r="S35">
        <f>HYPERLINK("https://klasma.github.io/Logging_2262/artfynd/A 49202-2022 artfynd.xlsx", "A 49202-2022")</f>
        <v/>
      </c>
      <c r="T35">
        <f>HYPERLINK("https://klasma.github.io/Logging_2262/kartor/A 49202-2022 karta.png", "A 49202-2022")</f>
        <v/>
      </c>
      <c r="V35">
        <f>HYPERLINK("https://klasma.github.io/Logging_2262/klagomål/A 49202-2022 FSC-klagomål.docx", "A 49202-2022")</f>
        <v/>
      </c>
      <c r="W35">
        <f>HYPERLINK("https://klasma.github.io/Logging_2262/klagomålsmail/A 49202-2022 FSC-klagomål mail.docx", "A 49202-2022")</f>
        <v/>
      </c>
      <c r="X35">
        <f>HYPERLINK("https://klasma.github.io/Logging_2262/tillsyn/A 49202-2022 tillsynsbegäran.docx", "A 49202-2022")</f>
        <v/>
      </c>
      <c r="Y35">
        <f>HYPERLINK("https://klasma.github.io/Logging_2262/tillsynsmail/A 49202-2022 tillsynsbegäran mail.docx", "A 49202-2022")</f>
        <v/>
      </c>
    </row>
    <row r="36" ht="15" customHeight="1">
      <c r="A36" t="inlineStr">
        <is>
          <t>A 29600-2023</t>
        </is>
      </c>
      <c r="B36" s="1" t="n">
        <v>45106</v>
      </c>
      <c r="C36" s="1" t="n">
        <v>45511</v>
      </c>
      <c r="D36" t="inlineStr">
        <is>
          <t>VÄSTERNORRLANDS LÄN</t>
        </is>
      </c>
      <c r="E36" t="inlineStr">
        <is>
          <t>TIMRÅ</t>
        </is>
      </c>
      <c r="F36" t="inlineStr">
        <is>
          <t>Kyrkan</t>
        </is>
      </c>
      <c r="G36" t="n">
        <v>5</v>
      </c>
      <c r="H36" t="n">
        <v>0</v>
      </c>
      <c r="I36" t="n">
        <v>2</v>
      </c>
      <c r="J36" t="n">
        <v>0</v>
      </c>
      <c r="K36" t="n">
        <v>0</v>
      </c>
      <c r="L36" t="n">
        <v>0</v>
      </c>
      <c r="M36" t="n">
        <v>0</v>
      </c>
      <c r="N36" t="n">
        <v>0</v>
      </c>
      <c r="O36" t="n">
        <v>0</v>
      </c>
      <c r="P36" t="n">
        <v>0</v>
      </c>
      <c r="Q36" t="n">
        <v>2</v>
      </c>
      <c r="R36" s="2" t="inlineStr">
        <is>
          <t>Dvärghäxört
Svart trolldruva</t>
        </is>
      </c>
      <c r="S36">
        <f>HYPERLINK("https://klasma.github.io/Logging_2262/artfynd/A 29600-2023 artfynd.xlsx", "A 29600-2023")</f>
        <v/>
      </c>
      <c r="T36">
        <f>HYPERLINK("https://klasma.github.io/Logging_2262/kartor/A 29600-2023 karta.png", "A 29600-2023")</f>
        <v/>
      </c>
      <c r="V36">
        <f>HYPERLINK("https://klasma.github.io/Logging_2262/klagomål/A 29600-2023 FSC-klagomål.docx", "A 29600-2023")</f>
        <v/>
      </c>
      <c r="W36">
        <f>HYPERLINK("https://klasma.github.io/Logging_2262/klagomålsmail/A 29600-2023 FSC-klagomål mail.docx", "A 29600-2023")</f>
        <v/>
      </c>
      <c r="X36">
        <f>HYPERLINK("https://klasma.github.io/Logging_2262/tillsyn/A 29600-2023 tillsynsbegäran.docx", "A 29600-2023")</f>
        <v/>
      </c>
      <c r="Y36">
        <f>HYPERLINK("https://klasma.github.io/Logging_2262/tillsynsmail/A 29600-2023 tillsynsbegäran mail.docx", "A 29600-2023")</f>
        <v/>
      </c>
    </row>
    <row r="37" ht="15" customHeight="1">
      <c r="A37" t="inlineStr">
        <is>
          <t>A 35003-2023</t>
        </is>
      </c>
      <c r="B37" s="1" t="n">
        <v>45142</v>
      </c>
      <c r="C37" s="1" t="n">
        <v>45511</v>
      </c>
      <c r="D37" t="inlineStr">
        <is>
          <t>VÄSTERNORRLANDS LÄN</t>
        </is>
      </c>
      <c r="E37" t="inlineStr">
        <is>
          <t>TIMRÅ</t>
        </is>
      </c>
      <c r="F37" t="inlineStr">
        <is>
          <t>SCA</t>
        </is>
      </c>
      <c r="G37" t="n">
        <v>1.9</v>
      </c>
      <c r="H37" t="n">
        <v>0</v>
      </c>
      <c r="I37" t="n">
        <v>0</v>
      </c>
      <c r="J37" t="n">
        <v>2</v>
      </c>
      <c r="K37" t="n">
        <v>0</v>
      </c>
      <c r="L37" t="n">
        <v>0</v>
      </c>
      <c r="M37" t="n">
        <v>0</v>
      </c>
      <c r="N37" t="n">
        <v>0</v>
      </c>
      <c r="O37" t="n">
        <v>2</v>
      </c>
      <c r="P37" t="n">
        <v>0</v>
      </c>
      <c r="Q37" t="n">
        <v>2</v>
      </c>
      <c r="R37" s="2" t="inlineStr">
        <is>
          <t>Lunglav
Ullticka</t>
        </is>
      </c>
      <c r="S37">
        <f>HYPERLINK("https://klasma.github.io/Logging_2262/artfynd/A 35003-2023 artfynd.xlsx", "A 35003-2023")</f>
        <v/>
      </c>
      <c r="T37">
        <f>HYPERLINK("https://klasma.github.io/Logging_2262/kartor/A 35003-2023 karta.png", "A 35003-2023")</f>
        <v/>
      </c>
      <c r="V37">
        <f>HYPERLINK("https://klasma.github.io/Logging_2262/klagomål/A 35003-2023 FSC-klagomål.docx", "A 35003-2023")</f>
        <v/>
      </c>
      <c r="W37">
        <f>HYPERLINK("https://klasma.github.io/Logging_2262/klagomålsmail/A 35003-2023 FSC-klagomål mail.docx", "A 35003-2023")</f>
        <v/>
      </c>
      <c r="X37">
        <f>HYPERLINK("https://klasma.github.io/Logging_2262/tillsyn/A 35003-2023 tillsynsbegäran.docx", "A 35003-2023")</f>
        <v/>
      </c>
      <c r="Y37">
        <f>HYPERLINK("https://klasma.github.io/Logging_2262/tillsynsmail/A 35003-2023 tillsynsbegäran mail.docx", "A 35003-2023")</f>
        <v/>
      </c>
    </row>
    <row r="38" ht="15" customHeight="1">
      <c r="A38" t="inlineStr">
        <is>
          <t>A 43413-2023</t>
        </is>
      </c>
      <c r="B38" s="1" t="n">
        <v>45183</v>
      </c>
      <c r="C38" s="1" t="n">
        <v>45511</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45511</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45511</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45511</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45511</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19449-2024</t>
        </is>
      </c>
      <c r="B43" s="1" t="n">
        <v>45429</v>
      </c>
      <c r="C43" s="1" t="n">
        <v>45511</v>
      </c>
      <c r="D43" t="inlineStr">
        <is>
          <t>VÄSTERNORRLANDS LÄN</t>
        </is>
      </c>
      <c r="E43" t="inlineStr">
        <is>
          <t>TIMRÅ</t>
        </is>
      </c>
      <c r="G43" t="n">
        <v>2.5</v>
      </c>
      <c r="H43" t="n">
        <v>2</v>
      </c>
      <c r="I43" t="n">
        <v>0</v>
      </c>
      <c r="J43" t="n">
        <v>1</v>
      </c>
      <c r="K43" t="n">
        <v>0</v>
      </c>
      <c r="L43" t="n">
        <v>0</v>
      </c>
      <c r="M43" t="n">
        <v>0</v>
      </c>
      <c r="N43" t="n">
        <v>0</v>
      </c>
      <c r="O43" t="n">
        <v>1</v>
      </c>
      <c r="P43" t="n">
        <v>0</v>
      </c>
      <c r="Q43" t="n">
        <v>2</v>
      </c>
      <c r="R43" s="2" t="inlineStr">
        <is>
          <t>Hornuggla
Gråspett</t>
        </is>
      </c>
      <c r="S43">
        <f>HYPERLINK("https://klasma.github.io/Logging_2262/artfynd/A 19449-2024 artfynd.xlsx", "A 19449-2024")</f>
        <v/>
      </c>
      <c r="T43">
        <f>HYPERLINK("https://klasma.github.io/Logging_2262/kartor/A 19449-2024 karta.png", "A 19449-2024")</f>
        <v/>
      </c>
      <c r="V43">
        <f>HYPERLINK("https://klasma.github.io/Logging_2262/klagomål/A 19449-2024 FSC-klagomål.docx", "A 19449-2024")</f>
        <v/>
      </c>
      <c r="W43">
        <f>HYPERLINK("https://klasma.github.io/Logging_2262/klagomålsmail/A 19449-2024 FSC-klagomål mail.docx", "A 19449-2024")</f>
        <v/>
      </c>
      <c r="X43">
        <f>HYPERLINK("https://klasma.github.io/Logging_2262/tillsyn/A 19449-2024 tillsynsbegäran.docx", "A 19449-2024")</f>
        <v/>
      </c>
      <c r="Y43">
        <f>HYPERLINK("https://klasma.github.io/Logging_2262/tillsynsmail/A 19449-2024 tillsynsbegäran mail.docx", "A 19449-2024")</f>
        <v/>
      </c>
      <c r="Z43">
        <f>HYPERLINK("https://klasma.github.io/Logging_2262/fåglar/A 19449-2024 prioriterade fågelarter.docx", "A 19449-2024")</f>
        <v/>
      </c>
    </row>
    <row r="44" ht="15" customHeight="1">
      <c r="A44" t="inlineStr">
        <is>
          <t>A 66710-2019</t>
        </is>
      </c>
      <c r="B44" s="1" t="n">
        <v>43809</v>
      </c>
      <c r="C44" s="1" t="n">
        <v>45511</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45511</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45511</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45511</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45511</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45511</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45511</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45511</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57242-2022</t>
        </is>
      </c>
      <c r="B52" s="1" t="n">
        <v>44889</v>
      </c>
      <c r="C52" s="1" t="n">
        <v>45511</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45511</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45511</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45511</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45511</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45511</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45511</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45511</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45511</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45511</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45511</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1152-2024</t>
        </is>
      </c>
      <c r="B63" s="1" t="n">
        <v>45302</v>
      </c>
      <c r="C63" s="1" t="n">
        <v>45511</v>
      </c>
      <c r="D63" t="inlineStr">
        <is>
          <t>VÄSTERNORRLANDS LÄN</t>
        </is>
      </c>
      <c r="E63" t="inlineStr">
        <is>
          <t>TIMRÅ</t>
        </is>
      </c>
      <c r="G63" t="n">
        <v>5.8</v>
      </c>
      <c r="H63" t="n">
        <v>0</v>
      </c>
      <c r="I63" t="n">
        <v>1</v>
      </c>
      <c r="J63" t="n">
        <v>0</v>
      </c>
      <c r="K63" t="n">
        <v>0</v>
      </c>
      <c r="L63" t="n">
        <v>0</v>
      </c>
      <c r="M63" t="n">
        <v>0</v>
      </c>
      <c r="N63" t="n">
        <v>0</v>
      </c>
      <c r="O63" t="n">
        <v>0</v>
      </c>
      <c r="P63" t="n">
        <v>0</v>
      </c>
      <c r="Q63" t="n">
        <v>1</v>
      </c>
      <c r="R63" s="2" t="inlineStr">
        <is>
          <t>Tibast</t>
        </is>
      </c>
      <c r="S63">
        <f>HYPERLINK("https://klasma.github.io/Logging_2262/artfynd/A 1152-2024 artfynd.xlsx", "A 1152-2024")</f>
        <v/>
      </c>
      <c r="T63">
        <f>HYPERLINK("https://klasma.github.io/Logging_2262/kartor/A 1152-2024 karta.png", "A 1152-2024")</f>
        <v/>
      </c>
      <c r="V63">
        <f>HYPERLINK("https://klasma.github.io/Logging_2262/klagomål/A 1152-2024 FSC-klagomål.docx", "A 1152-2024")</f>
        <v/>
      </c>
      <c r="W63">
        <f>HYPERLINK("https://klasma.github.io/Logging_2262/klagomålsmail/A 1152-2024 FSC-klagomål mail.docx", "A 1152-2024")</f>
        <v/>
      </c>
      <c r="X63">
        <f>HYPERLINK("https://klasma.github.io/Logging_2262/tillsyn/A 1152-2024 tillsynsbegäran.docx", "A 1152-2024")</f>
        <v/>
      </c>
      <c r="Y63">
        <f>HYPERLINK("https://klasma.github.io/Logging_2262/tillsynsmail/A 1152-2024 tillsynsbegäran mail.docx", "A 1152-2024")</f>
        <v/>
      </c>
    </row>
    <row r="64" ht="15" customHeight="1">
      <c r="A64" t="inlineStr">
        <is>
          <t>A 7904-2024</t>
        </is>
      </c>
      <c r="B64" s="1" t="n">
        <v>45349</v>
      </c>
      <c r="C64" s="1" t="n">
        <v>45511</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8998-2024</t>
        </is>
      </c>
      <c r="B65" s="1" t="n">
        <v>45356</v>
      </c>
      <c r="C65" s="1" t="n">
        <v>45511</v>
      </c>
      <c r="D65" t="inlineStr">
        <is>
          <t>VÄSTERNORRLANDS LÄN</t>
        </is>
      </c>
      <c r="E65" t="inlineStr">
        <is>
          <t>TIMRÅ</t>
        </is>
      </c>
      <c r="G65" t="n">
        <v>2.1</v>
      </c>
      <c r="H65" t="n">
        <v>0</v>
      </c>
      <c r="I65" t="n">
        <v>1</v>
      </c>
      <c r="J65" t="n">
        <v>0</v>
      </c>
      <c r="K65" t="n">
        <v>0</v>
      </c>
      <c r="L65" t="n">
        <v>0</v>
      </c>
      <c r="M65" t="n">
        <v>0</v>
      </c>
      <c r="N65" t="n">
        <v>0</v>
      </c>
      <c r="O65" t="n">
        <v>0</v>
      </c>
      <c r="P65" t="n">
        <v>0</v>
      </c>
      <c r="Q65" t="n">
        <v>1</v>
      </c>
      <c r="R65" s="2" t="inlineStr">
        <is>
          <t>Strutbräken</t>
        </is>
      </c>
      <c r="S65">
        <f>HYPERLINK("https://klasma.github.io/Logging_2262/artfynd/A 8998-2024 artfynd.xlsx", "A 8998-2024")</f>
        <v/>
      </c>
      <c r="T65">
        <f>HYPERLINK("https://klasma.github.io/Logging_2262/kartor/A 8998-2024 karta.png", "A 8998-2024")</f>
        <v/>
      </c>
      <c r="V65">
        <f>HYPERLINK("https://klasma.github.io/Logging_2262/klagomål/A 8998-2024 FSC-klagomål.docx", "A 8998-2024")</f>
        <v/>
      </c>
      <c r="W65">
        <f>HYPERLINK("https://klasma.github.io/Logging_2262/klagomålsmail/A 8998-2024 FSC-klagomål mail.docx", "A 8998-2024")</f>
        <v/>
      </c>
      <c r="X65">
        <f>HYPERLINK("https://klasma.github.io/Logging_2262/tillsyn/A 8998-2024 tillsynsbegäran.docx", "A 8998-2024")</f>
        <v/>
      </c>
      <c r="Y65">
        <f>HYPERLINK("https://klasma.github.io/Logging_2262/tillsynsmail/A 8998-2024 tillsynsbegäran mail.docx", "A 8998-2024")</f>
        <v/>
      </c>
    </row>
    <row r="66" ht="15" customHeight="1">
      <c r="A66" t="inlineStr">
        <is>
          <t>A 14168-2024</t>
        </is>
      </c>
      <c r="B66" s="1" t="n">
        <v>45392</v>
      </c>
      <c r="C66" s="1" t="n">
        <v>45511</v>
      </c>
      <c r="D66" t="inlineStr">
        <is>
          <t>VÄSTERNORRLANDS LÄN</t>
        </is>
      </c>
      <c r="E66" t="inlineStr">
        <is>
          <t>TIMRÅ</t>
        </is>
      </c>
      <c r="F66" t="inlineStr">
        <is>
          <t>SCA</t>
        </is>
      </c>
      <c r="G66" t="n">
        <v>6.3</v>
      </c>
      <c r="H66" t="n">
        <v>0</v>
      </c>
      <c r="I66" t="n">
        <v>1</v>
      </c>
      <c r="J66" t="n">
        <v>0</v>
      </c>
      <c r="K66" t="n">
        <v>0</v>
      </c>
      <c r="L66" t="n">
        <v>0</v>
      </c>
      <c r="M66" t="n">
        <v>0</v>
      </c>
      <c r="N66" t="n">
        <v>0</v>
      </c>
      <c r="O66" t="n">
        <v>0</v>
      </c>
      <c r="P66" t="n">
        <v>0</v>
      </c>
      <c r="Q66" t="n">
        <v>1</v>
      </c>
      <c r="R66" s="2" t="inlineStr">
        <is>
          <t>Vedticka</t>
        </is>
      </c>
      <c r="S66">
        <f>HYPERLINK("https://klasma.github.io/Logging_2262/artfynd/A 14168-2024 artfynd.xlsx", "A 14168-2024")</f>
        <v/>
      </c>
      <c r="T66">
        <f>HYPERLINK("https://klasma.github.io/Logging_2262/kartor/A 14168-2024 karta.png", "A 14168-2024")</f>
        <v/>
      </c>
      <c r="V66">
        <f>HYPERLINK("https://klasma.github.io/Logging_2262/klagomål/A 14168-2024 FSC-klagomål.docx", "A 14168-2024")</f>
        <v/>
      </c>
      <c r="W66">
        <f>HYPERLINK("https://klasma.github.io/Logging_2262/klagomålsmail/A 14168-2024 FSC-klagomål mail.docx", "A 14168-2024")</f>
        <v/>
      </c>
      <c r="X66">
        <f>HYPERLINK("https://klasma.github.io/Logging_2262/tillsyn/A 14168-2024 tillsynsbegäran.docx", "A 14168-2024")</f>
        <v/>
      </c>
      <c r="Y66">
        <f>HYPERLINK("https://klasma.github.io/Logging_2262/tillsynsmail/A 14168-2024 tillsynsbegäran mail.docx", "A 14168-2024")</f>
        <v/>
      </c>
    </row>
    <row r="67" ht="15" customHeight="1">
      <c r="A67" t="inlineStr">
        <is>
          <t>A 15477-2024</t>
        </is>
      </c>
      <c r="B67" s="1" t="n">
        <v>45401</v>
      </c>
      <c r="C67" s="1" t="n">
        <v>45511</v>
      </c>
      <c r="D67" t="inlineStr">
        <is>
          <t>VÄSTERNORRLANDS LÄN</t>
        </is>
      </c>
      <c r="E67" t="inlineStr">
        <is>
          <t>TIMRÅ</t>
        </is>
      </c>
      <c r="G67" t="n">
        <v>2.1</v>
      </c>
      <c r="H67" t="n">
        <v>0</v>
      </c>
      <c r="I67" t="n">
        <v>0</v>
      </c>
      <c r="J67" t="n">
        <v>1</v>
      </c>
      <c r="K67" t="n">
        <v>0</v>
      </c>
      <c r="L67" t="n">
        <v>0</v>
      </c>
      <c r="M67" t="n">
        <v>0</v>
      </c>
      <c r="N67" t="n">
        <v>0</v>
      </c>
      <c r="O67" t="n">
        <v>1</v>
      </c>
      <c r="P67" t="n">
        <v>0</v>
      </c>
      <c r="Q67" t="n">
        <v>1</v>
      </c>
      <c r="R67" s="2" t="inlineStr">
        <is>
          <t>Tallticka</t>
        </is>
      </c>
      <c r="S67">
        <f>HYPERLINK("https://klasma.github.io/Logging_2262/artfynd/A 15477-2024 artfynd.xlsx", "A 15477-2024")</f>
        <v/>
      </c>
      <c r="T67">
        <f>HYPERLINK("https://klasma.github.io/Logging_2262/kartor/A 15477-2024 karta.png", "A 15477-2024")</f>
        <v/>
      </c>
      <c r="V67">
        <f>HYPERLINK("https://klasma.github.io/Logging_2262/klagomål/A 15477-2024 FSC-klagomål.docx", "A 15477-2024")</f>
        <v/>
      </c>
      <c r="W67">
        <f>HYPERLINK("https://klasma.github.io/Logging_2262/klagomålsmail/A 15477-2024 FSC-klagomål mail.docx", "A 15477-2024")</f>
        <v/>
      </c>
      <c r="X67">
        <f>HYPERLINK("https://klasma.github.io/Logging_2262/tillsyn/A 15477-2024 tillsynsbegäran.docx", "A 15477-2024")</f>
        <v/>
      </c>
      <c r="Y67">
        <f>HYPERLINK("https://klasma.github.io/Logging_2262/tillsynsmail/A 15477-2024 tillsynsbegäran mail.docx", "A 15477-2024")</f>
        <v/>
      </c>
    </row>
    <row r="68" ht="15" customHeight="1">
      <c r="A68" t="inlineStr">
        <is>
          <t>A 16244-2024</t>
        </is>
      </c>
      <c r="B68" s="1" t="n">
        <v>45407</v>
      </c>
      <c r="C68" s="1" t="n">
        <v>45511</v>
      </c>
      <c r="D68" t="inlineStr">
        <is>
          <t>VÄSTERNORRLANDS LÄN</t>
        </is>
      </c>
      <c r="E68" t="inlineStr">
        <is>
          <t>TIMRÅ</t>
        </is>
      </c>
      <c r="F68" t="inlineStr">
        <is>
          <t>SCA</t>
        </is>
      </c>
      <c r="G68" t="n">
        <v>22.8</v>
      </c>
      <c r="H68" t="n">
        <v>1</v>
      </c>
      <c r="I68" t="n">
        <v>0</v>
      </c>
      <c r="J68" t="n">
        <v>0</v>
      </c>
      <c r="K68" t="n">
        <v>0</v>
      </c>
      <c r="L68" t="n">
        <v>0</v>
      </c>
      <c r="M68" t="n">
        <v>0</v>
      </c>
      <c r="N68" t="n">
        <v>0</v>
      </c>
      <c r="O68" t="n">
        <v>0</v>
      </c>
      <c r="P68" t="n">
        <v>0</v>
      </c>
      <c r="Q68" t="n">
        <v>1</v>
      </c>
      <c r="R68" s="2" t="inlineStr">
        <is>
          <t>Orre</t>
        </is>
      </c>
      <c r="S68">
        <f>HYPERLINK("https://klasma.github.io/Logging_2262/artfynd/A 16244-2024 artfynd.xlsx", "A 16244-2024")</f>
        <v/>
      </c>
      <c r="T68">
        <f>HYPERLINK("https://klasma.github.io/Logging_2262/kartor/A 16244-2024 karta.png", "A 16244-2024")</f>
        <v/>
      </c>
      <c r="V68">
        <f>HYPERLINK("https://klasma.github.io/Logging_2262/klagomål/A 16244-2024 FSC-klagomål.docx", "A 16244-2024")</f>
        <v/>
      </c>
      <c r="W68">
        <f>HYPERLINK("https://klasma.github.io/Logging_2262/klagomålsmail/A 16244-2024 FSC-klagomål mail.docx", "A 16244-2024")</f>
        <v/>
      </c>
      <c r="X68">
        <f>HYPERLINK("https://klasma.github.io/Logging_2262/tillsyn/A 16244-2024 tillsynsbegäran.docx", "A 16244-2024")</f>
        <v/>
      </c>
      <c r="Y68">
        <f>HYPERLINK("https://klasma.github.io/Logging_2262/tillsynsmail/A 16244-2024 tillsynsbegäran mail.docx", "A 16244-2024")</f>
        <v/>
      </c>
      <c r="Z68">
        <f>HYPERLINK("https://klasma.github.io/Logging_2262/fåglar/A 16244-2024 prioriterade fågelarter.docx", "A 16244-2024")</f>
        <v/>
      </c>
    </row>
    <row r="69" ht="15" customHeight="1">
      <c r="A69" t="inlineStr">
        <is>
          <t>A 20350-2024</t>
        </is>
      </c>
      <c r="B69" s="1" t="n">
        <v>45435</v>
      </c>
      <c r="C69" s="1" t="n">
        <v>45511</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45511</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45511</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45511</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45511</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45511</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45511</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45511</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45511</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45511</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45511</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45511</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45511</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45511</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45511</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45511</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45511</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45511</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45511</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45511</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45511</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45511</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45511</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45511</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45511</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45511</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45511</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45511</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45511</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45511</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45511</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45511</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45511</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45511</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45511</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45511</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45511</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45511</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45511</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45511</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45511</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45511</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45511</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45511</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45511</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45511</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45511</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45511</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45511</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45511</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45511</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45511</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45511</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45511</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45511</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45511</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45511</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45511</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45511</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45511</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45511</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45511</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45511</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45511</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45511</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45511</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45511</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45511</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45511</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45511</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45511</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45511</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45511</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45511</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45511</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45511</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45511</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45511</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45511</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45511</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45511</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45511</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45511</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45511</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45511</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45511</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45511</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45511</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45511</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45511</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45511</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45511</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45511</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45511</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45511</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45511</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45511</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45511</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45511</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45511</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45511</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45511</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45511</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45511</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45511</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45511</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45511</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45511</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45511</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45511</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45511</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45511</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45511</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45511</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45511</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45511</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45511</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45511</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45511</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45511</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45511</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45511</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45511</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45511</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45511</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45511</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45511</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45511</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45511</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45511</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45511</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45511</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45511</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45511</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45511</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45511</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45511</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45511</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45511</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45511</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45511</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45511</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45511</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45511</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45511</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45511</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45511</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45511</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45511</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45511</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45511</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45511</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45511</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45511</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45511</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45511</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45511</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45511</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45511</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45511</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45511</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45511</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45511</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45511</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45511</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45511</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45511</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45511</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45511</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45511</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45511</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45511</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45511</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45511</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45511</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45511</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45511</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45511</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45511</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45511</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45511</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45511</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45511</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45511</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45511</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45511</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45511</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45511</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45511</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45511</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45511</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45511</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45511</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45511</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45511</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45511</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45511</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45511</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45511</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45511</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45511</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45511</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45511</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45511</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45511</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45511</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45511</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45511</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45511</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45511</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45511</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45511</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45511</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45511</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45511</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45511</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45511</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45511</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45511</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45511</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45511</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45511</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45511</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45511</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45511</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45511</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45511</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45511</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45511</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45511</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45511</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45511</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45511</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45511</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45511</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45511</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45511</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45511</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45511</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45511</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45511</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45511</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45511</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45511</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45511</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45511</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45511</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45511</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45511</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45511</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45511</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45511</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45511</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45511</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45511</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45511</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45511</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45511</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45511</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45511</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45511</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45511</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45511</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45511</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45511</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45511</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45511</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45511</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45511</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45511</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45511</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45511</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45511</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45511</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45511</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45511</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45511</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45511</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45511</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45511</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45511</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45511</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45511</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45511</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45511</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45511</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45511</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45511</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45511</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45511</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45511</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45511</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45511</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45511</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45511</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45511</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45511</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45511</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45511</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45511</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45511</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45511</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45511</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45511</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45511</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45511</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45511</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45511</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45511</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45511</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45511</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45511</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45511</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45511</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45511</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45511</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45511</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45511</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45511</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45511</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45511</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45511</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45511</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45511</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45511</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45511</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45511</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45511</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45511</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45511</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45511</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45511</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45511</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45511</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45511</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45511</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45511</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45511</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45511</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45511</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45511</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45511</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45511</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45511</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45511</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45511</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45511</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45511</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45511</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45511</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45511</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45511</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45511</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45511</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45511</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45511</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45511</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45511</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45511</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45511</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45511</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45511</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45511</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45511</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45511</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45511</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45511</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45511</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45511</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45511</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45511</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45511</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45511</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45511</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45511</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45511</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45511</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45511</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45511</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45511</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45511</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45511</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45511</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45511</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45511</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45511</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45511</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45511</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45511</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45511</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45511</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45511</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45511</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45511</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45511</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45511</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45511</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45511</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45511</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45511</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45511</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45511</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45511</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45511</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45511</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45511</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45511</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45511</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45511</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45511</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45511</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45511</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45511</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45511</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45511</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45511</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45511</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45511</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45511</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45511</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45511</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45511</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45511</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45511</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45511</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45511</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45511</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45511</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45511</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45511</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45511</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45511</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45511</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45511</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45511</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45511</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45511</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45511</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45511</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45511</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45511</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45511</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45511</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45511</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45511</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45511</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45511</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45511</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45511</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45511</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45511</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45511</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45511</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45511</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45511</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45511</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45511</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45511</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45511</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45511</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45511</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45511</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45511</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45511</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45511</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45511</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45511</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45511</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45511</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45511</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45511</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45511</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45511</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45511</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45511</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45511</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45511</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45511</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45511</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45511</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45511</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45511</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45511</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45511</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45511</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45511</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45511</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45511</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45511</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45511</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45511</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45511</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45511</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45511</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45511</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45511</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45511</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45511</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45511</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45511</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45511</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45511</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45511</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45511</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45511</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45511</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45511</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45511</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45511</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45511</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45511</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45511</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45511</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45511</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45511</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45511</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45511</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45511</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45511</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45511</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45511</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45511</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45511</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45511</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45511</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45511</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45511</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45511</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45511</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45511</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45511</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45511</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45511</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45511</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45511</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45511</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45511</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45511</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45511</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45511</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45511</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45511</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45511</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45511</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45511</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45511</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45511</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45511</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45511</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45511</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45511</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45511</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45511</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45511</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45511</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45511</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45511</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45511</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45511</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45511</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45511</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45511</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45511</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45511</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45511</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45511</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45511</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45511</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45511</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45511</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45511</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45511</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45511</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45511</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45511</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45511</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45511</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45511</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45511</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45511</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45511</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45511</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45511</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45511</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45511</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45511</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22368-2024</t>
        </is>
      </c>
      <c r="B655" s="1" t="n">
        <v>45446</v>
      </c>
      <c r="C655" s="1" t="n">
        <v>45511</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22486-2024</t>
        </is>
      </c>
      <c r="B656" s="1" t="n">
        <v>45446</v>
      </c>
      <c r="C656" s="1" t="n">
        <v>45511</v>
      </c>
      <c r="D656" t="inlineStr">
        <is>
          <t>VÄSTERNORRLANDS LÄN</t>
        </is>
      </c>
      <c r="E656" t="inlineStr">
        <is>
          <t>TIMRÅ</t>
        </is>
      </c>
      <c r="G656" t="n">
        <v>6.8</v>
      </c>
      <c r="H656" t="n">
        <v>0</v>
      </c>
      <c r="I656" t="n">
        <v>0</v>
      </c>
      <c r="J656" t="n">
        <v>0</v>
      </c>
      <c r="K656" t="n">
        <v>0</v>
      </c>
      <c r="L656" t="n">
        <v>0</v>
      </c>
      <c r="M656" t="n">
        <v>0</v>
      </c>
      <c r="N656" t="n">
        <v>0</v>
      </c>
      <c r="O656" t="n">
        <v>0</v>
      </c>
      <c r="P656" t="n">
        <v>0</v>
      </c>
      <c r="Q656" t="n">
        <v>0</v>
      </c>
      <c r="R656" s="2" t="inlineStr"/>
    </row>
    <row r="657" ht="15" customHeight="1">
      <c r="A657" t="inlineStr">
        <is>
          <t>A 22416-2024</t>
        </is>
      </c>
      <c r="B657" s="1" t="n">
        <v>45446</v>
      </c>
      <c r="C657" s="1" t="n">
        <v>45511</v>
      </c>
      <c r="D657" t="inlineStr">
        <is>
          <t>VÄSTERNORRLANDS LÄN</t>
        </is>
      </c>
      <c r="E657" t="inlineStr">
        <is>
          <t>TIMRÅ</t>
        </is>
      </c>
      <c r="G657" t="n">
        <v>2.3</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45447</v>
      </c>
      <c r="C658" s="1" t="n">
        <v>45511</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45511</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45453</v>
      </c>
      <c r="C660" s="1" t="n">
        <v>45511</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45511</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23878-2024</t>
        </is>
      </c>
      <c r="B662" s="1" t="n">
        <v>45455</v>
      </c>
      <c r="C662" s="1" t="n">
        <v>45511</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23851-2024</t>
        </is>
      </c>
      <c r="B663" s="1" t="n">
        <v>45455</v>
      </c>
      <c r="C663" s="1" t="n">
        <v>45511</v>
      </c>
      <c r="D663" t="inlineStr">
        <is>
          <t>VÄSTERNORRLANDS LÄN</t>
        </is>
      </c>
      <c r="E663" t="inlineStr">
        <is>
          <t>TIMRÅ</t>
        </is>
      </c>
      <c r="G663" t="n">
        <v>3.5</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45511</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ht="15" customHeight="1">
      <c r="A665" t="inlineStr">
        <is>
          <t>A 26662-2024</t>
        </is>
      </c>
      <c r="B665" s="1" t="n">
        <v>45469</v>
      </c>
      <c r="C665" s="1" t="n">
        <v>45511</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27623-2024</t>
        </is>
      </c>
      <c r="B666" s="1" t="n">
        <v>45474</v>
      </c>
      <c r="C666" s="1" t="n">
        <v>45511</v>
      </c>
      <c r="D666" t="inlineStr">
        <is>
          <t>VÄSTERNORRLANDS LÄN</t>
        </is>
      </c>
      <c r="E666" t="inlineStr">
        <is>
          <t>TIMRÅ</t>
        </is>
      </c>
      <c r="G666" t="n">
        <v>3.4</v>
      </c>
      <c r="H666" t="n">
        <v>0</v>
      </c>
      <c r="I666" t="n">
        <v>0</v>
      </c>
      <c r="J666" t="n">
        <v>0</v>
      </c>
      <c r="K666" t="n">
        <v>0</v>
      </c>
      <c r="L666" t="n">
        <v>0</v>
      </c>
      <c r="M666" t="n">
        <v>0</v>
      </c>
      <c r="N666" t="n">
        <v>0</v>
      </c>
      <c r="O666" t="n">
        <v>0</v>
      </c>
      <c r="P666" t="n">
        <v>0</v>
      </c>
      <c r="Q666" t="n">
        <v>0</v>
      </c>
      <c r="R666" s="2" t="inlineStr"/>
    </row>
    <row r="667" ht="15" customHeight="1">
      <c r="A667" t="inlineStr">
        <is>
          <t>A 28160-2024</t>
        </is>
      </c>
      <c r="B667" s="1" t="n">
        <v>45476</v>
      </c>
      <c r="C667" s="1" t="n">
        <v>45511</v>
      </c>
      <c r="D667" t="inlineStr">
        <is>
          <t>VÄSTERNORRLANDS LÄN</t>
        </is>
      </c>
      <c r="E667" t="inlineStr">
        <is>
          <t>TIMRÅ</t>
        </is>
      </c>
      <c r="F667" t="inlineStr">
        <is>
          <t>SCA</t>
        </is>
      </c>
      <c r="G667" t="n">
        <v>16.1</v>
      </c>
      <c r="H667" t="n">
        <v>0</v>
      </c>
      <c r="I667" t="n">
        <v>0</v>
      </c>
      <c r="J667" t="n">
        <v>0</v>
      </c>
      <c r="K667" t="n">
        <v>0</v>
      </c>
      <c r="L667" t="n">
        <v>0</v>
      </c>
      <c r="M667" t="n">
        <v>0</v>
      </c>
      <c r="N667" t="n">
        <v>0</v>
      </c>
      <c r="O667" t="n">
        <v>0</v>
      </c>
      <c r="P667" t="n">
        <v>0</v>
      </c>
      <c r="Q667" t="n">
        <v>0</v>
      </c>
      <c r="R667" s="2" t="inlineStr"/>
    </row>
    <row r="668" ht="15" customHeight="1">
      <c r="A668" t="inlineStr">
        <is>
          <t>A 28503-2024</t>
        </is>
      </c>
      <c r="B668" s="1" t="n">
        <v>45477</v>
      </c>
      <c r="C668" s="1" t="n">
        <v>45511</v>
      </c>
      <c r="D668" t="inlineStr">
        <is>
          <t>VÄSTERNORRLANDS LÄN</t>
        </is>
      </c>
      <c r="E668" t="inlineStr">
        <is>
          <t>TIMRÅ</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28256-2024</t>
        </is>
      </c>
      <c r="B669" s="1" t="n">
        <v>45477</v>
      </c>
      <c r="C669" s="1" t="n">
        <v>45511</v>
      </c>
      <c r="D669" t="inlineStr">
        <is>
          <t>VÄSTERNORRLANDS LÄN</t>
        </is>
      </c>
      <c r="E669" t="inlineStr">
        <is>
          <t>TIMRÅ</t>
        </is>
      </c>
      <c r="G669" t="n">
        <v>4.6</v>
      </c>
      <c r="H669" t="n">
        <v>0</v>
      </c>
      <c r="I669" t="n">
        <v>0</v>
      </c>
      <c r="J669" t="n">
        <v>0</v>
      </c>
      <c r="K669" t="n">
        <v>0</v>
      </c>
      <c r="L669" t="n">
        <v>0</v>
      </c>
      <c r="M669" t="n">
        <v>0</v>
      </c>
      <c r="N669" t="n">
        <v>0</v>
      </c>
      <c r="O669" t="n">
        <v>0</v>
      </c>
      <c r="P669" t="n">
        <v>0</v>
      </c>
      <c r="Q669" t="n">
        <v>0</v>
      </c>
      <c r="R669" s="2" t="inlineStr"/>
    </row>
    <row r="670" ht="15" customHeight="1">
      <c r="A670" t="inlineStr">
        <is>
          <t>A 29267-2024</t>
        </is>
      </c>
      <c r="B670" s="1" t="n">
        <v>45482</v>
      </c>
      <c r="C670" s="1" t="n">
        <v>45511</v>
      </c>
      <c r="D670" t="inlineStr">
        <is>
          <t>VÄSTERNORRLANDS LÄN</t>
        </is>
      </c>
      <c r="E670" t="inlineStr">
        <is>
          <t>TIMRÅ</t>
        </is>
      </c>
      <c r="G670" t="n">
        <v>4.2</v>
      </c>
      <c r="H670" t="n">
        <v>0</v>
      </c>
      <c r="I670" t="n">
        <v>0</v>
      </c>
      <c r="J670" t="n">
        <v>0</v>
      </c>
      <c r="K670" t="n">
        <v>0</v>
      </c>
      <c r="L670" t="n">
        <v>0</v>
      </c>
      <c r="M670" t="n">
        <v>0</v>
      </c>
      <c r="N670" t="n">
        <v>0</v>
      </c>
      <c r="O670" t="n">
        <v>0</v>
      </c>
      <c r="P670" t="n">
        <v>0</v>
      </c>
      <c r="Q670" t="n">
        <v>0</v>
      </c>
      <c r="R670" s="2" t="inlineStr"/>
    </row>
    <row r="671" ht="15" customHeight="1">
      <c r="A671" t="inlineStr">
        <is>
          <t>A 30612-2024</t>
        </is>
      </c>
      <c r="B671" s="1" t="n">
        <v>45495</v>
      </c>
      <c r="C671" s="1" t="n">
        <v>45511</v>
      </c>
      <c r="D671" t="inlineStr">
        <is>
          <t>VÄSTERNORRLANDS LÄN</t>
        </is>
      </c>
      <c r="E671" t="inlineStr">
        <is>
          <t>TIMRÅ</t>
        </is>
      </c>
      <c r="G671" t="n">
        <v>4.6</v>
      </c>
      <c r="H671" t="n">
        <v>0</v>
      </c>
      <c r="I671" t="n">
        <v>0</v>
      </c>
      <c r="J671" t="n">
        <v>0</v>
      </c>
      <c r="K671" t="n">
        <v>0</v>
      </c>
      <c r="L671" t="n">
        <v>0</v>
      </c>
      <c r="M671" t="n">
        <v>0</v>
      </c>
      <c r="N671" t="n">
        <v>0</v>
      </c>
      <c r="O671" t="n">
        <v>0</v>
      </c>
      <c r="P671" t="n">
        <v>0</v>
      </c>
      <c r="Q671" t="n">
        <v>0</v>
      </c>
      <c r="R671" s="2" t="inlineStr"/>
    </row>
    <row r="672" ht="15" customHeight="1">
      <c r="A672" t="inlineStr">
        <is>
          <t>A 30680-2024</t>
        </is>
      </c>
      <c r="B672" s="1" t="n">
        <v>45495</v>
      </c>
      <c r="C672" s="1" t="n">
        <v>45511</v>
      </c>
      <c r="D672" t="inlineStr">
        <is>
          <t>VÄSTERNORRLANDS LÄN</t>
        </is>
      </c>
      <c r="E672" t="inlineStr">
        <is>
          <t>TIMRÅ</t>
        </is>
      </c>
      <c r="F672" t="inlineStr">
        <is>
          <t>SCA</t>
        </is>
      </c>
      <c r="G672" t="n">
        <v>6</v>
      </c>
      <c r="H672" t="n">
        <v>0</v>
      </c>
      <c r="I672" t="n">
        <v>0</v>
      </c>
      <c r="J672" t="n">
        <v>0</v>
      </c>
      <c r="K672" t="n">
        <v>0</v>
      </c>
      <c r="L672" t="n">
        <v>0</v>
      </c>
      <c r="M672" t="n">
        <v>0</v>
      </c>
      <c r="N672" t="n">
        <v>0</v>
      </c>
      <c r="O672" t="n">
        <v>0</v>
      </c>
      <c r="P672" t="n">
        <v>0</v>
      </c>
      <c r="Q672" t="n">
        <v>0</v>
      </c>
      <c r="R672" s="2" t="inlineStr"/>
    </row>
    <row r="673" ht="15" customHeight="1">
      <c r="A673" t="inlineStr">
        <is>
          <t>A 30907-2024</t>
        </is>
      </c>
      <c r="B673" s="1" t="n">
        <v>45498</v>
      </c>
      <c r="C673" s="1" t="n">
        <v>45511</v>
      </c>
      <c r="D673" t="inlineStr">
        <is>
          <t>VÄSTERNORRLANDS LÄN</t>
        </is>
      </c>
      <c r="E673" t="inlineStr">
        <is>
          <t>TIMRÅ</t>
        </is>
      </c>
      <c r="G673" t="n">
        <v>6.6</v>
      </c>
      <c r="H673" t="n">
        <v>0</v>
      </c>
      <c r="I673" t="n">
        <v>0</v>
      </c>
      <c r="J673" t="n">
        <v>0</v>
      </c>
      <c r="K673" t="n">
        <v>0</v>
      </c>
      <c r="L673" t="n">
        <v>0</v>
      </c>
      <c r="M673" t="n">
        <v>0</v>
      </c>
      <c r="N673" t="n">
        <v>0</v>
      </c>
      <c r="O673" t="n">
        <v>0</v>
      </c>
      <c r="P673" t="n">
        <v>0</v>
      </c>
      <c r="Q673" t="n">
        <v>0</v>
      </c>
      <c r="R673" s="2" t="inlineStr"/>
    </row>
    <row r="674" ht="15" customHeight="1">
      <c r="A674" t="inlineStr">
        <is>
          <t>A 31711-2024</t>
        </is>
      </c>
      <c r="B674" s="1" t="n">
        <v>45509</v>
      </c>
      <c r="C674" s="1" t="n">
        <v>45511</v>
      </c>
      <c r="D674" t="inlineStr">
        <is>
          <t>VÄSTERNORRLANDS LÄN</t>
        </is>
      </c>
      <c r="E674" t="inlineStr">
        <is>
          <t>TIMRÅ</t>
        </is>
      </c>
      <c r="F674" t="inlineStr">
        <is>
          <t>Kommuner</t>
        </is>
      </c>
      <c r="G674" t="n">
        <v>1.5</v>
      </c>
      <c r="H674" t="n">
        <v>0</v>
      </c>
      <c r="I674" t="n">
        <v>0</v>
      </c>
      <c r="J674" t="n">
        <v>0</v>
      </c>
      <c r="K674" t="n">
        <v>0</v>
      </c>
      <c r="L674" t="n">
        <v>0</v>
      </c>
      <c r="M674" t="n">
        <v>0</v>
      </c>
      <c r="N674" t="n">
        <v>0</v>
      </c>
      <c r="O674" t="n">
        <v>0</v>
      </c>
      <c r="P674" t="n">
        <v>0</v>
      </c>
      <c r="Q674" t="n">
        <v>0</v>
      </c>
      <c r="R674" s="2" t="inlineStr"/>
    </row>
    <row r="675">
      <c r="A675" t="inlineStr">
        <is>
          <t>A 32048-2024</t>
        </is>
      </c>
      <c r="B675" s="1" t="n">
        <v>45511</v>
      </c>
      <c r="C675" s="1" t="n">
        <v>45511</v>
      </c>
      <c r="D675" t="inlineStr">
        <is>
          <t>VÄSTERNORRLANDS LÄN</t>
        </is>
      </c>
      <c r="E675" t="inlineStr">
        <is>
          <t>TIMRÅ</t>
        </is>
      </c>
      <c r="G675" t="n">
        <v>2.7</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2024-08-07T10:38:18Z</dcterms:created>
  <dcterms:modified xmlns:dcterms="http://purl.org/dc/terms/" xmlns:xsi="http://www.w3.org/2001/XMLSchema-instance" xsi:type="dcterms:W3CDTF">2024-08-07T10:38:18Z</dcterms:modified>
</cp:coreProperties>
</file>