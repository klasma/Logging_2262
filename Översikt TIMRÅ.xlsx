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46011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46011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46011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46011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46011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46011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46011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46011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46011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46011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46011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46116-2025</t>
        </is>
      </c>
      <c r="B13" s="1" t="n">
        <v>45924.57364583333</v>
      </c>
      <c r="C13" s="1" t="n">
        <v>46011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4.5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Knärot
Garnlav
Gränsticka
Lunglav
Tretåig hackspett
Ullticka
Vedticka</t>
        </is>
      </c>
      <c r="S13">
        <f>HYPERLINK("https://klasma.github.io/Logging_2262/artfynd/A 46116-2025 artfynd.xlsx", "A 46116-2025")</f>
        <v/>
      </c>
      <c r="T13">
        <f>HYPERLINK("https://klasma.github.io/Logging_2262/kartor/A 46116-2025 karta.png", "A 46116-2025")</f>
        <v/>
      </c>
      <c r="U13">
        <f>HYPERLINK("https://klasma.github.io/Logging_2262/knärot/A 46116-2025 karta knärot.png", "A 46116-2025")</f>
        <v/>
      </c>
      <c r="V13">
        <f>HYPERLINK("https://klasma.github.io/Logging_2262/klagomål/A 46116-2025 FSC-klagomål.docx", "A 46116-2025")</f>
        <v/>
      </c>
      <c r="W13">
        <f>HYPERLINK("https://klasma.github.io/Logging_2262/klagomålsmail/A 46116-2025 FSC-klagomål mail.docx", "A 46116-2025")</f>
        <v/>
      </c>
      <c r="X13">
        <f>HYPERLINK("https://klasma.github.io/Logging_2262/tillsyn/A 46116-2025 tillsynsbegäran.docx", "A 46116-2025")</f>
        <v/>
      </c>
      <c r="Y13">
        <f>HYPERLINK("https://klasma.github.io/Logging_2262/tillsynsmail/A 46116-2025 tillsynsbegäran mail.docx", "A 46116-2025")</f>
        <v/>
      </c>
      <c r="Z13">
        <f>HYPERLINK("https://klasma.github.io/Logging_2262/fåglar/A 46116-2025 prioriterade fågelarter.docx", "A 46116-2025")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46011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46011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46011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46011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46011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25237-2025</t>
        </is>
      </c>
      <c r="B19" s="1" t="n">
        <v>45800</v>
      </c>
      <c r="C19" s="1" t="n">
        <v>46011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17</v>
      </c>
      <c r="H19" t="n">
        <v>1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Lunglav
Ullticka
Violettgrå tagellav
Tjäder</t>
        </is>
      </c>
      <c r="S19">
        <f>HYPERLINK("https://klasma.github.io/Logging_2262/artfynd/A 25237-2025 artfynd.xlsx", "A 25237-2025")</f>
        <v/>
      </c>
      <c r="T19">
        <f>HYPERLINK("https://klasma.github.io/Logging_2262/kartor/A 25237-2025 karta.png", "A 25237-2025")</f>
        <v/>
      </c>
      <c r="U19">
        <f>HYPERLINK("https://klasma.github.io/Logging_2262/knärot/A 25237-2025 karta knärot.png", "A 25237-2025")</f>
        <v/>
      </c>
      <c r="V19">
        <f>HYPERLINK("https://klasma.github.io/Logging_2262/klagomål/A 25237-2025 FSC-klagomål.docx", "A 25237-2025")</f>
        <v/>
      </c>
      <c r="W19">
        <f>HYPERLINK("https://klasma.github.io/Logging_2262/klagomålsmail/A 25237-2025 FSC-klagomål mail.docx", "A 25237-2025")</f>
        <v/>
      </c>
      <c r="X19">
        <f>HYPERLINK("https://klasma.github.io/Logging_2262/tillsyn/A 25237-2025 tillsynsbegäran.docx", "A 25237-2025")</f>
        <v/>
      </c>
      <c r="Y19">
        <f>HYPERLINK("https://klasma.github.io/Logging_2262/tillsynsmail/A 25237-2025 tillsynsbegäran mail.docx", "A 25237-2025")</f>
        <v/>
      </c>
      <c r="Z19">
        <f>HYPERLINK("https://klasma.github.io/Logging_2262/fåglar/A 25237-2025 prioriterade fågelarter.docx", "A 25237-2025")</f>
        <v/>
      </c>
    </row>
    <row r="20" ht="15" customHeight="1">
      <c r="A20" t="inlineStr">
        <is>
          <t>A 46079-2025</t>
        </is>
      </c>
      <c r="B20" s="1" t="n">
        <v>45924.51083333333</v>
      </c>
      <c r="C20" s="1" t="n">
        <v>46011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2.7</v>
      </c>
      <c r="H20" t="n">
        <v>1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Aspgelélav
Kolflarnlav
Tretåig hackspett
Rävticka
Skinnlav</t>
        </is>
      </c>
      <c r="S20">
        <f>HYPERLINK("https://klasma.github.io/Logging_2262/artfynd/A 46079-2025 artfynd.xlsx", "A 46079-2025")</f>
        <v/>
      </c>
      <c r="T20">
        <f>HYPERLINK("https://klasma.github.io/Logging_2262/kartor/A 46079-2025 karta.png", "A 46079-2025")</f>
        <v/>
      </c>
      <c r="V20">
        <f>HYPERLINK("https://klasma.github.io/Logging_2262/klagomål/A 46079-2025 FSC-klagomål.docx", "A 46079-2025")</f>
        <v/>
      </c>
      <c r="W20">
        <f>HYPERLINK("https://klasma.github.io/Logging_2262/klagomålsmail/A 46079-2025 FSC-klagomål mail.docx", "A 46079-2025")</f>
        <v/>
      </c>
      <c r="X20">
        <f>HYPERLINK("https://klasma.github.io/Logging_2262/tillsyn/A 46079-2025 tillsynsbegäran.docx", "A 46079-2025")</f>
        <v/>
      </c>
      <c r="Y20">
        <f>HYPERLINK("https://klasma.github.io/Logging_2262/tillsynsmail/A 46079-2025 tillsynsbegäran mail.docx", "A 46079-2025")</f>
        <v/>
      </c>
      <c r="Z20">
        <f>HYPERLINK("https://klasma.github.io/Logging_2262/fåglar/A 46079-2025 prioriterade fågelarter.docx", "A 46079-2025")</f>
        <v/>
      </c>
    </row>
    <row r="21" ht="15" customHeight="1">
      <c r="A21" t="inlineStr">
        <is>
          <t>A 11397-2025</t>
        </is>
      </c>
      <c r="B21" s="1" t="n">
        <v>45726</v>
      </c>
      <c r="C21" s="1" t="n">
        <v>46011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5.3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Rosenticka
Spillkråka
Bollvitmossa
Vedticka</t>
        </is>
      </c>
      <c r="S21">
        <f>HYPERLINK("https://klasma.github.io/Logging_2262/artfynd/A 11397-2025 artfynd.xlsx", "A 11397-2025")</f>
        <v/>
      </c>
      <c r="T21">
        <f>HYPERLINK("https://klasma.github.io/Logging_2262/kartor/A 11397-2025 karta.png", "A 11397-2025")</f>
        <v/>
      </c>
      <c r="U21">
        <f>HYPERLINK("https://klasma.github.io/Logging_2262/knärot/A 11397-2025 karta knärot.png", "A 11397-2025")</f>
        <v/>
      </c>
      <c r="V21">
        <f>HYPERLINK("https://klasma.github.io/Logging_2262/klagomål/A 11397-2025 FSC-klagomål.docx", "A 11397-2025")</f>
        <v/>
      </c>
      <c r="W21">
        <f>HYPERLINK("https://klasma.github.io/Logging_2262/klagomålsmail/A 11397-2025 FSC-klagomål mail.docx", "A 11397-2025")</f>
        <v/>
      </c>
      <c r="X21">
        <f>HYPERLINK("https://klasma.github.io/Logging_2262/tillsyn/A 11397-2025 tillsynsbegäran.docx", "A 11397-2025")</f>
        <v/>
      </c>
      <c r="Y21">
        <f>HYPERLINK("https://klasma.github.io/Logging_2262/tillsynsmail/A 11397-2025 tillsynsbegäran mail.docx", "A 11397-2025")</f>
        <v/>
      </c>
      <c r="Z21">
        <f>HYPERLINK("https://klasma.github.io/Logging_2262/fåglar/A 11397-2025 prioriterade fågelarter.docx", "A 11397-2025")</f>
        <v/>
      </c>
    </row>
    <row r="22" ht="15" customHeight="1">
      <c r="A22" t="inlineStr">
        <is>
          <t>A 49778-2025</t>
        </is>
      </c>
      <c r="B22" s="1" t="n">
        <v>45940.38585648148</v>
      </c>
      <c r="C22" s="1" t="n">
        <v>46011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Dvärgbägarlav
Garnlav
Lunglav
Vedskivlav</t>
        </is>
      </c>
      <c r="S22">
        <f>HYPERLINK("https://klasma.github.io/Logging_2262/artfynd/A 49778-2025 artfynd.xlsx", "A 49778-2025")</f>
        <v/>
      </c>
      <c r="T22">
        <f>HYPERLINK("https://klasma.github.io/Logging_2262/kartor/A 49778-2025 karta.png", "A 49778-2025")</f>
        <v/>
      </c>
      <c r="U22">
        <f>HYPERLINK("https://klasma.github.io/Logging_2262/knärot/A 49778-2025 karta knärot.png", "A 49778-2025")</f>
        <v/>
      </c>
      <c r="V22">
        <f>HYPERLINK("https://klasma.github.io/Logging_2262/klagomål/A 49778-2025 FSC-klagomål.docx", "A 49778-2025")</f>
        <v/>
      </c>
      <c r="W22">
        <f>HYPERLINK("https://klasma.github.io/Logging_2262/klagomålsmail/A 49778-2025 FSC-klagomål mail.docx", "A 49778-2025")</f>
        <v/>
      </c>
      <c r="X22">
        <f>HYPERLINK("https://klasma.github.io/Logging_2262/tillsyn/A 49778-2025 tillsynsbegäran.docx", "A 49778-2025")</f>
        <v/>
      </c>
      <c r="Y22">
        <f>HYPERLINK("https://klasma.github.io/Logging_2262/tillsynsmail/A 49778-2025 tillsynsbegäran mail.docx", "A 49778-2025")</f>
        <v/>
      </c>
    </row>
    <row r="23" ht="15" customHeight="1">
      <c r="A23" t="inlineStr">
        <is>
          <t>A 40482-2025</t>
        </is>
      </c>
      <c r="B23" s="1" t="n">
        <v>45895</v>
      </c>
      <c r="C23" s="1" t="n">
        <v>46011</v>
      </c>
      <c r="D23" t="inlineStr">
        <is>
          <t>VÄSTERNORRLANDS LÄN</t>
        </is>
      </c>
      <c r="E23" t="inlineStr">
        <is>
          <t>TIMRÅ</t>
        </is>
      </c>
      <c r="G23" t="n">
        <v>20.9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Knottrig blåslav
Violettgrå tagellav
Fläcknycklar
Mattlummer</t>
        </is>
      </c>
      <c r="S23">
        <f>HYPERLINK("https://klasma.github.io/Logging_2262/artfynd/A 40482-2025 artfynd.xlsx", "A 40482-2025")</f>
        <v/>
      </c>
      <c r="T23">
        <f>HYPERLINK("https://klasma.github.io/Logging_2262/kartor/A 40482-2025 karta.png", "A 40482-2025")</f>
        <v/>
      </c>
      <c r="V23">
        <f>HYPERLINK("https://klasma.github.io/Logging_2262/klagomål/A 40482-2025 FSC-klagomål.docx", "A 40482-2025")</f>
        <v/>
      </c>
      <c r="W23">
        <f>HYPERLINK("https://klasma.github.io/Logging_2262/klagomålsmail/A 40482-2025 FSC-klagomål mail.docx", "A 40482-2025")</f>
        <v/>
      </c>
      <c r="X23">
        <f>HYPERLINK("https://klasma.github.io/Logging_2262/tillsyn/A 40482-2025 tillsynsbegäran.docx", "A 40482-2025")</f>
        <v/>
      </c>
      <c r="Y23">
        <f>HYPERLINK("https://klasma.github.io/Logging_2262/tillsynsmail/A 40482-2025 tillsynsbegäran mail.docx", "A 40482-2025")</f>
        <v/>
      </c>
    </row>
    <row r="24" ht="15" customHeight="1">
      <c r="A24" t="inlineStr">
        <is>
          <t>A 50231-2023</t>
        </is>
      </c>
      <c r="B24" s="1" t="n">
        <v>45215</v>
      </c>
      <c r="C24" s="1" t="n">
        <v>46011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1.6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Orange taggsvamp
Ullticka
Strutbräken
Stuplav
Revlummer</t>
        </is>
      </c>
      <c r="S24">
        <f>HYPERLINK("https://klasma.github.io/Logging_2262/artfynd/A 50231-2023 artfynd.xlsx", "A 50231-2023")</f>
        <v/>
      </c>
      <c r="T24">
        <f>HYPERLINK("https://klasma.github.io/Logging_2262/kartor/A 50231-2023 karta.png", "A 50231-2023")</f>
        <v/>
      </c>
      <c r="U24">
        <f>HYPERLINK("https://klasma.github.io/Logging_2262/knärot/A 50231-2023 karta knärot.png", "A 50231-2023")</f>
        <v/>
      </c>
      <c r="V24">
        <f>HYPERLINK("https://klasma.github.io/Logging_2262/klagomål/A 50231-2023 FSC-klagomål.docx", "A 50231-2023")</f>
        <v/>
      </c>
      <c r="W24">
        <f>HYPERLINK("https://klasma.github.io/Logging_2262/klagomålsmail/A 50231-2023 FSC-klagomål mail.docx", "A 50231-2023")</f>
        <v/>
      </c>
      <c r="X24">
        <f>HYPERLINK("https://klasma.github.io/Logging_2262/tillsyn/A 50231-2023 tillsynsbegäran.docx", "A 50231-2023")</f>
        <v/>
      </c>
      <c r="Y24">
        <f>HYPERLINK("https://klasma.github.io/Logging_2262/tillsynsmail/A 50231-2023 tillsynsbegäran mail.docx", "A 50231-2023")</f>
        <v/>
      </c>
    </row>
    <row r="25" ht="15" customHeight="1">
      <c r="A25" t="inlineStr">
        <is>
          <t>A 39815-2023</t>
        </is>
      </c>
      <c r="B25" s="1" t="n">
        <v>45167</v>
      </c>
      <c r="C25" s="1" t="n">
        <v>46011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Kortskaftad ärgspik
Vedflamlav
Vedskivlav
Dropptaggsvamp</t>
        </is>
      </c>
      <c r="S25">
        <f>HYPERLINK("https://klasma.github.io/Logging_2262/artfynd/A 39815-2023 artfynd.xlsx", "A 39815-2023")</f>
        <v/>
      </c>
      <c r="T25">
        <f>HYPERLINK("https://klasma.github.io/Logging_2262/kartor/A 39815-2023 karta.png", "A 39815-2023")</f>
        <v/>
      </c>
      <c r="V25">
        <f>HYPERLINK("https://klasma.github.io/Logging_2262/klagomål/A 39815-2023 FSC-klagomål.docx", "A 39815-2023")</f>
        <v/>
      </c>
      <c r="W25">
        <f>HYPERLINK("https://klasma.github.io/Logging_2262/klagomålsmail/A 39815-2023 FSC-klagomål mail.docx", "A 39815-2023")</f>
        <v/>
      </c>
      <c r="X25">
        <f>HYPERLINK("https://klasma.github.io/Logging_2262/tillsyn/A 39815-2023 tillsynsbegäran.docx", "A 39815-2023")</f>
        <v/>
      </c>
      <c r="Y25">
        <f>HYPERLINK("https://klasma.github.io/Logging_2262/tillsynsmail/A 39815-2023 tillsynsbegäran mail.docx", "A 39815-2023")</f>
        <v/>
      </c>
    </row>
    <row r="26" ht="15" customHeight="1">
      <c r="A26" t="inlineStr">
        <is>
          <t>A 19449-2024</t>
        </is>
      </c>
      <c r="B26" s="1" t="n">
        <v>45429</v>
      </c>
      <c r="C26" s="1" t="n">
        <v>46011</v>
      </c>
      <c r="D26" t="inlineStr">
        <is>
          <t>VÄSTERNORRLANDS LÄN</t>
        </is>
      </c>
      <c r="E26" t="inlineStr">
        <is>
          <t>TIMRÅ</t>
        </is>
      </c>
      <c r="G26" t="n">
        <v>2.5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Buskskvätta
Hornuggla
Rosenfink
Gråkråka
Gråspett</t>
        </is>
      </c>
      <c r="S26">
        <f>HYPERLINK("https://klasma.github.io/Logging_2262/artfynd/A 19449-2024 artfynd.xlsx", "A 19449-2024")</f>
        <v/>
      </c>
      <c r="T26">
        <f>HYPERLINK("https://klasma.github.io/Logging_2262/kartor/A 19449-2024 karta.png", "A 19449-2024")</f>
        <v/>
      </c>
      <c r="V26">
        <f>HYPERLINK("https://klasma.github.io/Logging_2262/klagomål/A 19449-2024 FSC-klagomål.docx", "A 19449-2024")</f>
        <v/>
      </c>
      <c r="W26">
        <f>HYPERLINK("https://klasma.github.io/Logging_2262/klagomålsmail/A 19449-2024 FSC-klagomål mail.docx", "A 19449-2024")</f>
        <v/>
      </c>
      <c r="X26">
        <f>HYPERLINK("https://klasma.github.io/Logging_2262/tillsyn/A 19449-2024 tillsynsbegäran.docx", "A 19449-2024")</f>
        <v/>
      </c>
      <c r="Y26">
        <f>HYPERLINK("https://klasma.github.io/Logging_2262/tillsynsmail/A 19449-2024 tillsynsbegäran mail.docx", "A 19449-2024")</f>
        <v/>
      </c>
      <c r="Z26">
        <f>HYPERLINK("https://klasma.github.io/Logging_2262/fåglar/A 19449-2024 prioriterade fågelarter.docx", "A 19449-2024")</f>
        <v/>
      </c>
    </row>
    <row r="27" ht="15" customHeight="1">
      <c r="A27" t="inlineStr">
        <is>
          <t>A 38488-2025</t>
        </is>
      </c>
      <c r="B27" s="1" t="n">
        <v>45884.34447916667</v>
      </c>
      <c r="C27" s="1" t="n">
        <v>46011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5.7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Kandelabersvamp
Leptoporus mollis
Lunglav
Ullticka</t>
        </is>
      </c>
      <c r="S27">
        <f>HYPERLINK("https://klasma.github.io/Logging_2262/artfynd/A 38488-2025 artfynd.xlsx", "A 38488-2025")</f>
        <v/>
      </c>
      <c r="T27">
        <f>HYPERLINK("https://klasma.github.io/Logging_2262/kartor/A 38488-2025 karta.png", "A 38488-2025")</f>
        <v/>
      </c>
      <c r="U27">
        <f>HYPERLINK("https://klasma.github.io/Logging_2262/knärot/A 38488-2025 karta knärot.png", "A 38488-2025")</f>
        <v/>
      </c>
      <c r="V27">
        <f>HYPERLINK("https://klasma.github.io/Logging_2262/klagomål/A 38488-2025 FSC-klagomål.docx", "A 38488-2025")</f>
        <v/>
      </c>
      <c r="W27">
        <f>HYPERLINK("https://klasma.github.io/Logging_2262/klagomålsmail/A 38488-2025 FSC-klagomål mail.docx", "A 38488-2025")</f>
        <v/>
      </c>
      <c r="X27">
        <f>HYPERLINK("https://klasma.github.io/Logging_2262/tillsyn/A 38488-2025 tillsynsbegäran.docx", "A 38488-2025")</f>
        <v/>
      </c>
      <c r="Y27">
        <f>HYPERLINK("https://klasma.github.io/Logging_2262/tillsynsmail/A 38488-2025 tillsynsbegäran mail.docx", "A 38488-2025")</f>
        <v/>
      </c>
    </row>
    <row r="28" ht="15" customHeight="1">
      <c r="A28" t="inlineStr">
        <is>
          <t>A 25940-2025</t>
        </is>
      </c>
      <c r="B28" s="1" t="n">
        <v>45804.59443287037</v>
      </c>
      <c r="C28" s="1" t="n">
        <v>46011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6.3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Rynkskinn
Garnlav
Rosenticka
Ullticka</t>
        </is>
      </c>
      <c r="S28">
        <f>HYPERLINK("https://klasma.github.io/Logging_2262/artfynd/A 25940-2025 artfynd.xlsx", "A 25940-2025")</f>
        <v/>
      </c>
      <c r="T28">
        <f>HYPERLINK("https://klasma.github.io/Logging_2262/kartor/A 25940-2025 karta.png", "A 25940-2025")</f>
        <v/>
      </c>
      <c r="V28">
        <f>HYPERLINK("https://klasma.github.io/Logging_2262/klagomål/A 25940-2025 FSC-klagomål.docx", "A 25940-2025")</f>
        <v/>
      </c>
      <c r="W28">
        <f>HYPERLINK("https://klasma.github.io/Logging_2262/klagomålsmail/A 25940-2025 FSC-klagomål mail.docx", "A 25940-2025")</f>
        <v/>
      </c>
      <c r="X28">
        <f>HYPERLINK("https://klasma.github.io/Logging_2262/tillsyn/A 25940-2025 tillsynsbegäran.docx", "A 25940-2025")</f>
        <v/>
      </c>
      <c r="Y28">
        <f>HYPERLINK("https://klasma.github.io/Logging_2262/tillsynsmail/A 25940-2025 tillsynsbegäran mail.docx", "A 25940-2025")</f>
        <v/>
      </c>
    </row>
    <row r="29" ht="15" customHeight="1">
      <c r="A29" t="inlineStr">
        <is>
          <t>A 44034-2025</t>
        </is>
      </c>
      <c r="B29" s="1" t="n">
        <v>45915.49065972222</v>
      </c>
      <c r="C29" s="1" t="n">
        <v>46011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5.2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Äggvaxskivling
Dvärgtufs
Skinnlav</t>
        </is>
      </c>
      <c r="S29">
        <f>HYPERLINK("https://klasma.github.io/Logging_2262/artfynd/A 44034-2025 artfynd.xlsx", "A 44034-2025")</f>
        <v/>
      </c>
      <c r="T29">
        <f>HYPERLINK("https://klasma.github.io/Logging_2262/kartor/A 44034-2025 karta.png", "A 44034-2025")</f>
        <v/>
      </c>
      <c r="V29">
        <f>HYPERLINK("https://klasma.github.io/Logging_2262/klagomål/A 44034-2025 FSC-klagomål.docx", "A 44034-2025")</f>
        <v/>
      </c>
      <c r="W29">
        <f>HYPERLINK("https://klasma.github.io/Logging_2262/klagomålsmail/A 44034-2025 FSC-klagomål mail.docx", "A 44034-2025")</f>
        <v/>
      </c>
      <c r="X29">
        <f>HYPERLINK("https://klasma.github.io/Logging_2262/tillsyn/A 44034-2025 tillsynsbegäran.docx", "A 44034-2025")</f>
        <v/>
      </c>
      <c r="Y29">
        <f>HYPERLINK("https://klasma.github.io/Logging_2262/tillsynsmail/A 44034-2025 tillsynsbegäran mail.docx", "A 44034-2025")</f>
        <v/>
      </c>
    </row>
    <row r="30" ht="15" customHeight="1">
      <c r="A30" t="inlineStr">
        <is>
          <t>A 53296-2024</t>
        </is>
      </c>
      <c r="B30" s="1" t="n">
        <v>45614.38782407407</v>
      </c>
      <c r="C30" s="1" t="n">
        <v>46011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3.7</v>
      </c>
      <c r="H30" t="n">
        <v>0</v>
      </c>
      <c r="I30" t="n">
        <v>0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4</v>
      </c>
      <c r="R30" s="2" t="inlineStr">
        <is>
          <t>Läderdoftande fingersvamp
Rynkskinn
Rosenticka
Ullticka</t>
        </is>
      </c>
      <c r="S30">
        <f>HYPERLINK("https://klasma.github.io/Logging_2262/artfynd/A 53296-2024 artfynd.xlsx", "A 53296-2024")</f>
        <v/>
      </c>
      <c r="T30">
        <f>HYPERLINK("https://klasma.github.io/Logging_2262/kartor/A 53296-2024 karta.png", "A 53296-2024")</f>
        <v/>
      </c>
      <c r="V30">
        <f>HYPERLINK("https://klasma.github.io/Logging_2262/klagomål/A 53296-2024 FSC-klagomål.docx", "A 53296-2024")</f>
        <v/>
      </c>
      <c r="W30">
        <f>HYPERLINK("https://klasma.github.io/Logging_2262/klagomålsmail/A 53296-2024 FSC-klagomål mail.docx", "A 53296-2024")</f>
        <v/>
      </c>
      <c r="X30">
        <f>HYPERLINK("https://klasma.github.io/Logging_2262/tillsyn/A 53296-2024 tillsynsbegäran.docx", "A 53296-2024")</f>
        <v/>
      </c>
      <c r="Y30">
        <f>HYPERLINK("https://klasma.github.io/Logging_2262/tillsynsmail/A 53296-2024 tillsynsbegäran mail.docx", "A 53296-2024")</f>
        <v/>
      </c>
    </row>
    <row r="31" ht="15" customHeight="1">
      <c r="A31" t="inlineStr">
        <is>
          <t>A 57553-2021</t>
        </is>
      </c>
      <c r="B31" s="1" t="n">
        <v>44483.94234953704</v>
      </c>
      <c r="C31" s="1" t="n">
        <v>46011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17.9</v>
      </c>
      <c r="H31" t="n">
        <v>1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Garnlav
Tallticka
Vedticka</t>
        </is>
      </c>
      <c r="S31">
        <f>HYPERLINK("https://klasma.github.io/Logging_2262/artfynd/A 57553-2021 artfynd.xlsx", "A 57553-2021")</f>
        <v/>
      </c>
      <c r="T31">
        <f>HYPERLINK("https://klasma.github.io/Logging_2262/kartor/A 57553-2021 karta.png", "A 57553-2021")</f>
        <v/>
      </c>
      <c r="U31">
        <f>HYPERLINK("https://klasma.github.io/Logging_2262/knärot/A 57553-2021 karta knärot.png", "A 57553-2021")</f>
        <v/>
      </c>
      <c r="V31">
        <f>HYPERLINK("https://klasma.github.io/Logging_2262/klagomål/A 57553-2021 FSC-klagomål.docx", "A 57553-2021")</f>
        <v/>
      </c>
      <c r="W31">
        <f>HYPERLINK("https://klasma.github.io/Logging_2262/klagomålsmail/A 57553-2021 FSC-klagomål mail.docx", "A 57553-2021")</f>
        <v/>
      </c>
      <c r="X31">
        <f>HYPERLINK("https://klasma.github.io/Logging_2262/tillsyn/A 57553-2021 tillsynsbegäran.docx", "A 57553-2021")</f>
        <v/>
      </c>
      <c r="Y31">
        <f>HYPERLINK("https://klasma.github.io/Logging_2262/tillsynsmail/A 57553-2021 tillsynsbegäran mail.docx", "A 57553-2021")</f>
        <v/>
      </c>
    </row>
    <row r="32" ht="15" customHeight="1">
      <c r="A32" t="inlineStr">
        <is>
          <t>A 49232-2025</t>
        </is>
      </c>
      <c r="B32" s="1" t="n">
        <v>45937</v>
      </c>
      <c r="C32" s="1" t="n">
        <v>46011</v>
      </c>
      <c r="D32" t="inlineStr">
        <is>
          <t>VÄSTERNORRLANDS LÄN</t>
        </is>
      </c>
      <c r="E32" t="inlineStr">
        <is>
          <t>TIMRÅ</t>
        </is>
      </c>
      <c r="G32" t="n">
        <v>4.2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Grönsångare
Rödprick
Spillkråka
Gråspett</t>
        </is>
      </c>
      <c r="S32">
        <f>HYPERLINK("https://klasma.github.io/Logging_2262/artfynd/A 49232-2025 artfynd.xlsx", "A 49232-2025")</f>
        <v/>
      </c>
      <c r="T32">
        <f>HYPERLINK("https://klasma.github.io/Logging_2262/kartor/A 49232-2025 karta.png", "A 49232-2025")</f>
        <v/>
      </c>
      <c r="V32">
        <f>HYPERLINK("https://klasma.github.io/Logging_2262/klagomål/A 49232-2025 FSC-klagomål.docx", "A 49232-2025")</f>
        <v/>
      </c>
      <c r="W32">
        <f>HYPERLINK("https://klasma.github.io/Logging_2262/klagomålsmail/A 49232-2025 FSC-klagomål mail.docx", "A 49232-2025")</f>
        <v/>
      </c>
      <c r="X32">
        <f>HYPERLINK("https://klasma.github.io/Logging_2262/tillsyn/A 49232-2025 tillsynsbegäran.docx", "A 49232-2025")</f>
        <v/>
      </c>
      <c r="Y32">
        <f>HYPERLINK("https://klasma.github.io/Logging_2262/tillsynsmail/A 49232-2025 tillsynsbegäran mail.docx", "A 49232-2025")</f>
        <v/>
      </c>
      <c r="Z32">
        <f>HYPERLINK("https://klasma.github.io/Logging_2262/fåglar/A 49232-2025 prioriterade fågelarter.docx", "A 49232-2025")</f>
        <v/>
      </c>
    </row>
    <row r="33" ht="15" customHeight="1">
      <c r="A33" t="inlineStr">
        <is>
          <t>A 52150-2025</t>
        </is>
      </c>
      <c r="B33" s="1" t="n">
        <v>45953.34493055556</v>
      </c>
      <c r="C33" s="1" t="n">
        <v>46011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7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Granticka
Lunglav
Stjärntagging
Ullticka</t>
        </is>
      </c>
      <c r="S33">
        <f>HYPERLINK("https://klasma.github.io/Logging_2262/artfynd/A 52150-2025 artfynd.xlsx", "A 52150-2025")</f>
        <v/>
      </c>
      <c r="T33">
        <f>HYPERLINK("https://klasma.github.io/Logging_2262/kartor/A 52150-2025 karta.png", "A 52150-2025")</f>
        <v/>
      </c>
      <c r="V33">
        <f>HYPERLINK("https://klasma.github.io/Logging_2262/klagomål/A 52150-2025 FSC-klagomål.docx", "A 52150-2025")</f>
        <v/>
      </c>
      <c r="W33">
        <f>HYPERLINK("https://klasma.github.io/Logging_2262/klagomålsmail/A 52150-2025 FSC-klagomål mail.docx", "A 52150-2025")</f>
        <v/>
      </c>
      <c r="X33">
        <f>HYPERLINK("https://klasma.github.io/Logging_2262/tillsyn/A 52150-2025 tillsynsbegäran.docx", "A 52150-2025")</f>
        <v/>
      </c>
      <c r="Y33">
        <f>HYPERLINK("https://klasma.github.io/Logging_2262/tillsynsmail/A 52150-2025 tillsynsbegäran mail.docx", "A 52150-2025")</f>
        <v/>
      </c>
    </row>
    <row r="34" ht="15" customHeight="1">
      <c r="A34" t="inlineStr">
        <is>
          <t>A 28007-2023</t>
        </is>
      </c>
      <c r="B34" s="1" t="n">
        <v>45098</v>
      </c>
      <c r="C34" s="1" t="n">
        <v>46011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1.1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Spillkråka
Svart trolldruva
Kungsfågel
Nattviol</t>
        </is>
      </c>
      <c r="S34">
        <f>HYPERLINK("https://klasma.github.io/Logging_2262/artfynd/A 28007-2023 artfynd.xlsx", "A 28007-2023")</f>
        <v/>
      </c>
      <c r="T34">
        <f>HYPERLINK("https://klasma.github.io/Logging_2262/kartor/A 28007-2023 karta.png", "A 28007-2023")</f>
        <v/>
      </c>
      <c r="V34">
        <f>HYPERLINK("https://klasma.github.io/Logging_2262/klagomål/A 28007-2023 FSC-klagomål.docx", "A 28007-2023")</f>
        <v/>
      </c>
      <c r="W34">
        <f>HYPERLINK("https://klasma.github.io/Logging_2262/klagomålsmail/A 28007-2023 FSC-klagomål mail.docx", "A 28007-2023")</f>
        <v/>
      </c>
      <c r="X34">
        <f>HYPERLINK("https://klasma.github.io/Logging_2262/tillsyn/A 28007-2023 tillsynsbegäran.docx", "A 28007-2023")</f>
        <v/>
      </c>
      <c r="Y34">
        <f>HYPERLINK("https://klasma.github.io/Logging_2262/tillsynsmail/A 28007-2023 tillsynsbegäran mail.docx", "A 28007-2023")</f>
        <v/>
      </c>
      <c r="Z34">
        <f>HYPERLINK("https://klasma.github.io/Logging_2262/fåglar/A 28007-2023 prioriterade fågelarter.docx", "A 28007-2023")</f>
        <v/>
      </c>
    </row>
    <row r="35" ht="15" customHeight="1">
      <c r="A35" t="inlineStr">
        <is>
          <t>A 43613-2024</t>
        </is>
      </c>
      <c r="B35" s="1" t="n">
        <v>45569.46905092592</v>
      </c>
      <c r="C35" s="1" t="n">
        <v>46011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Kolflarnlav
Lunglav
Mörk kolflarnlav
Skarp dropptaggsvamp</t>
        </is>
      </c>
      <c r="S35">
        <f>HYPERLINK("https://klasma.github.io/Logging_2262/artfynd/A 43613-2024 artfynd.xlsx", "A 43613-2024")</f>
        <v/>
      </c>
      <c r="T35">
        <f>HYPERLINK("https://klasma.github.io/Logging_2262/kartor/A 43613-2024 karta.png", "A 43613-2024")</f>
        <v/>
      </c>
      <c r="V35">
        <f>HYPERLINK("https://klasma.github.io/Logging_2262/klagomål/A 43613-2024 FSC-klagomål.docx", "A 43613-2024")</f>
        <v/>
      </c>
      <c r="W35">
        <f>HYPERLINK("https://klasma.github.io/Logging_2262/klagomålsmail/A 43613-2024 FSC-klagomål mail.docx", "A 43613-2024")</f>
        <v/>
      </c>
      <c r="X35">
        <f>HYPERLINK("https://klasma.github.io/Logging_2262/tillsyn/A 43613-2024 tillsynsbegäran.docx", "A 43613-2024")</f>
        <v/>
      </c>
      <c r="Y35">
        <f>HYPERLINK("https://klasma.github.io/Logging_2262/tillsynsmail/A 43613-2024 tillsynsbegäran mail.docx", "A 43613-2024")</f>
        <v/>
      </c>
    </row>
    <row r="36" ht="15" customHeight="1">
      <c r="A36" t="inlineStr">
        <is>
          <t>A 53436-2023</t>
        </is>
      </c>
      <c r="B36" s="1" t="n">
        <v>45229</v>
      </c>
      <c r="C36" s="1" t="n">
        <v>46011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Ullticka
Strutbräken
Vårärt
Revlummer</t>
        </is>
      </c>
      <c r="S36">
        <f>HYPERLINK("https://klasma.github.io/Logging_2262/artfynd/A 53436-2023 artfynd.xlsx", "A 53436-2023")</f>
        <v/>
      </c>
      <c r="T36">
        <f>HYPERLINK("https://klasma.github.io/Logging_2262/kartor/A 53436-2023 karta.png", "A 53436-2023")</f>
        <v/>
      </c>
      <c r="V36">
        <f>HYPERLINK("https://klasma.github.io/Logging_2262/klagomål/A 53436-2023 FSC-klagomål.docx", "A 53436-2023")</f>
        <v/>
      </c>
      <c r="W36">
        <f>HYPERLINK("https://klasma.github.io/Logging_2262/klagomålsmail/A 53436-2023 FSC-klagomål mail.docx", "A 53436-2023")</f>
        <v/>
      </c>
      <c r="X36">
        <f>HYPERLINK("https://klasma.github.io/Logging_2262/tillsyn/A 53436-2023 tillsynsbegäran.docx", "A 53436-2023")</f>
        <v/>
      </c>
      <c r="Y36">
        <f>HYPERLINK("https://klasma.github.io/Logging_2262/tillsynsmail/A 53436-2023 tillsynsbegäran mail.docx", "A 53436-2023")</f>
        <v/>
      </c>
    </row>
    <row r="37" ht="15" customHeight="1">
      <c r="A37" t="inlineStr">
        <is>
          <t>A 11288-2024</t>
        </is>
      </c>
      <c r="B37" s="1" t="n">
        <v>45371</v>
      </c>
      <c r="C37" s="1" t="n">
        <v>46011</v>
      </c>
      <c r="D37" t="inlineStr">
        <is>
          <t>VÄSTERNORRLANDS LÄN</t>
        </is>
      </c>
      <c r="E37" t="inlineStr">
        <is>
          <t>TIMRÅ</t>
        </is>
      </c>
      <c r="G37" t="n">
        <v>2.4</v>
      </c>
      <c r="H37" t="n">
        <v>3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Spillkråka
Stor aspticka
Gråspett
Skogsduva</t>
        </is>
      </c>
      <c r="S37">
        <f>HYPERLINK("https://klasma.github.io/Logging_2262/artfynd/A 11288-2024 artfynd.xlsx", "A 11288-2024")</f>
        <v/>
      </c>
      <c r="T37">
        <f>HYPERLINK("https://klasma.github.io/Logging_2262/kartor/A 11288-2024 karta.png", "A 11288-2024")</f>
        <v/>
      </c>
      <c r="V37">
        <f>HYPERLINK("https://klasma.github.io/Logging_2262/klagomål/A 11288-2024 FSC-klagomål.docx", "A 11288-2024")</f>
        <v/>
      </c>
      <c r="W37">
        <f>HYPERLINK("https://klasma.github.io/Logging_2262/klagomålsmail/A 11288-2024 FSC-klagomål mail.docx", "A 11288-2024")</f>
        <v/>
      </c>
      <c r="X37">
        <f>HYPERLINK("https://klasma.github.io/Logging_2262/tillsyn/A 11288-2024 tillsynsbegäran.docx", "A 11288-2024")</f>
        <v/>
      </c>
      <c r="Y37">
        <f>HYPERLINK("https://klasma.github.io/Logging_2262/tillsynsmail/A 11288-2024 tillsynsbegäran mail.docx", "A 11288-2024")</f>
        <v/>
      </c>
      <c r="Z37">
        <f>HYPERLINK("https://klasma.github.io/Logging_2262/fåglar/A 11288-2024 prioriterade fågelarter.docx", "A 11288-2024")</f>
        <v/>
      </c>
    </row>
    <row r="38" ht="15" customHeight="1">
      <c r="A38" t="inlineStr">
        <is>
          <t>A 51546-2024</t>
        </is>
      </c>
      <c r="B38" s="1" t="n">
        <v>45604.59423611111</v>
      </c>
      <c r="C38" s="1" t="n">
        <v>46011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Lunglav
Ullticka
Stuplav</t>
        </is>
      </c>
      <c r="S38">
        <f>HYPERLINK("https://klasma.github.io/Logging_2262/artfynd/A 51546-2024 artfynd.xlsx", "A 51546-2024")</f>
        <v/>
      </c>
      <c r="T38">
        <f>HYPERLINK("https://klasma.github.io/Logging_2262/kartor/A 51546-2024 karta.png", "A 51546-2024")</f>
        <v/>
      </c>
      <c r="V38">
        <f>HYPERLINK("https://klasma.github.io/Logging_2262/klagomål/A 51546-2024 FSC-klagomål.docx", "A 51546-2024")</f>
        <v/>
      </c>
      <c r="W38">
        <f>HYPERLINK("https://klasma.github.io/Logging_2262/klagomålsmail/A 51546-2024 FSC-klagomål mail.docx", "A 51546-2024")</f>
        <v/>
      </c>
      <c r="X38">
        <f>HYPERLINK("https://klasma.github.io/Logging_2262/tillsyn/A 51546-2024 tillsynsbegäran.docx", "A 51546-2024")</f>
        <v/>
      </c>
      <c r="Y38">
        <f>HYPERLINK("https://klasma.github.io/Logging_2262/tillsynsmail/A 51546-2024 tillsynsbegäran mail.docx", "A 51546-2024")</f>
        <v/>
      </c>
    </row>
    <row r="39" ht="15" customHeight="1">
      <c r="A39" t="inlineStr">
        <is>
          <t>A 22426-2025</t>
        </is>
      </c>
      <c r="B39" s="1" t="n">
        <v>45786</v>
      </c>
      <c r="C39" s="1" t="n">
        <v>46011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6.2</v>
      </c>
      <c r="H39" t="n">
        <v>1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Aspgelélav
Garnlav
Lunglav
Tretåig hackspett</t>
        </is>
      </c>
      <c r="S39">
        <f>HYPERLINK("https://klasma.github.io/Logging_2262/artfynd/A 22426-2025 artfynd.xlsx", "A 22426-2025")</f>
        <v/>
      </c>
      <c r="T39">
        <f>HYPERLINK("https://klasma.github.io/Logging_2262/kartor/A 22426-2025 karta.png", "A 22426-2025")</f>
        <v/>
      </c>
      <c r="V39">
        <f>HYPERLINK("https://klasma.github.io/Logging_2262/klagomål/A 22426-2025 FSC-klagomål.docx", "A 22426-2025")</f>
        <v/>
      </c>
      <c r="W39">
        <f>HYPERLINK("https://klasma.github.io/Logging_2262/klagomålsmail/A 22426-2025 FSC-klagomål mail.docx", "A 22426-2025")</f>
        <v/>
      </c>
      <c r="X39">
        <f>HYPERLINK("https://klasma.github.io/Logging_2262/tillsyn/A 22426-2025 tillsynsbegäran.docx", "A 22426-2025")</f>
        <v/>
      </c>
      <c r="Y39">
        <f>HYPERLINK("https://klasma.github.io/Logging_2262/tillsynsmail/A 22426-2025 tillsynsbegäran mail.docx", "A 22426-2025")</f>
        <v/>
      </c>
      <c r="Z39">
        <f>HYPERLINK("https://klasma.github.io/Logging_2262/fåglar/A 22426-2025 prioriterade fågelarter.docx", "A 22426-2025")</f>
        <v/>
      </c>
    </row>
    <row r="40" ht="15" customHeight="1">
      <c r="A40" t="inlineStr">
        <is>
          <t>A 23296-2025</t>
        </is>
      </c>
      <c r="B40" s="1" t="n">
        <v>45791.59416666667</v>
      </c>
      <c r="C40" s="1" t="n">
        <v>46011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Gränsticka
Järpe
Norrlandslav</t>
        </is>
      </c>
      <c r="S40">
        <f>HYPERLINK("https://klasma.github.io/Logging_2262/artfynd/A 23296-2025 artfynd.xlsx", "A 23296-2025")</f>
        <v/>
      </c>
      <c r="T40">
        <f>HYPERLINK("https://klasma.github.io/Logging_2262/kartor/A 23296-2025 karta.png", "A 23296-2025")</f>
        <v/>
      </c>
      <c r="V40">
        <f>HYPERLINK("https://klasma.github.io/Logging_2262/klagomål/A 23296-2025 FSC-klagomål.docx", "A 23296-2025")</f>
        <v/>
      </c>
      <c r="W40">
        <f>HYPERLINK("https://klasma.github.io/Logging_2262/klagomålsmail/A 23296-2025 FSC-klagomål mail.docx", "A 23296-2025")</f>
        <v/>
      </c>
      <c r="X40">
        <f>HYPERLINK("https://klasma.github.io/Logging_2262/tillsyn/A 23296-2025 tillsynsbegäran.docx", "A 23296-2025")</f>
        <v/>
      </c>
      <c r="Y40">
        <f>HYPERLINK("https://klasma.github.io/Logging_2262/tillsynsmail/A 23296-2025 tillsynsbegäran mail.docx", "A 23296-2025")</f>
        <v/>
      </c>
      <c r="Z40">
        <f>HYPERLINK("https://klasma.github.io/Logging_2262/fåglar/A 23296-2025 prioriterade fågelarter.docx", "A 23296-2025")</f>
        <v/>
      </c>
    </row>
    <row r="41" ht="15" customHeight="1">
      <c r="A41" t="inlineStr">
        <is>
          <t>A 47816-2022</t>
        </is>
      </c>
      <c r="B41" s="1" t="n">
        <v>44854</v>
      </c>
      <c r="C41" s="1" t="n">
        <v>46011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2.9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Tallticka
Violettgrå tagellav</t>
        </is>
      </c>
      <c r="S41">
        <f>HYPERLINK("https://klasma.github.io/Logging_2262/artfynd/A 47816-2022 artfynd.xlsx", "A 47816-2022")</f>
        <v/>
      </c>
      <c r="T41">
        <f>HYPERLINK("https://klasma.github.io/Logging_2262/kartor/A 47816-2022 karta.png", "A 47816-2022")</f>
        <v/>
      </c>
      <c r="V41">
        <f>HYPERLINK("https://klasma.github.io/Logging_2262/klagomål/A 47816-2022 FSC-klagomål.docx", "A 47816-2022")</f>
        <v/>
      </c>
      <c r="W41">
        <f>HYPERLINK("https://klasma.github.io/Logging_2262/klagomålsmail/A 47816-2022 FSC-klagomål mail.docx", "A 47816-2022")</f>
        <v/>
      </c>
      <c r="X41">
        <f>HYPERLINK("https://klasma.github.io/Logging_2262/tillsyn/A 47816-2022 tillsynsbegäran.docx", "A 47816-2022")</f>
        <v/>
      </c>
      <c r="Y41">
        <f>HYPERLINK("https://klasma.github.io/Logging_2262/tillsynsmail/A 47816-2022 tillsynsbegäran mail.docx", "A 47816-2022")</f>
        <v/>
      </c>
    </row>
    <row r="42" ht="15" customHeight="1">
      <c r="A42" t="inlineStr">
        <is>
          <t>A 24430-2025</t>
        </is>
      </c>
      <c r="B42" s="1" t="n">
        <v>45797</v>
      </c>
      <c r="C42" s="1" t="n">
        <v>46011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14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Lunglav
Stuplav</t>
        </is>
      </c>
      <c r="S42">
        <f>HYPERLINK("https://klasma.github.io/Logging_2262/artfynd/A 24430-2025 artfynd.xlsx", "A 24430-2025")</f>
        <v/>
      </c>
      <c r="T42">
        <f>HYPERLINK("https://klasma.github.io/Logging_2262/kartor/A 24430-2025 karta.png", "A 24430-2025")</f>
        <v/>
      </c>
      <c r="V42">
        <f>HYPERLINK("https://klasma.github.io/Logging_2262/klagomål/A 24430-2025 FSC-klagomål.docx", "A 24430-2025")</f>
        <v/>
      </c>
      <c r="W42">
        <f>HYPERLINK("https://klasma.github.io/Logging_2262/klagomålsmail/A 24430-2025 FSC-klagomål mail.docx", "A 24430-2025")</f>
        <v/>
      </c>
      <c r="X42">
        <f>HYPERLINK("https://klasma.github.io/Logging_2262/tillsyn/A 24430-2025 tillsynsbegäran.docx", "A 24430-2025")</f>
        <v/>
      </c>
      <c r="Y42">
        <f>HYPERLINK("https://klasma.github.io/Logging_2262/tillsynsmail/A 24430-2025 tillsynsbegäran mail.docx", "A 24430-2025")</f>
        <v/>
      </c>
    </row>
    <row r="43" ht="15" customHeight="1">
      <c r="A43" t="inlineStr">
        <is>
          <t>A 36160-2025</t>
        </is>
      </c>
      <c r="B43" s="1" t="n">
        <v>45867</v>
      </c>
      <c r="C43" s="1" t="n">
        <v>46011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2.5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Rosenticka
Ullticka</t>
        </is>
      </c>
      <c r="S43">
        <f>HYPERLINK("https://klasma.github.io/Logging_2262/artfynd/A 36160-2025 artfynd.xlsx", "A 36160-2025")</f>
        <v/>
      </c>
      <c r="T43">
        <f>HYPERLINK("https://klasma.github.io/Logging_2262/kartor/A 36160-2025 karta.png", "A 36160-2025")</f>
        <v/>
      </c>
      <c r="V43">
        <f>HYPERLINK("https://klasma.github.io/Logging_2262/klagomål/A 36160-2025 FSC-klagomål.docx", "A 36160-2025")</f>
        <v/>
      </c>
      <c r="W43">
        <f>HYPERLINK("https://klasma.github.io/Logging_2262/klagomålsmail/A 36160-2025 FSC-klagomål mail.docx", "A 36160-2025")</f>
        <v/>
      </c>
      <c r="X43">
        <f>HYPERLINK("https://klasma.github.io/Logging_2262/tillsyn/A 36160-2025 tillsynsbegäran.docx", "A 36160-2025")</f>
        <v/>
      </c>
      <c r="Y43">
        <f>HYPERLINK("https://klasma.github.io/Logging_2262/tillsynsmail/A 36160-2025 tillsynsbegäran mail.docx", "A 36160-2025")</f>
        <v/>
      </c>
    </row>
    <row r="44" ht="15" customHeight="1">
      <c r="A44" t="inlineStr">
        <is>
          <t>A 27307-2025</t>
        </is>
      </c>
      <c r="B44" s="1" t="n">
        <v>45812.57344907407</v>
      </c>
      <c r="C44" s="1" t="n">
        <v>46011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1.9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Skrovellav
Stuplav</t>
        </is>
      </c>
      <c r="S44">
        <f>HYPERLINK("https://klasma.github.io/Logging_2262/artfynd/A 27307-2025 artfynd.xlsx", "A 27307-2025")</f>
        <v/>
      </c>
      <c r="T44">
        <f>HYPERLINK("https://klasma.github.io/Logging_2262/kartor/A 27307-2025 karta.png", "A 27307-2025")</f>
        <v/>
      </c>
      <c r="V44">
        <f>HYPERLINK("https://klasma.github.io/Logging_2262/klagomål/A 27307-2025 FSC-klagomål.docx", "A 27307-2025")</f>
        <v/>
      </c>
      <c r="W44">
        <f>HYPERLINK("https://klasma.github.io/Logging_2262/klagomålsmail/A 27307-2025 FSC-klagomål mail.docx", "A 27307-2025")</f>
        <v/>
      </c>
      <c r="X44">
        <f>HYPERLINK("https://klasma.github.io/Logging_2262/tillsyn/A 27307-2025 tillsynsbegäran.docx", "A 27307-2025")</f>
        <v/>
      </c>
      <c r="Y44">
        <f>HYPERLINK("https://klasma.github.io/Logging_2262/tillsynsmail/A 27307-2025 tillsynsbegäran mail.docx", "A 27307-2025")</f>
        <v/>
      </c>
    </row>
    <row r="45" ht="15" customHeight="1">
      <c r="A45" t="inlineStr">
        <is>
          <t>A 27337-2025</t>
        </is>
      </c>
      <c r="B45" s="1" t="n">
        <v>45812.6150462963</v>
      </c>
      <c r="C45" s="1" t="n">
        <v>46011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1.3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Granticka
Ullticka
Vedticka</t>
        </is>
      </c>
      <c r="S45">
        <f>HYPERLINK("https://klasma.github.io/Logging_2262/artfynd/A 27337-2025 artfynd.xlsx", "A 27337-2025")</f>
        <v/>
      </c>
      <c r="T45">
        <f>HYPERLINK("https://klasma.github.io/Logging_2262/kartor/A 27337-2025 karta.png", "A 27337-2025")</f>
        <v/>
      </c>
      <c r="V45">
        <f>HYPERLINK("https://klasma.github.io/Logging_2262/klagomål/A 27337-2025 FSC-klagomål.docx", "A 27337-2025")</f>
        <v/>
      </c>
      <c r="W45">
        <f>HYPERLINK("https://klasma.github.io/Logging_2262/klagomålsmail/A 27337-2025 FSC-klagomål mail.docx", "A 27337-2025")</f>
        <v/>
      </c>
      <c r="X45">
        <f>HYPERLINK("https://klasma.github.io/Logging_2262/tillsyn/A 27337-2025 tillsynsbegäran.docx", "A 27337-2025")</f>
        <v/>
      </c>
      <c r="Y45">
        <f>HYPERLINK("https://klasma.github.io/Logging_2262/tillsynsmail/A 27337-2025 tillsynsbegäran mail.docx", "A 27337-2025")</f>
        <v/>
      </c>
    </row>
    <row r="46" ht="15" customHeight="1">
      <c r="A46" t="inlineStr">
        <is>
          <t>A 32364-2025</t>
        </is>
      </c>
      <c r="B46" s="1" t="n">
        <v>45837.6565625</v>
      </c>
      <c r="C46" s="1" t="n">
        <v>46011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4.1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Doftskinn
Gammelgransskål
Garnlav</t>
        </is>
      </c>
      <c r="S46">
        <f>HYPERLINK("https://klasma.github.io/Logging_2262/artfynd/A 32364-2025 artfynd.xlsx", "A 32364-2025")</f>
        <v/>
      </c>
      <c r="T46">
        <f>HYPERLINK("https://klasma.github.io/Logging_2262/kartor/A 32364-2025 karta.png", "A 32364-2025")</f>
        <v/>
      </c>
      <c r="V46">
        <f>HYPERLINK("https://klasma.github.io/Logging_2262/klagomål/A 32364-2025 FSC-klagomål.docx", "A 32364-2025")</f>
        <v/>
      </c>
      <c r="W46">
        <f>HYPERLINK("https://klasma.github.io/Logging_2262/klagomålsmail/A 32364-2025 FSC-klagomål mail.docx", "A 32364-2025")</f>
        <v/>
      </c>
      <c r="X46">
        <f>HYPERLINK("https://klasma.github.io/Logging_2262/tillsyn/A 32364-2025 tillsynsbegäran.docx", "A 32364-2025")</f>
        <v/>
      </c>
      <c r="Y46">
        <f>HYPERLINK("https://klasma.github.io/Logging_2262/tillsynsmail/A 32364-2025 tillsynsbegäran mail.docx", "A 32364-2025")</f>
        <v/>
      </c>
    </row>
    <row r="47" ht="15" customHeight="1">
      <c r="A47" t="inlineStr">
        <is>
          <t>A 48798-2024</t>
        </is>
      </c>
      <c r="B47" s="1" t="n">
        <v>45593.65664351852</v>
      </c>
      <c r="C47" s="1" t="n">
        <v>46011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2.3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Kolflarnlav
Leptoporus mollis</t>
        </is>
      </c>
      <c r="S47">
        <f>HYPERLINK("https://klasma.github.io/Logging_2262/artfynd/A 48798-2024 artfynd.xlsx", "A 48798-2024")</f>
        <v/>
      </c>
      <c r="T47">
        <f>HYPERLINK("https://klasma.github.io/Logging_2262/kartor/A 48798-2024 karta.png", "A 48798-2024")</f>
        <v/>
      </c>
      <c r="V47">
        <f>HYPERLINK("https://klasma.github.io/Logging_2262/klagomål/A 48798-2024 FSC-klagomål.docx", "A 48798-2024")</f>
        <v/>
      </c>
      <c r="W47">
        <f>HYPERLINK("https://klasma.github.io/Logging_2262/klagomålsmail/A 48798-2024 FSC-klagomål mail.docx", "A 48798-2024")</f>
        <v/>
      </c>
      <c r="X47">
        <f>HYPERLINK("https://klasma.github.io/Logging_2262/tillsyn/A 48798-2024 tillsynsbegäran.docx", "A 48798-2024")</f>
        <v/>
      </c>
      <c r="Y47">
        <f>HYPERLINK("https://klasma.github.io/Logging_2262/tillsynsmail/A 48798-2024 tillsynsbegäran mail.docx", "A 48798-2024")</f>
        <v/>
      </c>
    </row>
    <row r="48" ht="15" customHeight="1">
      <c r="A48" t="inlineStr">
        <is>
          <t>A 36127-2025</t>
        </is>
      </c>
      <c r="B48" s="1" t="n">
        <v>45866</v>
      </c>
      <c r="C48" s="1" t="n">
        <v>46011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Rosenticka
Violettgrå tagellav</t>
        </is>
      </c>
      <c r="S48">
        <f>HYPERLINK("https://klasma.github.io/Logging_2262/artfynd/A 36127-2025 artfynd.xlsx", "A 36127-2025")</f>
        <v/>
      </c>
      <c r="T48">
        <f>HYPERLINK("https://klasma.github.io/Logging_2262/kartor/A 36127-2025 karta.png", "A 36127-2025")</f>
        <v/>
      </c>
      <c r="U48">
        <f>HYPERLINK("https://klasma.github.io/Logging_2262/knärot/A 36127-2025 karta knärot.png", "A 36127-2025")</f>
        <v/>
      </c>
      <c r="V48">
        <f>HYPERLINK("https://klasma.github.io/Logging_2262/klagomål/A 36127-2025 FSC-klagomål.docx", "A 36127-2025")</f>
        <v/>
      </c>
      <c r="W48">
        <f>HYPERLINK("https://klasma.github.io/Logging_2262/klagomålsmail/A 36127-2025 FSC-klagomål mail.docx", "A 36127-2025")</f>
        <v/>
      </c>
      <c r="X48">
        <f>HYPERLINK("https://klasma.github.io/Logging_2262/tillsyn/A 36127-2025 tillsynsbegäran.docx", "A 36127-2025")</f>
        <v/>
      </c>
      <c r="Y48">
        <f>HYPERLINK("https://klasma.github.io/Logging_2262/tillsynsmail/A 36127-2025 tillsynsbegäran mail.docx", "A 36127-2025")</f>
        <v/>
      </c>
    </row>
    <row r="49" ht="15" customHeight="1">
      <c r="A49" t="inlineStr">
        <is>
          <t>A 5069-2024</t>
        </is>
      </c>
      <c r="B49" s="1" t="n">
        <v>45329</v>
      </c>
      <c r="C49" s="1" t="n">
        <v>46011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3.4</v>
      </c>
      <c r="H49" t="n">
        <v>1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Garnlav
Korallrot
Vedticka</t>
        </is>
      </c>
      <c r="S49">
        <f>HYPERLINK("https://klasma.github.io/Logging_2262/artfynd/A 5069-2024 artfynd.xlsx", "A 5069-2024")</f>
        <v/>
      </c>
      <c r="T49">
        <f>HYPERLINK("https://klasma.github.io/Logging_2262/kartor/A 5069-2024 karta.png", "A 5069-2024")</f>
        <v/>
      </c>
      <c r="V49">
        <f>HYPERLINK("https://klasma.github.io/Logging_2262/klagomål/A 5069-2024 FSC-klagomål.docx", "A 5069-2024")</f>
        <v/>
      </c>
      <c r="W49">
        <f>HYPERLINK("https://klasma.github.io/Logging_2262/klagomålsmail/A 5069-2024 FSC-klagomål mail.docx", "A 5069-2024")</f>
        <v/>
      </c>
      <c r="X49">
        <f>HYPERLINK("https://klasma.github.io/Logging_2262/tillsyn/A 5069-2024 tillsynsbegäran.docx", "A 5069-2024")</f>
        <v/>
      </c>
      <c r="Y49">
        <f>HYPERLINK("https://klasma.github.io/Logging_2262/tillsynsmail/A 5069-2024 tillsynsbegäran mail.docx", "A 5069-2024")</f>
        <v/>
      </c>
    </row>
    <row r="50" ht="15" customHeight="1">
      <c r="A50" t="inlineStr">
        <is>
          <t>A 13439-2025</t>
        </is>
      </c>
      <c r="B50" s="1" t="n">
        <v>45736.34435185185</v>
      </c>
      <c r="C50" s="1" t="n">
        <v>46011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3.2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Granticka
Bårdlav</t>
        </is>
      </c>
      <c r="S50">
        <f>HYPERLINK("https://klasma.github.io/Logging_2262/artfynd/A 13439-2025 artfynd.xlsx", "A 13439-2025")</f>
        <v/>
      </c>
      <c r="T50">
        <f>HYPERLINK("https://klasma.github.io/Logging_2262/kartor/A 13439-2025 karta.png", "A 13439-2025")</f>
        <v/>
      </c>
      <c r="V50">
        <f>HYPERLINK("https://klasma.github.io/Logging_2262/klagomål/A 13439-2025 FSC-klagomål.docx", "A 13439-2025")</f>
        <v/>
      </c>
      <c r="W50">
        <f>HYPERLINK("https://klasma.github.io/Logging_2262/klagomålsmail/A 13439-2025 FSC-klagomål mail.docx", "A 13439-2025")</f>
        <v/>
      </c>
      <c r="X50">
        <f>HYPERLINK("https://klasma.github.io/Logging_2262/tillsyn/A 13439-2025 tillsynsbegäran.docx", "A 13439-2025")</f>
        <v/>
      </c>
      <c r="Y50">
        <f>HYPERLINK("https://klasma.github.io/Logging_2262/tillsynsmail/A 13439-2025 tillsynsbegäran mail.docx", "A 13439-2025")</f>
        <v/>
      </c>
    </row>
    <row r="51" ht="15" customHeight="1">
      <c r="A51" t="inlineStr">
        <is>
          <t>A 21846-2024</t>
        </is>
      </c>
      <c r="B51" s="1" t="n">
        <v>45442</v>
      </c>
      <c r="C51" s="1" t="n">
        <v>46011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2.6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Tretåig hackspett
Vedflamlav</t>
        </is>
      </c>
      <c r="S51">
        <f>HYPERLINK("https://klasma.github.io/Logging_2262/artfynd/A 21846-2024 artfynd.xlsx", "A 21846-2024")</f>
        <v/>
      </c>
      <c r="T51">
        <f>HYPERLINK("https://klasma.github.io/Logging_2262/kartor/A 21846-2024 karta.png", "A 21846-2024")</f>
        <v/>
      </c>
      <c r="V51">
        <f>HYPERLINK("https://klasma.github.io/Logging_2262/klagomål/A 21846-2024 FSC-klagomål.docx", "A 21846-2024")</f>
        <v/>
      </c>
      <c r="W51">
        <f>HYPERLINK("https://klasma.github.io/Logging_2262/klagomålsmail/A 21846-2024 FSC-klagomål mail.docx", "A 21846-2024")</f>
        <v/>
      </c>
      <c r="X51">
        <f>HYPERLINK("https://klasma.github.io/Logging_2262/tillsyn/A 21846-2024 tillsynsbegäran.docx", "A 21846-2024")</f>
        <v/>
      </c>
      <c r="Y51">
        <f>HYPERLINK("https://klasma.github.io/Logging_2262/tillsynsmail/A 21846-2024 tillsynsbegäran mail.docx", "A 21846-2024")</f>
        <v/>
      </c>
      <c r="Z51">
        <f>HYPERLINK("https://klasma.github.io/Logging_2262/fåglar/A 21846-2024 prioriterade fågelarter.docx", "A 21846-2024")</f>
        <v/>
      </c>
    </row>
    <row r="52" ht="15" customHeight="1">
      <c r="A52" t="inlineStr">
        <is>
          <t>A 22427-2025</t>
        </is>
      </c>
      <c r="B52" s="1" t="n">
        <v>45786</v>
      </c>
      <c r="C52" s="1" t="n">
        <v>46011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7.1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Tretåig hackspett
Nattviol</t>
        </is>
      </c>
      <c r="S52">
        <f>HYPERLINK("https://klasma.github.io/Logging_2262/artfynd/A 22427-2025 artfynd.xlsx", "A 22427-2025")</f>
        <v/>
      </c>
      <c r="T52">
        <f>HYPERLINK("https://klasma.github.io/Logging_2262/kartor/A 22427-2025 karta.png", "A 22427-2025")</f>
        <v/>
      </c>
      <c r="V52">
        <f>HYPERLINK("https://klasma.github.io/Logging_2262/klagomål/A 22427-2025 FSC-klagomål.docx", "A 22427-2025")</f>
        <v/>
      </c>
      <c r="W52">
        <f>HYPERLINK("https://klasma.github.io/Logging_2262/klagomålsmail/A 22427-2025 FSC-klagomål mail.docx", "A 22427-2025")</f>
        <v/>
      </c>
      <c r="X52">
        <f>HYPERLINK("https://klasma.github.io/Logging_2262/tillsyn/A 22427-2025 tillsynsbegäran.docx", "A 22427-2025")</f>
        <v/>
      </c>
      <c r="Y52">
        <f>HYPERLINK("https://klasma.github.io/Logging_2262/tillsynsmail/A 22427-2025 tillsynsbegäran mail.docx", "A 22427-2025")</f>
        <v/>
      </c>
      <c r="Z52">
        <f>HYPERLINK("https://klasma.github.io/Logging_2262/fåglar/A 22427-2025 prioriterade fågelarter.docx", "A 22427-2025")</f>
        <v/>
      </c>
    </row>
    <row r="53" ht="15" customHeight="1">
      <c r="A53" t="inlineStr">
        <is>
          <t>A 22210-2025</t>
        </is>
      </c>
      <c r="B53" s="1" t="n">
        <v>45785.65743055556</v>
      </c>
      <c r="C53" s="1" t="n">
        <v>46011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Doftskinn
Gammelgransskål
Rävticka</t>
        </is>
      </c>
      <c r="S53">
        <f>HYPERLINK("https://klasma.github.io/Logging_2262/artfynd/A 22210-2025 artfynd.xlsx", "A 22210-2025")</f>
        <v/>
      </c>
      <c r="T53">
        <f>HYPERLINK("https://klasma.github.io/Logging_2262/kartor/A 22210-2025 karta.png", "A 22210-2025")</f>
        <v/>
      </c>
      <c r="V53">
        <f>HYPERLINK("https://klasma.github.io/Logging_2262/klagomål/A 22210-2025 FSC-klagomål.docx", "A 22210-2025")</f>
        <v/>
      </c>
      <c r="W53">
        <f>HYPERLINK("https://klasma.github.io/Logging_2262/klagomålsmail/A 22210-2025 FSC-klagomål mail.docx", "A 22210-2025")</f>
        <v/>
      </c>
      <c r="X53">
        <f>HYPERLINK("https://klasma.github.io/Logging_2262/tillsyn/A 22210-2025 tillsynsbegäran.docx", "A 22210-2025")</f>
        <v/>
      </c>
      <c r="Y53">
        <f>HYPERLINK("https://klasma.github.io/Logging_2262/tillsynsmail/A 22210-2025 tillsynsbegäran mail.docx", "A 22210-2025")</f>
        <v/>
      </c>
    </row>
    <row r="54" ht="15" customHeight="1">
      <c r="A54" t="inlineStr">
        <is>
          <t>A 23282-2025</t>
        </is>
      </c>
      <c r="B54" s="1" t="n">
        <v>45791.57351851852</v>
      </c>
      <c r="C54" s="1" t="n">
        <v>46011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3.3</v>
      </c>
      <c r="H54" t="n">
        <v>2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Spillkråka
Vedticka
Fläcknycklar</t>
        </is>
      </c>
      <c r="S54">
        <f>HYPERLINK("https://klasma.github.io/Logging_2262/artfynd/A 23282-2025 artfynd.xlsx", "A 23282-2025")</f>
        <v/>
      </c>
      <c r="T54">
        <f>HYPERLINK("https://klasma.github.io/Logging_2262/kartor/A 23282-2025 karta.png", "A 23282-2025")</f>
        <v/>
      </c>
      <c r="V54">
        <f>HYPERLINK("https://klasma.github.io/Logging_2262/klagomål/A 23282-2025 FSC-klagomål.docx", "A 23282-2025")</f>
        <v/>
      </c>
      <c r="W54">
        <f>HYPERLINK("https://klasma.github.io/Logging_2262/klagomålsmail/A 23282-2025 FSC-klagomål mail.docx", "A 23282-2025")</f>
        <v/>
      </c>
      <c r="X54">
        <f>HYPERLINK("https://klasma.github.io/Logging_2262/tillsyn/A 23282-2025 tillsynsbegäran.docx", "A 23282-2025")</f>
        <v/>
      </c>
      <c r="Y54">
        <f>HYPERLINK("https://klasma.github.io/Logging_2262/tillsynsmail/A 23282-2025 tillsynsbegäran mail.docx", "A 23282-2025")</f>
        <v/>
      </c>
      <c r="Z54">
        <f>HYPERLINK("https://klasma.github.io/Logging_2262/fåglar/A 23282-2025 prioriterade fågelarter.docx", "A 23282-2025")</f>
        <v/>
      </c>
    </row>
    <row r="55" ht="15" customHeight="1">
      <c r="A55" t="inlineStr">
        <is>
          <t>A 23158-2025</t>
        </is>
      </c>
      <c r="B55" s="1" t="n">
        <v>45791.4071875</v>
      </c>
      <c r="C55" s="1" t="n">
        <v>46011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4.9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Violettgrå tagellav
Tjäder</t>
        </is>
      </c>
      <c r="S55">
        <f>HYPERLINK("https://klasma.github.io/Logging_2262/artfynd/A 23158-2025 artfynd.xlsx", "A 23158-2025")</f>
        <v/>
      </c>
      <c r="T55">
        <f>HYPERLINK("https://klasma.github.io/Logging_2262/kartor/A 23158-2025 karta.png", "A 23158-2025")</f>
        <v/>
      </c>
      <c r="V55">
        <f>HYPERLINK("https://klasma.github.io/Logging_2262/klagomål/A 23158-2025 FSC-klagomål.docx", "A 23158-2025")</f>
        <v/>
      </c>
      <c r="W55">
        <f>HYPERLINK("https://klasma.github.io/Logging_2262/klagomålsmail/A 23158-2025 FSC-klagomål mail.docx", "A 23158-2025")</f>
        <v/>
      </c>
      <c r="X55">
        <f>HYPERLINK("https://klasma.github.io/Logging_2262/tillsyn/A 23158-2025 tillsynsbegäran.docx", "A 23158-2025")</f>
        <v/>
      </c>
      <c r="Y55">
        <f>HYPERLINK("https://klasma.github.io/Logging_2262/tillsynsmail/A 23158-2025 tillsynsbegäran mail.docx", "A 23158-2025")</f>
        <v/>
      </c>
      <c r="Z55">
        <f>HYPERLINK("https://klasma.github.io/Logging_2262/fåglar/A 23158-2025 prioriterade fågelarter.docx", "A 23158-2025")</f>
        <v/>
      </c>
    </row>
    <row r="56" ht="15" customHeight="1">
      <c r="A56" t="inlineStr">
        <is>
          <t>A 18510-2021</t>
        </is>
      </c>
      <c r="B56" s="1" t="n">
        <v>44306</v>
      </c>
      <c r="C56" s="1" t="n">
        <v>46011</v>
      </c>
      <c r="D56" t="inlineStr">
        <is>
          <t>VÄSTERNORRLANDS LÄN</t>
        </is>
      </c>
      <c r="E56" t="inlineStr">
        <is>
          <t>TIMRÅ</t>
        </is>
      </c>
      <c r="G56" t="n">
        <v>28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Sötgräs
Strutbräken</t>
        </is>
      </c>
      <c r="S56">
        <f>HYPERLINK("https://klasma.github.io/Logging_2262/artfynd/A 18510-2021 artfynd.xlsx", "A 18510-2021")</f>
        <v/>
      </c>
      <c r="T56">
        <f>HYPERLINK("https://klasma.github.io/Logging_2262/kartor/A 18510-2021 karta.png", "A 18510-2021")</f>
        <v/>
      </c>
      <c r="V56">
        <f>HYPERLINK("https://klasma.github.io/Logging_2262/klagomål/A 18510-2021 FSC-klagomål.docx", "A 18510-2021")</f>
        <v/>
      </c>
      <c r="W56">
        <f>HYPERLINK("https://klasma.github.io/Logging_2262/klagomålsmail/A 18510-2021 FSC-klagomål mail.docx", "A 18510-2021")</f>
        <v/>
      </c>
      <c r="X56">
        <f>HYPERLINK("https://klasma.github.io/Logging_2262/tillsyn/A 18510-2021 tillsynsbegäran.docx", "A 18510-2021")</f>
        <v/>
      </c>
      <c r="Y56">
        <f>HYPERLINK("https://klasma.github.io/Logging_2262/tillsynsmail/A 18510-2021 tillsynsbegäran mail.docx", "A 18510-2021")</f>
        <v/>
      </c>
    </row>
    <row r="57" ht="15" customHeight="1">
      <c r="A57" t="inlineStr">
        <is>
          <t>A 23222-2022</t>
        </is>
      </c>
      <c r="B57" s="1" t="n">
        <v>44719</v>
      </c>
      <c r="C57" s="1" t="n">
        <v>46011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Gammelgransskål
Garnlav</t>
        </is>
      </c>
      <c r="S57">
        <f>HYPERLINK("https://klasma.github.io/Logging_2262/artfynd/A 23222-2022 artfynd.xlsx", "A 23222-2022")</f>
        <v/>
      </c>
      <c r="T57">
        <f>HYPERLINK("https://klasma.github.io/Logging_2262/kartor/A 23222-2022 karta.png", "A 23222-2022")</f>
        <v/>
      </c>
      <c r="V57">
        <f>HYPERLINK("https://klasma.github.io/Logging_2262/klagomål/A 23222-2022 FSC-klagomål.docx", "A 23222-2022")</f>
        <v/>
      </c>
      <c r="W57">
        <f>HYPERLINK("https://klasma.github.io/Logging_2262/klagomålsmail/A 23222-2022 FSC-klagomål mail.docx", "A 23222-2022")</f>
        <v/>
      </c>
      <c r="X57">
        <f>HYPERLINK("https://klasma.github.io/Logging_2262/tillsyn/A 23222-2022 tillsynsbegäran.docx", "A 23222-2022")</f>
        <v/>
      </c>
      <c r="Y57">
        <f>HYPERLINK("https://klasma.github.io/Logging_2262/tillsynsmail/A 23222-2022 tillsynsbegäran mail.docx", "A 23222-2022")</f>
        <v/>
      </c>
    </row>
    <row r="58" ht="15" customHeight="1">
      <c r="A58" t="inlineStr">
        <is>
          <t>A 30246-2022</t>
        </is>
      </c>
      <c r="B58" s="1" t="n">
        <v>44757.94475694445</v>
      </c>
      <c r="C58" s="1" t="n">
        <v>46011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0.8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Vanlig padda</t>
        </is>
      </c>
      <c r="S58">
        <f>HYPERLINK("https://klasma.github.io/Logging_2262/artfynd/A 30246-2022 artfynd.xlsx", "A 30246-2022")</f>
        <v/>
      </c>
      <c r="T58">
        <f>HYPERLINK("https://klasma.github.io/Logging_2262/kartor/A 30246-2022 karta.png", "A 30246-2022")</f>
        <v/>
      </c>
      <c r="V58">
        <f>HYPERLINK("https://klasma.github.io/Logging_2262/klagomål/A 30246-2022 FSC-klagomål.docx", "A 30246-2022")</f>
        <v/>
      </c>
      <c r="W58">
        <f>HYPERLINK("https://klasma.github.io/Logging_2262/klagomålsmail/A 30246-2022 FSC-klagomål mail.docx", "A 30246-2022")</f>
        <v/>
      </c>
      <c r="X58">
        <f>HYPERLINK("https://klasma.github.io/Logging_2262/tillsyn/A 30246-2022 tillsynsbegäran.docx", "A 30246-2022")</f>
        <v/>
      </c>
      <c r="Y58">
        <f>HYPERLINK("https://klasma.github.io/Logging_2262/tillsynsmail/A 30246-2022 tillsynsbegäran mail.docx", "A 30246-2022")</f>
        <v/>
      </c>
    </row>
    <row r="59" ht="15" customHeight="1">
      <c r="A59" t="inlineStr">
        <is>
          <t>A 42283-2022</t>
        </is>
      </c>
      <c r="B59" s="1" t="n">
        <v>44830</v>
      </c>
      <c r="C59" s="1" t="n">
        <v>46011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5.2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Lunglav</t>
        </is>
      </c>
      <c r="S59">
        <f>HYPERLINK("https://klasma.github.io/Logging_2262/artfynd/A 42283-2022 artfynd.xlsx", "A 42283-2022")</f>
        <v/>
      </c>
      <c r="T59">
        <f>HYPERLINK("https://klasma.github.io/Logging_2262/kartor/A 42283-2022 karta.png", "A 42283-2022")</f>
        <v/>
      </c>
      <c r="V59">
        <f>HYPERLINK("https://klasma.github.io/Logging_2262/klagomål/A 42283-2022 FSC-klagomål.docx", "A 42283-2022")</f>
        <v/>
      </c>
      <c r="W59">
        <f>HYPERLINK("https://klasma.github.io/Logging_2262/klagomålsmail/A 42283-2022 FSC-klagomål mail.docx", "A 42283-2022")</f>
        <v/>
      </c>
      <c r="X59">
        <f>HYPERLINK("https://klasma.github.io/Logging_2262/tillsyn/A 42283-2022 tillsynsbegäran.docx", "A 42283-2022")</f>
        <v/>
      </c>
      <c r="Y59">
        <f>HYPERLINK("https://klasma.github.io/Logging_2262/tillsynsmail/A 42283-2022 tillsynsbegäran mail.docx", "A 42283-2022")</f>
        <v/>
      </c>
    </row>
    <row r="60" ht="15" customHeight="1">
      <c r="A60" t="inlineStr">
        <is>
          <t>A 29600-2023</t>
        </is>
      </c>
      <c r="B60" s="1" t="n">
        <v>45106</v>
      </c>
      <c r="C60" s="1" t="n">
        <v>46011</v>
      </c>
      <c r="D60" t="inlineStr">
        <is>
          <t>VÄSTERNORRLANDS LÄN</t>
        </is>
      </c>
      <c r="E60" t="inlineStr">
        <is>
          <t>TIMRÅ</t>
        </is>
      </c>
      <c r="F60" t="inlineStr">
        <is>
          <t>Kyrkan</t>
        </is>
      </c>
      <c r="G60" t="n">
        <v>5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Dvärghäxört
Svart trolldruva</t>
        </is>
      </c>
      <c r="S60">
        <f>HYPERLINK("https://klasma.github.io/Logging_2262/artfynd/A 29600-2023 artfynd.xlsx", "A 29600-2023")</f>
        <v/>
      </c>
      <c r="T60">
        <f>HYPERLINK("https://klasma.github.io/Logging_2262/kartor/A 29600-2023 karta.png", "A 29600-2023")</f>
        <v/>
      </c>
      <c r="V60">
        <f>HYPERLINK("https://klasma.github.io/Logging_2262/klagomål/A 29600-2023 FSC-klagomål.docx", "A 29600-2023")</f>
        <v/>
      </c>
      <c r="W60">
        <f>HYPERLINK("https://klasma.github.io/Logging_2262/klagomålsmail/A 29600-2023 FSC-klagomål mail.docx", "A 29600-2023")</f>
        <v/>
      </c>
      <c r="X60">
        <f>HYPERLINK("https://klasma.github.io/Logging_2262/tillsyn/A 29600-2023 tillsynsbegäran.docx", "A 29600-2023")</f>
        <v/>
      </c>
      <c r="Y60">
        <f>HYPERLINK("https://klasma.github.io/Logging_2262/tillsynsmail/A 29600-2023 tillsynsbegäran mail.docx", "A 29600-2023")</f>
        <v/>
      </c>
    </row>
    <row r="61" ht="15" customHeight="1">
      <c r="A61" t="inlineStr">
        <is>
          <t>A 39356-2025</t>
        </is>
      </c>
      <c r="B61" s="1" t="n">
        <v>45889.55267361111</v>
      </c>
      <c r="C61" s="1" t="n">
        <v>46011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2.3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Rosenticka
Ullticka</t>
        </is>
      </c>
      <c r="S61">
        <f>HYPERLINK("https://klasma.github.io/Logging_2262/artfynd/A 39356-2025 artfynd.xlsx", "A 39356-2025")</f>
        <v/>
      </c>
      <c r="T61">
        <f>HYPERLINK("https://klasma.github.io/Logging_2262/kartor/A 39356-2025 karta.png", "A 39356-2025")</f>
        <v/>
      </c>
      <c r="V61">
        <f>HYPERLINK("https://klasma.github.io/Logging_2262/klagomål/A 39356-2025 FSC-klagomål.docx", "A 39356-2025")</f>
        <v/>
      </c>
      <c r="W61">
        <f>HYPERLINK("https://klasma.github.io/Logging_2262/klagomålsmail/A 39356-2025 FSC-klagomål mail.docx", "A 39356-2025")</f>
        <v/>
      </c>
      <c r="X61">
        <f>HYPERLINK("https://klasma.github.io/Logging_2262/tillsyn/A 39356-2025 tillsynsbegäran.docx", "A 39356-2025")</f>
        <v/>
      </c>
      <c r="Y61">
        <f>HYPERLINK("https://klasma.github.io/Logging_2262/tillsynsmail/A 39356-2025 tillsynsbegäran mail.docx", "A 39356-2025")</f>
        <v/>
      </c>
    </row>
    <row r="62" ht="15" customHeight="1">
      <c r="A62" t="inlineStr">
        <is>
          <t>A 40107-2025</t>
        </is>
      </c>
      <c r="B62" s="1" t="n">
        <v>45894.48993055556</v>
      </c>
      <c r="C62" s="1" t="n">
        <v>46011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4.9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Blå taggsvamp
Svart taggsvamp</t>
        </is>
      </c>
      <c r="S62">
        <f>HYPERLINK("https://klasma.github.io/Logging_2262/artfynd/A 40107-2025 artfynd.xlsx", "A 40107-2025")</f>
        <v/>
      </c>
      <c r="T62">
        <f>HYPERLINK("https://klasma.github.io/Logging_2262/kartor/A 40107-2025 karta.png", "A 40107-2025")</f>
        <v/>
      </c>
      <c r="V62">
        <f>HYPERLINK("https://klasma.github.io/Logging_2262/klagomål/A 40107-2025 FSC-klagomål.docx", "A 40107-2025")</f>
        <v/>
      </c>
      <c r="W62">
        <f>HYPERLINK("https://klasma.github.io/Logging_2262/klagomålsmail/A 40107-2025 FSC-klagomål mail.docx", "A 40107-2025")</f>
        <v/>
      </c>
      <c r="X62">
        <f>HYPERLINK("https://klasma.github.io/Logging_2262/tillsyn/A 40107-2025 tillsynsbegäran.docx", "A 40107-2025")</f>
        <v/>
      </c>
      <c r="Y62">
        <f>HYPERLINK("https://klasma.github.io/Logging_2262/tillsynsmail/A 40107-2025 tillsynsbegäran mail.docx", "A 40107-2025")</f>
        <v/>
      </c>
    </row>
    <row r="63" ht="15" customHeight="1">
      <c r="A63" t="inlineStr">
        <is>
          <t>A 45343-2023</t>
        </is>
      </c>
      <c r="B63" s="1" t="n">
        <v>45191</v>
      </c>
      <c r="C63" s="1" t="n">
        <v>46011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9.5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Plattlummer</t>
        </is>
      </c>
      <c r="S63">
        <f>HYPERLINK("https://klasma.github.io/Logging_2262/artfynd/A 45343-2023 artfynd.xlsx", "A 45343-2023")</f>
        <v/>
      </c>
      <c r="T63">
        <f>HYPERLINK("https://klasma.github.io/Logging_2262/kartor/A 45343-2023 karta.png", "A 45343-2023")</f>
        <v/>
      </c>
      <c r="V63">
        <f>HYPERLINK("https://klasma.github.io/Logging_2262/klagomål/A 45343-2023 FSC-klagomål.docx", "A 45343-2023")</f>
        <v/>
      </c>
      <c r="W63">
        <f>HYPERLINK("https://klasma.github.io/Logging_2262/klagomålsmail/A 45343-2023 FSC-klagomål mail.docx", "A 45343-2023")</f>
        <v/>
      </c>
      <c r="X63">
        <f>HYPERLINK("https://klasma.github.io/Logging_2262/tillsyn/A 45343-2023 tillsynsbegäran.docx", "A 45343-2023")</f>
        <v/>
      </c>
      <c r="Y63">
        <f>HYPERLINK("https://klasma.github.io/Logging_2262/tillsynsmail/A 45343-2023 tillsynsbegäran mail.docx", "A 45343-2023")</f>
        <v/>
      </c>
    </row>
    <row r="64" ht="15" customHeight="1">
      <c r="A64" t="inlineStr">
        <is>
          <t>A 30187-2025</t>
        </is>
      </c>
      <c r="B64" s="1" t="n">
        <v>45827.3472800926</v>
      </c>
      <c r="C64" s="1" t="n">
        <v>46011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0.6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Ullticka</t>
        </is>
      </c>
      <c r="S64">
        <f>HYPERLINK("https://klasma.github.io/Logging_2262/artfynd/A 30187-2025 artfynd.xlsx", "A 30187-2025")</f>
        <v/>
      </c>
      <c r="T64">
        <f>HYPERLINK("https://klasma.github.io/Logging_2262/kartor/A 30187-2025 karta.png", "A 30187-2025")</f>
        <v/>
      </c>
      <c r="V64">
        <f>HYPERLINK("https://klasma.github.io/Logging_2262/klagomål/A 30187-2025 FSC-klagomål.docx", "A 30187-2025")</f>
        <v/>
      </c>
      <c r="W64">
        <f>HYPERLINK("https://klasma.github.io/Logging_2262/klagomålsmail/A 30187-2025 FSC-klagomål mail.docx", "A 30187-2025")</f>
        <v/>
      </c>
      <c r="X64">
        <f>HYPERLINK("https://klasma.github.io/Logging_2262/tillsyn/A 30187-2025 tillsynsbegäran.docx", "A 30187-2025")</f>
        <v/>
      </c>
      <c r="Y64">
        <f>HYPERLINK("https://klasma.github.io/Logging_2262/tillsynsmail/A 30187-2025 tillsynsbegäran mail.docx", "A 30187-2025")</f>
        <v/>
      </c>
    </row>
    <row r="65" ht="15" customHeight="1">
      <c r="A65" t="inlineStr">
        <is>
          <t>A 39800-2024</t>
        </is>
      </c>
      <c r="B65" s="1" t="n">
        <v>45553.34428240741</v>
      </c>
      <c r="C65" s="1" t="n">
        <v>46011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Vedticka</t>
        </is>
      </c>
      <c r="S65">
        <f>HYPERLINK("https://klasma.github.io/Logging_2262/artfynd/A 39800-2024 artfynd.xlsx", "A 39800-2024")</f>
        <v/>
      </c>
      <c r="T65">
        <f>HYPERLINK("https://klasma.github.io/Logging_2262/kartor/A 39800-2024 karta.png", "A 39800-2024")</f>
        <v/>
      </c>
      <c r="V65">
        <f>HYPERLINK("https://klasma.github.io/Logging_2262/klagomål/A 39800-2024 FSC-klagomål.docx", "A 39800-2024")</f>
        <v/>
      </c>
      <c r="W65">
        <f>HYPERLINK("https://klasma.github.io/Logging_2262/klagomålsmail/A 39800-2024 FSC-klagomål mail.docx", "A 39800-2024")</f>
        <v/>
      </c>
      <c r="X65">
        <f>HYPERLINK("https://klasma.github.io/Logging_2262/tillsyn/A 39800-2024 tillsynsbegäran.docx", "A 39800-2024")</f>
        <v/>
      </c>
      <c r="Y65">
        <f>HYPERLINK("https://klasma.github.io/Logging_2262/tillsynsmail/A 39800-2024 tillsynsbegäran mail.docx", "A 39800-2024")</f>
        <v/>
      </c>
    </row>
    <row r="66" ht="15" customHeight="1">
      <c r="A66" t="inlineStr">
        <is>
          <t>A 53287-2024</t>
        </is>
      </c>
      <c r="B66" s="1" t="n">
        <v>45614.38584490741</v>
      </c>
      <c r="C66" s="1" t="n">
        <v>46011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Korallblylav
Slanklav</t>
        </is>
      </c>
      <c r="S66">
        <f>HYPERLINK("https://klasma.github.io/Logging_2262/artfynd/A 53287-2024 artfynd.xlsx", "A 53287-2024")</f>
        <v/>
      </c>
      <c r="T66">
        <f>HYPERLINK("https://klasma.github.io/Logging_2262/kartor/A 53287-2024 karta.png", "A 53287-2024")</f>
        <v/>
      </c>
      <c r="V66">
        <f>HYPERLINK("https://klasma.github.io/Logging_2262/klagomål/A 53287-2024 FSC-klagomål.docx", "A 53287-2024")</f>
        <v/>
      </c>
      <c r="W66">
        <f>HYPERLINK("https://klasma.github.io/Logging_2262/klagomålsmail/A 53287-2024 FSC-klagomål mail.docx", "A 53287-2024")</f>
        <v/>
      </c>
      <c r="X66">
        <f>HYPERLINK("https://klasma.github.io/Logging_2262/tillsyn/A 53287-2024 tillsynsbegäran.docx", "A 53287-2024")</f>
        <v/>
      </c>
      <c r="Y66">
        <f>HYPERLINK("https://klasma.github.io/Logging_2262/tillsynsmail/A 53287-2024 tillsynsbegäran mail.docx", "A 53287-2024")</f>
        <v/>
      </c>
    </row>
    <row r="67" ht="15" customHeight="1">
      <c r="A67" t="inlineStr">
        <is>
          <t>A 35003-2023</t>
        </is>
      </c>
      <c r="B67" s="1" t="n">
        <v>45142</v>
      </c>
      <c r="C67" s="1" t="n">
        <v>46011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HYPERLINK("https://klasma.github.io/Logging_2262/artfynd/A 35003-2023 artfynd.xlsx", "A 35003-2023")</f>
        <v/>
      </c>
      <c r="T67">
        <f>HYPERLINK("https://klasma.github.io/Logging_2262/kartor/A 35003-2023 karta.png", "A 35003-2023")</f>
        <v/>
      </c>
      <c r="V67">
        <f>HYPERLINK("https://klasma.github.io/Logging_2262/klagomål/A 35003-2023 FSC-klagomål.docx", "A 35003-2023")</f>
        <v/>
      </c>
      <c r="W67">
        <f>HYPERLINK("https://klasma.github.io/Logging_2262/klagomålsmail/A 35003-2023 FSC-klagomål mail.docx", "A 35003-2023")</f>
        <v/>
      </c>
      <c r="X67">
        <f>HYPERLINK("https://klasma.github.io/Logging_2262/tillsyn/A 35003-2023 tillsynsbegäran.docx", "A 35003-2023")</f>
        <v/>
      </c>
      <c r="Y67">
        <f>HYPERLINK("https://klasma.github.io/Logging_2262/tillsynsmail/A 35003-2023 tillsynsbegäran mail.docx", "A 35003-2023")</f>
        <v/>
      </c>
    </row>
    <row r="68" ht="15" customHeight="1">
      <c r="A68" t="inlineStr">
        <is>
          <t>A 36126-2025</t>
        </is>
      </c>
      <c r="B68" s="1" t="n">
        <v>45866</v>
      </c>
      <c r="C68" s="1" t="n">
        <v>46011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3.5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Vedflamlav</t>
        </is>
      </c>
      <c r="S68">
        <f>HYPERLINK("https://klasma.github.io/Logging_2262/artfynd/A 36126-2025 artfynd.xlsx", "A 36126-2025")</f>
        <v/>
      </c>
      <c r="T68">
        <f>HYPERLINK("https://klasma.github.io/Logging_2262/kartor/A 36126-2025 karta.png", "A 36126-2025")</f>
        <v/>
      </c>
      <c r="U68">
        <f>HYPERLINK("https://klasma.github.io/Logging_2262/knärot/A 36126-2025 karta knärot.png", "A 36126-2025")</f>
        <v/>
      </c>
      <c r="V68">
        <f>HYPERLINK("https://klasma.github.io/Logging_2262/klagomål/A 36126-2025 FSC-klagomål.docx", "A 36126-2025")</f>
        <v/>
      </c>
      <c r="W68">
        <f>HYPERLINK("https://klasma.github.io/Logging_2262/klagomålsmail/A 36126-2025 FSC-klagomål mail.docx", "A 36126-2025")</f>
        <v/>
      </c>
      <c r="X68">
        <f>HYPERLINK("https://klasma.github.io/Logging_2262/tillsyn/A 36126-2025 tillsynsbegäran.docx", "A 36126-2025")</f>
        <v/>
      </c>
      <c r="Y68">
        <f>HYPERLINK("https://klasma.github.io/Logging_2262/tillsynsmail/A 36126-2025 tillsynsbegäran mail.docx", "A 36126-2025")</f>
        <v/>
      </c>
    </row>
    <row r="69" ht="15" customHeight="1">
      <c r="A69" t="inlineStr">
        <is>
          <t>A 43413-2023</t>
        </is>
      </c>
      <c r="B69" s="1" t="n">
        <v>45183</v>
      </c>
      <c r="C69" s="1" t="n">
        <v>46011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4.1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Harticka</t>
        </is>
      </c>
      <c r="S69">
        <f>HYPERLINK("https://klasma.github.io/Logging_2262/artfynd/A 43413-2023 artfynd.xlsx", "A 43413-2023")</f>
        <v/>
      </c>
      <c r="T69">
        <f>HYPERLINK("https://klasma.github.io/Logging_2262/kartor/A 43413-2023 karta.png", "A 43413-2023")</f>
        <v/>
      </c>
      <c r="V69">
        <f>HYPERLINK("https://klasma.github.io/Logging_2262/klagomål/A 43413-2023 FSC-klagomål.docx", "A 43413-2023")</f>
        <v/>
      </c>
      <c r="W69">
        <f>HYPERLINK("https://klasma.github.io/Logging_2262/klagomålsmail/A 43413-2023 FSC-klagomål mail.docx", "A 43413-2023")</f>
        <v/>
      </c>
      <c r="X69">
        <f>HYPERLINK("https://klasma.github.io/Logging_2262/tillsyn/A 43413-2023 tillsynsbegäran.docx", "A 43413-2023")</f>
        <v/>
      </c>
      <c r="Y69">
        <f>HYPERLINK("https://klasma.github.io/Logging_2262/tillsynsmail/A 43413-2023 tillsynsbegäran mail.docx", "A 43413-2023")</f>
        <v/>
      </c>
    </row>
    <row r="70" ht="15" customHeight="1">
      <c r="A70" t="inlineStr">
        <is>
          <t>A 18827-2025</t>
        </is>
      </c>
      <c r="B70" s="1" t="n">
        <v>45764.38619212963</v>
      </c>
      <c r="C70" s="1" t="n">
        <v>46011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6.5</v>
      </c>
      <c r="H70" t="n">
        <v>0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Laxporing
Doftskinn</t>
        </is>
      </c>
      <c r="S70">
        <f>HYPERLINK("https://klasma.github.io/Logging_2262/artfynd/A 18827-2025 artfynd.xlsx", "A 18827-2025")</f>
        <v/>
      </c>
      <c r="T70">
        <f>HYPERLINK("https://klasma.github.io/Logging_2262/kartor/A 18827-2025 karta.png", "A 18827-2025")</f>
        <v/>
      </c>
      <c r="V70">
        <f>HYPERLINK("https://klasma.github.io/Logging_2262/klagomål/A 18827-2025 FSC-klagomål.docx", "A 18827-2025")</f>
        <v/>
      </c>
      <c r="W70">
        <f>HYPERLINK("https://klasma.github.io/Logging_2262/klagomålsmail/A 18827-2025 FSC-klagomål mail.docx", "A 18827-2025")</f>
        <v/>
      </c>
      <c r="X70">
        <f>HYPERLINK("https://klasma.github.io/Logging_2262/tillsyn/A 18827-2025 tillsynsbegäran.docx", "A 18827-2025")</f>
        <v/>
      </c>
      <c r="Y70">
        <f>HYPERLINK("https://klasma.github.io/Logging_2262/tillsynsmail/A 18827-2025 tillsynsbegäran mail.docx", "A 18827-2025")</f>
        <v/>
      </c>
    </row>
    <row r="71" ht="15" customHeight="1">
      <c r="A71" t="inlineStr">
        <is>
          <t>A 49202-2022</t>
        </is>
      </c>
      <c r="B71" s="1" t="n">
        <v>44860</v>
      </c>
      <c r="C71" s="1" t="n">
        <v>46011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Violettgrå tagellav</t>
        </is>
      </c>
      <c r="S71">
        <f>HYPERLINK("https://klasma.github.io/Logging_2262/artfynd/A 49202-2022 artfynd.xlsx", "A 49202-2022")</f>
        <v/>
      </c>
      <c r="T71">
        <f>HYPERLINK("https://klasma.github.io/Logging_2262/kartor/A 49202-2022 karta.png", "A 49202-2022")</f>
        <v/>
      </c>
      <c r="V71">
        <f>HYPERLINK("https://klasma.github.io/Logging_2262/klagomål/A 49202-2022 FSC-klagomål.docx", "A 49202-2022")</f>
        <v/>
      </c>
      <c r="W71">
        <f>HYPERLINK("https://klasma.github.io/Logging_2262/klagomålsmail/A 49202-2022 FSC-klagomål mail.docx", "A 49202-2022")</f>
        <v/>
      </c>
      <c r="X71">
        <f>HYPERLINK("https://klasma.github.io/Logging_2262/tillsyn/A 49202-2022 tillsynsbegäran.docx", "A 49202-2022")</f>
        <v/>
      </c>
      <c r="Y71">
        <f>HYPERLINK("https://klasma.github.io/Logging_2262/tillsynsmail/A 49202-2022 tillsynsbegäran mail.docx", "A 49202-2022")</f>
        <v/>
      </c>
    </row>
    <row r="72" ht="15" customHeight="1">
      <c r="A72" t="inlineStr">
        <is>
          <t>A 54994-2025</t>
        </is>
      </c>
      <c r="B72" s="1" t="n">
        <v>45967.59415509259</v>
      </c>
      <c r="C72" s="1" t="n">
        <v>46011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3.2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Skinnlav</t>
        </is>
      </c>
      <c r="S72">
        <f>HYPERLINK("https://klasma.github.io/Logging_2262/artfynd/A 54994-2025 artfynd.xlsx", "A 54994-2025")</f>
        <v/>
      </c>
      <c r="T72">
        <f>HYPERLINK("https://klasma.github.io/Logging_2262/kartor/A 54994-2025 karta.png", "A 54994-2025")</f>
        <v/>
      </c>
      <c r="V72">
        <f>HYPERLINK("https://klasma.github.io/Logging_2262/klagomål/A 54994-2025 FSC-klagomål.docx", "A 54994-2025")</f>
        <v/>
      </c>
      <c r="W72">
        <f>HYPERLINK("https://klasma.github.io/Logging_2262/klagomålsmail/A 54994-2025 FSC-klagomål mail.docx", "A 54994-2025")</f>
        <v/>
      </c>
      <c r="X72">
        <f>HYPERLINK("https://klasma.github.io/Logging_2262/tillsyn/A 54994-2025 tillsynsbegäran.docx", "A 54994-2025")</f>
        <v/>
      </c>
      <c r="Y72">
        <f>HYPERLINK("https://klasma.github.io/Logging_2262/tillsynsmail/A 54994-2025 tillsynsbegäran mail.docx", "A 54994-2025")</f>
        <v/>
      </c>
    </row>
    <row r="73" ht="15" customHeight="1">
      <c r="A73" t="inlineStr">
        <is>
          <t>A 55709-2024</t>
        </is>
      </c>
      <c r="B73" s="1" t="n">
        <v>45622.69840277778</v>
      </c>
      <c r="C73" s="1" t="n">
        <v>46011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1.8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Skinnlav</t>
        </is>
      </c>
      <c r="S73">
        <f>HYPERLINK("https://klasma.github.io/Logging_2262/artfynd/A 55709-2024 artfynd.xlsx", "A 55709-2024")</f>
        <v/>
      </c>
      <c r="T73">
        <f>HYPERLINK("https://klasma.github.io/Logging_2262/kartor/A 55709-2024 karta.png", "A 55709-2024")</f>
        <v/>
      </c>
      <c r="V73">
        <f>HYPERLINK("https://klasma.github.io/Logging_2262/klagomål/A 55709-2024 FSC-klagomål.docx", "A 55709-2024")</f>
        <v/>
      </c>
      <c r="W73">
        <f>HYPERLINK("https://klasma.github.io/Logging_2262/klagomålsmail/A 55709-2024 FSC-klagomål mail.docx", "A 55709-2024")</f>
        <v/>
      </c>
      <c r="X73">
        <f>HYPERLINK("https://klasma.github.io/Logging_2262/tillsyn/A 55709-2024 tillsynsbegäran.docx", "A 55709-2024")</f>
        <v/>
      </c>
      <c r="Y73">
        <f>HYPERLINK("https://klasma.github.io/Logging_2262/tillsynsmail/A 55709-2024 tillsynsbegäran mail.docx", "A 55709-2024")</f>
        <v/>
      </c>
    </row>
    <row r="74" ht="15" customHeight="1">
      <c r="A74" t="inlineStr">
        <is>
          <t>A 41784-2024</t>
        </is>
      </c>
      <c r="B74" s="1" t="n">
        <v>45561</v>
      </c>
      <c r="C74" s="1" t="n">
        <v>46011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10.7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Koralltaggsvamp</t>
        </is>
      </c>
      <c r="S74">
        <f>HYPERLINK("https://klasma.github.io/Logging_2262/artfynd/A 41784-2024 artfynd.xlsx", "A 41784-2024")</f>
        <v/>
      </c>
      <c r="T74">
        <f>HYPERLINK("https://klasma.github.io/Logging_2262/kartor/A 41784-2024 karta.png", "A 41784-2024")</f>
        <v/>
      </c>
      <c r="U74">
        <f>HYPERLINK("https://klasma.github.io/Logging_2262/knärot/A 41784-2024 karta knärot.png", "A 41784-2024")</f>
        <v/>
      </c>
      <c r="V74">
        <f>HYPERLINK("https://klasma.github.io/Logging_2262/klagomål/A 41784-2024 FSC-klagomål.docx", "A 41784-2024")</f>
        <v/>
      </c>
      <c r="W74">
        <f>HYPERLINK("https://klasma.github.io/Logging_2262/klagomålsmail/A 41784-2024 FSC-klagomål mail.docx", "A 41784-2024")</f>
        <v/>
      </c>
      <c r="X74">
        <f>HYPERLINK("https://klasma.github.io/Logging_2262/tillsyn/A 41784-2024 tillsynsbegäran.docx", "A 41784-2024")</f>
        <v/>
      </c>
      <c r="Y74">
        <f>HYPERLINK("https://klasma.github.io/Logging_2262/tillsynsmail/A 41784-2024 tillsynsbegäran mail.docx", "A 41784-2024")</f>
        <v/>
      </c>
    </row>
    <row r="75" ht="15" customHeight="1">
      <c r="A75" t="inlineStr">
        <is>
          <t>A 18399-2025</t>
        </is>
      </c>
      <c r="B75" s="1" t="n">
        <v>45762.595</v>
      </c>
      <c r="C75" s="1" t="n">
        <v>46011</v>
      </c>
      <c r="D75" t="inlineStr">
        <is>
          <t>VÄSTERNORRLANDS LÄN</t>
        </is>
      </c>
      <c r="E75" t="inlineStr">
        <is>
          <t>TIMRÅ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Slåtterfibbla
Kopparödla</t>
        </is>
      </c>
      <c r="S75">
        <f>HYPERLINK("https://klasma.github.io/Logging_2262/artfynd/A 18399-2025 artfynd.xlsx", "A 18399-2025")</f>
        <v/>
      </c>
      <c r="T75">
        <f>HYPERLINK("https://klasma.github.io/Logging_2262/kartor/A 18399-2025 karta.png", "A 18399-2025")</f>
        <v/>
      </c>
      <c r="V75">
        <f>HYPERLINK("https://klasma.github.io/Logging_2262/klagomål/A 18399-2025 FSC-klagomål.docx", "A 18399-2025")</f>
        <v/>
      </c>
      <c r="W75">
        <f>HYPERLINK("https://klasma.github.io/Logging_2262/klagomålsmail/A 18399-2025 FSC-klagomål mail.docx", "A 18399-2025")</f>
        <v/>
      </c>
      <c r="X75">
        <f>HYPERLINK("https://klasma.github.io/Logging_2262/tillsyn/A 18399-2025 tillsynsbegäran.docx", "A 18399-2025")</f>
        <v/>
      </c>
      <c r="Y75">
        <f>HYPERLINK("https://klasma.github.io/Logging_2262/tillsynsmail/A 18399-2025 tillsynsbegäran mail.docx", "A 18399-2025")</f>
        <v/>
      </c>
    </row>
    <row r="76" ht="15" customHeight="1">
      <c r="A76" t="inlineStr">
        <is>
          <t>A 20882-2025</t>
        </is>
      </c>
      <c r="B76" s="1" t="n">
        <v>45777.36506944444</v>
      </c>
      <c r="C76" s="1" t="n">
        <v>46011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3.3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HYPERLINK("https://klasma.github.io/Logging_2262/artfynd/A 20882-2025 artfynd.xlsx", "A 20882-2025")</f>
        <v/>
      </c>
      <c r="T76">
        <f>HYPERLINK("https://klasma.github.io/Logging_2262/kartor/A 20882-2025 karta.png", "A 20882-2025")</f>
        <v/>
      </c>
      <c r="V76">
        <f>HYPERLINK("https://klasma.github.io/Logging_2262/klagomål/A 20882-2025 FSC-klagomål.docx", "A 20882-2025")</f>
        <v/>
      </c>
      <c r="W76">
        <f>HYPERLINK("https://klasma.github.io/Logging_2262/klagomålsmail/A 20882-2025 FSC-klagomål mail.docx", "A 20882-2025")</f>
        <v/>
      </c>
      <c r="X76">
        <f>HYPERLINK("https://klasma.github.io/Logging_2262/tillsyn/A 20882-2025 tillsynsbegäran.docx", "A 20882-2025")</f>
        <v/>
      </c>
      <c r="Y76">
        <f>HYPERLINK("https://klasma.github.io/Logging_2262/tillsynsmail/A 20882-2025 tillsynsbegäran mail.docx", "A 20882-2025")</f>
        <v/>
      </c>
    </row>
    <row r="77" ht="15" customHeight="1">
      <c r="A77" t="inlineStr">
        <is>
          <t>A 21621-2025</t>
        </is>
      </c>
      <c r="B77" s="1" t="n">
        <v>45783.40657407408</v>
      </c>
      <c r="C77" s="1" t="n">
        <v>46011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1.6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Rosenticka</t>
        </is>
      </c>
      <c r="S77">
        <f>HYPERLINK("https://klasma.github.io/Logging_2262/artfynd/A 21621-2025 artfynd.xlsx", "A 21621-2025")</f>
        <v/>
      </c>
      <c r="T77">
        <f>HYPERLINK("https://klasma.github.io/Logging_2262/kartor/A 21621-2025 karta.png", "A 21621-2025")</f>
        <v/>
      </c>
      <c r="U77">
        <f>HYPERLINK("https://klasma.github.io/Logging_2262/knärot/A 21621-2025 karta knärot.png", "A 21621-2025")</f>
        <v/>
      </c>
      <c r="V77">
        <f>HYPERLINK("https://klasma.github.io/Logging_2262/klagomål/A 21621-2025 FSC-klagomål.docx", "A 21621-2025")</f>
        <v/>
      </c>
      <c r="W77">
        <f>HYPERLINK("https://klasma.github.io/Logging_2262/klagomålsmail/A 21621-2025 FSC-klagomål mail.docx", "A 21621-2025")</f>
        <v/>
      </c>
      <c r="X77">
        <f>HYPERLINK("https://klasma.github.io/Logging_2262/tillsyn/A 21621-2025 tillsynsbegäran.docx", "A 21621-2025")</f>
        <v/>
      </c>
      <c r="Y77">
        <f>HYPERLINK("https://klasma.github.io/Logging_2262/tillsynsmail/A 21621-2025 tillsynsbegäran mail.docx", "A 21621-2025")</f>
        <v/>
      </c>
    </row>
    <row r="78" ht="15" customHeight="1">
      <c r="A78" t="inlineStr">
        <is>
          <t>A 60670-2024</t>
        </is>
      </c>
      <c r="B78" s="1" t="n">
        <v>45642</v>
      </c>
      <c r="C78" s="1" t="n">
        <v>46011</v>
      </c>
      <c r="D78" t="inlineStr">
        <is>
          <t>VÄSTERNORRLANDS LÄN</t>
        </is>
      </c>
      <c r="E78" t="inlineStr">
        <is>
          <t>TIMRÅ</t>
        </is>
      </c>
      <c r="G78" t="n">
        <v>2.9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Dvärghäxört
Fläcknycklar</t>
        </is>
      </c>
      <c r="S78">
        <f>HYPERLINK("https://klasma.github.io/Logging_2262/artfynd/A 60670-2024 artfynd.xlsx", "A 60670-2024")</f>
        <v/>
      </c>
      <c r="T78">
        <f>HYPERLINK("https://klasma.github.io/Logging_2262/kartor/A 60670-2024 karta.png", "A 60670-2024")</f>
        <v/>
      </c>
      <c r="V78">
        <f>HYPERLINK("https://klasma.github.io/Logging_2262/klagomål/A 60670-2024 FSC-klagomål.docx", "A 60670-2024")</f>
        <v/>
      </c>
      <c r="W78">
        <f>HYPERLINK("https://klasma.github.io/Logging_2262/klagomålsmail/A 60670-2024 FSC-klagomål mail.docx", "A 60670-2024")</f>
        <v/>
      </c>
      <c r="X78">
        <f>HYPERLINK("https://klasma.github.io/Logging_2262/tillsyn/A 60670-2024 tillsynsbegäran.docx", "A 60670-2024")</f>
        <v/>
      </c>
      <c r="Y78">
        <f>HYPERLINK("https://klasma.github.io/Logging_2262/tillsynsmail/A 60670-2024 tillsynsbegäran mail.docx", "A 60670-2024")</f>
        <v/>
      </c>
    </row>
    <row r="79" ht="15" customHeight="1">
      <c r="A79" t="inlineStr">
        <is>
          <t>A 22379-2025</t>
        </is>
      </c>
      <c r="B79" s="1" t="n">
        <v>45786</v>
      </c>
      <c r="C79" s="1" t="n">
        <v>46011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8.300000000000001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Mörk kolflarnlav</t>
        </is>
      </c>
      <c r="S79">
        <f>HYPERLINK("https://klasma.github.io/Logging_2262/artfynd/A 22379-2025 artfynd.xlsx", "A 22379-2025")</f>
        <v/>
      </c>
      <c r="T79">
        <f>HYPERLINK("https://klasma.github.io/Logging_2262/kartor/A 22379-2025 karta.png", "A 22379-2025")</f>
        <v/>
      </c>
      <c r="V79">
        <f>HYPERLINK("https://klasma.github.io/Logging_2262/klagomål/A 22379-2025 FSC-klagomål.docx", "A 22379-2025")</f>
        <v/>
      </c>
      <c r="W79">
        <f>HYPERLINK("https://klasma.github.io/Logging_2262/klagomålsmail/A 22379-2025 FSC-klagomål mail.docx", "A 22379-2025")</f>
        <v/>
      </c>
      <c r="X79">
        <f>HYPERLINK("https://klasma.github.io/Logging_2262/tillsyn/A 22379-2025 tillsynsbegäran.docx", "A 22379-2025")</f>
        <v/>
      </c>
      <c r="Y79">
        <f>HYPERLINK("https://klasma.github.io/Logging_2262/tillsynsmail/A 22379-2025 tillsynsbegäran mail.docx", "A 22379-2025")</f>
        <v/>
      </c>
    </row>
    <row r="80" ht="15" customHeight="1">
      <c r="A80" t="inlineStr">
        <is>
          <t>A 22072-2025</t>
        </is>
      </c>
      <c r="B80" s="1" t="n">
        <v>45785.40699074074</v>
      </c>
      <c r="C80" s="1" t="n">
        <v>46011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Gammelgransskål
Ullticka</t>
        </is>
      </c>
      <c r="S80">
        <f>HYPERLINK("https://klasma.github.io/Logging_2262/artfynd/A 22072-2025 artfynd.xlsx", "A 22072-2025")</f>
        <v/>
      </c>
      <c r="T80">
        <f>HYPERLINK("https://klasma.github.io/Logging_2262/kartor/A 22072-2025 karta.png", "A 22072-2025")</f>
        <v/>
      </c>
      <c r="V80">
        <f>HYPERLINK("https://klasma.github.io/Logging_2262/klagomål/A 22072-2025 FSC-klagomål.docx", "A 22072-2025")</f>
        <v/>
      </c>
      <c r="W80">
        <f>HYPERLINK("https://klasma.github.io/Logging_2262/klagomålsmail/A 22072-2025 FSC-klagomål mail.docx", "A 22072-2025")</f>
        <v/>
      </c>
      <c r="X80">
        <f>HYPERLINK("https://klasma.github.io/Logging_2262/tillsyn/A 22072-2025 tillsynsbegäran.docx", "A 22072-2025")</f>
        <v/>
      </c>
      <c r="Y80">
        <f>HYPERLINK("https://klasma.github.io/Logging_2262/tillsynsmail/A 22072-2025 tillsynsbegäran mail.docx", "A 22072-2025")</f>
        <v/>
      </c>
    </row>
    <row r="81" ht="15" customHeight="1">
      <c r="A81" t="inlineStr">
        <is>
          <t>A 20679-2021</t>
        </is>
      </c>
      <c r="B81" s="1" t="n">
        <v>44316</v>
      </c>
      <c r="C81" s="1" t="n">
        <v>46011</v>
      </c>
      <c r="D81" t="inlineStr">
        <is>
          <t>VÄSTERNORRLANDS LÄN</t>
        </is>
      </c>
      <c r="E81" t="inlineStr">
        <is>
          <t>TIMRÅ</t>
        </is>
      </c>
      <c r="G81" t="n">
        <v>12.6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HYPERLINK("https://klasma.github.io/Logging_2262/artfynd/A 20679-2021 artfynd.xlsx", "A 20679-2021")</f>
        <v/>
      </c>
      <c r="T81">
        <f>HYPERLINK("https://klasma.github.io/Logging_2262/kartor/A 20679-2021 karta.png", "A 20679-2021")</f>
        <v/>
      </c>
      <c r="V81">
        <f>HYPERLINK("https://klasma.github.io/Logging_2262/klagomål/A 20679-2021 FSC-klagomål.docx", "A 20679-2021")</f>
        <v/>
      </c>
      <c r="W81">
        <f>HYPERLINK("https://klasma.github.io/Logging_2262/klagomålsmail/A 20679-2021 FSC-klagomål mail.docx", "A 20679-2021")</f>
        <v/>
      </c>
      <c r="X81">
        <f>HYPERLINK("https://klasma.github.io/Logging_2262/tillsyn/A 20679-2021 tillsynsbegäran.docx", "A 20679-2021")</f>
        <v/>
      </c>
      <c r="Y81">
        <f>HYPERLINK("https://klasma.github.io/Logging_2262/tillsynsmail/A 20679-2021 tillsynsbegäran mail.docx", "A 20679-2021")</f>
        <v/>
      </c>
      <c r="Z81">
        <f>HYPERLINK("https://klasma.github.io/Logging_2262/fåglar/A 20679-2021 prioriterade fågelarter.docx", "A 20679-2021")</f>
        <v/>
      </c>
    </row>
    <row r="82" ht="15" customHeight="1">
      <c r="A82" t="inlineStr">
        <is>
          <t>A 7272-2025</t>
        </is>
      </c>
      <c r="B82" s="1" t="n">
        <v>45702.61481481481</v>
      </c>
      <c r="C82" s="1" t="n">
        <v>46011</v>
      </c>
      <c r="D82" t="inlineStr">
        <is>
          <t>VÄSTERNORRLANDS LÄN</t>
        </is>
      </c>
      <c r="E82" t="inlineStr">
        <is>
          <t>TIMRÅ</t>
        </is>
      </c>
      <c r="G82" t="n">
        <v>2.9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Reliktbock</t>
        </is>
      </c>
      <c r="S82">
        <f>HYPERLINK("https://klasma.github.io/Logging_2262/artfynd/A 7272-2025 artfynd.xlsx", "A 7272-2025")</f>
        <v/>
      </c>
      <c r="T82">
        <f>HYPERLINK("https://klasma.github.io/Logging_2262/kartor/A 7272-2025 karta.png", "A 7272-2025")</f>
        <v/>
      </c>
      <c r="V82">
        <f>HYPERLINK("https://klasma.github.io/Logging_2262/klagomål/A 7272-2025 FSC-klagomål.docx", "A 7272-2025")</f>
        <v/>
      </c>
      <c r="W82">
        <f>HYPERLINK("https://klasma.github.io/Logging_2262/klagomålsmail/A 7272-2025 FSC-klagomål mail.docx", "A 7272-2025")</f>
        <v/>
      </c>
      <c r="X82">
        <f>HYPERLINK("https://klasma.github.io/Logging_2262/tillsyn/A 7272-2025 tillsynsbegäran.docx", "A 7272-2025")</f>
        <v/>
      </c>
      <c r="Y82">
        <f>HYPERLINK("https://klasma.github.io/Logging_2262/tillsynsmail/A 7272-2025 tillsynsbegäran mail.docx", "A 7272-2025")</f>
        <v/>
      </c>
    </row>
    <row r="83" ht="15" customHeight="1">
      <c r="A83" t="inlineStr">
        <is>
          <t>A 1152-2024</t>
        </is>
      </c>
      <c r="B83" s="1" t="n">
        <v>45302</v>
      </c>
      <c r="C83" s="1" t="n">
        <v>46011</v>
      </c>
      <c r="D83" t="inlineStr">
        <is>
          <t>VÄSTERNORRLANDS LÄN</t>
        </is>
      </c>
      <c r="E83" t="inlineStr">
        <is>
          <t>TIMRÅ</t>
        </is>
      </c>
      <c r="G83" t="n">
        <v>5.8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HYPERLINK("https://klasma.github.io/Logging_2262/artfynd/A 1152-2024 artfynd.xlsx", "A 1152-2024")</f>
        <v/>
      </c>
      <c r="T83">
        <f>HYPERLINK("https://klasma.github.io/Logging_2262/kartor/A 1152-2024 karta.png", "A 1152-2024")</f>
        <v/>
      </c>
      <c r="V83">
        <f>HYPERLINK("https://klasma.github.io/Logging_2262/klagomål/A 1152-2024 FSC-klagomål.docx", "A 1152-2024")</f>
        <v/>
      </c>
      <c r="W83">
        <f>HYPERLINK("https://klasma.github.io/Logging_2262/klagomålsmail/A 1152-2024 FSC-klagomål mail.docx", "A 1152-2024")</f>
        <v/>
      </c>
      <c r="X83">
        <f>HYPERLINK("https://klasma.github.io/Logging_2262/tillsyn/A 1152-2024 tillsynsbegäran.docx", "A 1152-2024")</f>
        <v/>
      </c>
      <c r="Y83">
        <f>HYPERLINK("https://klasma.github.io/Logging_2262/tillsynsmail/A 1152-2024 tillsynsbegäran mail.docx", "A 1152-2024")</f>
        <v/>
      </c>
    </row>
    <row r="84" ht="15" customHeight="1">
      <c r="A84" t="inlineStr">
        <is>
          <t>A 6770-2023</t>
        </is>
      </c>
      <c r="B84" s="1" t="n">
        <v>44966</v>
      </c>
      <c r="C84" s="1" t="n">
        <v>46011</v>
      </c>
      <c r="D84" t="inlineStr">
        <is>
          <t>VÄSTERNORRLANDS LÄN</t>
        </is>
      </c>
      <c r="E84" t="inlineStr">
        <is>
          <t>TIMRÅ</t>
        </is>
      </c>
      <c r="G84" t="n">
        <v>3.3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Skogshare</t>
        </is>
      </c>
      <c r="S84">
        <f>HYPERLINK("https://klasma.github.io/Logging_2262/artfynd/A 6770-2023 artfynd.xlsx", "A 6770-2023")</f>
        <v/>
      </c>
      <c r="T84">
        <f>HYPERLINK("https://klasma.github.io/Logging_2262/kartor/A 6770-2023 karta.png", "A 6770-2023")</f>
        <v/>
      </c>
      <c r="V84">
        <f>HYPERLINK("https://klasma.github.io/Logging_2262/klagomål/A 6770-2023 FSC-klagomål.docx", "A 6770-2023")</f>
        <v/>
      </c>
      <c r="W84">
        <f>HYPERLINK("https://klasma.github.io/Logging_2262/klagomålsmail/A 6770-2023 FSC-klagomål mail.docx", "A 6770-2023")</f>
        <v/>
      </c>
      <c r="X84">
        <f>HYPERLINK("https://klasma.github.io/Logging_2262/tillsyn/A 6770-2023 tillsynsbegäran.docx", "A 6770-2023")</f>
        <v/>
      </c>
      <c r="Y84">
        <f>HYPERLINK("https://klasma.github.io/Logging_2262/tillsynsmail/A 6770-2023 tillsynsbegäran mail.docx", "A 6770-2023")</f>
        <v/>
      </c>
    </row>
    <row r="85" ht="15" customHeight="1">
      <c r="A85" t="inlineStr">
        <is>
          <t>A 24423-2025</t>
        </is>
      </c>
      <c r="B85" s="1" t="n">
        <v>45797.67813657408</v>
      </c>
      <c r="C85" s="1" t="n">
        <v>46011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Gammelgransskål</t>
        </is>
      </c>
      <c r="S85">
        <f>HYPERLINK("https://klasma.github.io/Logging_2262/artfynd/A 24423-2025 artfynd.xlsx", "A 24423-2025")</f>
        <v/>
      </c>
      <c r="T85">
        <f>HYPERLINK("https://klasma.github.io/Logging_2262/kartor/A 24423-2025 karta.png", "A 24423-2025")</f>
        <v/>
      </c>
      <c r="V85">
        <f>HYPERLINK("https://klasma.github.io/Logging_2262/klagomål/A 24423-2025 FSC-klagomål.docx", "A 24423-2025")</f>
        <v/>
      </c>
      <c r="W85">
        <f>HYPERLINK("https://klasma.github.io/Logging_2262/klagomålsmail/A 24423-2025 FSC-klagomål mail.docx", "A 24423-2025")</f>
        <v/>
      </c>
      <c r="X85">
        <f>HYPERLINK("https://klasma.github.io/Logging_2262/tillsyn/A 24423-2025 tillsynsbegäran.docx", "A 24423-2025")</f>
        <v/>
      </c>
      <c r="Y85">
        <f>HYPERLINK("https://klasma.github.io/Logging_2262/tillsynsmail/A 24423-2025 tillsynsbegäran mail.docx", "A 24423-2025")</f>
        <v/>
      </c>
    </row>
    <row r="86" ht="15" customHeight="1">
      <c r="A86" t="inlineStr">
        <is>
          <t>A 33503-2023</t>
        </is>
      </c>
      <c r="B86" s="1" t="n">
        <v>45131</v>
      </c>
      <c r="C86" s="1" t="n">
        <v>46011</v>
      </c>
      <c r="D86" t="inlineStr">
        <is>
          <t>VÄSTERNORRLANDS LÄN</t>
        </is>
      </c>
      <c r="E86" t="inlineStr">
        <is>
          <t>TIMRÅ</t>
        </is>
      </c>
      <c r="G86" t="n">
        <v>28.3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Utter</t>
        </is>
      </c>
      <c r="S86">
        <f>HYPERLINK("https://klasma.github.io/Logging_2262/artfynd/A 33503-2023 artfynd.xlsx", "A 33503-2023")</f>
        <v/>
      </c>
      <c r="T86">
        <f>HYPERLINK("https://klasma.github.io/Logging_2262/kartor/A 33503-2023 karta.png", "A 33503-2023")</f>
        <v/>
      </c>
      <c r="V86">
        <f>HYPERLINK("https://klasma.github.io/Logging_2262/klagomål/A 33503-2023 FSC-klagomål.docx", "A 33503-2023")</f>
        <v/>
      </c>
      <c r="W86">
        <f>HYPERLINK("https://klasma.github.io/Logging_2262/klagomålsmail/A 33503-2023 FSC-klagomål mail.docx", "A 33503-2023")</f>
        <v/>
      </c>
      <c r="X86">
        <f>HYPERLINK("https://klasma.github.io/Logging_2262/tillsyn/A 33503-2023 tillsynsbegäran.docx", "A 33503-2023")</f>
        <v/>
      </c>
      <c r="Y86">
        <f>HYPERLINK("https://klasma.github.io/Logging_2262/tillsynsmail/A 33503-2023 tillsynsbegäran mail.docx", "A 33503-2023")</f>
        <v/>
      </c>
    </row>
    <row r="87" ht="15" customHeight="1">
      <c r="A87" t="inlineStr">
        <is>
          <t>A 56287-2024</t>
        </is>
      </c>
      <c r="B87" s="1" t="n">
        <v>45624.67935185185</v>
      </c>
      <c r="C87" s="1" t="n">
        <v>46011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10.2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HYPERLINK("https://klasma.github.io/Logging_2262/artfynd/A 56287-2024 artfynd.xlsx", "A 56287-2024")</f>
        <v/>
      </c>
      <c r="T87">
        <f>HYPERLINK("https://klasma.github.io/Logging_2262/kartor/A 56287-2024 karta.png", "A 56287-2024")</f>
        <v/>
      </c>
      <c r="V87">
        <f>HYPERLINK("https://klasma.github.io/Logging_2262/klagomål/A 56287-2024 FSC-klagomål.docx", "A 56287-2024")</f>
        <v/>
      </c>
      <c r="W87">
        <f>HYPERLINK("https://klasma.github.io/Logging_2262/klagomålsmail/A 56287-2024 FSC-klagomål mail.docx", "A 56287-2024")</f>
        <v/>
      </c>
      <c r="X87">
        <f>HYPERLINK("https://klasma.github.io/Logging_2262/tillsyn/A 56287-2024 tillsynsbegäran.docx", "A 56287-2024")</f>
        <v/>
      </c>
      <c r="Y87">
        <f>HYPERLINK("https://klasma.github.io/Logging_2262/tillsynsmail/A 56287-2024 tillsynsbegäran mail.docx", "A 56287-2024")</f>
        <v/>
      </c>
    </row>
    <row r="88" ht="15" customHeight="1">
      <c r="A88" t="inlineStr">
        <is>
          <t>A 30072-2025</t>
        </is>
      </c>
      <c r="B88" s="1" t="n">
        <v>45826.63604166666</v>
      </c>
      <c r="C88" s="1" t="n">
        <v>46011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HYPERLINK("https://klasma.github.io/Logging_2262/artfynd/A 30072-2025 artfynd.xlsx", "A 30072-2025")</f>
        <v/>
      </c>
      <c r="T88">
        <f>HYPERLINK("https://klasma.github.io/Logging_2262/kartor/A 30072-2025 karta.png", "A 30072-2025")</f>
        <v/>
      </c>
      <c r="U88">
        <f>HYPERLINK("https://klasma.github.io/Logging_2262/knärot/A 30072-2025 karta knärot.png", "A 30072-2025")</f>
        <v/>
      </c>
      <c r="V88">
        <f>HYPERLINK("https://klasma.github.io/Logging_2262/klagomål/A 30072-2025 FSC-klagomål.docx", "A 30072-2025")</f>
        <v/>
      </c>
      <c r="W88">
        <f>HYPERLINK("https://klasma.github.io/Logging_2262/klagomålsmail/A 30072-2025 FSC-klagomål mail.docx", "A 30072-2025")</f>
        <v/>
      </c>
      <c r="X88">
        <f>HYPERLINK("https://klasma.github.io/Logging_2262/tillsyn/A 30072-2025 tillsynsbegäran.docx", "A 30072-2025")</f>
        <v/>
      </c>
      <c r="Y88">
        <f>HYPERLINK("https://klasma.github.io/Logging_2262/tillsynsmail/A 30072-2025 tillsynsbegäran mail.docx", "A 30072-2025")</f>
        <v/>
      </c>
    </row>
    <row r="89" ht="15" customHeight="1">
      <c r="A89" t="inlineStr">
        <is>
          <t>A 32367-2025</t>
        </is>
      </c>
      <c r="B89" s="1" t="n">
        <v>45837.65688657408</v>
      </c>
      <c r="C89" s="1" t="n">
        <v>46011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HYPERLINK("https://klasma.github.io/Logging_2262/artfynd/A 32367-2025 artfynd.xlsx", "A 32367-2025")</f>
        <v/>
      </c>
      <c r="T89">
        <f>HYPERLINK("https://klasma.github.io/Logging_2262/kartor/A 32367-2025 karta.png", "A 32367-2025")</f>
        <v/>
      </c>
      <c r="V89">
        <f>HYPERLINK("https://klasma.github.io/Logging_2262/klagomål/A 32367-2025 FSC-klagomål.docx", "A 32367-2025")</f>
        <v/>
      </c>
      <c r="W89">
        <f>HYPERLINK("https://klasma.github.io/Logging_2262/klagomålsmail/A 32367-2025 FSC-klagomål mail.docx", "A 32367-2025")</f>
        <v/>
      </c>
      <c r="X89">
        <f>HYPERLINK("https://klasma.github.io/Logging_2262/tillsyn/A 32367-2025 tillsynsbegäran.docx", "A 32367-2025")</f>
        <v/>
      </c>
      <c r="Y89">
        <f>HYPERLINK("https://klasma.github.io/Logging_2262/tillsynsmail/A 32367-2025 tillsynsbegäran mail.docx", "A 32367-2025")</f>
        <v/>
      </c>
    </row>
    <row r="90" ht="15" customHeight="1">
      <c r="A90" t="inlineStr">
        <is>
          <t>A 32171-2025</t>
        </is>
      </c>
      <c r="B90" s="1" t="n">
        <v>45835.55256944444</v>
      </c>
      <c r="C90" s="1" t="n">
        <v>46011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3.9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HYPERLINK("https://klasma.github.io/Logging_2262/artfynd/A 32171-2025 artfynd.xlsx", "A 32171-2025")</f>
        <v/>
      </c>
      <c r="T90">
        <f>HYPERLINK("https://klasma.github.io/Logging_2262/kartor/A 32171-2025 karta.png", "A 32171-2025")</f>
        <v/>
      </c>
      <c r="V90">
        <f>HYPERLINK("https://klasma.github.io/Logging_2262/klagomål/A 32171-2025 FSC-klagomål.docx", "A 32171-2025")</f>
        <v/>
      </c>
      <c r="W90">
        <f>HYPERLINK("https://klasma.github.io/Logging_2262/klagomålsmail/A 32171-2025 FSC-klagomål mail.docx", "A 32171-2025")</f>
        <v/>
      </c>
      <c r="X90">
        <f>HYPERLINK("https://klasma.github.io/Logging_2262/tillsyn/A 32171-2025 tillsynsbegäran.docx", "A 32171-2025")</f>
        <v/>
      </c>
      <c r="Y90">
        <f>HYPERLINK("https://klasma.github.io/Logging_2262/tillsynsmail/A 32171-2025 tillsynsbegäran mail.docx", "A 32171-2025")</f>
        <v/>
      </c>
    </row>
    <row r="91" ht="15" customHeight="1">
      <c r="A91" t="inlineStr">
        <is>
          <t>A 35190-2025</t>
        </is>
      </c>
      <c r="B91" s="1" t="n">
        <v>45853.34451388889</v>
      </c>
      <c r="C91" s="1" t="n">
        <v>46011</v>
      </c>
      <c r="D91" t="inlineStr">
        <is>
          <t>VÄSTERNORRLANDS LÄN</t>
        </is>
      </c>
      <c r="E91" t="inlineStr">
        <is>
          <t>TIMRÅ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HYPERLINK("https://klasma.github.io/Logging_2262/artfynd/A 35190-2025 artfynd.xlsx", "A 35190-2025")</f>
        <v/>
      </c>
      <c r="T91">
        <f>HYPERLINK("https://klasma.github.io/Logging_2262/kartor/A 35190-2025 karta.png", "A 35190-2025")</f>
        <v/>
      </c>
      <c r="V91">
        <f>HYPERLINK("https://klasma.github.io/Logging_2262/klagomål/A 35190-2025 FSC-klagomål.docx", "A 35190-2025")</f>
        <v/>
      </c>
      <c r="W91">
        <f>HYPERLINK("https://klasma.github.io/Logging_2262/klagomålsmail/A 35190-2025 FSC-klagomål mail.docx", "A 35190-2025")</f>
        <v/>
      </c>
      <c r="X91">
        <f>HYPERLINK("https://klasma.github.io/Logging_2262/tillsyn/A 35190-2025 tillsynsbegäran.docx", "A 35190-2025")</f>
        <v/>
      </c>
      <c r="Y91">
        <f>HYPERLINK("https://klasma.github.io/Logging_2262/tillsynsmail/A 35190-2025 tillsynsbegäran mail.docx", "A 35190-2025")</f>
        <v/>
      </c>
    </row>
    <row r="92" ht="15" customHeight="1">
      <c r="A92" t="inlineStr">
        <is>
          <t>A 53300-2024</t>
        </is>
      </c>
      <c r="B92" s="1" t="n">
        <v>45614.38832175926</v>
      </c>
      <c r="C92" s="1" t="n">
        <v>46011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53300-2024 artfynd.xlsx", "A 53300-2024")</f>
        <v/>
      </c>
      <c r="T92">
        <f>HYPERLINK("https://klasma.github.io/Logging_2262/kartor/A 53300-2024 karta.png", "A 53300-2024")</f>
        <v/>
      </c>
      <c r="V92">
        <f>HYPERLINK("https://klasma.github.io/Logging_2262/klagomål/A 53300-2024 FSC-klagomål.docx", "A 53300-2024")</f>
        <v/>
      </c>
      <c r="W92">
        <f>HYPERLINK("https://klasma.github.io/Logging_2262/klagomålsmail/A 53300-2024 FSC-klagomål mail.docx", "A 53300-2024")</f>
        <v/>
      </c>
      <c r="X92">
        <f>HYPERLINK("https://klasma.github.io/Logging_2262/tillsyn/A 53300-2024 tillsynsbegäran.docx", "A 53300-2024")</f>
        <v/>
      </c>
      <c r="Y92">
        <f>HYPERLINK("https://klasma.github.io/Logging_2262/tillsynsmail/A 53300-2024 tillsynsbegäran mail.docx", "A 53300-2024")</f>
        <v/>
      </c>
    </row>
    <row r="93" ht="15" customHeight="1">
      <c r="A93" t="inlineStr">
        <is>
          <t>A 35680-2025</t>
        </is>
      </c>
      <c r="B93" s="1" t="n">
        <v>45859</v>
      </c>
      <c r="C93" s="1" t="n">
        <v>46011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10.6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HYPERLINK("https://klasma.github.io/Logging_2262/artfynd/A 35680-2025 artfynd.xlsx", "A 35680-2025")</f>
        <v/>
      </c>
      <c r="T93">
        <f>HYPERLINK("https://klasma.github.io/Logging_2262/kartor/A 35680-2025 karta.png", "A 35680-2025")</f>
        <v/>
      </c>
      <c r="U93">
        <f>HYPERLINK("https://klasma.github.io/Logging_2262/knärot/A 35680-2025 karta knärot.png", "A 35680-2025")</f>
        <v/>
      </c>
      <c r="V93">
        <f>HYPERLINK("https://klasma.github.io/Logging_2262/klagomål/A 35680-2025 FSC-klagomål.docx", "A 35680-2025")</f>
        <v/>
      </c>
      <c r="W93">
        <f>HYPERLINK("https://klasma.github.io/Logging_2262/klagomålsmail/A 35680-2025 FSC-klagomål mail.docx", "A 35680-2025")</f>
        <v/>
      </c>
      <c r="X93">
        <f>HYPERLINK("https://klasma.github.io/Logging_2262/tillsyn/A 35680-2025 tillsynsbegäran.docx", "A 35680-2025")</f>
        <v/>
      </c>
      <c r="Y93">
        <f>HYPERLINK("https://klasma.github.io/Logging_2262/tillsynsmail/A 35680-2025 tillsynsbegäran mail.docx", "A 35680-2025")</f>
        <v/>
      </c>
    </row>
    <row r="94" ht="15" customHeight="1">
      <c r="A94" t="inlineStr">
        <is>
          <t>A 52113-2025</t>
        </is>
      </c>
      <c r="B94" s="1" t="n">
        <v>45952.69873842593</v>
      </c>
      <c r="C94" s="1" t="n">
        <v>46011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13.3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Bergviol</t>
        </is>
      </c>
      <c r="S94">
        <f>HYPERLINK("https://klasma.github.io/Logging_2262/artfynd/A 52113-2025 artfynd.xlsx", "A 52113-2025")</f>
        <v/>
      </c>
      <c r="T94">
        <f>HYPERLINK("https://klasma.github.io/Logging_2262/kartor/A 52113-2025 karta.png", "A 52113-2025")</f>
        <v/>
      </c>
      <c r="V94">
        <f>HYPERLINK("https://klasma.github.io/Logging_2262/klagomål/A 52113-2025 FSC-klagomål.docx", "A 52113-2025")</f>
        <v/>
      </c>
      <c r="W94">
        <f>HYPERLINK("https://klasma.github.io/Logging_2262/klagomålsmail/A 52113-2025 FSC-klagomål mail.docx", "A 52113-2025")</f>
        <v/>
      </c>
      <c r="X94">
        <f>HYPERLINK("https://klasma.github.io/Logging_2262/tillsyn/A 52113-2025 tillsynsbegäran.docx", "A 52113-2025")</f>
        <v/>
      </c>
      <c r="Y94">
        <f>HYPERLINK("https://klasma.github.io/Logging_2262/tillsynsmail/A 52113-2025 tillsynsbegäran mail.docx", "A 52113-2025")</f>
        <v/>
      </c>
    </row>
    <row r="95" ht="15" customHeight="1">
      <c r="A95" t="inlineStr">
        <is>
          <t>A 52276-2025</t>
        </is>
      </c>
      <c r="B95" s="1" t="n">
        <v>45953.55266203704</v>
      </c>
      <c r="C95" s="1" t="n">
        <v>46011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0.5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HYPERLINK("https://klasma.github.io/Logging_2262/artfynd/A 52276-2025 artfynd.xlsx", "A 52276-2025")</f>
        <v/>
      </c>
      <c r="T95">
        <f>HYPERLINK("https://klasma.github.io/Logging_2262/kartor/A 52276-2025 karta.png", "A 52276-2025")</f>
        <v/>
      </c>
      <c r="V95">
        <f>HYPERLINK("https://klasma.github.io/Logging_2262/klagomål/A 52276-2025 FSC-klagomål.docx", "A 52276-2025")</f>
        <v/>
      </c>
      <c r="W95">
        <f>HYPERLINK("https://klasma.github.io/Logging_2262/klagomålsmail/A 52276-2025 FSC-klagomål mail.docx", "A 52276-2025")</f>
        <v/>
      </c>
      <c r="X95">
        <f>HYPERLINK("https://klasma.github.io/Logging_2262/tillsyn/A 52276-2025 tillsynsbegäran.docx", "A 52276-2025")</f>
        <v/>
      </c>
      <c r="Y95">
        <f>HYPERLINK("https://klasma.github.io/Logging_2262/tillsynsmail/A 52276-2025 tillsynsbegäran mail.docx", "A 52276-2025")</f>
        <v/>
      </c>
    </row>
    <row r="96" ht="15" customHeight="1">
      <c r="A96" t="inlineStr">
        <is>
          <t>A 62081-2024</t>
        </is>
      </c>
      <c r="B96" s="1" t="n">
        <v>45656</v>
      </c>
      <c r="C96" s="1" t="n">
        <v>46011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6.3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HYPERLINK("https://klasma.github.io/Logging_2262/artfynd/A 62081-2024 artfynd.xlsx", "A 62081-2024")</f>
        <v/>
      </c>
      <c r="T96">
        <f>HYPERLINK("https://klasma.github.io/Logging_2262/kartor/A 62081-2024 karta.png", "A 62081-2024")</f>
        <v/>
      </c>
      <c r="U96">
        <f>HYPERLINK("https://klasma.github.io/Logging_2262/knärot/A 62081-2024 karta knärot.png", "A 62081-2024")</f>
        <v/>
      </c>
      <c r="V96">
        <f>HYPERLINK("https://klasma.github.io/Logging_2262/klagomål/A 62081-2024 FSC-klagomål.docx", "A 62081-2024")</f>
        <v/>
      </c>
      <c r="W96">
        <f>HYPERLINK("https://klasma.github.io/Logging_2262/klagomålsmail/A 62081-2024 FSC-klagomål mail.docx", "A 62081-2024")</f>
        <v/>
      </c>
      <c r="X96">
        <f>HYPERLINK("https://klasma.github.io/Logging_2262/tillsyn/A 62081-2024 tillsynsbegäran.docx", "A 62081-2024")</f>
        <v/>
      </c>
      <c r="Y96">
        <f>HYPERLINK("https://klasma.github.io/Logging_2262/tillsynsmail/A 62081-2024 tillsynsbegäran mail.docx", "A 62081-2024")</f>
        <v/>
      </c>
    </row>
    <row r="97" ht="15" customHeight="1">
      <c r="A97" t="inlineStr">
        <is>
          <t>A 56916-2025</t>
        </is>
      </c>
      <c r="B97" s="1" t="n">
        <v>45978</v>
      </c>
      <c r="C97" s="1" t="n">
        <v>46011</v>
      </c>
      <c r="D97" t="inlineStr">
        <is>
          <t>VÄSTERNORRLANDS LÄN</t>
        </is>
      </c>
      <c r="E97" t="inlineStr">
        <is>
          <t>TIMRÅ</t>
        </is>
      </c>
      <c r="G97" t="n">
        <v>1.3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hackspett</t>
        </is>
      </c>
      <c r="S97">
        <f>HYPERLINK("https://klasma.github.io/Logging_2262/artfynd/A 56916-2025 artfynd.xlsx", "A 56916-2025")</f>
        <v/>
      </c>
      <c r="T97">
        <f>HYPERLINK("https://klasma.github.io/Logging_2262/kartor/A 56916-2025 karta.png", "A 56916-2025")</f>
        <v/>
      </c>
      <c r="V97">
        <f>HYPERLINK("https://klasma.github.io/Logging_2262/klagomål/A 56916-2025 FSC-klagomål.docx", "A 56916-2025")</f>
        <v/>
      </c>
      <c r="W97">
        <f>HYPERLINK("https://klasma.github.io/Logging_2262/klagomålsmail/A 56916-2025 FSC-klagomål mail.docx", "A 56916-2025")</f>
        <v/>
      </c>
      <c r="X97">
        <f>HYPERLINK("https://klasma.github.io/Logging_2262/tillsyn/A 56916-2025 tillsynsbegäran.docx", "A 56916-2025")</f>
        <v/>
      </c>
      <c r="Y97">
        <f>HYPERLINK("https://klasma.github.io/Logging_2262/tillsynsmail/A 56916-2025 tillsynsbegäran mail.docx", "A 56916-2025")</f>
        <v/>
      </c>
      <c r="Z97">
        <f>HYPERLINK("https://klasma.github.io/Logging_2262/fåglar/A 56916-2025 prioriterade fågelarter.docx", "A 56916-2025")</f>
        <v/>
      </c>
    </row>
    <row r="98" ht="15" customHeight="1">
      <c r="A98" t="inlineStr">
        <is>
          <t>A 12785-2022</t>
        </is>
      </c>
      <c r="B98" s="1" t="n">
        <v>44641</v>
      </c>
      <c r="C98" s="1" t="n">
        <v>46011</v>
      </c>
      <c r="D98" t="inlineStr">
        <is>
          <t>VÄSTERNORRLANDS LÄN</t>
        </is>
      </c>
      <c r="E98" t="inlineStr">
        <is>
          <t>TIMRÅ</t>
        </is>
      </c>
      <c r="G98" t="n">
        <v>2.2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HYPERLINK("https://klasma.github.io/Logging_2262/artfynd/A 12785-2022 artfynd.xlsx", "A 12785-2022")</f>
        <v/>
      </c>
      <c r="T98">
        <f>HYPERLINK("https://klasma.github.io/Logging_2262/kartor/A 12785-2022 karta.png", "A 12785-2022")</f>
        <v/>
      </c>
      <c r="V98">
        <f>HYPERLINK("https://klasma.github.io/Logging_2262/klagomål/A 12785-2022 FSC-klagomål.docx", "A 12785-2022")</f>
        <v/>
      </c>
      <c r="W98">
        <f>HYPERLINK("https://klasma.github.io/Logging_2262/klagomålsmail/A 12785-2022 FSC-klagomål mail.docx", "A 12785-2022")</f>
        <v/>
      </c>
      <c r="X98">
        <f>HYPERLINK("https://klasma.github.io/Logging_2262/tillsyn/A 12785-2022 tillsynsbegäran.docx", "A 12785-2022")</f>
        <v/>
      </c>
      <c r="Y98">
        <f>HYPERLINK("https://klasma.github.io/Logging_2262/tillsynsmail/A 12785-2022 tillsynsbegäran mail.docx", "A 12785-2022")</f>
        <v/>
      </c>
    </row>
    <row r="99" ht="15" customHeight="1">
      <c r="A99" t="inlineStr">
        <is>
          <t>A 16301-2025</t>
        </is>
      </c>
      <c r="B99" s="1" t="n">
        <v>45751.34609953704</v>
      </c>
      <c r="C99" s="1" t="n">
        <v>46011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HYPERLINK("https://klasma.github.io/Logging_2262/artfynd/A 16301-2025 artfynd.xlsx", "A 16301-2025")</f>
        <v/>
      </c>
      <c r="T99">
        <f>HYPERLINK("https://klasma.github.io/Logging_2262/kartor/A 16301-2025 karta.png", "A 16301-2025")</f>
        <v/>
      </c>
      <c r="U99">
        <f>HYPERLINK("https://klasma.github.io/Logging_2262/knärot/A 16301-2025 karta knärot.png", "A 16301-2025")</f>
        <v/>
      </c>
      <c r="V99">
        <f>HYPERLINK("https://klasma.github.io/Logging_2262/klagomål/A 16301-2025 FSC-klagomål.docx", "A 16301-2025")</f>
        <v/>
      </c>
      <c r="W99">
        <f>HYPERLINK("https://klasma.github.io/Logging_2262/klagomålsmail/A 16301-2025 FSC-klagomål mail.docx", "A 16301-2025")</f>
        <v/>
      </c>
      <c r="X99">
        <f>HYPERLINK("https://klasma.github.io/Logging_2262/tillsyn/A 16301-2025 tillsynsbegäran.docx", "A 16301-2025")</f>
        <v/>
      </c>
      <c r="Y99">
        <f>HYPERLINK("https://klasma.github.io/Logging_2262/tillsynsmail/A 16301-2025 tillsynsbegäran mail.docx", "A 16301-2025")</f>
        <v/>
      </c>
    </row>
    <row r="100" ht="15" customHeight="1">
      <c r="A100" t="inlineStr">
        <is>
          <t>A 58464-2023</t>
        </is>
      </c>
      <c r="B100" s="1" t="n">
        <v>45250</v>
      </c>
      <c r="C100" s="1" t="n">
        <v>46011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6.5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HYPERLINK("https://klasma.github.io/Logging_2262/artfynd/A 58464-2023 artfynd.xlsx", "A 58464-2023")</f>
        <v/>
      </c>
      <c r="T100">
        <f>HYPERLINK("https://klasma.github.io/Logging_2262/kartor/A 58464-2023 karta.png", "A 58464-2023")</f>
        <v/>
      </c>
      <c r="V100">
        <f>HYPERLINK("https://klasma.github.io/Logging_2262/klagomål/A 58464-2023 FSC-klagomål.docx", "A 58464-2023")</f>
        <v/>
      </c>
      <c r="W100">
        <f>HYPERLINK("https://klasma.github.io/Logging_2262/klagomålsmail/A 58464-2023 FSC-klagomål mail.docx", "A 58464-2023")</f>
        <v/>
      </c>
      <c r="X100">
        <f>HYPERLINK("https://klasma.github.io/Logging_2262/tillsyn/A 58464-2023 tillsynsbegäran.docx", "A 58464-2023")</f>
        <v/>
      </c>
      <c r="Y100">
        <f>HYPERLINK("https://klasma.github.io/Logging_2262/tillsynsmail/A 58464-2023 tillsynsbegäran mail.docx", "A 58464-2023")</f>
        <v/>
      </c>
    </row>
    <row r="101" ht="15" customHeight="1">
      <c r="A101" t="inlineStr">
        <is>
          <t>A 21845-2024</t>
        </is>
      </c>
      <c r="B101" s="1" t="n">
        <v>45442</v>
      </c>
      <c r="C101" s="1" t="n">
        <v>46011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21845-2024 artfynd.xlsx", "A 21845-2024")</f>
        <v/>
      </c>
      <c r="T101">
        <f>HYPERLINK("https://klasma.github.io/Logging_2262/kartor/A 21845-2024 karta.png", "A 21845-2024")</f>
        <v/>
      </c>
      <c r="V101">
        <f>HYPERLINK("https://klasma.github.io/Logging_2262/klagomål/A 21845-2024 FSC-klagomål.docx", "A 21845-2024")</f>
        <v/>
      </c>
      <c r="W101">
        <f>HYPERLINK("https://klasma.github.io/Logging_2262/klagomålsmail/A 21845-2024 FSC-klagomål mail.docx", "A 21845-2024")</f>
        <v/>
      </c>
      <c r="X101">
        <f>HYPERLINK("https://klasma.github.io/Logging_2262/tillsyn/A 21845-2024 tillsynsbegäran.docx", "A 21845-2024")</f>
        <v/>
      </c>
      <c r="Y101">
        <f>HYPERLINK("https://klasma.github.io/Logging_2262/tillsynsmail/A 21845-2024 tillsynsbegäran mail.docx", "A 21845-2024")</f>
        <v/>
      </c>
    </row>
    <row r="102" ht="15" customHeight="1">
      <c r="A102" t="inlineStr">
        <is>
          <t>A 45721-2024</t>
        </is>
      </c>
      <c r="B102" s="1" t="n">
        <v>45579.59434027778</v>
      </c>
      <c r="C102" s="1" t="n">
        <v>46011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Gammelgransskål</t>
        </is>
      </c>
      <c r="S102">
        <f>HYPERLINK("https://klasma.github.io/Logging_2262/artfynd/A 45721-2024 artfynd.xlsx", "A 45721-2024")</f>
        <v/>
      </c>
      <c r="T102">
        <f>HYPERLINK("https://klasma.github.io/Logging_2262/kartor/A 45721-2024 karta.png", "A 45721-2024")</f>
        <v/>
      </c>
      <c r="V102">
        <f>HYPERLINK("https://klasma.github.io/Logging_2262/klagomål/A 45721-2024 FSC-klagomål.docx", "A 45721-2024")</f>
        <v/>
      </c>
      <c r="W102">
        <f>HYPERLINK("https://klasma.github.io/Logging_2262/klagomålsmail/A 45721-2024 FSC-klagomål mail.docx", "A 45721-2024")</f>
        <v/>
      </c>
      <c r="X102">
        <f>HYPERLINK("https://klasma.github.io/Logging_2262/tillsyn/A 45721-2024 tillsynsbegäran.docx", "A 45721-2024")</f>
        <v/>
      </c>
      <c r="Y102">
        <f>HYPERLINK("https://klasma.github.io/Logging_2262/tillsynsmail/A 45721-2024 tillsynsbegäran mail.docx", "A 45721-2024")</f>
        <v/>
      </c>
    </row>
    <row r="103" ht="15" customHeight="1">
      <c r="A103" t="inlineStr">
        <is>
          <t>A 7904-2024</t>
        </is>
      </c>
      <c r="B103" s="1" t="n">
        <v>45349</v>
      </c>
      <c r="C103" s="1" t="n">
        <v>46011</v>
      </c>
      <c r="D103" t="inlineStr">
        <is>
          <t>VÄSTERNORRLANDS LÄN</t>
        </is>
      </c>
      <c r="E103" t="inlineStr">
        <is>
          <t>TIMRÅ</t>
        </is>
      </c>
      <c r="G103" t="n">
        <v>7.3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Bergviol</t>
        </is>
      </c>
      <c r="S103">
        <f>HYPERLINK("https://klasma.github.io/Logging_2262/artfynd/A 7904-2024 artfynd.xlsx", "A 7904-2024")</f>
        <v/>
      </c>
      <c r="T103">
        <f>HYPERLINK("https://klasma.github.io/Logging_2262/kartor/A 7904-2024 karta.png", "A 7904-2024")</f>
        <v/>
      </c>
      <c r="V103">
        <f>HYPERLINK("https://klasma.github.io/Logging_2262/klagomål/A 7904-2024 FSC-klagomål.docx", "A 7904-2024")</f>
        <v/>
      </c>
      <c r="W103">
        <f>HYPERLINK("https://klasma.github.io/Logging_2262/klagomålsmail/A 7904-2024 FSC-klagomål mail.docx", "A 7904-2024")</f>
        <v/>
      </c>
      <c r="X103">
        <f>HYPERLINK("https://klasma.github.io/Logging_2262/tillsyn/A 7904-2024 tillsynsbegäran.docx", "A 7904-2024")</f>
        <v/>
      </c>
      <c r="Y103">
        <f>HYPERLINK("https://klasma.github.io/Logging_2262/tillsynsmail/A 7904-2024 tillsynsbegäran mail.docx", "A 7904-2024")</f>
        <v/>
      </c>
    </row>
    <row r="104" ht="15" customHeight="1">
      <c r="A104" t="inlineStr">
        <is>
          <t>A 39150-2024</t>
        </is>
      </c>
      <c r="B104" s="1" t="n">
        <v>45548</v>
      </c>
      <c r="C104" s="1" t="n">
        <v>46011</v>
      </c>
      <c r="D104" t="inlineStr">
        <is>
          <t>VÄSTERNORRLANDS LÄN</t>
        </is>
      </c>
      <c r="E104" t="inlineStr">
        <is>
          <t>TIMRÅ</t>
        </is>
      </c>
      <c r="G104" t="n">
        <v>4.4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Ögonpyrola</t>
        </is>
      </c>
      <c r="S104">
        <f>HYPERLINK("https://klasma.github.io/Logging_2262/artfynd/A 39150-2024 artfynd.xlsx", "A 39150-2024")</f>
        <v/>
      </c>
      <c r="T104">
        <f>HYPERLINK("https://klasma.github.io/Logging_2262/kartor/A 39150-2024 karta.png", "A 39150-2024")</f>
        <v/>
      </c>
      <c r="V104">
        <f>HYPERLINK("https://klasma.github.io/Logging_2262/klagomål/A 39150-2024 FSC-klagomål.docx", "A 39150-2024")</f>
        <v/>
      </c>
      <c r="W104">
        <f>HYPERLINK("https://klasma.github.io/Logging_2262/klagomålsmail/A 39150-2024 FSC-klagomål mail.docx", "A 39150-2024")</f>
        <v/>
      </c>
      <c r="X104">
        <f>HYPERLINK("https://klasma.github.io/Logging_2262/tillsyn/A 39150-2024 tillsynsbegäran.docx", "A 39150-2024")</f>
        <v/>
      </c>
      <c r="Y104">
        <f>HYPERLINK("https://klasma.github.io/Logging_2262/tillsynsmail/A 39150-2024 tillsynsbegäran mail.docx", "A 39150-2024")</f>
        <v/>
      </c>
    </row>
    <row r="105" ht="15" customHeight="1">
      <c r="A105" t="inlineStr">
        <is>
          <t>A 57242-2022</t>
        </is>
      </c>
      <c r="B105" s="1" t="n">
        <v>44889</v>
      </c>
      <c r="C105" s="1" t="n">
        <v>46011</v>
      </c>
      <c r="D105" t="inlineStr">
        <is>
          <t>VÄSTERNORRLANDS LÄN</t>
        </is>
      </c>
      <c r="E105" t="inlineStr">
        <is>
          <t>TIMRÅ</t>
        </is>
      </c>
      <c r="G105" t="n">
        <v>18.8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Flodpärlmussla</t>
        </is>
      </c>
      <c r="S105">
        <f>HYPERLINK("https://klasma.github.io/Logging_2262/artfynd/A 57242-2022 artfynd.xlsx", "A 57242-2022")</f>
        <v/>
      </c>
      <c r="T105">
        <f>HYPERLINK("https://klasma.github.io/Logging_2262/kartor/A 57242-2022 karta.png", "A 57242-2022")</f>
        <v/>
      </c>
      <c r="V105">
        <f>HYPERLINK("https://klasma.github.io/Logging_2262/klagomål/A 57242-2022 FSC-klagomål.docx", "A 57242-2022")</f>
        <v/>
      </c>
      <c r="W105">
        <f>HYPERLINK("https://klasma.github.io/Logging_2262/klagomålsmail/A 57242-2022 FSC-klagomål mail.docx", "A 57242-2022")</f>
        <v/>
      </c>
      <c r="X105">
        <f>HYPERLINK("https://klasma.github.io/Logging_2262/tillsyn/A 57242-2022 tillsynsbegäran.docx", "A 57242-2022")</f>
        <v/>
      </c>
      <c r="Y105">
        <f>HYPERLINK("https://klasma.github.io/Logging_2262/tillsynsmail/A 57242-2022 tillsynsbegäran mail.docx", "A 57242-2022")</f>
        <v/>
      </c>
    </row>
    <row r="106" ht="15" customHeight="1">
      <c r="A106" t="inlineStr">
        <is>
          <t>A 53295-2024</t>
        </is>
      </c>
      <c r="B106" s="1" t="n">
        <v>45614.38761574074</v>
      </c>
      <c r="C106" s="1" t="n">
        <v>46011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Vedskivlav</t>
        </is>
      </c>
      <c r="S106">
        <f>HYPERLINK("https://klasma.github.io/Logging_2262/artfynd/A 53295-2024 artfynd.xlsx", "A 53295-2024")</f>
        <v/>
      </c>
      <c r="T106">
        <f>HYPERLINK("https://klasma.github.io/Logging_2262/kartor/A 53295-2024 karta.png", "A 53295-2024")</f>
        <v/>
      </c>
      <c r="V106">
        <f>HYPERLINK("https://klasma.github.io/Logging_2262/klagomål/A 53295-2024 FSC-klagomål.docx", "A 53295-2024")</f>
        <v/>
      </c>
      <c r="W106">
        <f>HYPERLINK("https://klasma.github.io/Logging_2262/klagomålsmail/A 53295-2024 FSC-klagomål mail.docx", "A 53295-2024")</f>
        <v/>
      </c>
      <c r="X106">
        <f>HYPERLINK("https://klasma.github.io/Logging_2262/tillsyn/A 53295-2024 tillsynsbegäran.docx", "A 53295-2024")</f>
        <v/>
      </c>
      <c r="Y106">
        <f>HYPERLINK("https://klasma.github.io/Logging_2262/tillsynsmail/A 53295-2024 tillsynsbegäran mail.docx", "A 53295-2024")</f>
        <v/>
      </c>
    </row>
    <row r="107" ht="15" customHeight="1">
      <c r="A107" t="inlineStr">
        <is>
          <t>A 56372-2023</t>
        </is>
      </c>
      <c r="B107" s="1" t="n">
        <v>45243</v>
      </c>
      <c r="C107" s="1" t="n">
        <v>46011</v>
      </c>
      <c r="D107" t="inlineStr">
        <is>
          <t>VÄSTERNORRLANDS LÄN</t>
        </is>
      </c>
      <c r="E107" t="inlineStr">
        <is>
          <t>TIMRÅ</t>
        </is>
      </c>
      <c r="G107" t="n">
        <v>6.9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HYPERLINK("https://klasma.github.io/Logging_2262/artfynd/A 56372-2023 artfynd.xlsx", "A 56372-2023")</f>
        <v/>
      </c>
      <c r="T107">
        <f>HYPERLINK("https://klasma.github.io/Logging_2262/kartor/A 56372-2023 karta.png", "A 56372-2023")</f>
        <v/>
      </c>
      <c r="U107">
        <f>HYPERLINK("https://klasma.github.io/Logging_2262/knärot/A 56372-2023 karta knärot.png", "A 56372-2023")</f>
        <v/>
      </c>
      <c r="V107">
        <f>HYPERLINK("https://klasma.github.io/Logging_2262/klagomål/A 56372-2023 FSC-klagomål.docx", "A 56372-2023")</f>
        <v/>
      </c>
      <c r="W107">
        <f>HYPERLINK("https://klasma.github.io/Logging_2262/klagomålsmail/A 56372-2023 FSC-klagomål mail.docx", "A 56372-2023")</f>
        <v/>
      </c>
      <c r="X107">
        <f>HYPERLINK("https://klasma.github.io/Logging_2262/tillsyn/A 56372-2023 tillsynsbegäran.docx", "A 56372-2023")</f>
        <v/>
      </c>
      <c r="Y107">
        <f>HYPERLINK("https://klasma.github.io/Logging_2262/tillsynsmail/A 56372-2023 tillsynsbegäran mail.docx", "A 56372-2023")</f>
        <v/>
      </c>
    </row>
    <row r="108" ht="15" customHeight="1">
      <c r="A108" t="inlineStr">
        <is>
          <t>A 22050-2025</t>
        </is>
      </c>
      <c r="B108" s="1" t="n">
        <v>45785.34451388889</v>
      </c>
      <c r="C108" s="1" t="n">
        <v>46011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2.4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HYPERLINK("https://klasma.github.io/Logging_2262/artfynd/A 22050-2025 artfynd.xlsx", "A 22050-2025")</f>
        <v/>
      </c>
      <c r="T108">
        <f>HYPERLINK("https://klasma.github.io/Logging_2262/kartor/A 22050-2025 karta.png", "A 22050-2025")</f>
        <v/>
      </c>
      <c r="V108">
        <f>HYPERLINK("https://klasma.github.io/Logging_2262/klagomål/A 22050-2025 FSC-klagomål.docx", "A 22050-2025")</f>
        <v/>
      </c>
      <c r="W108">
        <f>HYPERLINK("https://klasma.github.io/Logging_2262/klagomålsmail/A 22050-2025 FSC-klagomål mail.docx", "A 22050-2025")</f>
        <v/>
      </c>
      <c r="X108">
        <f>HYPERLINK("https://klasma.github.io/Logging_2262/tillsyn/A 22050-2025 tillsynsbegäran.docx", "A 22050-2025")</f>
        <v/>
      </c>
      <c r="Y108">
        <f>HYPERLINK("https://klasma.github.io/Logging_2262/tillsynsmail/A 22050-2025 tillsynsbegäran mail.docx", "A 22050-2025")</f>
        <v/>
      </c>
    </row>
    <row r="109" ht="15" customHeight="1">
      <c r="A109" t="inlineStr">
        <is>
          <t>A 22212-2025</t>
        </is>
      </c>
      <c r="B109" s="1" t="n">
        <v>45785.65763888889</v>
      </c>
      <c r="C109" s="1" t="n">
        <v>46011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6.9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HYPERLINK("https://klasma.github.io/Logging_2262/artfynd/A 22212-2025 artfynd.xlsx", "A 22212-2025")</f>
        <v/>
      </c>
      <c r="T109">
        <f>HYPERLINK("https://klasma.github.io/Logging_2262/kartor/A 22212-2025 karta.png", "A 22212-2025")</f>
        <v/>
      </c>
      <c r="V109">
        <f>HYPERLINK("https://klasma.github.io/Logging_2262/klagomål/A 22212-2025 FSC-klagomål.docx", "A 22212-2025")</f>
        <v/>
      </c>
      <c r="W109">
        <f>HYPERLINK("https://klasma.github.io/Logging_2262/klagomålsmail/A 22212-2025 FSC-klagomål mail.docx", "A 22212-2025")</f>
        <v/>
      </c>
      <c r="X109">
        <f>HYPERLINK("https://klasma.github.io/Logging_2262/tillsyn/A 22212-2025 tillsynsbegäran.docx", "A 22212-2025")</f>
        <v/>
      </c>
      <c r="Y109">
        <f>HYPERLINK("https://klasma.github.io/Logging_2262/tillsynsmail/A 22212-2025 tillsynsbegäran mail.docx", "A 22212-2025")</f>
        <v/>
      </c>
    </row>
    <row r="110" ht="15" customHeight="1">
      <c r="A110" t="inlineStr">
        <is>
          <t>A 12753-2022</t>
        </is>
      </c>
      <c r="B110" s="1" t="n">
        <v>44641</v>
      </c>
      <c r="C110" s="1" t="n">
        <v>46011</v>
      </c>
      <c r="D110" t="inlineStr">
        <is>
          <t>VÄSTERNORRLANDS LÄN</t>
        </is>
      </c>
      <c r="E110" t="inlineStr">
        <is>
          <t>TIMRÅ</t>
        </is>
      </c>
      <c r="G110" t="n">
        <v>1.6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HYPERLINK("https://klasma.github.io/Logging_2262/artfynd/A 12753-2022 artfynd.xlsx", "A 12753-2022")</f>
        <v/>
      </c>
      <c r="T110">
        <f>HYPERLINK("https://klasma.github.io/Logging_2262/kartor/A 12753-2022 karta.png", "A 12753-2022")</f>
        <v/>
      </c>
      <c r="V110">
        <f>HYPERLINK("https://klasma.github.io/Logging_2262/klagomål/A 12753-2022 FSC-klagomål.docx", "A 12753-2022")</f>
        <v/>
      </c>
      <c r="W110">
        <f>HYPERLINK("https://klasma.github.io/Logging_2262/klagomålsmail/A 12753-2022 FSC-klagomål mail.docx", "A 12753-2022")</f>
        <v/>
      </c>
      <c r="X110">
        <f>HYPERLINK("https://klasma.github.io/Logging_2262/tillsyn/A 12753-2022 tillsynsbegäran.docx", "A 12753-2022")</f>
        <v/>
      </c>
      <c r="Y110">
        <f>HYPERLINK("https://klasma.github.io/Logging_2262/tillsynsmail/A 12753-2022 tillsynsbegäran mail.docx", "A 12753-2022")</f>
        <v/>
      </c>
    </row>
    <row r="111" ht="15" customHeight="1">
      <c r="A111" t="inlineStr">
        <is>
          <t>A 22897-2025</t>
        </is>
      </c>
      <c r="B111" s="1" t="n">
        <v>45790</v>
      </c>
      <c r="C111" s="1" t="n">
        <v>46011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6.2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HYPERLINK("https://klasma.github.io/Logging_2262/artfynd/A 22897-2025 artfynd.xlsx", "A 22897-2025")</f>
        <v/>
      </c>
      <c r="T111">
        <f>HYPERLINK("https://klasma.github.io/Logging_2262/kartor/A 22897-2025 karta.png", "A 22897-2025")</f>
        <v/>
      </c>
      <c r="V111">
        <f>HYPERLINK("https://klasma.github.io/Logging_2262/klagomål/A 22897-2025 FSC-klagomål.docx", "A 22897-2025")</f>
        <v/>
      </c>
      <c r="W111">
        <f>HYPERLINK("https://klasma.github.io/Logging_2262/klagomålsmail/A 22897-2025 FSC-klagomål mail.docx", "A 22897-2025")</f>
        <v/>
      </c>
      <c r="X111">
        <f>HYPERLINK("https://klasma.github.io/Logging_2262/tillsyn/A 22897-2025 tillsynsbegäran.docx", "A 22897-2025")</f>
        <v/>
      </c>
      <c r="Y111">
        <f>HYPERLINK("https://klasma.github.io/Logging_2262/tillsynsmail/A 22897-2025 tillsynsbegäran mail.docx", "A 22897-2025")</f>
        <v/>
      </c>
    </row>
    <row r="112" ht="15" customHeight="1">
      <c r="A112" t="inlineStr">
        <is>
          <t>A 8998-2024</t>
        </is>
      </c>
      <c r="B112" s="1" t="n">
        <v>45356</v>
      </c>
      <c r="C112" s="1" t="n">
        <v>46011</v>
      </c>
      <c r="D112" t="inlineStr">
        <is>
          <t>VÄSTERNORRLANDS LÄN</t>
        </is>
      </c>
      <c r="E112" t="inlineStr">
        <is>
          <t>TIMRÅ</t>
        </is>
      </c>
      <c r="G112" t="n">
        <v>2.1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HYPERLINK("https://klasma.github.io/Logging_2262/artfynd/A 8998-2024 artfynd.xlsx", "A 8998-2024")</f>
        <v/>
      </c>
      <c r="T112">
        <f>HYPERLINK("https://klasma.github.io/Logging_2262/kartor/A 8998-2024 karta.png", "A 8998-2024")</f>
        <v/>
      </c>
      <c r="V112">
        <f>HYPERLINK("https://klasma.github.io/Logging_2262/klagomål/A 8998-2024 FSC-klagomål.docx", "A 8998-2024")</f>
        <v/>
      </c>
      <c r="W112">
        <f>HYPERLINK("https://klasma.github.io/Logging_2262/klagomålsmail/A 8998-2024 FSC-klagomål mail.docx", "A 8998-2024")</f>
        <v/>
      </c>
      <c r="X112">
        <f>HYPERLINK("https://klasma.github.io/Logging_2262/tillsyn/A 8998-2024 tillsynsbegäran.docx", "A 8998-2024")</f>
        <v/>
      </c>
      <c r="Y112">
        <f>HYPERLINK("https://klasma.github.io/Logging_2262/tillsynsmail/A 8998-2024 tillsynsbegäran mail.docx", "A 8998-2024")</f>
        <v/>
      </c>
    </row>
    <row r="113" ht="15" customHeight="1">
      <c r="A113" t="inlineStr">
        <is>
          <t>A 22819-2025</t>
        </is>
      </c>
      <c r="B113" s="1" t="n">
        <v>45789.71935185185</v>
      </c>
      <c r="C113" s="1" t="n">
        <v>46011</v>
      </c>
      <c r="D113" t="inlineStr">
        <is>
          <t>VÄSTERNORRLANDS LÄN</t>
        </is>
      </c>
      <c r="E113" t="inlineStr">
        <is>
          <t>TIMRÅ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Orre</t>
        </is>
      </c>
      <c r="S113">
        <f>HYPERLINK("https://klasma.github.io/Logging_2262/artfynd/A 22819-2025 artfynd.xlsx", "A 22819-2025")</f>
        <v/>
      </c>
      <c r="T113">
        <f>HYPERLINK("https://klasma.github.io/Logging_2262/kartor/A 22819-2025 karta.png", "A 22819-2025")</f>
        <v/>
      </c>
      <c r="V113">
        <f>HYPERLINK("https://klasma.github.io/Logging_2262/klagomål/A 22819-2025 FSC-klagomål.docx", "A 22819-2025")</f>
        <v/>
      </c>
      <c r="W113">
        <f>HYPERLINK("https://klasma.github.io/Logging_2262/klagomålsmail/A 22819-2025 FSC-klagomål mail.docx", "A 22819-2025")</f>
        <v/>
      </c>
      <c r="X113">
        <f>HYPERLINK("https://klasma.github.io/Logging_2262/tillsyn/A 22819-2025 tillsynsbegäran.docx", "A 22819-2025")</f>
        <v/>
      </c>
      <c r="Y113">
        <f>HYPERLINK("https://klasma.github.io/Logging_2262/tillsynsmail/A 22819-2025 tillsynsbegäran mail.docx", "A 22819-2025")</f>
        <v/>
      </c>
      <c r="Z113">
        <f>HYPERLINK("https://klasma.github.io/Logging_2262/fåglar/A 22819-2025 prioriterade fågelarter.docx", "A 22819-2025")</f>
        <v/>
      </c>
    </row>
    <row r="114" ht="15" customHeight="1">
      <c r="A114" t="inlineStr">
        <is>
          <t>A 23171-2025</t>
        </is>
      </c>
      <c r="B114" s="1" t="n">
        <v>45791.4278587963</v>
      </c>
      <c r="C114" s="1" t="n">
        <v>46011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3.4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HYPERLINK("https://klasma.github.io/Logging_2262/artfynd/A 23171-2025 artfynd.xlsx", "A 23171-2025")</f>
        <v/>
      </c>
      <c r="T114">
        <f>HYPERLINK("https://klasma.github.io/Logging_2262/kartor/A 23171-2025 karta.png", "A 23171-2025")</f>
        <v/>
      </c>
      <c r="V114">
        <f>HYPERLINK("https://klasma.github.io/Logging_2262/klagomål/A 23171-2025 FSC-klagomål.docx", "A 23171-2025")</f>
        <v/>
      </c>
      <c r="W114">
        <f>HYPERLINK("https://klasma.github.io/Logging_2262/klagomålsmail/A 23171-2025 FSC-klagomål mail.docx", "A 23171-2025")</f>
        <v/>
      </c>
      <c r="X114">
        <f>HYPERLINK("https://klasma.github.io/Logging_2262/tillsyn/A 23171-2025 tillsynsbegäran.docx", "A 23171-2025")</f>
        <v/>
      </c>
      <c r="Y114">
        <f>HYPERLINK("https://klasma.github.io/Logging_2262/tillsynsmail/A 23171-2025 tillsynsbegäran mail.docx", "A 23171-2025")</f>
        <v/>
      </c>
    </row>
    <row r="115" ht="15" customHeight="1">
      <c r="A115" t="inlineStr">
        <is>
          <t>A 23159-2025</t>
        </is>
      </c>
      <c r="B115" s="1" t="n">
        <v>45791.40748842592</v>
      </c>
      <c r="C115" s="1" t="n">
        <v>46011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HYPERLINK("https://klasma.github.io/Logging_2262/artfynd/A 23159-2025 artfynd.xlsx", "A 23159-2025")</f>
        <v/>
      </c>
      <c r="T115">
        <f>HYPERLINK("https://klasma.github.io/Logging_2262/kartor/A 23159-2025 karta.png", "A 23159-2025")</f>
        <v/>
      </c>
      <c r="V115">
        <f>HYPERLINK("https://klasma.github.io/Logging_2262/klagomål/A 23159-2025 FSC-klagomål.docx", "A 23159-2025")</f>
        <v/>
      </c>
      <c r="W115">
        <f>HYPERLINK("https://klasma.github.io/Logging_2262/klagomålsmail/A 23159-2025 FSC-klagomål mail.docx", "A 23159-2025")</f>
        <v/>
      </c>
      <c r="X115">
        <f>HYPERLINK("https://klasma.github.io/Logging_2262/tillsyn/A 23159-2025 tillsynsbegäran.docx", "A 23159-2025")</f>
        <v/>
      </c>
      <c r="Y115">
        <f>HYPERLINK("https://klasma.github.io/Logging_2262/tillsynsmail/A 23159-2025 tillsynsbegäran mail.docx", "A 23159-2025")</f>
        <v/>
      </c>
    </row>
    <row r="116" ht="15" customHeight="1">
      <c r="A116" t="inlineStr">
        <is>
          <t>A 23283-2025</t>
        </is>
      </c>
      <c r="B116" s="1" t="n">
        <v>45791.57354166666</v>
      </c>
      <c r="C116" s="1" t="n">
        <v>46011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HYPERLINK("https://klasma.github.io/Logging_2262/artfynd/A 23283-2025 artfynd.xlsx", "A 23283-2025")</f>
        <v/>
      </c>
      <c r="T116">
        <f>HYPERLINK("https://klasma.github.io/Logging_2262/kartor/A 23283-2025 karta.png", "A 23283-2025")</f>
        <v/>
      </c>
      <c r="V116">
        <f>HYPERLINK("https://klasma.github.io/Logging_2262/klagomål/A 23283-2025 FSC-klagomål.docx", "A 23283-2025")</f>
        <v/>
      </c>
      <c r="W116">
        <f>HYPERLINK("https://klasma.github.io/Logging_2262/klagomålsmail/A 23283-2025 FSC-klagomål mail.docx", "A 23283-2025")</f>
        <v/>
      </c>
      <c r="X116">
        <f>HYPERLINK("https://klasma.github.io/Logging_2262/tillsyn/A 23283-2025 tillsynsbegäran.docx", "A 23283-2025")</f>
        <v/>
      </c>
      <c r="Y116">
        <f>HYPERLINK("https://klasma.github.io/Logging_2262/tillsynsmail/A 23283-2025 tillsynsbegäran mail.docx", "A 23283-2025")</f>
        <v/>
      </c>
    </row>
    <row r="117" ht="15" customHeight="1">
      <c r="A117" t="inlineStr">
        <is>
          <t>A 47203-2021</t>
        </is>
      </c>
      <c r="B117" s="1" t="n">
        <v>44447.3393287037</v>
      </c>
      <c r="C117" s="1" t="n">
        <v>46011</v>
      </c>
      <c r="D117" t="inlineStr">
        <is>
          <t>VÄSTERNORRLANDS LÄN</t>
        </is>
      </c>
      <c r="E117" t="inlineStr">
        <is>
          <t>TIMRÅ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47570-2021</t>
        </is>
      </c>
      <c r="B118" s="1" t="n">
        <v>44447.94371527778</v>
      </c>
      <c r="C118" s="1" t="n">
        <v>46011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28695-2021</t>
        </is>
      </c>
      <c r="B119" s="1" t="n">
        <v>44357</v>
      </c>
      <c r="C119" s="1" t="n">
        <v>46011</v>
      </c>
      <c r="D119" t="inlineStr">
        <is>
          <t>VÄSTERNORRLANDS LÄN</t>
        </is>
      </c>
      <c r="E119" t="inlineStr">
        <is>
          <t>TIMRÅ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20487-2021</t>
        </is>
      </c>
      <c r="B120" s="1" t="n">
        <v>44315</v>
      </c>
      <c r="C120" s="1" t="n">
        <v>46011</v>
      </c>
      <c r="D120" t="inlineStr">
        <is>
          <t>VÄSTERNORRLANDS LÄN</t>
        </is>
      </c>
      <c r="E120" t="inlineStr">
        <is>
          <t>TIMRÅ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66154-2021</t>
        </is>
      </c>
      <c r="B121" s="1" t="n">
        <v>44517</v>
      </c>
      <c r="C121" s="1" t="n">
        <v>46011</v>
      </c>
      <c r="D121" t="inlineStr">
        <is>
          <t>VÄSTERNORRLANDS LÄN</t>
        </is>
      </c>
      <c r="E121" t="inlineStr">
        <is>
          <t>TIMRÅ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74044-2021</t>
        </is>
      </c>
      <c r="B122" s="1" t="n">
        <v>44557</v>
      </c>
      <c r="C122" s="1" t="n">
        <v>46011</v>
      </c>
      <c r="D122" t="inlineStr">
        <is>
          <t>VÄSTERNORRLANDS LÄN</t>
        </is>
      </c>
      <c r="E122" t="inlineStr">
        <is>
          <t>TIMRÅ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43233-2022</t>
        </is>
      </c>
      <c r="B123" s="1" t="n">
        <v>44833</v>
      </c>
      <c r="C123" s="1" t="n">
        <v>46011</v>
      </c>
      <c r="D123" t="inlineStr">
        <is>
          <t>VÄSTERNORRLANDS LÄN</t>
        </is>
      </c>
      <c r="E123" t="inlineStr">
        <is>
          <t>TIMRÅ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74043-2021</t>
        </is>
      </c>
      <c r="B124" s="1" t="n">
        <v>44557</v>
      </c>
      <c r="C124" s="1" t="n">
        <v>46011</v>
      </c>
      <c r="D124" t="inlineStr">
        <is>
          <t>VÄSTERNORRLANDS LÄN</t>
        </is>
      </c>
      <c r="E124" t="inlineStr">
        <is>
          <t>TIMRÅ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23693-2022</t>
        </is>
      </c>
      <c r="B125" s="1" t="n">
        <v>44721</v>
      </c>
      <c r="C125" s="1" t="n">
        <v>46011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47569-2021</t>
        </is>
      </c>
      <c r="B126" s="1" t="n">
        <v>44447</v>
      </c>
      <c r="C126" s="1" t="n">
        <v>46011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38445-2022</t>
        </is>
      </c>
      <c r="B127" s="1" t="n">
        <v>44813</v>
      </c>
      <c r="C127" s="1" t="n">
        <v>46011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52474-2022</t>
        </is>
      </c>
      <c r="B128" s="1" t="n">
        <v>44874.48275462963</v>
      </c>
      <c r="C128" s="1" t="n">
        <v>46011</v>
      </c>
      <c r="D128" t="inlineStr">
        <is>
          <t>VÄSTERNORRLANDS LÄN</t>
        </is>
      </c>
      <c r="E128" t="inlineStr">
        <is>
          <t>TIMRÅ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52096-2022</t>
        </is>
      </c>
      <c r="B129" s="1" t="n">
        <v>44868</v>
      </c>
      <c r="C129" s="1" t="n">
        <v>46011</v>
      </c>
      <c r="D129" t="inlineStr">
        <is>
          <t>VÄSTERNORRLANDS LÄN</t>
        </is>
      </c>
      <c r="E129" t="inlineStr">
        <is>
          <t>TIMRÅ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28702-2021</t>
        </is>
      </c>
      <c r="B130" s="1" t="n">
        <v>44357</v>
      </c>
      <c r="C130" s="1" t="n">
        <v>46011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1555-2021</t>
        </is>
      </c>
      <c r="B131" s="1" t="n">
        <v>44209</v>
      </c>
      <c r="C131" s="1" t="n">
        <v>46011</v>
      </c>
      <c r="D131" t="inlineStr">
        <is>
          <t>VÄSTERNORRLANDS LÄN</t>
        </is>
      </c>
      <c r="E131" t="inlineStr">
        <is>
          <t>TIMRÅ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33719-2022</t>
        </is>
      </c>
      <c r="B132" s="1" t="n">
        <v>44789.92700231481</v>
      </c>
      <c r="C132" s="1" t="n">
        <v>46011</v>
      </c>
      <c r="D132" t="inlineStr">
        <is>
          <t>VÄSTERNORRLANDS LÄN</t>
        </is>
      </c>
      <c r="E132" t="inlineStr">
        <is>
          <t>TIMRÅ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32519-2022</t>
        </is>
      </c>
      <c r="B133" s="1" t="n">
        <v>44782</v>
      </c>
      <c r="C133" s="1" t="n">
        <v>46011</v>
      </c>
      <c r="D133" t="inlineStr">
        <is>
          <t>VÄSTERNORRLANDS LÄN</t>
        </is>
      </c>
      <c r="E133" t="inlineStr">
        <is>
          <t>TIMRÅ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67673-2021</t>
        </is>
      </c>
      <c r="B134" s="1" t="n">
        <v>44524</v>
      </c>
      <c r="C134" s="1" t="n">
        <v>46011</v>
      </c>
      <c r="D134" t="inlineStr">
        <is>
          <t>VÄSTERNORRLANDS LÄN</t>
        </is>
      </c>
      <c r="E134" t="inlineStr">
        <is>
          <t>TIMRÅ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74148-2021</t>
        </is>
      </c>
      <c r="B135" s="1" t="n">
        <v>44557</v>
      </c>
      <c r="C135" s="1" t="n">
        <v>46011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7670-2022</t>
        </is>
      </c>
      <c r="B136" s="1" t="n">
        <v>44607</v>
      </c>
      <c r="C136" s="1" t="n">
        <v>46011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59570-2021</t>
        </is>
      </c>
      <c r="B137" s="1" t="n">
        <v>44491</v>
      </c>
      <c r="C137" s="1" t="n">
        <v>46011</v>
      </c>
      <c r="D137" t="inlineStr">
        <is>
          <t>VÄSTERNORRLANDS LÄN</t>
        </is>
      </c>
      <c r="E137" t="inlineStr">
        <is>
          <t>TIMRÅ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67065-2021</t>
        </is>
      </c>
      <c r="B138" s="1" t="n">
        <v>44522.92057870371</v>
      </c>
      <c r="C138" s="1" t="n">
        <v>46011</v>
      </c>
      <c r="D138" t="inlineStr">
        <is>
          <t>VÄSTERNORRLANDS LÄN</t>
        </is>
      </c>
      <c r="E138" t="inlineStr">
        <is>
          <t>TIMRÅ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30098-2021</t>
        </is>
      </c>
      <c r="B139" s="1" t="n">
        <v>44363</v>
      </c>
      <c r="C139" s="1" t="n">
        <v>46011</v>
      </c>
      <c r="D139" t="inlineStr">
        <is>
          <t>VÄSTERNORRLANDS LÄN</t>
        </is>
      </c>
      <c r="E139" t="inlineStr">
        <is>
          <t>TIMRÅ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28650-2021</t>
        </is>
      </c>
      <c r="B140" s="1" t="n">
        <v>44357.3500462963</v>
      </c>
      <c r="C140" s="1" t="n">
        <v>46011</v>
      </c>
      <c r="D140" t="inlineStr">
        <is>
          <t>VÄSTERNORRLANDS LÄN</t>
        </is>
      </c>
      <c r="E140" t="inlineStr">
        <is>
          <t>TIMRÅ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32210-2021</t>
        </is>
      </c>
      <c r="B141" s="1" t="n">
        <v>44371</v>
      </c>
      <c r="C141" s="1" t="n">
        <v>46011</v>
      </c>
      <c r="D141" t="inlineStr">
        <is>
          <t>VÄSTERNORRLANDS LÄN</t>
        </is>
      </c>
      <c r="E141" t="inlineStr">
        <is>
          <t>TIMRÅ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32287-2021</t>
        </is>
      </c>
      <c r="B142" s="1" t="n">
        <v>44371</v>
      </c>
      <c r="C142" s="1" t="n">
        <v>46011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Kyrkan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39821-2021</t>
        </is>
      </c>
      <c r="B143" s="1" t="n">
        <v>44417</v>
      </c>
      <c r="C143" s="1" t="n">
        <v>46011</v>
      </c>
      <c r="D143" t="inlineStr">
        <is>
          <t>VÄSTERNORRLANDS LÄN</t>
        </is>
      </c>
      <c r="E143" t="inlineStr">
        <is>
          <t>TIMRÅ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52448-2022</t>
        </is>
      </c>
      <c r="B144" s="1" t="n">
        <v>44874.46287037037</v>
      </c>
      <c r="C144" s="1" t="n">
        <v>46011</v>
      </c>
      <c r="D144" t="inlineStr">
        <is>
          <t>VÄSTERNORRLANDS LÄN</t>
        </is>
      </c>
      <c r="E144" t="inlineStr">
        <is>
          <t>TIMRÅ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49056-2021</t>
        </is>
      </c>
      <c r="B145" s="1" t="n">
        <v>44453</v>
      </c>
      <c r="C145" s="1" t="n">
        <v>46011</v>
      </c>
      <c r="D145" t="inlineStr">
        <is>
          <t>VÄSTERNORRLANDS LÄN</t>
        </is>
      </c>
      <c r="E145" t="inlineStr">
        <is>
          <t>TIMRÅ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47293-2022</t>
        </is>
      </c>
      <c r="B146" s="1" t="n">
        <v>44852.95229166667</v>
      </c>
      <c r="C146" s="1" t="n">
        <v>46011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SCA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32483-2021</t>
        </is>
      </c>
      <c r="B147" s="1" t="n">
        <v>44371</v>
      </c>
      <c r="C147" s="1" t="n">
        <v>46011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Kyrkan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35448-2022</t>
        </is>
      </c>
      <c r="B148" s="1" t="n">
        <v>44798</v>
      </c>
      <c r="C148" s="1" t="n">
        <v>46011</v>
      </c>
      <c r="D148" t="inlineStr">
        <is>
          <t>VÄSTERNORRLANDS LÄN</t>
        </is>
      </c>
      <c r="E148" t="inlineStr">
        <is>
          <t>TIMRÅ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53659-2022</t>
        </is>
      </c>
      <c r="B149" s="1" t="n">
        <v>44879.9560300926</v>
      </c>
      <c r="C149" s="1" t="n">
        <v>46011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SCA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64433-2021</t>
        </is>
      </c>
      <c r="B150" s="1" t="n">
        <v>44511</v>
      </c>
      <c r="C150" s="1" t="n">
        <v>46011</v>
      </c>
      <c r="D150" t="inlineStr">
        <is>
          <t>VÄSTERNORRLANDS LÄN</t>
        </is>
      </c>
      <c r="E150" t="inlineStr">
        <is>
          <t>TIMRÅ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42281-2022</t>
        </is>
      </c>
      <c r="B151" s="1" t="n">
        <v>44830</v>
      </c>
      <c r="C151" s="1" t="n">
        <v>46011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1559-2021</t>
        </is>
      </c>
      <c r="B152" s="1" t="n">
        <v>44209.44664351852</v>
      </c>
      <c r="C152" s="1" t="n">
        <v>46011</v>
      </c>
      <c r="D152" t="inlineStr">
        <is>
          <t>VÄSTERNORRLANDS LÄN</t>
        </is>
      </c>
      <c r="E152" t="inlineStr">
        <is>
          <t>TIMRÅ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7367-2021</t>
        </is>
      </c>
      <c r="B153" s="1" t="n">
        <v>44237</v>
      </c>
      <c r="C153" s="1" t="n">
        <v>46011</v>
      </c>
      <c r="D153" t="inlineStr">
        <is>
          <t>VÄSTERNORRLANDS LÄN</t>
        </is>
      </c>
      <c r="E153" t="inlineStr">
        <is>
          <t>TIMRÅ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43848-2021</t>
        </is>
      </c>
      <c r="B154" s="1" t="n">
        <v>44433.94230324074</v>
      </c>
      <c r="C154" s="1" t="n">
        <v>46011</v>
      </c>
      <c r="D154" t="inlineStr">
        <is>
          <t>VÄSTERNORRLANDS LÄN</t>
        </is>
      </c>
      <c r="E154" t="inlineStr">
        <is>
          <t>TIMRÅ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45441-2021</t>
        </is>
      </c>
      <c r="B155" s="1" t="n">
        <v>44440</v>
      </c>
      <c r="C155" s="1" t="n">
        <v>46011</v>
      </c>
      <c r="D155" t="inlineStr">
        <is>
          <t>VÄSTERNORRLANDS LÄN</t>
        </is>
      </c>
      <c r="E155" t="inlineStr">
        <is>
          <t>TIMRÅ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22194-2022</t>
        </is>
      </c>
      <c r="B156" s="1" t="n">
        <v>44712</v>
      </c>
      <c r="C156" s="1" t="n">
        <v>46011</v>
      </c>
      <c r="D156" t="inlineStr">
        <is>
          <t>VÄSTERNORRLANDS LÄN</t>
        </is>
      </c>
      <c r="E156" t="inlineStr">
        <is>
          <t>TIMRÅ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46650-2022</t>
        </is>
      </c>
      <c r="B157" s="1" t="n">
        <v>44849</v>
      </c>
      <c r="C157" s="1" t="n">
        <v>46011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46028-2022</t>
        </is>
      </c>
      <c r="B158" s="1" t="n">
        <v>44846</v>
      </c>
      <c r="C158" s="1" t="n">
        <v>46011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Kyrkan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9256-2022</t>
        </is>
      </c>
      <c r="B159" s="1" t="n">
        <v>44616</v>
      </c>
      <c r="C159" s="1" t="n">
        <v>46011</v>
      </c>
      <c r="D159" t="inlineStr">
        <is>
          <t>VÄSTERNORRLANDS LÄN</t>
        </is>
      </c>
      <c r="E159" t="inlineStr">
        <is>
          <t>TIMRÅ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36564-2022</t>
        </is>
      </c>
      <c r="B160" s="1" t="n">
        <v>44804</v>
      </c>
      <c r="C160" s="1" t="n">
        <v>46011</v>
      </c>
      <c r="D160" t="inlineStr">
        <is>
          <t>VÄSTERNORRLANDS LÄN</t>
        </is>
      </c>
      <c r="E160" t="inlineStr">
        <is>
          <t>TIMRÅ</t>
        </is>
      </c>
      <c r="G160" t="n">
        <v>16.6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35758-2022</t>
        </is>
      </c>
      <c r="B161" s="1" t="n">
        <v>44799</v>
      </c>
      <c r="C161" s="1" t="n">
        <v>46011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47815-2022</t>
        </is>
      </c>
      <c r="B162" s="1" t="n">
        <v>44854</v>
      </c>
      <c r="C162" s="1" t="n">
        <v>46011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55511-2022</t>
        </is>
      </c>
      <c r="B163" s="1" t="n">
        <v>44887.9284375</v>
      </c>
      <c r="C163" s="1" t="n">
        <v>46011</v>
      </c>
      <c r="D163" t="inlineStr">
        <is>
          <t>VÄSTERNORRLANDS LÄN</t>
        </is>
      </c>
      <c r="E163" t="inlineStr">
        <is>
          <t>TIMRÅ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45695-2022</t>
        </is>
      </c>
      <c r="B164" s="1" t="n">
        <v>44845.95347222222</v>
      </c>
      <c r="C164" s="1" t="n">
        <v>46011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26921-2021</t>
        </is>
      </c>
      <c r="B165" s="1" t="n">
        <v>44349</v>
      </c>
      <c r="C165" s="1" t="n">
        <v>46011</v>
      </c>
      <c r="D165" t="inlineStr">
        <is>
          <t>VÄSTERNORRLANDS LÄN</t>
        </is>
      </c>
      <c r="E165" t="inlineStr">
        <is>
          <t>TIMRÅ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26936-2021</t>
        </is>
      </c>
      <c r="B166" s="1" t="n">
        <v>44349</v>
      </c>
      <c r="C166" s="1" t="n">
        <v>46011</v>
      </c>
      <c r="D166" t="inlineStr">
        <is>
          <t>VÄSTERNORRLANDS LÄN</t>
        </is>
      </c>
      <c r="E166" t="inlineStr">
        <is>
          <t>TIMRÅ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28706-2021</t>
        </is>
      </c>
      <c r="B167" s="1" t="n">
        <v>44357</v>
      </c>
      <c r="C167" s="1" t="n">
        <v>46011</v>
      </c>
      <c r="D167" t="inlineStr">
        <is>
          <t>VÄSTERNORRLANDS LÄN</t>
        </is>
      </c>
      <c r="E167" t="inlineStr">
        <is>
          <t>TIMRÅ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49203-2022</t>
        </is>
      </c>
      <c r="B168" s="1" t="n">
        <v>44860</v>
      </c>
      <c r="C168" s="1" t="n">
        <v>46011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43135-2022</t>
        </is>
      </c>
      <c r="B169" s="1" t="n">
        <v>44833</v>
      </c>
      <c r="C169" s="1" t="n">
        <v>46011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24513-2021</t>
        </is>
      </c>
      <c r="B170" s="1" t="n">
        <v>44337.98226851852</v>
      </c>
      <c r="C170" s="1" t="n">
        <v>46011</v>
      </c>
      <c r="D170" t="inlineStr">
        <is>
          <t>VÄSTERNORRLANDS LÄN</t>
        </is>
      </c>
      <c r="E170" t="inlineStr">
        <is>
          <t>TIMRÅ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12880-2022</t>
        </is>
      </c>
      <c r="B171" s="1" t="n">
        <v>44642</v>
      </c>
      <c r="C171" s="1" t="n">
        <v>46011</v>
      </c>
      <c r="D171" t="inlineStr">
        <is>
          <t>VÄSTERNORRLANDS LÄN</t>
        </is>
      </c>
      <c r="E171" t="inlineStr">
        <is>
          <t>TIMRÅ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12882-2022</t>
        </is>
      </c>
      <c r="B172" s="1" t="n">
        <v>44642</v>
      </c>
      <c r="C172" s="1" t="n">
        <v>46011</v>
      </c>
      <c r="D172" t="inlineStr">
        <is>
          <t>VÄSTERNORRLANDS LÄN</t>
        </is>
      </c>
      <c r="E172" t="inlineStr">
        <is>
          <t>TIMRÅ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43237-2022</t>
        </is>
      </c>
      <c r="B173" s="1" t="n">
        <v>44833</v>
      </c>
      <c r="C173" s="1" t="n">
        <v>46011</v>
      </c>
      <c r="D173" t="inlineStr">
        <is>
          <t>VÄSTERNORRLANDS LÄN</t>
        </is>
      </c>
      <c r="E173" t="inlineStr">
        <is>
          <t>TIMRÅ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53699-2021</t>
        </is>
      </c>
      <c r="B174" s="1" t="n">
        <v>44469</v>
      </c>
      <c r="C174" s="1" t="n">
        <v>46011</v>
      </c>
      <c r="D174" t="inlineStr">
        <is>
          <t>VÄSTERNORRLANDS LÄN</t>
        </is>
      </c>
      <c r="E174" t="inlineStr">
        <is>
          <t>TIMRÅ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24305-2022</t>
        </is>
      </c>
      <c r="B175" s="1" t="n">
        <v>44725.94373842593</v>
      </c>
      <c r="C175" s="1" t="n">
        <v>46011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39534-2021</t>
        </is>
      </c>
      <c r="B176" s="1" t="n">
        <v>44415.93429398148</v>
      </c>
      <c r="C176" s="1" t="n">
        <v>46011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26588-2021</t>
        </is>
      </c>
      <c r="B177" s="1" t="n">
        <v>44348</v>
      </c>
      <c r="C177" s="1" t="n">
        <v>46011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Kyrkan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34053-2022</t>
        </is>
      </c>
      <c r="B178" s="1" t="n">
        <v>44790</v>
      </c>
      <c r="C178" s="1" t="n">
        <v>46011</v>
      </c>
      <c r="D178" t="inlineStr">
        <is>
          <t>VÄSTERNORRLANDS LÄN</t>
        </is>
      </c>
      <c r="E178" t="inlineStr">
        <is>
          <t>TIMRÅ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12779-2022</t>
        </is>
      </c>
      <c r="B179" s="1" t="n">
        <v>44641</v>
      </c>
      <c r="C179" s="1" t="n">
        <v>46011</v>
      </c>
      <c r="D179" t="inlineStr">
        <is>
          <t>VÄSTERNORRLANDS LÄN</t>
        </is>
      </c>
      <c r="E179" t="inlineStr">
        <is>
          <t>TIMRÅ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66409-2021</t>
        </is>
      </c>
      <c r="B180" s="1" t="n">
        <v>44518</v>
      </c>
      <c r="C180" s="1" t="n">
        <v>46011</v>
      </c>
      <c r="D180" t="inlineStr">
        <is>
          <t>VÄSTERNORRLANDS LÄN</t>
        </is>
      </c>
      <c r="E180" t="inlineStr">
        <is>
          <t>TIMRÅ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30591-2021</t>
        </is>
      </c>
      <c r="B181" s="1" t="n">
        <v>44364</v>
      </c>
      <c r="C181" s="1" t="n">
        <v>46011</v>
      </c>
      <c r="D181" t="inlineStr">
        <is>
          <t>VÄSTERNORRLANDS LÄN</t>
        </is>
      </c>
      <c r="E181" t="inlineStr">
        <is>
          <t>TIMRÅ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35477-2022</t>
        </is>
      </c>
      <c r="B182" s="1" t="n">
        <v>44798.92681712963</v>
      </c>
      <c r="C182" s="1" t="n">
        <v>46011</v>
      </c>
      <c r="D182" t="inlineStr">
        <is>
          <t>VÄSTERNORRLANDS LÄN</t>
        </is>
      </c>
      <c r="E182" t="inlineStr">
        <is>
          <t>TIMRÅ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5722-2024</t>
        </is>
      </c>
      <c r="B183" s="1" t="n">
        <v>45334</v>
      </c>
      <c r="C183" s="1" t="n">
        <v>46011</v>
      </c>
      <c r="D183" t="inlineStr">
        <is>
          <t>VÄSTERNORRLANDS LÄN</t>
        </is>
      </c>
      <c r="E183" t="inlineStr">
        <is>
          <t>TIMRÅ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20841-2023</t>
        </is>
      </c>
      <c r="B184" s="1" t="n">
        <v>45058</v>
      </c>
      <c r="C184" s="1" t="n">
        <v>46011</v>
      </c>
      <c r="D184" t="inlineStr">
        <is>
          <t>VÄSTERNORRLANDS LÄN</t>
        </is>
      </c>
      <c r="E184" t="inlineStr">
        <is>
          <t>TIMRÅ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18778-2023</t>
        </is>
      </c>
      <c r="B185" s="1" t="n">
        <v>45043</v>
      </c>
      <c r="C185" s="1" t="n">
        <v>46011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27489-2023</t>
        </is>
      </c>
      <c r="B186" s="1" t="n">
        <v>45092</v>
      </c>
      <c r="C186" s="1" t="n">
        <v>46011</v>
      </c>
      <c r="D186" t="inlineStr">
        <is>
          <t>VÄSTERNORRLANDS LÄN</t>
        </is>
      </c>
      <c r="E186" t="inlineStr">
        <is>
          <t>TIMRÅ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20226-2024</t>
        </is>
      </c>
      <c r="B187" s="1" t="n">
        <v>45434</v>
      </c>
      <c r="C187" s="1" t="n">
        <v>46011</v>
      </c>
      <c r="D187" t="inlineStr">
        <is>
          <t>VÄSTERNORRLANDS LÄN</t>
        </is>
      </c>
      <c r="E187" t="inlineStr">
        <is>
          <t>TIMRÅ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58998-2023</t>
        </is>
      </c>
      <c r="B188" s="1" t="n">
        <v>45250</v>
      </c>
      <c r="C188" s="1" t="n">
        <v>46011</v>
      </c>
      <c r="D188" t="inlineStr">
        <is>
          <t>VÄSTERNORRLANDS LÄN</t>
        </is>
      </c>
      <c r="E188" t="inlineStr">
        <is>
          <t>TIMRÅ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4126-2023</t>
        </is>
      </c>
      <c r="B189" s="1" t="n">
        <v>44952</v>
      </c>
      <c r="C189" s="1" t="n">
        <v>46011</v>
      </c>
      <c r="D189" t="inlineStr">
        <is>
          <t>VÄSTERNORRLANDS LÄN</t>
        </is>
      </c>
      <c r="E189" t="inlineStr">
        <is>
          <t>TIMRÅ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38286-2024</t>
        </is>
      </c>
      <c r="B190" s="1" t="n">
        <v>45545.61614583333</v>
      </c>
      <c r="C190" s="1" t="n">
        <v>46011</v>
      </c>
      <c r="D190" t="inlineStr">
        <is>
          <t>VÄSTERNORRLANDS LÄN</t>
        </is>
      </c>
      <c r="E190" t="inlineStr">
        <is>
          <t>TIMRÅ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40519-2021</t>
        </is>
      </c>
      <c r="B191" s="1" t="n">
        <v>44420</v>
      </c>
      <c r="C191" s="1" t="n">
        <v>46011</v>
      </c>
      <c r="D191" t="inlineStr">
        <is>
          <t>VÄSTERNORRLANDS LÄN</t>
        </is>
      </c>
      <c r="E191" t="inlineStr">
        <is>
          <t>TIMRÅ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53305-2021</t>
        </is>
      </c>
      <c r="B192" s="1" t="n">
        <v>44467</v>
      </c>
      <c r="C192" s="1" t="n">
        <v>46011</v>
      </c>
      <c r="D192" t="inlineStr">
        <is>
          <t>VÄSTERNORRLANDS LÄN</t>
        </is>
      </c>
      <c r="E192" t="inlineStr">
        <is>
          <t>TIMRÅ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22416-2024</t>
        </is>
      </c>
      <c r="B193" s="1" t="n">
        <v>45446</v>
      </c>
      <c r="C193" s="1" t="n">
        <v>46011</v>
      </c>
      <c r="D193" t="inlineStr">
        <is>
          <t>VÄSTERNORRLANDS LÄN</t>
        </is>
      </c>
      <c r="E193" t="inlineStr">
        <is>
          <t>TIMRÅ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20786-2024</t>
        </is>
      </c>
      <c r="B194" s="1" t="n">
        <v>45437</v>
      </c>
      <c r="C194" s="1" t="n">
        <v>46011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6394-2025</t>
        </is>
      </c>
      <c r="B195" s="1" t="n">
        <v>45699.43229166666</v>
      </c>
      <c r="C195" s="1" t="n">
        <v>46011</v>
      </c>
      <c r="D195" t="inlineStr">
        <is>
          <t>VÄSTERNORRLANDS LÄN</t>
        </is>
      </c>
      <c r="E195" t="inlineStr">
        <is>
          <t>TIMRÅ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44432-2022</t>
        </is>
      </c>
      <c r="B196" s="1" t="n">
        <v>44839</v>
      </c>
      <c r="C196" s="1" t="n">
        <v>46011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38992-2024</t>
        </is>
      </c>
      <c r="B197" s="1" t="n">
        <v>45548</v>
      </c>
      <c r="C197" s="1" t="n">
        <v>46011</v>
      </c>
      <c r="D197" t="inlineStr">
        <is>
          <t>VÄSTERNORRLANDS LÄN</t>
        </is>
      </c>
      <c r="E197" t="inlineStr">
        <is>
          <t>TIMRÅ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23957-2025</t>
        </is>
      </c>
      <c r="B198" s="1" t="n">
        <v>45796.365</v>
      </c>
      <c r="C198" s="1" t="n">
        <v>46011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38623-2025</t>
        </is>
      </c>
      <c r="B199" s="1" t="n">
        <v>45884.55336805555</v>
      </c>
      <c r="C199" s="1" t="n">
        <v>46011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50699-2024</t>
        </is>
      </c>
      <c r="B200" s="1" t="n">
        <v>45602</v>
      </c>
      <c r="C200" s="1" t="n">
        <v>46011</v>
      </c>
      <c r="D200" t="inlineStr">
        <is>
          <t>VÄSTERNORRLANDS LÄN</t>
        </is>
      </c>
      <c r="E200" t="inlineStr">
        <is>
          <t>TIMRÅ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20526-2024</t>
        </is>
      </c>
      <c r="B201" s="1" t="n">
        <v>45435</v>
      </c>
      <c r="C201" s="1" t="n">
        <v>46011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33287-2024</t>
        </is>
      </c>
      <c r="B202" s="1" t="n">
        <v>45518.74296296296</v>
      </c>
      <c r="C202" s="1" t="n">
        <v>46011</v>
      </c>
      <c r="D202" t="inlineStr">
        <is>
          <t>VÄSTERNORRLANDS LÄN</t>
        </is>
      </c>
      <c r="E202" t="inlineStr">
        <is>
          <t>TIMRÅ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32487-2021</t>
        </is>
      </c>
      <c r="B203" s="1" t="n">
        <v>44371</v>
      </c>
      <c r="C203" s="1" t="n">
        <v>46011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Kyrkan</t>
        </is>
      </c>
      <c r="G203" t="n">
        <v>21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69663-2021</t>
        </is>
      </c>
      <c r="B204" s="1" t="n">
        <v>44531</v>
      </c>
      <c r="C204" s="1" t="n">
        <v>46011</v>
      </c>
      <c r="D204" t="inlineStr">
        <is>
          <t>VÄSTERNORRLANDS LÄN</t>
        </is>
      </c>
      <c r="E204" t="inlineStr">
        <is>
          <t>TIMRÅ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60074-2023</t>
        </is>
      </c>
      <c r="B205" s="1" t="n">
        <v>45258</v>
      </c>
      <c r="C205" s="1" t="n">
        <v>46011</v>
      </c>
      <c r="D205" t="inlineStr">
        <is>
          <t>VÄSTERNORRLANDS LÄN</t>
        </is>
      </c>
      <c r="E205" t="inlineStr">
        <is>
          <t>TIMRÅ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35262-2021</t>
        </is>
      </c>
      <c r="B206" s="1" t="n">
        <v>44384</v>
      </c>
      <c r="C206" s="1" t="n">
        <v>46011</v>
      </c>
      <c r="D206" t="inlineStr">
        <is>
          <t>VÄSTERNORRLANDS LÄN</t>
        </is>
      </c>
      <c r="E206" t="inlineStr">
        <is>
          <t>TIMRÅ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55179-2022</t>
        </is>
      </c>
      <c r="B207" s="1" t="n">
        <v>44886</v>
      </c>
      <c r="C207" s="1" t="n">
        <v>46011</v>
      </c>
      <c r="D207" t="inlineStr">
        <is>
          <t>VÄSTERNORRLANDS LÄN</t>
        </is>
      </c>
      <c r="E207" t="inlineStr">
        <is>
          <t>TIMRÅ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32105-2024</t>
        </is>
      </c>
      <c r="B208" s="1" t="n">
        <v>45511</v>
      </c>
      <c r="C208" s="1" t="n">
        <v>46011</v>
      </c>
      <c r="D208" t="inlineStr">
        <is>
          <t>VÄSTERNORRLANDS LÄN</t>
        </is>
      </c>
      <c r="E208" t="inlineStr">
        <is>
          <t>TIMRÅ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69203-2020</t>
        </is>
      </c>
      <c r="B209" s="1" t="n">
        <v>44191</v>
      </c>
      <c r="C209" s="1" t="n">
        <v>46011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38938-2025</t>
        </is>
      </c>
      <c r="B210" s="1" t="n">
        <v>45884</v>
      </c>
      <c r="C210" s="1" t="n">
        <v>46011</v>
      </c>
      <c r="D210" t="inlineStr">
        <is>
          <t>VÄSTERNORRLANDS LÄN</t>
        </is>
      </c>
      <c r="E210" t="inlineStr">
        <is>
          <t>TIMRÅ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52705-2022</t>
        </is>
      </c>
      <c r="B211" s="1" t="n">
        <v>44874.92969907408</v>
      </c>
      <c r="C211" s="1" t="n">
        <v>46011</v>
      </c>
      <c r="D211" t="inlineStr">
        <is>
          <t>VÄSTERNORRLANDS LÄN</t>
        </is>
      </c>
      <c r="E211" t="inlineStr">
        <is>
          <t>TIMRÅ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24529-2025</t>
        </is>
      </c>
      <c r="B212" s="1" t="n">
        <v>45798.42756944444</v>
      </c>
      <c r="C212" s="1" t="n">
        <v>46011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54993-2024</t>
        </is>
      </c>
      <c r="B213" s="1" t="n">
        <v>45620.95182870371</v>
      </c>
      <c r="C213" s="1" t="n">
        <v>46011</v>
      </c>
      <c r="D213" t="inlineStr">
        <is>
          <t>VÄSTERNORRLANDS LÄN</t>
        </is>
      </c>
      <c r="E213" t="inlineStr">
        <is>
          <t>TIMRÅ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38624-2025</t>
        </is>
      </c>
      <c r="B214" s="1" t="n">
        <v>45884.55347222222</v>
      </c>
      <c r="C214" s="1" t="n">
        <v>46011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19455-2024</t>
        </is>
      </c>
      <c r="B215" s="1" t="n">
        <v>45429</v>
      </c>
      <c r="C215" s="1" t="n">
        <v>46011</v>
      </c>
      <c r="D215" t="inlineStr">
        <is>
          <t>VÄSTERNORRLANDS LÄN</t>
        </is>
      </c>
      <c r="E215" t="inlineStr">
        <is>
          <t>TIMRÅ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26662-2024</t>
        </is>
      </c>
      <c r="B216" s="1" t="n">
        <v>45469</v>
      </c>
      <c r="C216" s="1" t="n">
        <v>46011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30907-2024</t>
        </is>
      </c>
      <c r="B217" s="1" t="n">
        <v>45498</v>
      </c>
      <c r="C217" s="1" t="n">
        <v>46011</v>
      </c>
      <c r="D217" t="inlineStr">
        <is>
          <t>VÄSTERNORRLANDS LÄN</t>
        </is>
      </c>
      <c r="E217" t="inlineStr">
        <is>
          <t>TIMRÅ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38306-2025</t>
        </is>
      </c>
      <c r="B218" s="1" t="n">
        <v>45883.46928240741</v>
      </c>
      <c r="C218" s="1" t="n">
        <v>46011</v>
      </c>
      <c r="D218" t="inlineStr">
        <is>
          <t>VÄSTERNORRLANDS LÄN</t>
        </is>
      </c>
      <c r="E218" t="inlineStr">
        <is>
          <t>TIMRÅ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69203-2020</t>
        </is>
      </c>
      <c r="B219" s="1" t="n">
        <v>44191</v>
      </c>
      <c r="C219" s="1" t="n">
        <v>46011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52213-2022</t>
        </is>
      </c>
      <c r="B220" s="1" t="n">
        <v>44869</v>
      </c>
      <c r="C220" s="1" t="n">
        <v>46011</v>
      </c>
      <c r="D220" t="inlineStr">
        <is>
          <t>VÄSTERNORRLANDS LÄN</t>
        </is>
      </c>
      <c r="E220" t="inlineStr">
        <is>
          <t>TIMRÅ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29003-2025</t>
        </is>
      </c>
      <c r="B221" s="1" t="n">
        <v>45821.39233796296</v>
      </c>
      <c r="C221" s="1" t="n">
        <v>46011</v>
      </c>
      <c r="D221" t="inlineStr">
        <is>
          <t>VÄSTERNORRLANDS LÄN</t>
        </is>
      </c>
      <c r="E221" t="inlineStr">
        <is>
          <t>TIMRÅ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39194-2025</t>
        </is>
      </c>
      <c r="B222" s="1" t="n">
        <v>45888.67773148148</v>
      </c>
      <c r="C222" s="1" t="n">
        <v>46011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37165-2021</t>
        </is>
      </c>
      <c r="B223" s="1" t="n">
        <v>44396</v>
      </c>
      <c r="C223" s="1" t="n">
        <v>46011</v>
      </c>
      <c r="D223" t="inlineStr">
        <is>
          <t>VÄSTERNORRLANDS LÄN</t>
        </is>
      </c>
      <c r="E223" t="inlineStr">
        <is>
          <t>TIMRÅ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53957-2022</t>
        </is>
      </c>
      <c r="B224" s="1" t="n">
        <v>44880.95756944444</v>
      </c>
      <c r="C224" s="1" t="n">
        <v>46011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38716-2025</t>
        </is>
      </c>
      <c r="B225" s="1" t="n">
        <v>45886.51091435185</v>
      </c>
      <c r="C225" s="1" t="n">
        <v>46011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17002-2023</t>
        </is>
      </c>
      <c r="B226" s="1" t="n">
        <v>45033</v>
      </c>
      <c r="C226" s="1" t="n">
        <v>46011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12.7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20936-2024</t>
        </is>
      </c>
      <c r="B227" s="1" t="n">
        <v>45439</v>
      </c>
      <c r="C227" s="1" t="n">
        <v>46011</v>
      </c>
      <c r="D227" t="inlineStr">
        <is>
          <t>VÄSTERNORRLANDS LÄN</t>
        </is>
      </c>
      <c r="E227" t="inlineStr">
        <is>
          <t>TIMRÅ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1467-2024</t>
        </is>
      </c>
      <c r="B228" s="1" t="n">
        <v>45303</v>
      </c>
      <c r="C228" s="1" t="n">
        <v>46011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57403-2022</t>
        </is>
      </c>
      <c r="B229" s="1" t="n">
        <v>44889</v>
      </c>
      <c r="C229" s="1" t="n">
        <v>46011</v>
      </c>
      <c r="D229" t="inlineStr">
        <is>
          <t>VÄSTERNORRLANDS LÄN</t>
        </is>
      </c>
      <c r="E229" t="inlineStr">
        <is>
          <t>TIMRÅ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52010-2022</t>
        </is>
      </c>
      <c r="B230" s="1" t="n">
        <v>44872</v>
      </c>
      <c r="C230" s="1" t="n">
        <v>46011</v>
      </c>
      <c r="D230" t="inlineStr">
        <is>
          <t>VÄSTERNORRLANDS LÄN</t>
        </is>
      </c>
      <c r="E230" t="inlineStr">
        <is>
          <t>TIMRÅ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57840-2022</t>
        </is>
      </c>
      <c r="B231" s="1" t="n">
        <v>44897</v>
      </c>
      <c r="C231" s="1" t="n">
        <v>46011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26300-2025</t>
        </is>
      </c>
      <c r="B232" s="1" t="n">
        <v>45805.6364699074</v>
      </c>
      <c r="C232" s="1" t="n">
        <v>46011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69274-2021</t>
        </is>
      </c>
      <c r="B233" s="1" t="n">
        <v>44530</v>
      </c>
      <c r="C233" s="1" t="n">
        <v>46011</v>
      </c>
      <c r="D233" t="inlineStr">
        <is>
          <t>VÄSTERNORRLANDS LÄN</t>
        </is>
      </c>
      <c r="E233" t="inlineStr">
        <is>
          <t>TIMRÅ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69278-2021</t>
        </is>
      </c>
      <c r="B234" s="1" t="n">
        <v>44531.44428240741</v>
      </c>
      <c r="C234" s="1" t="n">
        <v>46011</v>
      </c>
      <c r="D234" t="inlineStr">
        <is>
          <t>VÄSTERNORRLANDS LÄN</t>
        </is>
      </c>
      <c r="E234" t="inlineStr">
        <is>
          <t>TIMRÅ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45942-2024</t>
        </is>
      </c>
      <c r="B235" s="1" t="n">
        <v>45580</v>
      </c>
      <c r="C235" s="1" t="n">
        <v>46011</v>
      </c>
      <c r="D235" t="inlineStr">
        <is>
          <t>VÄSTERNORRLANDS LÄN</t>
        </is>
      </c>
      <c r="E235" t="inlineStr">
        <is>
          <t>TIMRÅ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40192-2025</t>
        </is>
      </c>
      <c r="B236" s="1" t="n">
        <v>45894.65702546296</v>
      </c>
      <c r="C236" s="1" t="n">
        <v>46011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27696-2025</t>
        </is>
      </c>
      <c r="B237" s="1" t="n">
        <v>45813</v>
      </c>
      <c r="C237" s="1" t="n">
        <v>46011</v>
      </c>
      <c r="D237" t="inlineStr">
        <is>
          <t>VÄSTERNORRLANDS LÄN</t>
        </is>
      </c>
      <c r="E237" t="inlineStr">
        <is>
          <t>TIMRÅ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29186-2025</t>
        </is>
      </c>
      <c r="B238" s="1" t="n">
        <v>45821</v>
      </c>
      <c r="C238" s="1" t="n">
        <v>46011</v>
      </c>
      <c r="D238" t="inlineStr">
        <is>
          <t>VÄSTERNORRLANDS LÄN</t>
        </is>
      </c>
      <c r="E238" t="inlineStr">
        <is>
          <t>TIMRÅ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40484-2025</t>
        </is>
      </c>
      <c r="B239" s="1" t="n">
        <v>45895</v>
      </c>
      <c r="C239" s="1" t="n">
        <v>46011</v>
      </c>
      <c r="D239" t="inlineStr">
        <is>
          <t>VÄSTERNORRLANDS LÄN</t>
        </is>
      </c>
      <c r="E239" t="inlineStr">
        <is>
          <t>TIMRÅ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27098-2025</t>
        </is>
      </c>
      <c r="B240" s="1" t="n">
        <v>45811.6778125</v>
      </c>
      <c r="C240" s="1" t="n">
        <v>46011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56170-2022</t>
        </is>
      </c>
      <c r="B241" s="1" t="n">
        <v>44889</v>
      </c>
      <c r="C241" s="1" t="n">
        <v>46011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16055-2024</t>
        </is>
      </c>
      <c r="B242" s="1" t="n">
        <v>45406</v>
      </c>
      <c r="C242" s="1" t="n">
        <v>46011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41098-2025</t>
        </is>
      </c>
      <c r="B243" s="1" t="n">
        <v>45898.44826388889</v>
      </c>
      <c r="C243" s="1" t="n">
        <v>46011</v>
      </c>
      <c r="D243" t="inlineStr">
        <is>
          <t>VÄSTERNORRLANDS LÄN</t>
        </is>
      </c>
      <c r="E243" t="inlineStr">
        <is>
          <t>TIMRÅ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41097-2025</t>
        </is>
      </c>
      <c r="B244" s="1" t="n">
        <v>45898.44824074074</v>
      </c>
      <c r="C244" s="1" t="n">
        <v>46011</v>
      </c>
      <c r="D244" t="inlineStr">
        <is>
          <t>VÄSTERNORRLANDS LÄN</t>
        </is>
      </c>
      <c r="E244" t="inlineStr">
        <is>
          <t>TIMRÅ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41077-2025</t>
        </is>
      </c>
      <c r="B245" s="1" t="n">
        <v>45898.42746527777</v>
      </c>
      <c r="C245" s="1" t="n">
        <v>46011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HYPERLINK("https://klasma.github.io/Logging_2262/knärot/A 41077-2025 karta knärot.png", "A 41077-2025")</f>
        <v/>
      </c>
      <c r="V245">
        <f>HYPERLINK("https://klasma.github.io/Logging_2262/klagomål/A 41077-2025 FSC-klagomål.docx", "A 41077-2025")</f>
        <v/>
      </c>
      <c r="W245">
        <f>HYPERLINK("https://klasma.github.io/Logging_2262/klagomålsmail/A 41077-2025 FSC-klagomål mail.docx", "A 41077-2025")</f>
        <v/>
      </c>
      <c r="X245">
        <f>HYPERLINK("https://klasma.github.io/Logging_2262/tillsyn/A 41077-2025 tillsynsbegäran.docx", "A 41077-2025")</f>
        <v/>
      </c>
      <c r="Y245">
        <f>HYPERLINK("https://klasma.github.io/Logging_2262/tillsynsmail/A 41077-2025 tillsynsbegäran mail.docx", "A 41077-2025")</f>
        <v/>
      </c>
    </row>
    <row r="246" ht="15" customHeight="1">
      <c r="A246" t="inlineStr">
        <is>
          <t>A 28138-2025</t>
        </is>
      </c>
      <c r="B246" s="1" t="n">
        <v>45818.34482638889</v>
      </c>
      <c r="C246" s="1" t="n">
        <v>46011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40717-2025</t>
        </is>
      </c>
      <c r="B247" s="1" t="n">
        <v>45897.34467592592</v>
      </c>
      <c r="C247" s="1" t="n">
        <v>46011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40593-2024</t>
        </is>
      </c>
      <c r="B248" s="1" t="n">
        <v>45555</v>
      </c>
      <c r="C248" s="1" t="n">
        <v>46011</v>
      </c>
      <c r="D248" t="inlineStr">
        <is>
          <t>VÄSTERNORRLANDS LÄN</t>
        </is>
      </c>
      <c r="E248" t="inlineStr">
        <is>
          <t>TIMRÅ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37861-2024</t>
        </is>
      </c>
      <c r="B249" s="1" t="n">
        <v>45544</v>
      </c>
      <c r="C249" s="1" t="n">
        <v>46011</v>
      </c>
      <c r="D249" t="inlineStr">
        <is>
          <t>VÄSTERNORRLANDS LÄN</t>
        </is>
      </c>
      <c r="E249" t="inlineStr">
        <is>
          <t>TIMRÅ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8506-2024</t>
        </is>
      </c>
      <c r="B250" s="1" t="n">
        <v>45351</v>
      </c>
      <c r="C250" s="1" t="n">
        <v>46011</v>
      </c>
      <c r="D250" t="inlineStr">
        <is>
          <t>VÄSTERNORRLANDS LÄN</t>
        </is>
      </c>
      <c r="E250" t="inlineStr">
        <is>
          <t>TIMRÅ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28405-2025</t>
        </is>
      </c>
      <c r="B251" s="1" t="n">
        <v>45819.34549768519</v>
      </c>
      <c r="C251" s="1" t="n">
        <v>46011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74020-2021</t>
        </is>
      </c>
      <c r="B252" s="1" t="n">
        <v>44557.43879629629</v>
      </c>
      <c r="C252" s="1" t="n">
        <v>46011</v>
      </c>
      <c r="D252" t="inlineStr">
        <is>
          <t>VÄSTERNORRLANDS LÄN</t>
        </is>
      </c>
      <c r="E252" t="inlineStr">
        <is>
          <t>TIMRÅ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55872-2022</t>
        </is>
      </c>
      <c r="B253" s="1" t="n">
        <v>44888.92847222222</v>
      </c>
      <c r="C253" s="1" t="n">
        <v>46011</v>
      </c>
      <c r="D253" t="inlineStr">
        <is>
          <t>VÄSTERNORRLANDS LÄN</t>
        </is>
      </c>
      <c r="E253" t="inlineStr">
        <is>
          <t>TIMRÅ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28674-2025</t>
        </is>
      </c>
      <c r="B254" s="1" t="n">
        <v>45819.67739583334</v>
      </c>
      <c r="C254" s="1" t="n">
        <v>46011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14926-2025</t>
        </is>
      </c>
      <c r="B255" s="1" t="n">
        <v>45743.55283564814</v>
      </c>
      <c r="C255" s="1" t="n">
        <v>46011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43129-2023</t>
        </is>
      </c>
      <c r="B256" s="1" t="n">
        <v>45182</v>
      </c>
      <c r="C256" s="1" t="n">
        <v>46011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1826-2025</t>
        </is>
      </c>
      <c r="B257" s="1" t="n">
        <v>45671.53855324074</v>
      </c>
      <c r="C257" s="1" t="n">
        <v>46011</v>
      </c>
      <c r="D257" t="inlineStr">
        <is>
          <t>VÄSTERNORRLANDS LÄN</t>
        </is>
      </c>
      <c r="E257" t="inlineStr">
        <is>
          <t>TIMRÅ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56286-2024</t>
        </is>
      </c>
      <c r="B258" s="1" t="n">
        <v>45624.67921296296</v>
      </c>
      <c r="C258" s="1" t="n">
        <v>46011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29437-2025</t>
        </is>
      </c>
      <c r="B259" s="1" t="n">
        <v>45824.6578125</v>
      </c>
      <c r="C259" s="1" t="n">
        <v>46011</v>
      </c>
      <c r="D259" t="inlineStr">
        <is>
          <t>VÄSTERNORRLANDS LÄN</t>
        </is>
      </c>
      <c r="E259" t="inlineStr">
        <is>
          <t>TIMRÅ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29190-2025</t>
        </is>
      </c>
      <c r="B260" s="1" t="n">
        <v>45822.42746527777</v>
      </c>
      <c r="C260" s="1" t="n">
        <v>46011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42144-2025</t>
        </is>
      </c>
      <c r="B261" s="1" t="n">
        <v>45904.37346064814</v>
      </c>
      <c r="C261" s="1" t="n">
        <v>46011</v>
      </c>
      <c r="D261" t="inlineStr">
        <is>
          <t>VÄSTERNORRLANDS LÄN</t>
        </is>
      </c>
      <c r="E261" t="inlineStr">
        <is>
          <t>TIMRÅ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29480-2025</t>
        </is>
      </c>
      <c r="B262" s="1" t="n">
        <v>45824.71908564815</v>
      </c>
      <c r="C262" s="1" t="n">
        <v>46011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42065-2025</t>
        </is>
      </c>
      <c r="B263" s="1" t="n">
        <v>45903.65372685185</v>
      </c>
      <c r="C263" s="1" t="n">
        <v>46011</v>
      </c>
      <c r="D263" t="inlineStr">
        <is>
          <t>VÄSTERNORRLANDS LÄN</t>
        </is>
      </c>
      <c r="E263" t="inlineStr">
        <is>
          <t>TIMRÅ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42040-2025</t>
        </is>
      </c>
      <c r="B264" s="1" t="n">
        <v>45903.61538194444</v>
      </c>
      <c r="C264" s="1" t="n">
        <v>46011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16786-2023</t>
        </is>
      </c>
      <c r="B265" s="1" t="n">
        <v>45032</v>
      </c>
      <c r="C265" s="1" t="n">
        <v>46011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29191-2025</t>
        </is>
      </c>
      <c r="B266" s="1" t="n">
        <v>45822.42765046296</v>
      </c>
      <c r="C266" s="1" t="n">
        <v>46011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17.5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42058-2025</t>
        </is>
      </c>
      <c r="B267" s="1" t="n">
        <v>45903.645</v>
      </c>
      <c r="C267" s="1" t="n">
        <v>46011</v>
      </c>
      <c r="D267" t="inlineStr">
        <is>
          <t>VÄSTERNORRLANDS LÄN</t>
        </is>
      </c>
      <c r="E267" t="inlineStr">
        <is>
          <t>TIMRÅ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25782-2025</t>
        </is>
      </c>
      <c r="B268" s="1" t="n">
        <v>45804</v>
      </c>
      <c r="C268" s="1" t="n">
        <v>46011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22.3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39302-2025</t>
        </is>
      </c>
      <c r="B269" s="1" t="n">
        <v>45889</v>
      </c>
      <c r="C269" s="1" t="n">
        <v>46011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61821-2024</t>
        </is>
      </c>
      <c r="B270" s="1" t="n">
        <v>45649.61491898148</v>
      </c>
      <c r="C270" s="1" t="n">
        <v>46011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42657-2025</t>
        </is>
      </c>
      <c r="B271" s="1" t="n">
        <v>45907.49268518519</v>
      </c>
      <c r="C271" s="1" t="n">
        <v>46011</v>
      </c>
      <c r="D271" t="inlineStr">
        <is>
          <t>VÄSTERNORRLANDS LÄN</t>
        </is>
      </c>
      <c r="E271" t="inlineStr">
        <is>
          <t>TIMRÅ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30315-2025</t>
        </is>
      </c>
      <c r="B272" s="1" t="n">
        <v>45827.49060185185</v>
      </c>
      <c r="C272" s="1" t="n">
        <v>46011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30816-2025</t>
        </is>
      </c>
      <c r="B273" s="1" t="n">
        <v>45831.66094907407</v>
      </c>
      <c r="C273" s="1" t="n">
        <v>46011</v>
      </c>
      <c r="D273" t="inlineStr">
        <is>
          <t>VÄSTERNORRLANDS LÄN</t>
        </is>
      </c>
      <c r="E273" t="inlineStr">
        <is>
          <t>TIMRÅ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30827-2025</t>
        </is>
      </c>
      <c r="B274" s="1" t="n">
        <v>45831.67759259259</v>
      </c>
      <c r="C274" s="1" t="n">
        <v>46011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14.8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11479-2022</t>
        </is>
      </c>
      <c r="B275" s="1" t="n">
        <v>44630.92299768519</v>
      </c>
      <c r="C275" s="1" t="n">
        <v>46011</v>
      </c>
      <c r="D275" t="inlineStr">
        <is>
          <t>VÄSTERNORRLANDS LÄN</t>
        </is>
      </c>
      <c r="E275" t="inlineStr">
        <is>
          <t>TIMRÅ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53301-2024</t>
        </is>
      </c>
      <c r="B276" s="1" t="n">
        <v>45614.3884837963</v>
      </c>
      <c r="C276" s="1" t="n">
        <v>46011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45673-2024</t>
        </is>
      </c>
      <c r="B277" s="1" t="n">
        <v>45579.51072916666</v>
      </c>
      <c r="C277" s="1" t="n">
        <v>46011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56723-2022</t>
        </is>
      </c>
      <c r="B278" s="1" t="n">
        <v>44893.9297337963</v>
      </c>
      <c r="C278" s="1" t="n">
        <v>46011</v>
      </c>
      <c r="D278" t="inlineStr">
        <is>
          <t>VÄSTERNORRLANDS LÄN</t>
        </is>
      </c>
      <c r="E278" t="inlineStr">
        <is>
          <t>TIMRÅ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44011-2024</t>
        </is>
      </c>
      <c r="B279" s="1" t="n">
        <v>45572.55322916667</v>
      </c>
      <c r="C279" s="1" t="n">
        <v>46011</v>
      </c>
      <c r="D279" t="inlineStr">
        <is>
          <t>VÄSTERNORRLANDS LÄN</t>
        </is>
      </c>
      <c r="E279" t="inlineStr">
        <is>
          <t>TIMRÅ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31351-2025</t>
        </is>
      </c>
      <c r="B280" s="1" t="n">
        <v>45833.42950231482</v>
      </c>
      <c r="C280" s="1" t="n">
        <v>46011</v>
      </c>
      <c r="D280" t="inlineStr">
        <is>
          <t>VÄSTERNORRLANDS LÄN</t>
        </is>
      </c>
      <c r="E280" t="inlineStr">
        <is>
          <t>TIMRÅ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44011-2025</t>
        </is>
      </c>
      <c r="B281" s="1" t="n">
        <v>45915.46614583334</v>
      </c>
      <c r="C281" s="1" t="n">
        <v>46011</v>
      </c>
      <c r="D281" t="inlineStr">
        <is>
          <t>VÄSTERNORRLANDS LÄN</t>
        </is>
      </c>
      <c r="E281" t="inlineStr">
        <is>
          <t>TIMRÅ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31370-2025</t>
        </is>
      </c>
      <c r="B282" s="1" t="n">
        <v>45833.44155092593</v>
      </c>
      <c r="C282" s="1" t="n">
        <v>46011</v>
      </c>
      <c r="D282" t="inlineStr">
        <is>
          <t>VÄSTERNORRLANDS LÄN</t>
        </is>
      </c>
      <c r="E282" t="inlineStr">
        <is>
          <t>TIMRÅ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44013-2025</t>
        </is>
      </c>
      <c r="B283" s="1" t="n">
        <v>45915.46914351852</v>
      </c>
      <c r="C283" s="1" t="n">
        <v>46011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10.9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44296-2025</t>
        </is>
      </c>
      <c r="B284" s="1" t="n">
        <v>45916.36511574074</v>
      </c>
      <c r="C284" s="1" t="n">
        <v>46011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31325-2025</t>
        </is>
      </c>
      <c r="B285" s="1" t="n">
        <v>45833.41020833333</v>
      </c>
      <c r="C285" s="1" t="n">
        <v>46011</v>
      </c>
      <c r="D285" t="inlineStr">
        <is>
          <t>VÄSTERNORRLANDS LÄN</t>
        </is>
      </c>
      <c r="E285" t="inlineStr">
        <is>
          <t>TIMRÅ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44326-2025</t>
        </is>
      </c>
      <c r="B286" s="1" t="n">
        <v>45916.40740740741</v>
      </c>
      <c r="C286" s="1" t="n">
        <v>46011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31353-2025</t>
        </is>
      </c>
      <c r="B287" s="1" t="n">
        <v>45833.43015046296</v>
      </c>
      <c r="C287" s="1" t="n">
        <v>46011</v>
      </c>
      <c r="D287" t="inlineStr">
        <is>
          <t>VÄSTERNORRLANDS LÄN</t>
        </is>
      </c>
      <c r="E287" t="inlineStr">
        <is>
          <t>TIMRÅ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31375-2025</t>
        </is>
      </c>
      <c r="B288" s="1" t="n">
        <v>45833.44674768519</v>
      </c>
      <c r="C288" s="1" t="n">
        <v>46011</v>
      </c>
      <c r="D288" t="inlineStr">
        <is>
          <t>VÄSTERNORRLANDS LÄN</t>
        </is>
      </c>
      <c r="E288" t="inlineStr">
        <is>
          <t>TIMRÅ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44033-2025</t>
        </is>
      </c>
      <c r="B289" s="1" t="n">
        <v>45915.49049768518</v>
      </c>
      <c r="C289" s="1" t="n">
        <v>46011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17040-2022</t>
        </is>
      </c>
      <c r="B290" s="1" t="n">
        <v>44676</v>
      </c>
      <c r="C290" s="1" t="n">
        <v>46011</v>
      </c>
      <c r="D290" t="inlineStr">
        <is>
          <t>VÄSTERNORRLANDS LÄN</t>
        </is>
      </c>
      <c r="E290" t="inlineStr">
        <is>
          <t>TIMRÅ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41596-2024</t>
        </is>
      </c>
      <c r="B291" s="1" t="n">
        <v>45560.57388888889</v>
      </c>
      <c r="C291" s="1" t="n">
        <v>46011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31339-2025</t>
        </is>
      </c>
      <c r="B292" s="1" t="n">
        <v>45833.42782407408</v>
      </c>
      <c r="C292" s="1" t="n">
        <v>46011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31734-2025</t>
        </is>
      </c>
      <c r="B293" s="1" t="n">
        <v>45834.47052083333</v>
      </c>
      <c r="C293" s="1" t="n">
        <v>46011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44421-2025</t>
        </is>
      </c>
      <c r="B294" s="1" t="n">
        <v>45916.55245370371</v>
      </c>
      <c r="C294" s="1" t="n">
        <v>46011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44325-2025</t>
        </is>
      </c>
      <c r="B295" s="1" t="n">
        <v>45916.40726851852</v>
      </c>
      <c r="C295" s="1" t="n">
        <v>46011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44281-2025</t>
        </is>
      </c>
      <c r="B296" s="1" t="n">
        <v>45916.34513888889</v>
      </c>
      <c r="C296" s="1" t="n">
        <v>46011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32366-2025</t>
        </is>
      </c>
      <c r="B297" s="1" t="n">
        <v>45837.65679398148</v>
      </c>
      <c r="C297" s="1" t="n">
        <v>46011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44795-2025</t>
        </is>
      </c>
      <c r="B298" s="1" t="n">
        <v>45918.34467592592</v>
      </c>
      <c r="C298" s="1" t="n">
        <v>46011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44796-2025</t>
        </is>
      </c>
      <c r="B299" s="1" t="n">
        <v>45918.34475694445</v>
      </c>
      <c r="C299" s="1" t="n">
        <v>46011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44807-2025</t>
        </is>
      </c>
      <c r="B300" s="1" t="n">
        <v>45918.36494212963</v>
      </c>
      <c r="C300" s="1" t="n">
        <v>46011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32375-2025</t>
        </is>
      </c>
      <c r="B301" s="1" t="n">
        <v>45837.71907407408</v>
      </c>
      <c r="C301" s="1" t="n">
        <v>46011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45630-2024</t>
        </is>
      </c>
      <c r="B302" s="1" t="n">
        <v>45579.46971064815</v>
      </c>
      <c r="C302" s="1" t="n">
        <v>46011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8632-2023</t>
        </is>
      </c>
      <c r="B303" s="1" t="n">
        <v>44977.934375</v>
      </c>
      <c r="C303" s="1" t="n">
        <v>46011</v>
      </c>
      <c r="D303" t="inlineStr">
        <is>
          <t>VÄSTERNORRLANDS LÄN</t>
        </is>
      </c>
      <c r="E303" t="inlineStr">
        <is>
          <t>TIMRÅ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32427-2025</t>
        </is>
      </c>
      <c r="B304" s="1" t="n">
        <v>45838.36493055556</v>
      </c>
      <c r="C304" s="1" t="n">
        <v>46011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32373-2025</t>
        </is>
      </c>
      <c r="B305" s="1" t="n">
        <v>45837.69824074074</v>
      </c>
      <c r="C305" s="1" t="n">
        <v>46011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22486-2024</t>
        </is>
      </c>
      <c r="B306" s="1" t="n">
        <v>45446</v>
      </c>
      <c r="C306" s="1" t="n">
        <v>46011</v>
      </c>
      <c r="D306" t="inlineStr">
        <is>
          <t>VÄSTERNORRLANDS LÄN</t>
        </is>
      </c>
      <c r="E306" t="inlineStr">
        <is>
          <t>TIMRÅ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13343-2024</t>
        </is>
      </c>
      <c r="B307" s="1" t="n">
        <v>45386.94517361111</v>
      </c>
      <c r="C307" s="1" t="n">
        <v>46011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19341-2025</t>
        </is>
      </c>
      <c r="B308" s="1" t="n">
        <v>45769.59504629629</v>
      </c>
      <c r="C308" s="1" t="n">
        <v>46011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33225-2025</t>
        </is>
      </c>
      <c r="B309" s="1" t="n">
        <v>45840.63600694444</v>
      </c>
      <c r="C309" s="1" t="n">
        <v>46011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45339-2025</t>
        </is>
      </c>
      <c r="B310" s="1" t="n">
        <v>45922.34416666667</v>
      </c>
      <c r="C310" s="1" t="n">
        <v>46011</v>
      </c>
      <c r="D310" t="inlineStr">
        <is>
          <t>VÄSTERNORRLANDS LÄN</t>
        </is>
      </c>
      <c r="E310" t="inlineStr">
        <is>
          <t>TIMRÅ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33044-2025</t>
        </is>
      </c>
      <c r="B311" s="1" t="n">
        <v>45840.40699074074</v>
      </c>
      <c r="C311" s="1" t="n">
        <v>46011</v>
      </c>
      <c r="D311" t="inlineStr">
        <is>
          <t>VÄSTERNORRLANDS LÄN</t>
        </is>
      </c>
      <c r="E311" t="inlineStr">
        <is>
          <t>TIMRÅ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33043-2025</t>
        </is>
      </c>
      <c r="B312" s="1" t="n">
        <v>45840.40680555555</v>
      </c>
      <c r="C312" s="1" t="n">
        <v>46011</v>
      </c>
      <c r="D312" t="inlineStr">
        <is>
          <t>VÄSTERNORRLANDS LÄN</t>
        </is>
      </c>
      <c r="E312" t="inlineStr">
        <is>
          <t>TIMRÅ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32912-2025</t>
        </is>
      </c>
      <c r="B313" s="1" t="n">
        <v>45839.63586805556</v>
      </c>
      <c r="C313" s="1" t="n">
        <v>46011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33112-2025</t>
        </is>
      </c>
      <c r="B314" s="1" t="n">
        <v>45840.48953703704</v>
      </c>
      <c r="C314" s="1" t="n">
        <v>46011</v>
      </c>
      <c r="D314" t="inlineStr">
        <is>
          <t>VÄSTERNORRLANDS LÄN</t>
        </is>
      </c>
      <c r="E314" t="inlineStr">
        <is>
          <t>TIMRÅ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43568-2024</t>
        </is>
      </c>
      <c r="B315" s="1" t="n">
        <v>45569.40684027778</v>
      </c>
      <c r="C315" s="1" t="n">
        <v>46011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32964-2025</t>
        </is>
      </c>
      <c r="B316" s="1" t="n">
        <v>45839.71916666667</v>
      </c>
      <c r="C316" s="1" t="n">
        <v>46011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46016-2025</t>
        </is>
      </c>
      <c r="B317" s="1" t="n">
        <v>45924.42755787037</v>
      </c>
      <c r="C317" s="1" t="n">
        <v>46011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33891-2025</t>
        </is>
      </c>
      <c r="B318" s="1" t="n">
        <v>45842.57388888889</v>
      </c>
      <c r="C318" s="1" t="n">
        <v>46011</v>
      </c>
      <c r="D318" t="inlineStr">
        <is>
          <t>VÄSTERNORRLANDS LÄN</t>
        </is>
      </c>
      <c r="E318" t="inlineStr">
        <is>
          <t>TIMRÅ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43113-2023</t>
        </is>
      </c>
      <c r="B319" s="1" t="n">
        <v>45182</v>
      </c>
      <c r="C319" s="1" t="n">
        <v>46011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46019-2025</t>
        </is>
      </c>
      <c r="B320" s="1" t="n">
        <v>45924.42788194444</v>
      </c>
      <c r="C320" s="1" t="n">
        <v>46011</v>
      </c>
      <c r="D320" t="inlineStr">
        <is>
          <t>VÄSTERNORRLANDS LÄN</t>
        </is>
      </c>
      <c r="E320" t="inlineStr">
        <is>
          <t>TIMRÅ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34299-2025</t>
        </is>
      </c>
      <c r="B321" s="1" t="n">
        <v>45846.34501157407</v>
      </c>
      <c r="C321" s="1" t="n">
        <v>46011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55576-2024</t>
        </is>
      </c>
      <c r="B322" s="1" t="n">
        <v>45622</v>
      </c>
      <c r="C322" s="1" t="n">
        <v>46011</v>
      </c>
      <c r="D322" t="inlineStr">
        <is>
          <t>VÄSTERNORRLANDS LÄN</t>
        </is>
      </c>
      <c r="E322" t="inlineStr">
        <is>
          <t>TIMRÅ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4123-2023</t>
        </is>
      </c>
      <c r="B323" s="1" t="n">
        <v>44952</v>
      </c>
      <c r="C323" s="1" t="n">
        <v>46011</v>
      </c>
      <c r="D323" t="inlineStr">
        <is>
          <t>VÄSTERNORRLANDS LÄN</t>
        </is>
      </c>
      <c r="E323" t="inlineStr">
        <is>
          <t>TIMRÅ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4125-2023</t>
        </is>
      </c>
      <c r="B324" s="1" t="n">
        <v>44952</v>
      </c>
      <c r="C324" s="1" t="n">
        <v>46011</v>
      </c>
      <c r="D324" t="inlineStr">
        <is>
          <t>VÄSTERNORRLANDS LÄN</t>
        </is>
      </c>
      <c r="E324" t="inlineStr">
        <is>
          <t>TIMRÅ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34229-2025</t>
        </is>
      </c>
      <c r="B325" s="1" t="n">
        <v>45845.65732638889</v>
      </c>
      <c r="C325" s="1" t="n">
        <v>46011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34498-2025</t>
        </is>
      </c>
      <c r="B326" s="1" t="n">
        <v>45847.42768518518</v>
      </c>
      <c r="C326" s="1" t="n">
        <v>46011</v>
      </c>
      <c r="D326" t="inlineStr">
        <is>
          <t>VÄSTERNORRLANDS LÄN</t>
        </is>
      </c>
      <c r="E326" t="inlineStr">
        <is>
          <t>TIMRÅ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47475-2025</t>
        </is>
      </c>
      <c r="B327" s="1" t="n">
        <v>45930</v>
      </c>
      <c r="C327" s="1" t="n">
        <v>46011</v>
      </c>
      <c r="D327" t="inlineStr">
        <is>
          <t>VÄSTERNORRLANDS LÄN</t>
        </is>
      </c>
      <c r="E327" t="inlineStr">
        <is>
          <t>TIMRÅ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47272-2025</t>
        </is>
      </c>
      <c r="B328" s="1" t="n">
        <v>45930</v>
      </c>
      <c r="C328" s="1" t="n">
        <v>46011</v>
      </c>
      <c r="D328" t="inlineStr">
        <is>
          <t>VÄSTERNORRLANDS LÄN</t>
        </is>
      </c>
      <c r="E328" t="inlineStr">
        <is>
          <t>TIMRÅ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34499-2025</t>
        </is>
      </c>
      <c r="B329" s="1" t="n">
        <v>45847.42783564814</v>
      </c>
      <c r="C329" s="1" t="n">
        <v>46011</v>
      </c>
      <c r="D329" t="inlineStr">
        <is>
          <t>VÄSTERNORRLANDS LÄN</t>
        </is>
      </c>
      <c r="E329" t="inlineStr">
        <is>
          <t>TIMRÅ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34879-2025</t>
        </is>
      </c>
      <c r="B330" s="1" t="n">
        <v>45849.46824074074</v>
      </c>
      <c r="C330" s="1" t="n">
        <v>46011</v>
      </c>
      <c r="D330" t="inlineStr">
        <is>
          <t>VÄSTERNORRLANDS LÄN</t>
        </is>
      </c>
      <c r="E330" t="inlineStr">
        <is>
          <t>TIMRÅ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46960-2025</t>
        </is>
      </c>
      <c r="B331" s="1" t="n">
        <v>45929.48690972223</v>
      </c>
      <c r="C331" s="1" t="n">
        <v>46011</v>
      </c>
      <c r="D331" t="inlineStr">
        <is>
          <t>VÄSTERNORRLANDS LÄN</t>
        </is>
      </c>
      <c r="E331" t="inlineStr">
        <is>
          <t>TIMRÅ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47479-2025</t>
        </is>
      </c>
      <c r="B332" s="1" t="n">
        <v>45930</v>
      </c>
      <c r="C332" s="1" t="n">
        <v>46011</v>
      </c>
      <c r="D332" t="inlineStr">
        <is>
          <t>VÄSTERNORRLANDS LÄN</t>
        </is>
      </c>
      <c r="E332" t="inlineStr">
        <is>
          <t>TIMRÅ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53288-2024</t>
        </is>
      </c>
      <c r="B333" s="1" t="n">
        <v>45614.38604166666</v>
      </c>
      <c r="C333" s="1" t="n">
        <v>46011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53294-2024</t>
        </is>
      </c>
      <c r="B334" s="1" t="n">
        <v>45614.3875462963</v>
      </c>
      <c r="C334" s="1" t="n">
        <v>46011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43526-2024</t>
        </is>
      </c>
      <c r="B335" s="1" t="n">
        <v>45569.34474537037</v>
      </c>
      <c r="C335" s="1" t="n">
        <v>46011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55591-2025</t>
        </is>
      </c>
      <c r="B336" s="1" t="n">
        <v>45971.68888888889</v>
      </c>
      <c r="C336" s="1" t="n">
        <v>46011</v>
      </c>
      <c r="D336" t="inlineStr">
        <is>
          <t>VÄSTERNORRLANDS LÄN</t>
        </is>
      </c>
      <c r="E336" t="inlineStr">
        <is>
          <t>TIMRÅ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55745-2025</t>
        </is>
      </c>
      <c r="B337" s="1" t="n">
        <v>45972.57354166666</v>
      </c>
      <c r="C337" s="1" t="n">
        <v>46011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45586-2024</t>
        </is>
      </c>
      <c r="B338" s="1" t="n">
        <v>45579.40659722222</v>
      </c>
      <c r="C338" s="1" t="n">
        <v>46011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46827-2025</t>
        </is>
      </c>
      <c r="B339" s="1" t="n">
        <v>45927.34444444445</v>
      </c>
      <c r="C339" s="1" t="n">
        <v>46011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31508-2025</t>
        </is>
      </c>
      <c r="B340" s="1" t="n">
        <v>45833</v>
      </c>
      <c r="C340" s="1" t="n">
        <v>46011</v>
      </c>
      <c r="D340" t="inlineStr">
        <is>
          <t>VÄSTERNORRLANDS LÄN</t>
        </is>
      </c>
      <c r="E340" t="inlineStr">
        <is>
          <t>TIMRÅ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47608-2025</t>
        </is>
      </c>
      <c r="B341" s="1" t="n">
        <v>45930</v>
      </c>
      <c r="C341" s="1" t="n">
        <v>46011</v>
      </c>
      <c r="D341" t="inlineStr">
        <is>
          <t>VÄSTERNORRLANDS LÄN</t>
        </is>
      </c>
      <c r="E341" t="inlineStr">
        <is>
          <t>TIMRÅ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55638-2025</t>
        </is>
      </c>
      <c r="B342" s="1" t="n">
        <v>45972.34515046296</v>
      </c>
      <c r="C342" s="1" t="n">
        <v>46011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55639-2025</t>
        </is>
      </c>
      <c r="B343" s="1" t="n">
        <v>45972.34539351852</v>
      </c>
      <c r="C343" s="1" t="n">
        <v>46011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45338-2025</t>
        </is>
      </c>
      <c r="B344" s="1" t="n">
        <v>45922</v>
      </c>
      <c r="C344" s="1" t="n">
        <v>46011</v>
      </c>
      <c r="D344" t="inlineStr">
        <is>
          <t>VÄSTERNORRLANDS LÄN</t>
        </is>
      </c>
      <c r="E344" t="inlineStr">
        <is>
          <t>TIMRÅ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56288-2024</t>
        </is>
      </c>
      <c r="B345" s="1" t="n">
        <v>45624.67949074074</v>
      </c>
      <c r="C345" s="1" t="n">
        <v>46011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35476-2025</t>
        </is>
      </c>
      <c r="B346" s="1" t="n">
        <v>45855.67744212963</v>
      </c>
      <c r="C346" s="1" t="n">
        <v>46011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58879-2024</t>
        </is>
      </c>
      <c r="B347" s="1" t="n">
        <v>45636.44822916666</v>
      </c>
      <c r="C347" s="1" t="n">
        <v>46011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47908-2025</t>
        </is>
      </c>
      <c r="B348" s="1" t="n">
        <v>45932.5109837963</v>
      </c>
      <c r="C348" s="1" t="n">
        <v>46011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9.300000000000001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53289-2024</t>
        </is>
      </c>
      <c r="B349" s="1" t="n">
        <v>45614.38622685185</v>
      </c>
      <c r="C349" s="1" t="n">
        <v>46011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53292-2024</t>
        </is>
      </c>
      <c r="B350" s="1" t="n">
        <v>45614.38694444444</v>
      </c>
      <c r="C350" s="1" t="n">
        <v>46011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35693-2025</t>
        </is>
      </c>
      <c r="B351" s="1" t="n">
        <v>45860.34459490741</v>
      </c>
      <c r="C351" s="1" t="n">
        <v>46011</v>
      </c>
      <c r="D351" t="inlineStr">
        <is>
          <t>VÄSTERNORRLANDS LÄN</t>
        </is>
      </c>
      <c r="E351" t="inlineStr">
        <is>
          <t>TIMRÅ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35694-2025</t>
        </is>
      </c>
      <c r="B352" s="1" t="n">
        <v>45860.34461805555</v>
      </c>
      <c r="C352" s="1" t="n">
        <v>46011</v>
      </c>
      <c r="D352" t="inlineStr">
        <is>
          <t>VÄSTERNORRLANDS LÄN</t>
        </is>
      </c>
      <c r="E352" t="inlineStr">
        <is>
          <t>TIMRÅ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56442-2024</t>
        </is>
      </c>
      <c r="B353" s="1" t="n">
        <v>45625</v>
      </c>
      <c r="C353" s="1" t="n">
        <v>46011</v>
      </c>
      <c r="D353" t="inlineStr">
        <is>
          <t>VÄSTERNORRLANDS LÄN</t>
        </is>
      </c>
      <c r="E353" t="inlineStr">
        <is>
          <t>TIMRÅ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35659-2025</t>
        </is>
      </c>
      <c r="B354" s="1" t="n">
        <v>45859.59447916667</v>
      </c>
      <c r="C354" s="1" t="n">
        <v>46011</v>
      </c>
      <c r="D354" t="inlineStr">
        <is>
          <t>VÄSTERNORRLANDS LÄN</t>
        </is>
      </c>
      <c r="E354" t="inlineStr">
        <is>
          <t>TIMRÅ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25190-2025</t>
        </is>
      </c>
      <c r="B355" s="1" t="n">
        <v>45798</v>
      </c>
      <c r="C355" s="1" t="n">
        <v>46011</v>
      </c>
      <c r="D355" t="inlineStr">
        <is>
          <t>VÄSTERNORRLANDS LÄN</t>
        </is>
      </c>
      <c r="E355" t="inlineStr">
        <is>
          <t>TIMRÅ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35665-2025</t>
        </is>
      </c>
      <c r="B356" s="1" t="n">
        <v>45859</v>
      </c>
      <c r="C356" s="1" t="n">
        <v>46011</v>
      </c>
      <c r="D356" t="inlineStr">
        <is>
          <t>VÄSTERNORRLANDS LÄN</t>
        </is>
      </c>
      <c r="E356" t="inlineStr">
        <is>
          <t>TIMRÅ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35666-2025</t>
        </is>
      </c>
      <c r="B357" s="1" t="n">
        <v>45859.61543981481</v>
      </c>
      <c r="C357" s="1" t="n">
        <v>46011</v>
      </c>
      <c r="D357" t="inlineStr">
        <is>
          <t>VÄSTERNORRLANDS LÄN</t>
        </is>
      </c>
      <c r="E357" t="inlineStr">
        <is>
          <t>TIMRÅ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35667-2025</t>
        </is>
      </c>
      <c r="B358" s="1" t="n">
        <v>45859.61546296296</v>
      </c>
      <c r="C358" s="1" t="n">
        <v>46011</v>
      </c>
      <c r="D358" t="inlineStr">
        <is>
          <t>VÄSTERNORRLANDS LÄN</t>
        </is>
      </c>
      <c r="E358" t="inlineStr">
        <is>
          <t>TIMRÅ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25427-2025</t>
        </is>
      </c>
      <c r="B359" s="1" t="n">
        <v>45800.70986111111</v>
      </c>
      <c r="C359" s="1" t="n">
        <v>46011</v>
      </c>
      <c r="D359" t="inlineStr">
        <is>
          <t>VÄSTERNORRLANDS LÄN</t>
        </is>
      </c>
      <c r="E359" t="inlineStr">
        <is>
          <t>TIMRÅ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54723-2024</t>
        </is>
      </c>
      <c r="B360" s="1" t="n">
        <v>45618.43747685185</v>
      </c>
      <c r="C360" s="1" t="n">
        <v>46011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60111-2024</t>
        </is>
      </c>
      <c r="B361" s="1" t="n">
        <v>45642</v>
      </c>
      <c r="C361" s="1" t="n">
        <v>46011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1842-2025</t>
        </is>
      </c>
      <c r="B362" s="1" t="n">
        <v>45671.57582175926</v>
      </c>
      <c r="C362" s="1" t="n">
        <v>46011</v>
      </c>
      <c r="D362" t="inlineStr">
        <is>
          <t>VÄSTERNORRLANDS LÄN</t>
        </is>
      </c>
      <c r="E362" t="inlineStr">
        <is>
          <t>TIMRÅ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56973-2025</t>
        </is>
      </c>
      <c r="B363" s="1" t="n">
        <v>45978.68487268518</v>
      </c>
      <c r="C363" s="1" t="n">
        <v>46011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53703-2021</t>
        </is>
      </c>
      <c r="B364" s="1" t="n">
        <v>44469</v>
      </c>
      <c r="C364" s="1" t="n">
        <v>46011</v>
      </c>
      <c r="D364" t="inlineStr">
        <is>
          <t>VÄSTERNORRLANDS LÄN</t>
        </is>
      </c>
      <c r="E364" t="inlineStr">
        <is>
          <t>TIMRÅ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35854-2025</t>
        </is>
      </c>
      <c r="B365" s="1" t="n">
        <v>45861</v>
      </c>
      <c r="C365" s="1" t="n">
        <v>46011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52909-2024</t>
        </is>
      </c>
      <c r="B366" s="1" t="n">
        <v>45610.69864583333</v>
      </c>
      <c r="C366" s="1" t="n">
        <v>46011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48604-2025</t>
        </is>
      </c>
      <c r="B367" s="1" t="n">
        <v>45936.46949074074</v>
      </c>
      <c r="C367" s="1" t="n">
        <v>46011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56660-2025</t>
        </is>
      </c>
      <c r="B368" s="1" t="n">
        <v>45975.65680555555</v>
      </c>
      <c r="C368" s="1" t="n">
        <v>46011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67063-2021</t>
        </is>
      </c>
      <c r="B369" s="1" t="n">
        <v>44522.92043981481</v>
      </c>
      <c r="C369" s="1" t="n">
        <v>46011</v>
      </c>
      <c r="D369" t="inlineStr">
        <is>
          <t>VÄSTERNORRLANDS LÄN</t>
        </is>
      </c>
      <c r="E369" t="inlineStr">
        <is>
          <t>TIMRÅ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31343-2023</t>
        </is>
      </c>
      <c r="B370" s="1" t="n">
        <v>45104</v>
      </c>
      <c r="C370" s="1" t="n">
        <v>46011</v>
      </c>
      <c r="D370" t="inlineStr">
        <is>
          <t>VÄSTERNORRLANDS LÄN</t>
        </is>
      </c>
      <c r="E370" t="inlineStr">
        <is>
          <t>TIMRÅ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36869-2025</t>
        </is>
      </c>
      <c r="B371" s="1" t="n">
        <v>45874</v>
      </c>
      <c r="C371" s="1" t="n">
        <v>46011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48849-2025</t>
        </is>
      </c>
      <c r="B372" s="1" t="n">
        <v>45937.42913194445</v>
      </c>
      <c r="C372" s="1" t="n">
        <v>46011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23611-2021</t>
        </is>
      </c>
      <c r="B373" s="1" t="n">
        <v>44334</v>
      </c>
      <c r="C373" s="1" t="n">
        <v>46011</v>
      </c>
      <c r="D373" t="inlineStr">
        <is>
          <t>VÄSTERNORRLANDS LÄN</t>
        </is>
      </c>
      <c r="E373" t="inlineStr">
        <is>
          <t>TIMRÅ</t>
        </is>
      </c>
      <c r="G373" t="n">
        <v>13.7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23556-2024</t>
        </is>
      </c>
      <c r="B374" s="1" t="n">
        <v>45453</v>
      </c>
      <c r="C374" s="1" t="n">
        <v>46011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50638-2023</t>
        </is>
      </c>
      <c r="B375" s="1" t="n">
        <v>45210</v>
      </c>
      <c r="C375" s="1" t="n">
        <v>46011</v>
      </c>
      <c r="D375" t="inlineStr">
        <is>
          <t>VÄSTERNORRLANDS LÄN</t>
        </is>
      </c>
      <c r="E375" t="inlineStr">
        <is>
          <t>TIMRÅ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59189-2024</t>
        </is>
      </c>
      <c r="B376" s="1" t="n">
        <v>45637</v>
      </c>
      <c r="C376" s="1" t="n">
        <v>46011</v>
      </c>
      <c r="D376" t="inlineStr">
        <is>
          <t>VÄSTERNORRLANDS LÄN</t>
        </is>
      </c>
      <c r="E376" t="inlineStr">
        <is>
          <t>TIMRÅ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49058-2025</t>
        </is>
      </c>
      <c r="B377" s="1" t="n">
        <v>45937.64094907408</v>
      </c>
      <c r="C377" s="1" t="n">
        <v>46011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23878-2024</t>
        </is>
      </c>
      <c r="B378" s="1" t="n">
        <v>45455</v>
      </c>
      <c r="C378" s="1" t="n">
        <v>46011</v>
      </c>
      <c r="D378" t="inlineStr">
        <is>
          <t>VÄSTERNORRLANDS LÄN</t>
        </is>
      </c>
      <c r="E378" t="inlineStr">
        <is>
          <t>TIMRÅ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37684-2025</t>
        </is>
      </c>
      <c r="B379" s="1" t="n">
        <v>45880.55261574074</v>
      </c>
      <c r="C379" s="1" t="n">
        <v>46011</v>
      </c>
      <c r="D379" t="inlineStr">
        <is>
          <t>VÄSTERNORRLANDS LÄN</t>
        </is>
      </c>
      <c r="E379" t="inlineStr">
        <is>
          <t>TIMRÅ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57044-2025</t>
        </is>
      </c>
      <c r="B380" s="1" t="n">
        <v>45979.34629629629</v>
      </c>
      <c r="C380" s="1" t="n">
        <v>46011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27243-2021</t>
        </is>
      </c>
      <c r="B381" s="1" t="n">
        <v>44350</v>
      </c>
      <c r="C381" s="1" t="n">
        <v>46011</v>
      </c>
      <c r="D381" t="inlineStr">
        <is>
          <t>VÄSTERNORRLANDS LÄN</t>
        </is>
      </c>
      <c r="E381" t="inlineStr">
        <is>
          <t>TIMRÅ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49257-2025</t>
        </is>
      </c>
      <c r="B382" s="1" t="n">
        <v>45938.49212962963</v>
      </c>
      <c r="C382" s="1" t="n">
        <v>46011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37695-2025</t>
        </is>
      </c>
      <c r="B383" s="1" t="n">
        <v>45880.57357638889</v>
      </c>
      <c r="C383" s="1" t="n">
        <v>46011</v>
      </c>
      <c r="D383" t="inlineStr">
        <is>
          <t>VÄSTERNORRLANDS LÄN</t>
        </is>
      </c>
      <c r="E383" t="inlineStr">
        <is>
          <t>TIMRÅ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49057-2025</t>
        </is>
      </c>
      <c r="B384" s="1" t="n">
        <v>45937.64086805555</v>
      </c>
      <c r="C384" s="1" t="n">
        <v>46011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37470-2025</t>
        </is>
      </c>
      <c r="B385" s="1" t="n">
        <v>45877.58502314815</v>
      </c>
      <c r="C385" s="1" t="n">
        <v>46011</v>
      </c>
      <c r="D385" t="inlineStr">
        <is>
          <t>VÄSTERNORRLANDS LÄN</t>
        </is>
      </c>
      <c r="E385" t="inlineStr">
        <is>
          <t>TIMRÅ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58754-2024</t>
        </is>
      </c>
      <c r="B386" s="1" t="n">
        <v>45635.71917824074</v>
      </c>
      <c r="C386" s="1" t="n">
        <v>46011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49751-2025</t>
        </is>
      </c>
      <c r="B387" s="1" t="n">
        <v>45940.34512731482</v>
      </c>
      <c r="C387" s="1" t="n">
        <v>46011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10947-2025</t>
        </is>
      </c>
      <c r="B388" s="1" t="n">
        <v>45723.34417824074</v>
      </c>
      <c r="C388" s="1" t="n">
        <v>46011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20732-2021</t>
        </is>
      </c>
      <c r="B389" s="1" t="n">
        <v>44316</v>
      </c>
      <c r="C389" s="1" t="n">
        <v>46011</v>
      </c>
      <c r="D389" t="inlineStr">
        <is>
          <t>VÄSTERNORRLANDS LÄN</t>
        </is>
      </c>
      <c r="E389" t="inlineStr">
        <is>
          <t>TIMRÅ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36204-2025</t>
        </is>
      </c>
      <c r="B390" s="1" t="n">
        <v>45867</v>
      </c>
      <c r="C390" s="1" t="n">
        <v>46011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HYPERLINK("https://klasma.github.io/Logging_2262/knärot/A 36204-2025 karta knärot.png", "A 36204-2025")</f>
        <v/>
      </c>
      <c r="V390">
        <f>HYPERLINK("https://klasma.github.io/Logging_2262/klagomål/A 36204-2025 FSC-klagomål.docx", "A 36204-2025")</f>
        <v/>
      </c>
      <c r="W390">
        <f>HYPERLINK("https://klasma.github.io/Logging_2262/klagomålsmail/A 36204-2025 FSC-klagomål mail.docx", "A 36204-2025")</f>
        <v/>
      </c>
      <c r="X390">
        <f>HYPERLINK("https://klasma.github.io/Logging_2262/tillsyn/A 36204-2025 tillsynsbegäran.docx", "A 36204-2025")</f>
        <v/>
      </c>
      <c r="Y390">
        <f>HYPERLINK("https://klasma.github.io/Logging_2262/tillsynsmail/A 36204-2025 tillsynsbegäran mail.docx", "A 36204-2025")</f>
        <v/>
      </c>
    </row>
    <row r="391" ht="15" customHeight="1">
      <c r="A391" t="inlineStr">
        <is>
          <t>A 38110-2025</t>
        </is>
      </c>
      <c r="B391" s="1" t="n">
        <v>45882</v>
      </c>
      <c r="C391" s="1" t="n">
        <v>46011</v>
      </c>
      <c r="D391" t="inlineStr">
        <is>
          <t>VÄSTERNORRLANDS LÄN</t>
        </is>
      </c>
      <c r="E391" t="inlineStr">
        <is>
          <t>TIMRÅ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36987-2021</t>
        </is>
      </c>
      <c r="B392" s="1" t="n">
        <v>44393</v>
      </c>
      <c r="C392" s="1" t="n">
        <v>46011</v>
      </c>
      <c r="D392" t="inlineStr">
        <is>
          <t>VÄSTERNORRLANDS LÄN</t>
        </is>
      </c>
      <c r="E392" t="inlineStr">
        <is>
          <t>TIMRÅ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57974-2025</t>
        </is>
      </c>
      <c r="B393" s="1" t="n">
        <v>45982.39275462963</v>
      </c>
      <c r="C393" s="1" t="n">
        <v>46011</v>
      </c>
      <c r="D393" t="inlineStr">
        <is>
          <t>VÄSTERNORRLANDS LÄN</t>
        </is>
      </c>
      <c r="E393" t="inlineStr">
        <is>
          <t>TIMRÅ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57775-2025</t>
        </is>
      </c>
      <c r="B394" s="1" t="n">
        <v>45981.56496527778</v>
      </c>
      <c r="C394" s="1" t="n">
        <v>46011</v>
      </c>
      <c r="D394" t="inlineStr">
        <is>
          <t>VÄSTERNORRLANDS LÄN</t>
        </is>
      </c>
      <c r="E394" t="inlineStr">
        <is>
          <t>TIMRÅ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49575-2025</t>
        </is>
      </c>
      <c r="B395" s="1" t="n">
        <v>45939.49052083334</v>
      </c>
      <c r="C395" s="1" t="n">
        <v>46011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49509-2025</t>
        </is>
      </c>
      <c r="B396" s="1" t="n">
        <v>45939.37962962963</v>
      </c>
      <c r="C396" s="1" t="n">
        <v>46011</v>
      </c>
      <c r="D396" t="inlineStr">
        <is>
          <t>VÄSTERNORRLANDS LÄN</t>
        </is>
      </c>
      <c r="E396" t="inlineStr">
        <is>
          <t>TIMRÅ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49512-2025</t>
        </is>
      </c>
      <c r="B397" s="1" t="n">
        <v>45939.38305555555</v>
      </c>
      <c r="C397" s="1" t="n">
        <v>46011</v>
      </c>
      <c r="D397" t="inlineStr">
        <is>
          <t>VÄSTERNORRLANDS LÄN</t>
        </is>
      </c>
      <c r="E397" t="inlineStr">
        <is>
          <t>TIMRÅ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49646-2025</t>
        </is>
      </c>
      <c r="B398" s="1" t="n">
        <v>45939.61747685185</v>
      </c>
      <c r="C398" s="1" t="n">
        <v>46011</v>
      </c>
      <c r="D398" t="inlineStr">
        <is>
          <t>VÄSTERNORRLANDS LÄN</t>
        </is>
      </c>
      <c r="E398" t="inlineStr">
        <is>
          <t>TIMRÅ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58265-2025</t>
        </is>
      </c>
      <c r="B399" s="1" t="n">
        <v>45985.42018518518</v>
      </c>
      <c r="C399" s="1" t="n">
        <v>46011</v>
      </c>
      <c r="D399" t="inlineStr">
        <is>
          <t>VÄSTERNORRLANDS LÄN</t>
        </is>
      </c>
      <c r="E399" t="inlineStr">
        <is>
          <t>TIMRÅ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58283-2025</t>
        </is>
      </c>
      <c r="B400" s="1" t="n">
        <v>45985.44314814815</v>
      </c>
      <c r="C400" s="1" t="n">
        <v>46011</v>
      </c>
      <c r="D400" t="inlineStr">
        <is>
          <t>VÄSTERNORRLANDS LÄN</t>
        </is>
      </c>
      <c r="E400" t="inlineStr">
        <is>
          <t>TIMRÅ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58311-2025</t>
        </is>
      </c>
      <c r="B401" s="1" t="n">
        <v>45985.46954861111</v>
      </c>
      <c r="C401" s="1" t="n">
        <v>46011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50122-2025</t>
        </is>
      </c>
      <c r="B402" s="1" t="n">
        <v>45943.55063657407</v>
      </c>
      <c r="C402" s="1" t="n">
        <v>46011</v>
      </c>
      <c r="D402" t="inlineStr">
        <is>
          <t>VÄSTERNORRLANDS LÄN</t>
        </is>
      </c>
      <c r="E402" t="inlineStr">
        <is>
          <t>TIMRÅ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58312-2025</t>
        </is>
      </c>
      <c r="B403" s="1" t="n">
        <v>45985.47010416666</v>
      </c>
      <c r="C403" s="1" t="n">
        <v>46011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43964-2023</t>
        </is>
      </c>
      <c r="B404" s="1" t="n">
        <v>45187</v>
      </c>
      <c r="C404" s="1" t="n">
        <v>46011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32048-2024</t>
        </is>
      </c>
      <c r="B405" s="1" t="n">
        <v>45510</v>
      </c>
      <c r="C405" s="1" t="n">
        <v>46011</v>
      </c>
      <c r="D405" t="inlineStr">
        <is>
          <t>VÄSTERNORRLANDS LÄN</t>
        </is>
      </c>
      <c r="E405" t="inlineStr">
        <is>
          <t>TIMRÅ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32487-2021</t>
        </is>
      </c>
      <c r="B406" s="1" t="n">
        <v>44371</v>
      </c>
      <c r="C406" s="1" t="n">
        <v>46011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Kyrkan</t>
        </is>
      </c>
      <c r="G406" t="n">
        <v>21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46971-2022</t>
        </is>
      </c>
      <c r="B407" s="1" t="n">
        <v>44851.953125</v>
      </c>
      <c r="C407" s="1" t="n">
        <v>46011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58327-2025</t>
        </is>
      </c>
      <c r="B408" s="1" t="n">
        <v>45985.47813657407</v>
      </c>
      <c r="C408" s="1" t="n">
        <v>46011</v>
      </c>
      <c r="D408" t="inlineStr">
        <is>
          <t>VÄSTERNORRLANDS LÄN</t>
        </is>
      </c>
      <c r="E408" t="inlineStr">
        <is>
          <t>TIMRÅ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50181-2025</t>
        </is>
      </c>
      <c r="B409" s="1" t="n">
        <v>45943.61526620371</v>
      </c>
      <c r="C409" s="1" t="n">
        <v>46011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58908-2025</t>
        </is>
      </c>
      <c r="B410" s="1" t="n">
        <v>45987.5112037037</v>
      </c>
      <c r="C410" s="1" t="n">
        <v>46011</v>
      </c>
      <c r="D410" t="inlineStr">
        <is>
          <t>VÄSTERNORRLANDS LÄN</t>
        </is>
      </c>
      <c r="E410" t="inlineStr">
        <is>
          <t>TIMRÅ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58045-2025</t>
        </is>
      </c>
      <c r="B411" s="1" t="n">
        <v>45982</v>
      </c>
      <c r="C411" s="1" t="n">
        <v>46011</v>
      </c>
      <c r="D411" t="inlineStr">
        <is>
          <t>VÄSTERNORRLANDS LÄN</t>
        </is>
      </c>
      <c r="E411" t="inlineStr">
        <is>
          <t>TIMRÅ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18814-2025</t>
        </is>
      </c>
      <c r="B412" s="1" t="n">
        <v>45764.3653587963</v>
      </c>
      <c r="C412" s="1" t="n">
        <v>46011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51457-2025</t>
        </is>
      </c>
      <c r="B413" s="1" t="n">
        <v>45950.59730324074</v>
      </c>
      <c r="C413" s="1" t="n">
        <v>46011</v>
      </c>
      <c r="D413" t="inlineStr">
        <is>
          <t>VÄSTERNORRLANDS LÄN</t>
        </is>
      </c>
      <c r="E413" t="inlineStr">
        <is>
          <t>TIMRÅ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45688-2022</t>
        </is>
      </c>
      <c r="B414" s="1" t="n">
        <v>44845</v>
      </c>
      <c r="C414" s="1" t="n">
        <v>46011</v>
      </c>
      <c r="D414" t="inlineStr">
        <is>
          <t>VÄSTERNORRLANDS LÄN</t>
        </is>
      </c>
      <c r="E414" t="inlineStr">
        <is>
          <t>TIMRÅ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1818-2025</t>
        </is>
      </c>
      <c r="B415" s="1" t="n">
        <v>45671</v>
      </c>
      <c r="C415" s="1" t="n">
        <v>46011</v>
      </c>
      <c r="D415" t="inlineStr">
        <is>
          <t>VÄSTERNORRLANDS LÄN</t>
        </is>
      </c>
      <c r="E415" t="inlineStr">
        <is>
          <t>TIMRÅ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46021-2022</t>
        </is>
      </c>
      <c r="B416" s="1" t="n">
        <v>44846</v>
      </c>
      <c r="C416" s="1" t="n">
        <v>46011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Kyrkan</t>
        </is>
      </c>
      <c r="G416" t="n">
        <v>18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51482-2025</t>
        </is>
      </c>
      <c r="B417" s="1" t="n">
        <v>45950.62047453703</v>
      </c>
      <c r="C417" s="1" t="n">
        <v>46011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35417-2021</t>
        </is>
      </c>
      <c r="B418" s="1" t="n">
        <v>44385.43622685185</v>
      </c>
      <c r="C418" s="1" t="n">
        <v>46011</v>
      </c>
      <c r="D418" t="inlineStr">
        <is>
          <t>VÄSTERNORRLANDS LÄN</t>
        </is>
      </c>
      <c r="E418" t="inlineStr">
        <is>
          <t>TIMRÅ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68774-2021</t>
        </is>
      </c>
      <c r="B419" s="1" t="n">
        <v>44529.94496527778</v>
      </c>
      <c r="C419" s="1" t="n">
        <v>46011</v>
      </c>
      <c r="D419" t="inlineStr">
        <is>
          <t>VÄSTERNORRLANDS LÄN</t>
        </is>
      </c>
      <c r="E419" t="inlineStr">
        <is>
          <t>TIMRÅ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51510-2025</t>
        </is>
      </c>
      <c r="B420" s="1" t="n">
        <v>45950.64591435185</v>
      </c>
      <c r="C420" s="1" t="n">
        <v>46011</v>
      </c>
      <c r="D420" t="inlineStr">
        <is>
          <t>VÄSTERNORRLANDS LÄN</t>
        </is>
      </c>
      <c r="E420" t="inlineStr">
        <is>
          <t>TIMRÅ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16935-2025</t>
        </is>
      </c>
      <c r="B421" s="1" t="n">
        <v>45755.40678240741</v>
      </c>
      <c r="C421" s="1" t="n">
        <v>46011</v>
      </c>
      <c r="D421" t="inlineStr">
        <is>
          <t>VÄSTERNORRLANDS LÄN</t>
        </is>
      </c>
      <c r="E421" t="inlineStr">
        <is>
          <t>TIMRÅ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52114-2025</t>
        </is>
      </c>
      <c r="B422" s="1" t="n">
        <v>45952.69902777778</v>
      </c>
      <c r="C422" s="1" t="n">
        <v>46011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52124-2025</t>
        </is>
      </c>
      <c r="B423" s="1" t="n">
        <v>45952.72013888889</v>
      </c>
      <c r="C423" s="1" t="n">
        <v>46011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51590-2025</t>
        </is>
      </c>
      <c r="B424" s="1" t="n">
        <v>45951.36527777778</v>
      </c>
      <c r="C424" s="1" t="n">
        <v>46011</v>
      </c>
      <c r="D424" t="inlineStr">
        <is>
          <t>VÄSTERNORRLANDS LÄN</t>
        </is>
      </c>
      <c r="E424" t="inlineStr">
        <is>
          <t>TIMRÅ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51788-2025</t>
        </is>
      </c>
      <c r="B425" s="1" t="n">
        <v>45951.67846064815</v>
      </c>
      <c r="C425" s="1" t="n">
        <v>46011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51585-2025</t>
        </is>
      </c>
      <c r="B426" s="1" t="n">
        <v>45951.34582175926</v>
      </c>
      <c r="C426" s="1" t="n">
        <v>46011</v>
      </c>
      <c r="D426" t="inlineStr">
        <is>
          <t>VÄSTERNORRLANDS LÄN</t>
        </is>
      </c>
      <c r="E426" t="inlineStr">
        <is>
          <t>TIMRÅ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51584-2025</t>
        </is>
      </c>
      <c r="B427" s="1" t="n">
        <v>45951.34575231482</v>
      </c>
      <c r="C427" s="1" t="n">
        <v>46011</v>
      </c>
      <c r="D427" t="inlineStr">
        <is>
          <t>VÄSTERNORRLANDS LÄN</t>
        </is>
      </c>
      <c r="E427" t="inlineStr">
        <is>
          <t>TIMRÅ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47089-2024</t>
        </is>
      </c>
      <c r="B428" s="1" t="n">
        <v>45586.51078703703</v>
      </c>
      <c r="C428" s="1" t="n">
        <v>46011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24304-2023</t>
        </is>
      </c>
      <c r="B429" s="1" t="n">
        <v>45079</v>
      </c>
      <c r="C429" s="1" t="n">
        <v>46011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52091-2025</t>
        </is>
      </c>
      <c r="B430" s="1" t="n">
        <v>45952.67809027778</v>
      </c>
      <c r="C430" s="1" t="n">
        <v>46011</v>
      </c>
      <c r="D430" t="inlineStr">
        <is>
          <t>VÄSTERNORRLANDS LÄN</t>
        </is>
      </c>
      <c r="E430" t="inlineStr">
        <is>
          <t>TIMRÅ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51779-2025</t>
        </is>
      </c>
      <c r="B431" s="1" t="n">
        <v>45951.65715277778</v>
      </c>
      <c r="C431" s="1" t="n">
        <v>46011</v>
      </c>
      <c r="D431" t="inlineStr">
        <is>
          <t>VÄSTERNORRLANDS LÄN</t>
        </is>
      </c>
      <c r="E431" t="inlineStr">
        <is>
          <t>TIMRÅ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51580-2025</t>
        </is>
      </c>
      <c r="B432" s="1" t="n">
        <v>45951.34542824074</v>
      </c>
      <c r="C432" s="1" t="n">
        <v>46011</v>
      </c>
      <c r="D432" t="inlineStr">
        <is>
          <t>VÄSTERNORRLANDS LÄN</t>
        </is>
      </c>
      <c r="E432" t="inlineStr">
        <is>
          <t>TIMRÅ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51582-2025</t>
        </is>
      </c>
      <c r="B433" s="1" t="n">
        <v>45951.34561342592</v>
      </c>
      <c r="C433" s="1" t="n">
        <v>46011</v>
      </c>
      <c r="D433" t="inlineStr">
        <is>
          <t>VÄSTERNORRLANDS LÄN</t>
        </is>
      </c>
      <c r="E433" t="inlineStr">
        <is>
          <t>TIMRÅ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52090-2025</t>
        </is>
      </c>
      <c r="B434" s="1" t="n">
        <v>45952.67783564814</v>
      </c>
      <c r="C434" s="1" t="n">
        <v>46011</v>
      </c>
      <c r="D434" t="inlineStr">
        <is>
          <t>VÄSTERNORRLANDS LÄN</t>
        </is>
      </c>
      <c r="E434" t="inlineStr">
        <is>
          <t>TIMRÅ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52123-2025</t>
        </is>
      </c>
      <c r="B435" s="1" t="n">
        <v>45952.71978009259</v>
      </c>
      <c r="C435" s="1" t="n">
        <v>46011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56284-2024</t>
        </is>
      </c>
      <c r="B436" s="1" t="n">
        <v>45624.67894675926</v>
      </c>
      <c r="C436" s="1" t="n">
        <v>46011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13861-2025</t>
        </is>
      </c>
      <c r="B437" s="1" t="n">
        <v>45737.5741550926</v>
      </c>
      <c r="C437" s="1" t="n">
        <v>46011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51841-2025</t>
        </is>
      </c>
      <c r="B438" s="1" t="n">
        <v>45952.34482638889</v>
      </c>
      <c r="C438" s="1" t="n">
        <v>46011</v>
      </c>
      <c r="D438" t="inlineStr">
        <is>
          <t>VÄSTERNORRLANDS LÄN</t>
        </is>
      </c>
      <c r="E438" t="inlineStr">
        <is>
          <t>TIMRÅ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41605-2023</t>
        </is>
      </c>
      <c r="B439" s="1" t="n">
        <v>45175.65100694444</v>
      </c>
      <c r="C439" s="1" t="n">
        <v>46011</v>
      </c>
      <c r="D439" t="inlineStr">
        <is>
          <t>VÄSTERNORRLANDS LÄN</t>
        </is>
      </c>
      <c r="E439" t="inlineStr">
        <is>
          <t>TIMRÅ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52356-2025</t>
        </is>
      </c>
      <c r="B440" s="1" t="n">
        <v>45953.80394675926</v>
      </c>
      <c r="C440" s="1" t="n">
        <v>46011</v>
      </c>
      <c r="D440" t="inlineStr">
        <is>
          <t>VÄSTERNORRLANDS LÄN</t>
        </is>
      </c>
      <c r="E440" t="inlineStr">
        <is>
          <t>TIMRÅ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52561-2025</t>
        </is>
      </c>
      <c r="B441" s="1" t="n">
        <v>45954.5725</v>
      </c>
      <c r="C441" s="1" t="n">
        <v>46011</v>
      </c>
      <c r="D441" t="inlineStr">
        <is>
          <t>VÄSTERNORRLANDS LÄN</t>
        </is>
      </c>
      <c r="E441" t="inlineStr">
        <is>
          <t>TIMRÅ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52151-2025</t>
        </is>
      </c>
      <c r="B442" s="1" t="n">
        <v>45953.34508101852</v>
      </c>
      <c r="C442" s="1" t="n">
        <v>46011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52627-2025</t>
        </is>
      </c>
      <c r="B443" s="1" t="n">
        <v>45953</v>
      </c>
      <c r="C443" s="1" t="n">
        <v>46011</v>
      </c>
      <c r="D443" t="inlineStr">
        <is>
          <t>VÄSTERNORRLANDS LÄN</t>
        </is>
      </c>
      <c r="E443" t="inlineStr">
        <is>
          <t>TIMRÅ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52275-2025</t>
        </is>
      </c>
      <c r="B444" s="1" t="n">
        <v>45953.55248842593</v>
      </c>
      <c r="C444" s="1" t="n">
        <v>46011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18824-2025</t>
        </is>
      </c>
      <c r="B445" s="1" t="n">
        <v>45764.38584490741</v>
      </c>
      <c r="C445" s="1" t="n">
        <v>46011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52227-2025</t>
        </is>
      </c>
      <c r="B446" s="1" t="n">
        <v>45953.44878472222</v>
      </c>
      <c r="C446" s="1" t="n">
        <v>46011</v>
      </c>
      <c r="D446" t="inlineStr">
        <is>
          <t>VÄSTERNORRLANDS LÄN</t>
        </is>
      </c>
      <c r="E446" t="inlineStr">
        <is>
          <t>TIMRÅ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9317-2022</t>
        </is>
      </c>
      <c r="B447" s="1" t="n">
        <v>44616</v>
      </c>
      <c r="C447" s="1" t="n">
        <v>46011</v>
      </c>
      <c r="D447" t="inlineStr">
        <is>
          <t>VÄSTERNORRLANDS LÄN</t>
        </is>
      </c>
      <c r="E447" t="inlineStr">
        <is>
          <t>TIMRÅ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13218-2025</t>
        </is>
      </c>
      <c r="B448" s="1" t="n">
        <v>45735.44883101852</v>
      </c>
      <c r="C448" s="1" t="n">
        <v>46011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16302-2025</t>
        </is>
      </c>
      <c r="B449" s="1" t="n">
        <v>45751.34613425926</v>
      </c>
      <c r="C449" s="1" t="n">
        <v>46011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48397-2024</t>
        </is>
      </c>
      <c r="B450" s="1" t="n">
        <v>45590.61517361111</v>
      </c>
      <c r="C450" s="1" t="n">
        <v>46011</v>
      </c>
      <c r="D450" t="inlineStr">
        <is>
          <t>VÄSTERNORRLANDS LÄN</t>
        </is>
      </c>
      <c r="E450" t="inlineStr">
        <is>
          <t>TIMRÅ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39046-2023</t>
        </is>
      </c>
      <c r="B451" s="1" t="n">
        <v>45163</v>
      </c>
      <c r="C451" s="1" t="n">
        <v>46011</v>
      </c>
      <c r="D451" t="inlineStr">
        <is>
          <t>VÄSTERNORRLANDS LÄN</t>
        </is>
      </c>
      <c r="E451" t="inlineStr">
        <is>
          <t>TIMRÅ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52867-2025</t>
        </is>
      </c>
      <c r="B452" s="1" t="n">
        <v>45957.51130787037</v>
      </c>
      <c r="C452" s="1" t="n">
        <v>46011</v>
      </c>
      <c r="D452" t="inlineStr">
        <is>
          <t>VÄSTERNORRLANDS LÄN</t>
        </is>
      </c>
      <c r="E452" t="inlineStr">
        <is>
          <t>TIMRÅ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57268-2022</t>
        </is>
      </c>
      <c r="B453" s="1" t="n">
        <v>44895.92809027778</v>
      </c>
      <c r="C453" s="1" t="n">
        <v>46011</v>
      </c>
      <c r="D453" t="inlineStr">
        <is>
          <t>VÄSTERNORRLANDS LÄN</t>
        </is>
      </c>
      <c r="E453" t="inlineStr">
        <is>
          <t>TIMRÅ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60166-2022</t>
        </is>
      </c>
      <c r="B454" s="1" t="n">
        <v>44909</v>
      </c>
      <c r="C454" s="1" t="n">
        <v>46011</v>
      </c>
      <c r="D454" t="inlineStr">
        <is>
          <t>VÄSTERNORRLANDS LÄN</t>
        </is>
      </c>
      <c r="E454" t="inlineStr">
        <is>
          <t>TIMRÅ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61055-2025</t>
        </is>
      </c>
      <c r="B455" s="1" t="n">
        <v>46000.34418981482</v>
      </c>
      <c r="C455" s="1" t="n">
        <v>46011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13251-2025</t>
        </is>
      </c>
      <c r="B456" s="1" t="n">
        <v>45735</v>
      </c>
      <c r="C456" s="1" t="n">
        <v>46011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61348-2025</t>
        </is>
      </c>
      <c r="B457" s="1" t="n">
        <v>46001.38648148148</v>
      </c>
      <c r="C457" s="1" t="n">
        <v>46011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51999-2022</t>
        </is>
      </c>
      <c r="B458" s="1" t="n">
        <v>44872</v>
      </c>
      <c r="C458" s="1" t="n">
        <v>46011</v>
      </c>
      <c r="D458" t="inlineStr">
        <is>
          <t>VÄSTERNORRLANDS LÄN</t>
        </is>
      </c>
      <c r="E458" t="inlineStr">
        <is>
          <t>TIMRÅ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61350-2025</t>
        </is>
      </c>
      <c r="B459" s="1" t="n">
        <v>46001.38677083333</v>
      </c>
      <c r="C459" s="1" t="n">
        <v>46011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50355-2023</t>
        </is>
      </c>
      <c r="B460" s="1" t="n">
        <v>45209</v>
      </c>
      <c r="C460" s="1" t="n">
        <v>46011</v>
      </c>
      <c r="D460" t="inlineStr">
        <is>
          <t>VÄSTERNORRLANDS LÄN</t>
        </is>
      </c>
      <c r="E460" t="inlineStr">
        <is>
          <t>TIMRÅ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52220-2022</t>
        </is>
      </c>
      <c r="B461" s="1" t="n">
        <v>44869</v>
      </c>
      <c r="C461" s="1" t="n">
        <v>46011</v>
      </c>
      <c r="D461" t="inlineStr">
        <is>
          <t>VÄSTERNORRLANDS LÄN</t>
        </is>
      </c>
      <c r="E461" t="inlineStr">
        <is>
          <t>TIMRÅ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52232-2022</t>
        </is>
      </c>
      <c r="B462" s="1" t="n">
        <v>44869</v>
      </c>
      <c r="C462" s="1" t="n">
        <v>46011</v>
      </c>
      <c r="D462" t="inlineStr">
        <is>
          <t>VÄSTERNORRLANDS LÄN</t>
        </is>
      </c>
      <c r="E462" t="inlineStr">
        <is>
          <t>TIMRÅ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53508-2025</t>
        </is>
      </c>
      <c r="B463" s="1" t="n">
        <v>45960.34491898148</v>
      </c>
      <c r="C463" s="1" t="n">
        <v>46011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27495-2023</t>
        </is>
      </c>
      <c r="B464" s="1" t="n">
        <v>45092</v>
      </c>
      <c r="C464" s="1" t="n">
        <v>46011</v>
      </c>
      <c r="D464" t="inlineStr">
        <is>
          <t>VÄSTERNORRLANDS LÄN</t>
        </is>
      </c>
      <c r="E464" t="inlineStr">
        <is>
          <t>TIMRÅ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62217-2025</t>
        </is>
      </c>
      <c r="B465" s="1" t="n">
        <v>46006.57925925926</v>
      </c>
      <c r="C465" s="1" t="n">
        <v>46011</v>
      </c>
      <c r="D465" t="inlineStr">
        <is>
          <t>VÄSTERNORRLANDS LÄN</t>
        </is>
      </c>
      <c r="E465" t="inlineStr">
        <is>
          <t>TIMRÅ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62307-2025</t>
        </is>
      </c>
      <c r="B466" s="1" t="n">
        <v>46006.66931712963</v>
      </c>
      <c r="C466" s="1" t="n">
        <v>46011</v>
      </c>
      <c r="D466" t="inlineStr">
        <is>
          <t>VÄSTERNORRLANDS LÄN</t>
        </is>
      </c>
      <c r="E466" t="inlineStr">
        <is>
          <t>TIMRÅ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18130-2025</t>
        </is>
      </c>
      <c r="B467" s="1" t="n">
        <v>45761.59958333334</v>
      </c>
      <c r="C467" s="1" t="n">
        <v>46011</v>
      </c>
      <c r="D467" t="inlineStr">
        <is>
          <t>VÄSTERNORRLANDS LÄN</t>
        </is>
      </c>
      <c r="E467" t="inlineStr">
        <is>
          <t>TIMRÅ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14572-2024</t>
        </is>
      </c>
      <c r="B468" s="1" t="n">
        <v>45394.94991898148</v>
      </c>
      <c r="C468" s="1" t="n">
        <v>46011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31150-2023</t>
        </is>
      </c>
      <c r="B469" s="1" t="n">
        <v>45103</v>
      </c>
      <c r="C469" s="1" t="n">
        <v>46011</v>
      </c>
      <c r="D469" t="inlineStr">
        <is>
          <t>VÄSTERNORRLANDS LÄN</t>
        </is>
      </c>
      <c r="E469" t="inlineStr">
        <is>
          <t>TIMRÅ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40483-2025</t>
        </is>
      </c>
      <c r="B470" s="1" t="n">
        <v>45895</v>
      </c>
      <c r="C470" s="1" t="n">
        <v>46011</v>
      </c>
      <c r="D470" t="inlineStr">
        <is>
          <t>VÄSTERNORRLANDS LÄN</t>
        </is>
      </c>
      <c r="E470" t="inlineStr">
        <is>
          <t>TIMRÅ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68391-2021</t>
        </is>
      </c>
      <c r="B471" s="1" t="n">
        <v>44526</v>
      </c>
      <c r="C471" s="1" t="n">
        <v>46011</v>
      </c>
      <c r="D471" t="inlineStr">
        <is>
          <t>VÄSTERNORRLANDS LÄN</t>
        </is>
      </c>
      <c r="E471" t="inlineStr">
        <is>
          <t>TIMRÅ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44001-2025</t>
        </is>
      </c>
      <c r="B472" s="1" t="n">
        <v>45915</v>
      </c>
      <c r="C472" s="1" t="n">
        <v>46011</v>
      </c>
      <c r="D472" t="inlineStr">
        <is>
          <t>VÄSTERNORRLANDS LÄN</t>
        </is>
      </c>
      <c r="E472" t="inlineStr">
        <is>
          <t>TIMRÅ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7151-2024</t>
        </is>
      </c>
      <c r="B473" s="1" t="n">
        <v>45344</v>
      </c>
      <c r="C473" s="1" t="n">
        <v>46011</v>
      </c>
      <c r="D473" t="inlineStr">
        <is>
          <t>VÄSTERNORRLANDS LÄN</t>
        </is>
      </c>
      <c r="E473" t="inlineStr">
        <is>
          <t>TIMRÅ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62133-2024</t>
        </is>
      </c>
      <c r="B474" s="1" t="n">
        <v>45656.63576388889</v>
      </c>
      <c r="C474" s="1" t="n">
        <v>46011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62428-2025</t>
        </is>
      </c>
      <c r="B475" s="1" t="n">
        <v>46007.45199074074</v>
      </c>
      <c r="C475" s="1" t="n">
        <v>46011</v>
      </c>
      <c r="D475" t="inlineStr">
        <is>
          <t>VÄSTERNORRLANDS LÄN</t>
        </is>
      </c>
      <c r="E475" t="inlineStr">
        <is>
          <t>TIMRÅ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54347-2025</t>
        </is>
      </c>
      <c r="B476" s="1" t="n">
        <v>45965.36548611111</v>
      </c>
      <c r="C476" s="1" t="n">
        <v>46011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11.6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60011-2023</t>
        </is>
      </c>
      <c r="B477" s="1" t="n">
        <v>45257</v>
      </c>
      <c r="C477" s="1" t="n">
        <v>46011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55008-2025</t>
        </is>
      </c>
      <c r="B478" s="1" t="n">
        <v>45967.61501157407</v>
      </c>
      <c r="C478" s="1" t="n">
        <v>46011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57782-2025</t>
        </is>
      </c>
      <c r="B479" s="1" t="n">
        <v>45981.57255787037</v>
      </c>
      <c r="C479" s="1" t="n">
        <v>46011</v>
      </c>
      <c r="D479" t="inlineStr">
        <is>
          <t>VÄSTERNORRLANDS LÄN</t>
        </is>
      </c>
      <c r="E479" t="inlineStr">
        <is>
          <t>TIMRÅ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32070-2023</t>
        </is>
      </c>
      <c r="B480" s="1" t="n">
        <v>45107</v>
      </c>
      <c r="C480" s="1" t="n">
        <v>46011</v>
      </c>
      <c r="D480" t="inlineStr">
        <is>
          <t>VÄSTERNORRLANDS LÄN</t>
        </is>
      </c>
      <c r="E480" t="inlineStr">
        <is>
          <t>TIMRÅ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52228-2025</t>
        </is>
      </c>
      <c r="B481" s="1" t="n">
        <v>45953.4488425926</v>
      </c>
      <c r="C481" s="1" t="n">
        <v>46011</v>
      </c>
      <c r="D481" t="inlineStr">
        <is>
          <t>VÄSTERNORRLANDS LÄN</t>
        </is>
      </c>
      <c r="E481" t="inlineStr">
        <is>
          <t>TIMRÅ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9472-2021</t>
        </is>
      </c>
      <c r="B482" s="1" t="n">
        <v>44250</v>
      </c>
      <c r="C482" s="1" t="n">
        <v>46011</v>
      </c>
      <c r="D482" t="inlineStr">
        <is>
          <t>VÄSTERNORRLANDS LÄN</t>
        </is>
      </c>
      <c r="E482" t="inlineStr">
        <is>
          <t>TIMRÅ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74177-2021</t>
        </is>
      </c>
      <c r="B483" s="1" t="n">
        <v>44558</v>
      </c>
      <c r="C483" s="1" t="n">
        <v>46011</v>
      </c>
      <c r="D483" t="inlineStr">
        <is>
          <t>VÄSTERNORRLANDS LÄN</t>
        </is>
      </c>
      <c r="E483" t="inlineStr">
        <is>
          <t>TIMRÅ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23851-2024</t>
        </is>
      </c>
      <c r="B484" s="1" t="n">
        <v>45455</v>
      </c>
      <c r="C484" s="1" t="n">
        <v>46011</v>
      </c>
      <c r="D484" t="inlineStr">
        <is>
          <t>VÄSTERNORRLANDS LÄN</t>
        </is>
      </c>
      <c r="E484" t="inlineStr">
        <is>
          <t>TIMRÅ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53302-2024</t>
        </is>
      </c>
      <c r="B485" s="1" t="n">
        <v>45614.38864583334</v>
      </c>
      <c r="C485" s="1" t="n">
        <v>46011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53303-2024</t>
        </is>
      </c>
      <c r="B486" s="1" t="n">
        <v>45614.38878472222</v>
      </c>
      <c r="C486" s="1" t="n">
        <v>46011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25414-2022</t>
        </is>
      </c>
      <c r="B487" s="1" t="n">
        <v>44732</v>
      </c>
      <c r="C487" s="1" t="n">
        <v>46011</v>
      </c>
      <c r="D487" t="inlineStr">
        <is>
          <t>VÄSTERNORRLANDS LÄN</t>
        </is>
      </c>
      <c r="E487" t="inlineStr">
        <is>
          <t>TIMRÅ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16555-2023</t>
        </is>
      </c>
      <c r="B488" s="1" t="n">
        <v>45029</v>
      </c>
      <c r="C488" s="1" t="n">
        <v>46011</v>
      </c>
      <c r="D488" t="inlineStr">
        <is>
          <t>VÄSTERNORRLANDS LÄN</t>
        </is>
      </c>
      <c r="E488" t="inlineStr">
        <is>
          <t>TIMRÅ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49495-2024</t>
        </is>
      </c>
      <c r="B489" s="1" t="n">
        <v>45596.36559027778</v>
      </c>
      <c r="C489" s="1" t="n">
        <v>46011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48563-2024</t>
        </is>
      </c>
      <c r="B490" s="1" t="n">
        <v>45593.38608796296</v>
      </c>
      <c r="C490" s="1" t="n">
        <v>46011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49310-2024</t>
        </is>
      </c>
      <c r="B491" s="1" t="n">
        <v>45595</v>
      </c>
      <c r="C491" s="1" t="n">
        <v>46011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59964-2021</t>
        </is>
      </c>
      <c r="B492" s="1" t="n">
        <v>44494</v>
      </c>
      <c r="C492" s="1" t="n">
        <v>46011</v>
      </c>
      <c r="D492" t="inlineStr">
        <is>
          <t>VÄSTERNORRLANDS LÄN</t>
        </is>
      </c>
      <c r="E492" t="inlineStr">
        <is>
          <t>TIMRÅ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43130-2023</t>
        </is>
      </c>
      <c r="B493" s="1" t="n">
        <v>45182.94908564815</v>
      </c>
      <c r="C493" s="1" t="n">
        <v>46011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33043-2023</t>
        </is>
      </c>
      <c r="B494" s="1" t="n">
        <v>45125</v>
      </c>
      <c r="C494" s="1" t="n">
        <v>46011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2073-2022</t>
        </is>
      </c>
      <c r="B495" s="1" t="n">
        <v>44575.92912037037</v>
      </c>
      <c r="C495" s="1" t="n">
        <v>46011</v>
      </c>
      <c r="D495" t="inlineStr">
        <is>
          <t>VÄSTERNORRLANDS LÄN</t>
        </is>
      </c>
      <c r="E495" t="inlineStr">
        <is>
          <t>TIMRÅ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23049-2024</t>
        </is>
      </c>
      <c r="B496" s="1" t="n">
        <v>45450</v>
      </c>
      <c r="C496" s="1" t="n">
        <v>46011</v>
      </c>
      <c r="D496" t="inlineStr">
        <is>
          <t>VÄSTERNORRLANDS LÄN</t>
        </is>
      </c>
      <c r="E496" t="inlineStr">
        <is>
          <t>TIMRÅ</t>
        </is>
      </c>
      <c r="G496" t="n">
        <v>8.4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24739-2024</t>
        </is>
      </c>
      <c r="B497" s="1" t="n">
        <v>45460</v>
      </c>
      <c r="C497" s="1" t="n">
        <v>46011</v>
      </c>
      <c r="D497" t="inlineStr">
        <is>
          <t>VÄSTERNORRLANDS LÄN</t>
        </is>
      </c>
      <c r="E497" t="inlineStr">
        <is>
          <t>TIMRÅ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39693-2023</t>
        </is>
      </c>
      <c r="B498" s="1" t="n">
        <v>45166</v>
      </c>
      <c r="C498" s="1" t="n">
        <v>46011</v>
      </c>
      <c r="D498" t="inlineStr">
        <is>
          <t>VÄSTERNORRLANDS LÄN</t>
        </is>
      </c>
      <c r="E498" t="inlineStr">
        <is>
          <t>TIMRÅ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45886-2024</t>
        </is>
      </c>
      <c r="B499" s="1" t="n">
        <v>45580</v>
      </c>
      <c r="C499" s="1" t="n">
        <v>46011</v>
      </c>
      <c r="D499" t="inlineStr">
        <is>
          <t>VÄSTERNORRLANDS LÄN</t>
        </is>
      </c>
      <c r="E499" t="inlineStr">
        <is>
          <t>TIMRÅ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48704-2024</t>
        </is>
      </c>
      <c r="B500" s="1" t="n">
        <v>45593.53160879629</v>
      </c>
      <c r="C500" s="1" t="n">
        <v>46011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40664-2024</t>
        </is>
      </c>
      <c r="B501" s="1" t="n">
        <v>45558</v>
      </c>
      <c r="C501" s="1" t="n">
        <v>46011</v>
      </c>
      <c r="D501" t="inlineStr">
        <is>
          <t>VÄSTERNORRLANDS LÄN</t>
        </is>
      </c>
      <c r="E501" t="inlineStr">
        <is>
          <t>TIMRÅ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55729-2024</t>
        </is>
      </c>
      <c r="B502" s="1" t="n">
        <v>45622</v>
      </c>
      <c r="C502" s="1" t="n">
        <v>46011</v>
      </c>
      <c r="D502" t="inlineStr">
        <is>
          <t>VÄSTERNORRLANDS LÄN</t>
        </is>
      </c>
      <c r="E502" t="inlineStr">
        <is>
          <t>TIMRÅ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74150-2021</t>
        </is>
      </c>
      <c r="B503" s="1" t="n">
        <v>44557</v>
      </c>
      <c r="C503" s="1" t="n">
        <v>46011</v>
      </c>
      <c r="D503" t="inlineStr">
        <is>
          <t>VÄSTERNORRLANDS LÄN</t>
        </is>
      </c>
      <c r="E503" t="inlineStr">
        <is>
          <t>TIMRÅ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43994-2023</t>
        </is>
      </c>
      <c r="B504" s="1" t="n">
        <v>45187</v>
      </c>
      <c r="C504" s="1" t="n">
        <v>46011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2226-2022</t>
        </is>
      </c>
      <c r="B505" s="1" t="n">
        <v>44578</v>
      </c>
      <c r="C505" s="1" t="n">
        <v>46011</v>
      </c>
      <c r="D505" t="inlineStr">
        <is>
          <t>VÄSTERNORRLANDS LÄN</t>
        </is>
      </c>
      <c r="E505" t="inlineStr">
        <is>
          <t>TIMRÅ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35939-2023</t>
        </is>
      </c>
      <c r="B506" s="1" t="n">
        <v>45148</v>
      </c>
      <c r="C506" s="1" t="n">
        <v>46011</v>
      </c>
      <c r="D506" t="inlineStr">
        <is>
          <t>VÄSTERNORRLANDS LÄN</t>
        </is>
      </c>
      <c r="E506" t="inlineStr">
        <is>
          <t>TIMRÅ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45720-2024</t>
        </is>
      </c>
      <c r="B507" s="1" t="n">
        <v>45579.59424768519</v>
      </c>
      <c r="C507" s="1" t="n">
        <v>46011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54322-2024</t>
        </is>
      </c>
      <c r="B508" s="1" t="n">
        <v>45617</v>
      </c>
      <c r="C508" s="1" t="n">
        <v>46011</v>
      </c>
      <c r="D508" t="inlineStr">
        <is>
          <t>VÄSTERNORRLANDS LÄN</t>
        </is>
      </c>
      <c r="E508" t="inlineStr">
        <is>
          <t>TIMRÅ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43006-2024</t>
        </is>
      </c>
      <c r="B509" s="1" t="n">
        <v>45567.38202546296</v>
      </c>
      <c r="C509" s="1" t="n">
        <v>46011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20837-2023</t>
        </is>
      </c>
      <c r="B510" s="1" t="n">
        <v>45058.68621527778</v>
      </c>
      <c r="C510" s="1" t="n">
        <v>46011</v>
      </c>
      <c r="D510" t="inlineStr">
        <is>
          <t>VÄSTERNORRLANDS LÄN</t>
        </is>
      </c>
      <c r="E510" t="inlineStr">
        <is>
          <t>TIMRÅ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14955-2025</t>
        </is>
      </c>
      <c r="B511" s="1" t="n">
        <v>45743</v>
      </c>
      <c r="C511" s="1" t="n">
        <v>46011</v>
      </c>
      <c r="D511" t="inlineStr">
        <is>
          <t>VÄSTERNORRLANDS LÄN</t>
        </is>
      </c>
      <c r="E511" t="inlineStr">
        <is>
          <t>TIMRÅ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13341-2024</t>
        </is>
      </c>
      <c r="B512" s="1" t="n">
        <v>45386.94486111111</v>
      </c>
      <c r="C512" s="1" t="n">
        <v>46011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61484-2024</t>
        </is>
      </c>
      <c r="B513" s="1" t="n">
        <v>45646.53160879629</v>
      </c>
      <c r="C513" s="1" t="n">
        <v>46011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57316-2024</t>
        </is>
      </c>
      <c r="B514" s="1" t="n">
        <v>45629.61498842593</v>
      </c>
      <c r="C514" s="1" t="n">
        <v>46011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7966-2022</t>
        </is>
      </c>
      <c r="B515" s="1" t="n">
        <v>44608</v>
      </c>
      <c r="C515" s="1" t="n">
        <v>46011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9202-2022</t>
        </is>
      </c>
      <c r="B516" s="1" t="n">
        <v>44615</v>
      </c>
      <c r="C516" s="1" t="n">
        <v>46011</v>
      </c>
      <c r="D516" t="inlineStr">
        <is>
          <t>VÄSTERNORRLANDS LÄN</t>
        </is>
      </c>
      <c r="E516" t="inlineStr">
        <is>
          <t>TIMRÅ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9203-2022</t>
        </is>
      </c>
      <c r="B517" s="1" t="n">
        <v>44615</v>
      </c>
      <c r="C517" s="1" t="n">
        <v>46011</v>
      </c>
      <c r="D517" t="inlineStr">
        <is>
          <t>VÄSTERNORRLANDS LÄN</t>
        </is>
      </c>
      <c r="E517" t="inlineStr">
        <is>
          <t>TIMRÅ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39048-2023</t>
        </is>
      </c>
      <c r="B518" s="1" t="n">
        <v>45163.92715277777</v>
      </c>
      <c r="C518" s="1" t="n">
        <v>46011</v>
      </c>
      <c r="D518" t="inlineStr">
        <is>
          <t>VÄSTERNORRLANDS LÄN</t>
        </is>
      </c>
      <c r="E518" t="inlineStr">
        <is>
          <t>TIMRÅ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31562-2023</t>
        </is>
      </c>
      <c r="B519" s="1" t="n">
        <v>45117</v>
      </c>
      <c r="C519" s="1" t="n">
        <v>46011</v>
      </c>
      <c r="D519" t="inlineStr">
        <is>
          <t>VÄSTERNORRLANDS LÄN</t>
        </is>
      </c>
      <c r="E519" t="inlineStr">
        <is>
          <t>TIMRÅ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30680-2024</t>
        </is>
      </c>
      <c r="B520" s="1" t="n">
        <v>45495</v>
      </c>
      <c r="C520" s="1" t="n">
        <v>46011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55441-2023</t>
        </is>
      </c>
      <c r="B521" s="1" t="n">
        <v>45231</v>
      </c>
      <c r="C521" s="1" t="n">
        <v>46011</v>
      </c>
      <c r="D521" t="inlineStr">
        <is>
          <t>VÄSTERNORRLANDS LÄN</t>
        </is>
      </c>
      <c r="E521" t="inlineStr">
        <is>
          <t>TIMRÅ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48785-2023</t>
        </is>
      </c>
      <c r="B522" s="1" t="n">
        <v>45208</v>
      </c>
      <c r="C522" s="1" t="n">
        <v>46011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25644-2022</t>
        </is>
      </c>
      <c r="B523" s="1" t="n">
        <v>44732</v>
      </c>
      <c r="C523" s="1" t="n">
        <v>46011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30835-2023</t>
        </is>
      </c>
      <c r="B524" s="1" t="n">
        <v>45112.94381944444</v>
      </c>
      <c r="C524" s="1" t="n">
        <v>46011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21443-2024</t>
        </is>
      </c>
      <c r="B525" s="1" t="n">
        <v>45441</v>
      </c>
      <c r="C525" s="1" t="n">
        <v>46011</v>
      </c>
      <c r="D525" t="inlineStr">
        <is>
          <t>VÄSTERNORRLANDS LÄN</t>
        </is>
      </c>
      <c r="E525" t="inlineStr">
        <is>
          <t>TIMRÅ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20527-2024</t>
        </is>
      </c>
      <c r="B526" s="1" t="n">
        <v>45435.94592592592</v>
      </c>
      <c r="C526" s="1" t="n">
        <v>46011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6055-2025</t>
        </is>
      </c>
      <c r="B527" s="1" t="n">
        <v>45695.71903935185</v>
      </c>
      <c r="C527" s="1" t="n">
        <v>46011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45774-2023</t>
        </is>
      </c>
      <c r="B528" s="1" t="n">
        <v>45189</v>
      </c>
      <c r="C528" s="1" t="n">
        <v>46011</v>
      </c>
      <c r="D528" t="inlineStr">
        <is>
          <t>VÄSTERNORRLANDS LÄN</t>
        </is>
      </c>
      <c r="E528" t="inlineStr">
        <is>
          <t>TIMRÅ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59942-2022</t>
        </is>
      </c>
      <c r="B529" s="1" t="n">
        <v>44901</v>
      </c>
      <c r="C529" s="1" t="n">
        <v>46011</v>
      </c>
      <c r="D529" t="inlineStr">
        <is>
          <t>VÄSTERNORRLANDS LÄN</t>
        </is>
      </c>
      <c r="E529" t="inlineStr">
        <is>
          <t>TIMRÅ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16519-2022</t>
        </is>
      </c>
      <c r="B530" s="1" t="n">
        <v>44671.926875</v>
      </c>
      <c r="C530" s="1" t="n">
        <v>46011</v>
      </c>
      <c r="D530" t="inlineStr">
        <is>
          <t>VÄSTERNORRLANDS LÄN</t>
        </is>
      </c>
      <c r="E530" t="inlineStr">
        <is>
          <t>TIMRÅ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23676-2022</t>
        </is>
      </c>
      <c r="B531" s="1" t="n">
        <v>44721</v>
      </c>
      <c r="C531" s="1" t="n">
        <v>46011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57072-2023</t>
        </is>
      </c>
      <c r="B532" s="1" t="n">
        <v>45244.96715277778</v>
      </c>
      <c r="C532" s="1" t="n">
        <v>46011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16084-2025</t>
        </is>
      </c>
      <c r="B533" s="1" t="n">
        <v>45749</v>
      </c>
      <c r="C533" s="1" t="n">
        <v>46011</v>
      </c>
      <c r="D533" t="inlineStr">
        <is>
          <t>VÄSTERNORRLANDS LÄN</t>
        </is>
      </c>
      <c r="E533" t="inlineStr">
        <is>
          <t>TIMRÅ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1825-2025</t>
        </is>
      </c>
      <c r="B534" s="1" t="n">
        <v>45671.53853009259</v>
      </c>
      <c r="C534" s="1" t="n">
        <v>46011</v>
      </c>
      <c r="D534" t="inlineStr">
        <is>
          <t>VÄSTERNORRLANDS LÄN</t>
        </is>
      </c>
      <c r="E534" t="inlineStr">
        <is>
          <t>TIMRÅ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44404-2023</t>
        </is>
      </c>
      <c r="B535" s="1" t="n">
        <v>45188</v>
      </c>
      <c r="C535" s="1" t="n">
        <v>46011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10852-2024</t>
        </is>
      </c>
      <c r="B536" s="1" t="n">
        <v>45370</v>
      </c>
      <c r="C536" s="1" t="n">
        <v>46011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5649-2022</t>
        </is>
      </c>
      <c r="B537" s="1" t="n">
        <v>44595.92520833333</v>
      </c>
      <c r="C537" s="1" t="n">
        <v>46011</v>
      </c>
      <c r="D537" t="inlineStr">
        <is>
          <t>VÄSTERNORRLANDS LÄN</t>
        </is>
      </c>
      <c r="E537" t="inlineStr">
        <is>
          <t>TIMRÅ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41457-2022</t>
        </is>
      </c>
      <c r="B538" s="1" t="n">
        <v>44826</v>
      </c>
      <c r="C538" s="1" t="n">
        <v>46011</v>
      </c>
      <c r="D538" t="inlineStr">
        <is>
          <t>VÄSTERNORRLANDS LÄN</t>
        </is>
      </c>
      <c r="E538" t="inlineStr">
        <is>
          <t>TIMRÅ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41465-2022</t>
        </is>
      </c>
      <c r="B539" s="1" t="n">
        <v>44826.94804398148</v>
      </c>
      <c r="C539" s="1" t="n">
        <v>46011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61606-2023</t>
        </is>
      </c>
      <c r="B540" s="1" t="n">
        <v>45261</v>
      </c>
      <c r="C540" s="1" t="n">
        <v>46011</v>
      </c>
      <c r="D540" t="inlineStr">
        <is>
          <t>VÄSTERNORRLANDS LÄN</t>
        </is>
      </c>
      <c r="E540" t="inlineStr">
        <is>
          <t>TIMRÅ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30612-2024</t>
        </is>
      </c>
      <c r="B541" s="1" t="n">
        <v>45495</v>
      </c>
      <c r="C541" s="1" t="n">
        <v>46011</v>
      </c>
      <c r="D541" t="inlineStr">
        <is>
          <t>VÄSTERNORRLANDS LÄN</t>
        </is>
      </c>
      <c r="E541" t="inlineStr">
        <is>
          <t>TIMRÅ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37676-2024</t>
        </is>
      </c>
      <c r="B542" s="1" t="n">
        <v>45541</v>
      </c>
      <c r="C542" s="1" t="n">
        <v>46011</v>
      </c>
      <c r="D542" t="inlineStr">
        <is>
          <t>VÄSTERNORRLANDS LÄN</t>
        </is>
      </c>
      <c r="E542" t="inlineStr">
        <is>
          <t>TIMRÅ</t>
        </is>
      </c>
      <c r="G542" t="n">
        <v>15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56765-2023</t>
        </is>
      </c>
      <c r="B543" s="1" t="n">
        <v>45244</v>
      </c>
      <c r="C543" s="1" t="n">
        <v>46011</v>
      </c>
      <c r="D543" t="inlineStr">
        <is>
          <t>VÄSTERNORRLANDS LÄN</t>
        </is>
      </c>
      <c r="E543" t="inlineStr">
        <is>
          <t>TIMRÅ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1817-2025</t>
        </is>
      </c>
      <c r="B544" s="1" t="n">
        <v>45671.51324074074</v>
      </c>
      <c r="C544" s="1" t="n">
        <v>46011</v>
      </c>
      <c r="D544" t="inlineStr">
        <is>
          <t>VÄSTERNORRLANDS LÄN</t>
        </is>
      </c>
      <c r="E544" t="inlineStr">
        <is>
          <t>TIMRÅ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12786-2025</t>
        </is>
      </c>
      <c r="B545" s="1" t="n">
        <v>45733.60231481482</v>
      </c>
      <c r="C545" s="1" t="n">
        <v>46011</v>
      </c>
      <c r="D545" t="inlineStr">
        <is>
          <t>VÄSTERNORRLANDS LÄN</t>
        </is>
      </c>
      <c r="E545" t="inlineStr">
        <is>
          <t>TIMRÅ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55588-2024</t>
        </is>
      </c>
      <c r="B546" s="1" t="n">
        <v>45622</v>
      </c>
      <c r="C546" s="1" t="n">
        <v>46011</v>
      </c>
      <c r="D546" t="inlineStr">
        <is>
          <t>VÄSTERNORRLANDS LÄN</t>
        </is>
      </c>
      <c r="E546" t="inlineStr">
        <is>
          <t>TIMRÅ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33749-2024</t>
        </is>
      </c>
      <c r="B547" s="1" t="n">
        <v>45520</v>
      </c>
      <c r="C547" s="1" t="n">
        <v>46011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9480-2021</t>
        </is>
      </c>
      <c r="B548" s="1" t="n">
        <v>44250</v>
      </c>
      <c r="C548" s="1" t="n">
        <v>46011</v>
      </c>
      <c r="D548" t="inlineStr">
        <is>
          <t>VÄSTERNORRLANDS LÄN</t>
        </is>
      </c>
      <c r="E548" t="inlineStr">
        <is>
          <t>TIMRÅ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9503-2021</t>
        </is>
      </c>
      <c r="B549" s="1" t="n">
        <v>44250</v>
      </c>
      <c r="C549" s="1" t="n">
        <v>46011</v>
      </c>
      <c r="D549" t="inlineStr">
        <is>
          <t>VÄSTERNORRLANDS LÄN</t>
        </is>
      </c>
      <c r="E549" t="inlineStr">
        <is>
          <t>TIMRÅ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11269-2022</t>
        </is>
      </c>
      <c r="B550" s="1" t="n">
        <v>44629.71497685185</v>
      </c>
      <c r="C550" s="1" t="n">
        <v>46011</v>
      </c>
      <c r="D550" t="inlineStr">
        <is>
          <t>VÄSTERNORRLANDS LÄN</t>
        </is>
      </c>
      <c r="E550" t="inlineStr">
        <is>
          <t>TIMRÅ</t>
        </is>
      </c>
      <c r="G550" t="n">
        <v>16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580-2022</t>
        </is>
      </c>
      <c r="B551" s="1" t="n">
        <v>44566</v>
      </c>
      <c r="C551" s="1" t="n">
        <v>46011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28373-2023</t>
        </is>
      </c>
      <c r="B552" s="1" t="n">
        <v>45099.95390046296</v>
      </c>
      <c r="C552" s="1" t="n">
        <v>46011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34035-2021</t>
        </is>
      </c>
      <c r="B553" s="1" t="n">
        <v>44378</v>
      </c>
      <c r="C553" s="1" t="n">
        <v>46011</v>
      </c>
      <c r="D553" t="inlineStr">
        <is>
          <t>VÄSTERNORRLANDS LÄN</t>
        </is>
      </c>
      <c r="E553" t="inlineStr">
        <is>
          <t>TIMRÅ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18684-2023</t>
        </is>
      </c>
      <c r="B554" s="1" t="n">
        <v>45042</v>
      </c>
      <c r="C554" s="1" t="n">
        <v>46011</v>
      </c>
      <c r="D554" t="inlineStr">
        <is>
          <t>VÄSTERNORRLANDS LÄN</t>
        </is>
      </c>
      <c r="E554" t="inlineStr">
        <is>
          <t>TIMRÅ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61166-2024</t>
        </is>
      </c>
      <c r="B555" s="1" t="n">
        <v>45645.59753472222</v>
      </c>
      <c r="C555" s="1" t="n">
        <v>46011</v>
      </c>
      <c r="D555" t="inlineStr">
        <is>
          <t>VÄSTERNORRLANDS LÄN</t>
        </is>
      </c>
      <c r="E555" t="inlineStr">
        <is>
          <t>TIMRÅ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69266-2021</t>
        </is>
      </c>
      <c r="B556" s="1" t="n">
        <v>44530</v>
      </c>
      <c r="C556" s="1" t="n">
        <v>46011</v>
      </c>
      <c r="D556" t="inlineStr">
        <is>
          <t>VÄSTERNORRLANDS LÄN</t>
        </is>
      </c>
      <c r="E556" t="inlineStr">
        <is>
          <t>TIMRÅ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14680-2022</t>
        </is>
      </c>
      <c r="B557" s="1" t="n">
        <v>44655</v>
      </c>
      <c r="C557" s="1" t="n">
        <v>46011</v>
      </c>
      <c r="D557" t="inlineStr">
        <is>
          <t>VÄSTERNORRLANDS LÄN</t>
        </is>
      </c>
      <c r="E557" t="inlineStr">
        <is>
          <t>TIMRÅ</t>
        </is>
      </c>
      <c r="G557" t="n">
        <v>8.9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45723-2023</t>
        </is>
      </c>
      <c r="B558" s="1" t="n">
        <v>45195</v>
      </c>
      <c r="C558" s="1" t="n">
        <v>46011</v>
      </c>
      <c r="D558" t="inlineStr">
        <is>
          <t>VÄSTERNORRLANDS LÄN</t>
        </is>
      </c>
      <c r="E558" t="inlineStr">
        <is>
          <t>TIMRÅ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58895-2023</t>
        </is>
      </c>
      <c r="B559" s="1" t="n">
        <v>45252</v>
      </c>
      <c r="C559" s="1" t="n">
        <v>46011</v>
      </c>
      <c r="D559" t="inlineStr">
        <is>
          <t>VÄSTERNORRLANDS LÄN</t>
        </is>
      </c>
      <c r="E559" t="inlineStr">
        <is>
          <t>TIMRÅ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42094-2024</t>
        </is>
      </c>
      <c r="B560" s="1" t="n">
        <v>45562</v>
      </c>
      <c r="C560" s="1" t="n">
        <v>46011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18415-2025</t>
        </is>
      </c>
      <c r="B561" s="1" t="n">
        <v>45762.61503472222</v>
      </c>
      <c r="C561" s="1" t="n">
        <v>46011</v>
      </c>
      <c r="D561" t="inlineStr">
        <is>
          <t>VÄSTERNORRLANDS LÄN</t>
        </is>
      </c>
      <c r="E561" t="inlineStr">
        <is>
          <t>TIMRÅ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45627-2024</t>
        </is>
      </c>
      <c r="B562" s="1" t="n">
        <v>45579</v>
      </c>
      <c r="C562" s="1" t="n">
        <v>46011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43959-2023</t>
        </is>
      </c>
      <c r="B563" s="1" t="n">
        <v>45187.9603587963</v>
      </c>
      <c r="C563" s="1" t="n">
        <v>46011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4124-2023</t>
        </is>
      </c>
      <c r="B564" s="1" t="n">
        <v>44952</v>
      </c>
      <c r="C564" s="1" t="n">
        <v>46011</v>
      </c>
      <c r="D564" t="inlineStr">
        <is>
          <t>VÄSTERNORRLANDS LÄN</t>
        </is>
      </c>
      <c r="E564" t="inlineStr">
        <is>
          <t>TIMRÅ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18375-2025</t>
        </is>
      </c>
      <c r="B565" s="1" t="n">
        <v>45762.57328703703</v>
      </c>
      <c r="C565" s="1" t="n">
        <v>46011</v>
      </c>
      <c r="D565" t="inlineStr">
        <is>
          <t>VÄSTERNORRLANDS LÄN</t>
        </is>
      </c>
      <c r="E565" t="inlineStr">
        <is>
          <t>TIMRÅ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52346-2024</t>
        </is>
      </c>
      <c r="B566" s="1" t="n">
        <v>45609.34423611111</v>
      </c>
      <c r="C566" s="1" t="n">
        <v>46011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HYPERLINK("https://klasma.github.io/Logging_2262/knärot/A 52346-2024 karta knärot.png", "A 52346-2024")</f>
        <v/>
      </c>
      <c r="V566">
        <f>HYPERLINK("https://klasma.github.io/Logging_2262/klagomål/A 52346-2024 FSC-klagomål.docx", "A 52346-2024")</f>
        <v/>
      </c>
      <c r="W566">
        <f>HYPERLINK("https://klasma.github.io/Logging_2262/klagomålsmail/A 52346-2024 FSC-klagomål mail.docx", "A 52346-2024")</f>
        <v/>
      </c>
      <c r="X566">
        <f>HYPERLINK("https://klasma.github.io/Logging_2262/tillsyn/A 52346-2024 tillsynsbegäran.docx", "A 52346-2024")</f>
        <v/>
      </c>
      <c r="Y566">
        <f>HYPERLINK("https://klasma.github.io/Logging_2262/tillsynsmail/A 52346-2024 tillsynsbegäran mail.docx", "A 52346-2024")</f>
        <v/>
      </c>
    </row>
    <row r="567" ht="15" customHeight="1">
      <c r="A567" t="inlineStr">
        <is>
          <t>A 44378-2023</t>
        </is>
      </c>
      <c r="B567" s="1" t="n">
        <v>45188.92491898148</v>
      </c>
      <c r="C567" s="1" t="n">
        <v>46011</v>
      </c>
      <c r="D567" t="inlineStr">
        <is>
          <t>VÄSTERNORRLANDS LÄN</t>
        </is>
      </c>
      <c r="E567" t="inlineStr">
        <is>
          <t>TIMRÅ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1416-2023</t>
        </is>
      </c>
      <c r="B568" s="1" t="n">
        <v>44936.92666666667</v>
      </c>
      <c r="C568" s="1" t="n">
        <v>46011</v>
      </c>
      <c r="D568" t="inlineStr">
        <is>
          <t>VÄSTERNORRLANDS LÄN</t>
        </is>
      </c>
      <c r="E568" t="inlineStr">
        <is>
          <t>TIMRÅ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2403-2025</t>
        </is>
      </c>
      <c r="B569" s="1" t="n">
        <v>45672</v>
      </c>
      <c r="C569" s="1" t="n">
        <v>46011</v>
      </c>
      <c r="D569" t="inlineStr">
        <is>
          <t>VÄSTERNORRLANDS LÄN</t>
        </is>
      </c>
      <c r="E569" t="inlineStr">
        <is>
          <t>TIMRÅ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55602-2024</t>
        </is>
      </c>
      <c r="B570" s="1" t="n">
        <v>45622</v>
      </c>
      <c r="C570" s="1" t="n">
        <v>46011</v>
      </c>
      <c r="D570" t="inlineStr">
        <is>
          <t>VÄSTERNORRLANDS LÄN</t>
        </is>
      </c>
      <c r="E570" t="inlineStr">
        <is>
          <t>TIMRÅ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16863-2024</t>
        </is>
      </c>
      <c r="B571" s="1" t="n">
        <v>45411</v>
      </c>
      <c r="C571" s="1" t="n">
        <v>46011</v>
      </c>
      <c r="D571" t="inlineStr">
        <is>
          <t>VÄSTERNORRLANDS LÄN</t>
        </is>
      </c>
      <c r="E571" t="inlineStr">
        <is>
          <t>TIMRÅ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53293-2024</t>
        </is>
      </c>
      <c r="B572" s="1" t="n">
        <v>45614.38722222222</v>
      </c>
      <c r="C572" s="1" t="n">
        <v>46011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53298-2024</t>
        </is>
      </c>
      <c r="B573" s="1" t="n">
        <v>45614.38810185185</v>
      </c>
      <c r="C573" s="1" t="n">
        <v>46011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53299-2024</t>
        </is>
      </c>
      <c r="B574" s="1" t="n">
        <v>45614.38815972222</v>
      </c>
      <c r="C574" s="1" t="n">
        <v>46011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54547-2024</t>
        </is>
      </c>
      <c r="B575" s="1" t="n">
        <v>45617.61572916667</v>
      </c>
      <c r="C575" s="1" t="n">
        <v>46011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24988-2022</t>
        </is>
      </c>
      <c r="B576" s="1" t="n">
        <v>44728</v>
      </c>
      <c r="C576" s="1" t="n">
        <v>46011</v>
      </c>
      <c r="D576" t="inlineStr">
        <is>
          <t>VÄSTERNORRLANDS LÄN</t>
        </is>
      </c>
      <c r="E576" t="inlineStr">
        <is>
          <t>TIMRÅ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44405-2023</t>
        </is>
      </c>
      <c r="B577" s="1" t="n">
        <v>45188</v>
      </c>
      <c r="C577" s="1" t="n">
        <v>46011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14578-2024</t>
        </is>
      </c>
      <c r="B578" s="1" t="n">
        <v>45394.95059027777</v>
      </c>
      <c r="C578" s="1" t="n">
        <v>46011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48031-2024</t>
        </is>
      </c>
      <c r="B579" s="1" t="n">
        <v>45589.48760416666</v>
      </c>
      <c r="C579" s="1" t="n">
        <v>46011</v>
      </c>
      <c r="D579" t="inlineStr">
        <is>
          <t>VÄSTERNORRLANDS LÄN</t>
        </is>
      </c>
      <c r="E579" t="inlineStr">
        <is>
          <t>TIMRÅ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27623-2024</t>
        </is>
      </c>
      <c r="B580" s="1" t="n">
        <v>45474</v>
      </c>
      <c r="C580" s="1" t="n">
        <v>46011</v>
      </c>
      <c r="D580" t="inlineStr">
        <is>
          <t>VÄSTERNORRLANDS LÄN</t>
        </is>
      </c>
      <c r="E580" t="inlineStr">
        <is>
          <t>TIMRÅ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19244-2023</t>
        </is>
      </c>
      <c r="B581" s="1" t="n">
        <v>45048</v>
      </c>
      <c r="C581" s="1" t="n">
        <v>46011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24304-2022</t>
        </is>
      </c>
      <c r="B582" s="1" t="n">
        <v>44725</v>
      </c>
      <c r="C582" s="1" t="n">
        <v>46011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45608-2024</t>
        </is>
      </c>
      <c r="B583" s="1" t="n">
        <v>45579.4483912037</v>
      </c>
      <c r="C583" s="1" t="n">
        <v>46011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45629-2024</t>
        </is>
      </c>
      <c r="B584" s="1" t="n">
        <v>45579.46957175926</v>
      </c>
      <c r="C584" s="1" t="n">
        <v>46011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57762-2023</t>
        </is>
      </c>
      <c r="B585" s="1" t="n">
        <v>45246</v>
      </c>
      <c r="C585" s="1" t="n">
        <v>46011</v>
      </c>
      <c r="D585" t="inlineStr">
        <is>
          <t>VÄSTERNORRLANDS LÄN</t>
        </is>
      </c>
      <c r="E585" t="inlineStr">
        <is>
          <t>TIMRÅ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44991-2023</t>
        </is>
      </c>
      <c r="B586" s="1" t="n">
        <v>45190</v>
      </c>
      <c r="C586" s="1" t="n">
        <v>46011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33667-2023</t>
        </is>
      </c>
      <c r="B587" s="1" t="n">
        <v>45119</v>
      </c>
      <c r="C587" s="1" t="n">
        <v>46011</v>
      </c>
      <c r="D587" t="inlineStr">
        <is>
          <t>VÄSTERNORRLANDS LÄN</t>
        </is>
      </c>
      <c r="E587" t="inlineStr">
        <is>
          <t>TIMRÅ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13254-2023</t>
        </is>
      </c>
      <c r="B588" s="1" t="n">
        <v>45002</v>
      </c>
      <c r="C588" s="1" t="n">
        <v>46011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20835-2023</t>
        </is>
      </c>
      <c r="B589" s="1" t="n">
        <v>45058</v>
      </c>
      <c r="C589" s="1" t="n">
        <v>46011</v>
      </c>
      <c r="D589" t="inlineStr">
        <is>
          <t>VÄSTERNORRLANDS LÄN</t>
        </is>
      </c>
      <c r="E589" t="inlineStr">
        <is>
          <t>TIMRÅ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20839-2023</t>
        </is>
      </c>
      <c r="B590" s="1" t="n">
        <v>45058.68923611111</v>
      </c>
      <c r="C590" s="1" t="n">
        <v>46011</v>
      </c>
      <c r="D590" t="inlineStr">
        <is>
          <t>VÄSTERNORRLANDS LÄN</t>
        </is>
      </c>
      <c r="E590" t="inlineStr">
        <is>
          <t>TIMRÅ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47150-2023</t>
        </is>
      </c>
      <c r="B591" s="1" t="n">
        <v>45201</v>
      </c>
      <c r="C591" s="1" t="n">
        <v>46011</v>
      </c>
      <c r="D591" t="inlineStr">
        <is>
          <t>VÄSTERNORRLANDS LÄN</t>
        </is>
      </c>
      <c r="E591" t="inlineStr">
        <is>
          <t>TIMRÅ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20840-2023</t>
        </is>
      </c>
      <c r="B592" s="1" t="n">
        <v>45058</v>
      </c>
      <c r="C592" s="1" t="n">
        <v>46011</v>
      </c>
      <c r="D592" t="inlineStr">
        <is>
          <t>VÄSTERNORRLANDS LÄN</t>
        </is>
      </c>
      <c r="E592" t="inlineStr">
        <is>
          <t>TIMRÅ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524-2023</t>
        </is>
      </c>
      <c r="B593" s="1" t="n">
        <v>44924</v>
      </c>
      <c r="C593" s="1" t="n">
        <v>46011</v>
      </c>
      <c r="D593" t="inlineStr">
        <is>
          <t>VÄSTERNORRLANDS LÄN</t>
        </is>
      </c>
      <c r="E593" t="inlineStr">
        <is>
          <t>TIMRÅ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9717-2025</t>
        </is>
      </c>
      <c r="B594" s="1" t="n">
        <v>45716</v>
      </c>
      <c r="C594" s="1" t="n">
        <v>46011</v>
      </c>
      <c r="D594" t="inlineStr">
        <is>
          <t>VÄSTERNORRLANDS LÄN</t>
        </is>
      </c>
      <c r="E594" t="inlineStr">
        <is>
          <t>TIMRÅ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56443-2024</t>
        </is>
      </c>
      <c r="B595" s="1" t="n">
        <v>45625</v>
      </c>
      <c r="C595" s="1" t="n">
        <v>46011</v>
      </c>
      <c r="D595" t="inlineStr">
        <is>
          <t>VÄSTERNORRLANDS LÄN</t>
        </is>
      </c>
      <c r="E595" t="inlineStr">
        <is>
          <t>TIMRÅ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39691-2022</t>
        </is>
      </c>
      <c r="B596" s="1" t="n">
        <v>44818.9474537037</v>
      </c>
      <c r="C596" s="1" t="n">
        <v>46011</v>
      </c>
      <c r="D596" t="inlineStr">
        <is>
          <t>VÄSTERNORRLANDS LÄN</t>
        </is>
      </c>
      <c r="E596" t="inlineStr">
        <is>
          <t>TIMRÅ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55080-2024</t>
        </is>
      </c>
      <c r="B597" s="1" t="n">
        <v>45621.4275462963</v>
      </c>
      <c r="C597" s="1" t="n">
        <v>46011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38996-2024</t>
        </is>
      </c>
      <c r="B598" s="1" t="n">
        <v>45548.41377314815</v>
      </c>
      <c r="C598" s="1" t="n">
        <v>46011</v>
      </c>
      <c r="D598" t="inlineStr">
        <is>
          <t>VÄSTERNORRLANDS LÄN</t>
        </is>
      </c>
      <c r="E598" t="inlineStr">
        <is>
          <t>TIMRÅ</t>
        </is>
      </c>
      <c r="G598" t="n">
        <v>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57063-2024</t>
        </is>
      </c>
      <c r="B599" s="1" t="n">
        <v>45629.35313657407</v>
      </c>
      <c r="C599" s="1" t="n">
        <v>46011</v>
      </c>
      <c r="D599" t="inlineStr">
        <is>
          <t>VÄSTERNORRLANDS LÄN</t>
        </is>
      </c>
      <c r="E599" t="inlineStr">
        <is>
          <t>TIMRÅ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16315-2024</t>
        </is>
      </c>
      <c r="B600" s="1" t="n">
        <v>45407</v>
      </c>
      <c r="C600" s="1" t="n">
        <v>46011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Kommuner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20843-2023</t>
        </is>
      </c>
      <c r="B601" s="1" t="n">
        <v>45058</v>
      </c>
      <c r="C601" s="1" t="n">
        <v>46011</v>
      </c>
      <c r="D601" t="inlineStr">
        <is>
          <t>VÄSTERNORRLANDS LÄN</t>
        </is>
      </c>
      <c r="E601" t="inlineStr">
        <is>
          <t>TIMRÅ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20844-2023</t>
        </is>
      </c>
      <c r="B602" s="1" t="n">
        <v>45058</v>
      </c>
      <c r="C602" s="1" t="n">
        <v>46011</v>
      </c>
      <c r="D602" t="inlineStr">
        <is>
          <t>VÄSTERNORRLANDS LÄN</t>
        </is>
      </c>
      <c r="E602" t="inlineStr">
        <is>
          <t>TIMRÅ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60681-2024</t>
        </is>
      </c>
      <c r="B603" s="1" t="n">
        <v>45642</v>
      </c>
      <c r="C603" s="1" t="n">
        <v>46011</v>
      </c>
      <c r="D603" t="inlineStr">
        <is>
          <t>VÄSTERNORRLANDS LÄN</t>
        </is>
      </c>
      <c r="E603" t="inlineStr">
        <is>
          <t>TIMRÅ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HYPERLINK("https://klasma.github.io/Logging_2262/knärot/A 60681-2024 karta knärot.png", "A 60681-2024")</f>
        <v/>
      </c>
      <c r="V603">
        <f>HYPERLINK("https://klasma.github.io/Logging_2262/klagomål/A 60681-2024 FSC-klagomål.docx", "A 60681-2024")</f>
        <v/>
      </c>
      <c r="W603">
        <f>HYPERLINK("https://klasma.github.io/Logging_2262/klagomålsmail/A 60681-2024 FSC-klagomål mail.docx", "A 60681-2024")</f>
        <v/>
      </c>
      <c r="X603">
        <f>HYPERLINK("https://klasma.github.io/Logging_2262/tillsyn/A 60681-2024 tillsynsbegäran.docx", "A 60681-2024")</f>
        <v/>
      </c>
      <c r="Y603">
        <f>HYPERLINK("https://klasma.github.io/Logging_2262/tillsynsmail/A 60681-2024 tillsynsbegäran mail.docx", "A 60681-2024")</f>
        <v/>
      </c>
    </row>
    <row r="604" ht="15" customHeight="1">
      <c r="A604" t="inlineStr">
        <is>
          <t>A 17974-2025</t>
        </is>
      </c>
      <c r="B604" s="1" t="n">
        <v>45761</v>
      </c>
      <c r="C604" s="1" t="n">
        <v>46011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21483-2025</t>
        </is>
      </c>
      <c r="B605" s="1" t="n">
        <v>45782.59474537037</v>
      </c>
      <c r="C605" s="1" t="n">
        <v>46011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21286-2025</t>
        </is>
      </c>
      <c r="B606" s="1" t="n">
        <v>45779.69825231482</v>
      </c>
      <c r="C606" s="1" t="n">
        <v>46011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8.9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21596-2025</t>
        </is>
      </c>
      <c r="B607" s="1" t="n">
        <v>45783.34482638889</v>
      </c>
      <c r="C607" s="1" t="n">
        <v>46011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21998-2025</t>
        </is>
      </c>
      <c r="B608" s="1" t="n">
        <v>45784.69828703703</v>
      </c>
      <c r="C608" s="1" t="n">
        <v>46011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21764-2025</t>
        </is>
      </c>
      <c r="B609" s="1" t="n">
        <v>45783.63800925926</v>
      </c>
      <c r="C609" s="1" t="n">
        <v>46011</v>
      </c>
      <c r="D609" t="inlineStr">
        <is>
          <t>VÄSTERNORRLANDS LÄN</t>
        </is>
      </c>
      <c r="E609" t="inlineStr">
        <is>
          <t>TIMRÅ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21599-2025</t>
        </is>
      </c>
      <c r="B610" s="1" t="n">
        <v>45783.34505787037</v>
      </c>
      <c r="C610" s="1" t="n">
        <v>46011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8.300000000000001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21929-2025</t>
        </is>
      </c>
      <c r="B611" s="1" t="n">
        <v>45784.55241898148</v>
      </c>
      <c r="C611" s="1" t="n">
        <v>46011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21760-2025</t>
        </is>
      </c>
      <c r="B612" s="1" t="n">
        <v>45783.63148148148</v>
      </c>
      <c r="C612" s="1" t="n">
        <v>46011</v>
      </c>
      <c r="D612" t="inlineStr">
        <is>
          <t>VÄSTERNORRLANDS LÄN</t>
        </is>
      </c>
      <c r="E612" t="inlineStr">
        <is>
          <t>TIMRÅ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22368-2024</t>
        </is>
      </c>
      <c r="B613" s="1" t="n">
        <v>45446</v>
      </c>
      <c r="C613" s="1" t="n">
        <v>46011</v>
      </c>
      <c r="D613" t="inlineStr">
        <is>
          <t>VÄSTERNORRLANDS LÄN</t>
        </is>
      </c>
      <c r="E613" t="inlineStr">
        <is>
          <t>TIMRÅ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23670-2022</t>
        </is>
      </c>
      <c r="B614" s="1" t="n">
        <v>44721.92605324074</v>
      </c>
      <c r="C614" s="1" t="n">
        <v>46011</v>
      </c>
      <c r="D614" t="inlineStr">
        <is>
          <t>VÄSTERNORRLANDS LÄN</t>
        </is>
      </c>
      <c r="E614" t="inlineStr">
        <is>
          <t>TIMRÅ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22240-2025</t>
        </is>
      </c>
      <c r="B615" s="1" t="n">
        <v>45785.67780092593</v>
      </c>
      <c r="C615" s="1" t="n">
        <v>46011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44030-2024</t>
        </is>
      </c>
      <c r="B616" s="1" t="n">
        <v>45572</v>
      </c>
      <c r="C616" s="1" t="n">
        <v>46011</v>
      </c>
      <c r="D616" t="inlineStr">
        <is>
          <t>VÄSTERNORRLANDS LÄN</t>
        </is>
      </c>
      <c r="E616" t="inlineStr">
        <is>
          <t>TIMRÅ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22389-2025</t>
        </is>
      </c>
      <c r="B617" s="1" t="n">
        <v>45786.51099537037</v>
      </c>
      <c r="C617" s="1" t="n">
        <v>46011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36.5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22820-2025</t>
        </is>
      </c>
      <c r="B618" s="1" t="n">
        <v>45789.71949074074</v>
      </c>
      <c r="C618" s="1" t="n">
        <v>46011</v>
      </c>
      <c r="D618" t="inlineStr">
        <is>
          <t>VÄSTERNORRLANDS LÄN</t>
        </is>
      </c>
      <c r="E618" t="inlineStr">
        <is>
          <t>TIMRÅ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22821-2025</t>
        </is>
      </c>
      <c r="B619" s="1" t="n">
        <v>45789.71967592592</v>
      </c>
      <c r="C619" s="1" t="n">
        <v>46011</v>
      </c>
      <c r="D619" t="inlineStr">
        <is>
          <t>VÄSTERNORRLANDS LÄN</t>
        </is>
      </c>
      <c r="E619" t="inlineStr">
        <is>
          <t>TIMRÅ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22668-2025</t>
        </is>
      </c>
      <c r="B620" s="1" t="n">
        <v>45789</v>
      </c>
      <c r="C620" s="1" t="n">
        <v>46011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22818-2025</t>
        </is>
      </c>
      <c r="B621" s="1" t="n">
        <v>45789.71915509259</v>
      </c>
      <c r="C621" s="1" t="n">
        <v>46011</v>
      </c>
      <c r="D621" t="inlineStr">
        <is>
          <t>VÄSTERNORRLANDS LÄN</t>
        </is>
      </c>
      <c r="E621" t="inlineStr">
        <is>
          <t>TIMRÅ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22855-2025</t>
        </is>
      </c>
      <c r="B622" s="1" t="n">
        <v>45790.34469907408</v>
      </c>
      <c r="C622" s="1" t="n">
        <v>46011</v>
      </c>
      <c r="D622" t="inlineStr">
        <is>
          <t>VÄSTERNORRLANDS LÄN</t>
        </is>
      </c>
      <c r="E622" t="inlineStr">
        <is>
          <t>TIMRÅ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23030-2025</t>
        </is>
      </c>
      <c r="B623" s="1" t="n">
        <v>45790.65737268519</v>
      </c>
      <c r="C623" s="1" t="n">
        <v>46011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23346-2025</t>
        </is>
      </c>
      <c r="B624" s="1" t="n">
        <v>45791.65733796296</v>
      </c>
      <c r="C624" s="1" t="n">
        <v>46011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61373-2022</t>
        </is>
      </c>
      <c r="B625" s="1" t="n">
        <v>44915</v>
      </c>
      <c r="C625" s="1" t="n">
        <v>46011</v>
      </c>
      <c r="D625" t="inlineStr">
        <is>
          <t>VÄSTERNORRLANDS LÄN</t>
        </is>
      </c>
      <c r="E625" t="inlineStr">
        <is>
          <t>TIMRÅ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23173-2025</t>
        </is>
      </c>
      <c r="B626" s="1" t="n">
        <v>45791.42796296296</v>
      </c>
      <c r="C626" s="1" t="n">
        <v>46011</v>
      </c>
      <c r="D626" t="inlineStr">
        <is>
          <t>VÄSTERNORRLANDS LÄN</t>
        </is>
      </c>
      <c r="E626" t="inlineStr">
        <is>
          <t>TIMRÅ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HYPERLINK("https://klasma.github.io/Logging_2262/knärot/A 23173-2025 karta knärot.png", "A 23173-2025")</f>
        <v/>
      </c>
      <c r="V626">
        <f>HYPERLINK("https://klasma.github.io/Logging_2262/klagomål/A 23173-2025 FSC-klagomål.docx", "A 23173-2025")</f>
        <v/>
      </c>
      <c r="W626">
        <f>HYPERLINK("https://klasma.github.io/Logging_2262/klagomålsmail/A 23173-2025 FSC-klagomål mail.docx", "A 23173-2025")</f>
        <v/>
      </c>
      <c r="X626">
        <f>HYPERLINK("https://klasma.github.io/Logging_2262/tillsyn/A 23173-2025 tillsynsbegäran.docx", "A 23173-2025")</f>
        <v/>
      </c>
      <c r="Y626">
        <f>HYPERLINK("https://klasma.github.io/Logging_2262/tillsynsmail/A 23173-2025 tillsynsbegäran mail.docx", "A 23173-2025")</f>
        <v/>
      </c>
    </row>
    <row r="627" ht="15" customHeight="1">
      <c r="A627" t="inlineStr">
        <is>
          <t>A 2123-2025</t>
        </is>
      </c>
      <c r="B627" s="1" t="n">
        <v>45672</v>
      </c>
      <c r="C627" s="1" t="n">
        <v>46011</v>
      </c>
      <c r="D627" t="inlineStr">
        <is>
          <t>VÄSTERNORRLANDS LÄN</t>
        </is>
      </c>
      <c r="E627" t="inlineStr">
        <is>
          <t>TIMRÅ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23839-2025</t>
        </is>
      </c>
      <c r="B628" s="1" t="n">
        <v>45793.61495370371</v>
      </c>
      <c r="C628" s="1" t="n">
        <v>46011</v>
      </c>
      <c r="D628" t="inlineStr">
        <is>
          <t>VÄSTERNORRLANDS LÄN</t>
        </is>
      </c>
      <c r="E628" t="inlineStr">
        <is>
          <t>TIMRÅ</t>
        </is>
      </c>
      <c r="F628" t="inlineStr">
        <is>
          <t>SCA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7152-2022</t>
        </is>
      </c>
      <c r="B629" s="1" t="n">
        <v>44603.92236111111</v>
      </c>
      <c r="C629" s="1" t="n">
        <v>46011</v>
      </c>
      <c r="D629" t="inlineStr">
        <is>
          <t>VÄSTERNORRLANDS LÄN</t>
        </is>
      </c>
      <c r="E629" t="inlineStr">
        <is>
          <t>TIMRÅ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2025-12-20T14:10:01Z</dcterms:created>
  <dcterms:modified xmlns:dcterms="http://purl.org/dc/terms/" xmlns:xsi="http://www.w3.org/2001/XMLSchema-instance" xsi:type="dcterms:W3CDTF">2025-12-20T14:10:02Z</dcterms:modified>
</cp:coreProperties>
</file>