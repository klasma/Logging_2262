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45764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45764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45764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45764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45764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45764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45764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45764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45764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45764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45764</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45764</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45764</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45764</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45764</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45764</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45764</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45764</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45764</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45764</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45764</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45764</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45764</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45764</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45764</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45764</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45764</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45764</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45764</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45764</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45764</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45764</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45764</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45764</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45764</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45764</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45764</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45764</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45764</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45764</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45764</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45764</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45764</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45764</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45764</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45764</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45764</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45764</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45764</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45764</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45764</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45764</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45764</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45764</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45764</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45764</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45764</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45764</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45764</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45764</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45764</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45764</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45764</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45764</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66710-2019</t>
        </is>
      </c>
      <c r="B66" s="1" t="n">
        <v>43809</v>
      </c>
      <c r="C66" s="1" t="n">
        <v>45764</v>
      </c>
      <c r="D66" t="inlineStr">
        <is>
          <t>VÄSTERNORRLANDS LÄN</t>
        </is>
      </c>
      <c r="E66" t="inlineStr">
        <is>
          <t>TIMRÅ</t>
        </is>
      </c>
      <c r="G66" t="n">
        <v>2.9</v>
      </c>
      <c r="H66" t="n">
        <v>0</v>
      </c>
      <c r="I66" t="n">
        <v>0</v>
      </c>
      <c r="J66" t="n">
        <v>1</v>
      </c>
      <c r="K66" t="n">
        <v>0</v>
      </c>
      <c r="L66" t="n">
        <v>0</v>
      </c>
      <c r="M66" t="n">
        <v>0</v>
      </c>
      <c r="N66" t="n">
        <v>0</v>
      </c>
      <c r="O66" t="n">
        <v>1</v>
      </c>
      <c r="P66" t="n">
        <v>0</v>
      </c>
      <c r="Q66" t="n">
        <v>1</v>
      </c>
      <c r="R66" s="2" t="inlineStr">
        <is>
          <t>Ullticka</t>
        </is>
      </c>
      <c r="S66">
        <f>HYPERLINK("https://klasma.github.io/Logging_2262/artfynd/A 66710-2019 artfynd.xlsx", "A 66710-2019")</f>
        <v/>
      </c>
      <c r="T66">
        <f>HYPERLINK("https://klasma.github.io/Logging_2262/kartor/A 66710-2019 karta.png", "A 66710-2019")</f>
        <v/>
      </c>
      <c r="V66">
        <f>HYPERLINK("https://klasma.github.io/Logging_2262/klagomål/A 66710-2019 FSC-klagomål.docx", "A 66710-2019")</f>
        <v/>
      </c>
      <c r="W66">
        <f>HYPERLINK("https://klasma.github.io/Logging_2262/klagomålsmail/A 66710-2019 FSC-klagomål mail.docx", "A 66710-2019")</f>
        <v/>
      </c>
      <c r="X66">
        <f>HYPERLINK("https://klasma.github.io/Logging_2262/tillsyn/A 66710-2019 tillsynsbegäran.docx", "A 66710-2019")</f>
        <v/>
      </c>
      <c r="Y66">
        <f>HYPERLINK("https://klasma.github.io/Logging_2262/tillsynsmail/A 66710-2019 tillsynsbegäran mail.docx", "A 66710-2019")</f>
        <v/>
      </c>
    </row>
    <row r="67" ht="15" customHeight="1">
      <c r="A67" t="inlineStr">
        <is>
          <t>A 24277-2020</t>
        </is>
      </c>
      <c r="B67" s="1" t="n">
        <v>43971</v>
      </c>
      <c r="C67" s="1" t="n">
        <v>45764</v>
      </c>
      <c r="D67" t="inlineStr">
        <is>
          <t>VÄSTERNORRLANDS LÄN</t>
        </is>
      </c>
      <c r="E67" t="inlineStr">
        <is>
          <t>TIMRÅ</t>
        </is>
      </c>
      <c r="G67" t="n">
        <v>6</v>
      </c>
      <c r="H67" t="n">
        <v>1</v>
      </c>
      <c r="I67" t="n">
        <v>0</v>
      </c>
      <c r="J67" t="n">
        <v>0</v>
      </c>
      <c r="K67" t="n">
        <v>1</v>
      </c>
      <c r="L67" t="n">
        <v>0</v>
      </c>
      <c r="M67" t="n">
        <v>0</v>
      </c>
      <c r="N67" t="n">
        <v>0</v>
      </c>
      <c r="O67" t="n">
        <v>1</v>
      </c>
      <c r="P67" t="n">
        <v>1</v>
      </c>
      <c r="Q67" t="n">
        <v>1</v>
      </c>
      <c r="R67" s="2" t="inlineStr">
        <is>
          <t>Bergviol</t>
        </is>
      </c>
      <c r="S67">
        <f>HYPERLINK("https://klasma.github.io/Logging_2262/artfynd/A 24277-2020 artfynd.xlsx", "A 24277-2020")</f>
        <v/>
      </c>
      <c r="T67">
        <f>HYPERLINK("https://klasma.github.io/Logging_2262/kartor/A 24277-2020 karta.png", "A 24277-2020")</f>
        <v/>
      </c>
      <c r="V67">
        <f>HYPERLINK("https://klasma.github.io/Logging_2262/klagomål/A 24277-2020 FSC-klagomål.docx", "A 24277-2020")</f>
        <v/>
      </c>
      <c r="W67">
        <f>HYPERLINK("https://klasma.github.io/Logging_2262/klagomålsmail/A 24277-2020 FSC-klagomål mail.docx", "A 24277-2020")</f>
        <v/>
      </c>
      <c r="X67">
        <f>HYPERLINK("https://klasma.github.io/Logging_2262/tillsyn/A 24277-2020 tillsynsbegäran.docx", "A 24277-2020")</f>
        <v/>
      </c>
      <c r="Y67">
        <f>HYPERLINK("https://klasma.github.io/Logging_2262/tillsynsmail/A 24277-2020 tillsynsbegäran mail.docx", "A 24277-2020")</f>
        <v/>
      </c>
    </row>
    <row r="68" ht="15" customHeight="1">
      <c r="A68" t="inlineStr">
        <is>
          <t>A 27879-2020</t>
        </is>
      </c>
      <c r="B68" s="1" t="n">
        <v>43994</v>
      </c>
      <c r="C68" s="1" t="n">
        <v>45764</v>
      </c>
      <c r="D68" t="inlineStr">
        <is>
          <t>VÄSTERNORRLANDS LÄN</t>
        </is>
      </c>
      <c r="E68" t="inlineStr">
        <is>
          <t>TIMRÅ</t>
        </is>
      </c>
      <c r="G68" t="n">
        <v>5.5</v>
      </c>
      <c r="H68" t="n">
        <v>1</v>
      </c>
      <c r="I68" t="n">
        <v>0</v>
      </c>
      <c r="J68" t="n">
        <v>0</v>
      </c>
      <c r="K68" t="n">
        <v>0</v>
      </c>
      <c r="L68" t="n">
        <v>0</v>
      </c>
      <c r="M68" t="n">
        <v>0</v>
      </c>
      <c r="N68" t="n">
        <v>0</v>
      </c>
      <c r="O68" t="n">
        <v>0</v>
      </c>
      <c r="P68" t="n">
        <v>0</v>
      </c>
      <c r="Q68" t="n">
        <v>1</v>
      </c>
      <c r="R68" s="2" t="inlineStr">
        <is>
          <t>Mindre vattensalamander</t>
        </is>
      </c>
      <c r="S68">
        <f>HYPERLINK("https://klasma.github.io/Logging_2262/artfynd/A 27879-2020 artfynd.xlsx", "A 27879-2020")</f>
        <v/>
      </c>
      <c r="T68">
        <f>HYPERLINK("https://klasma.github.io/Logging_2262/kartor/A 27879-2020 karta.png", "A 27879-2020")</f>
        <v/>
      </c>
      <c r="V68">
        <f>HYPERLINK("https://klasma.github.io/Logging_2262/klagomål/A 27879-2020 FSC-klagomål.docx", "A 27879-2020")</f>
        <v/>
      </c>
      <c r="W68">
        <f>HYPERLINK("https://klasma.github.io/Logging_2262/klagomålsmail/A 27879-2020 FSC-klagomål mail.docx", "A 27879-2020")</f>
        <v/>
      </c>
      <c r="X68">
        <f>HYPERLINK("https://klasma.github.io/Logging_2262/tillsyn/A 27879-2020 tillsynsbegäran.docx", "A 27879-2020")</f>
        <v/>
      </c>
      <c r="Y68">
        <f>HYPERLINK("https://klasma.github.io/Logging_2262/tillsynsmail/A 27879-2020 tillsynsbegäran mail.docx", "A 27879-2020")</f>
        <v/>
      </c>
    </row>
    <row r="69" ht="15" customHeight="1">
      <c r="A69" t="inlineStr">
        <is>
          <t>A 40407-2020</t>
        </is>
      </c>
      <c r="B69" s="1" t="n">
        <v>44068</v>
      </c>
      <c r="C69" s="1" t="n">
        <v>45764</v>
      </c>
      <c r="D69" t="inlineStr">
        <is>
          <t>VÄSTERNORRLANDS LÄN</t>
        </is>
      </c>
      <c r="E69" t="inlineStr">
        <is>
          <t>TIMRÅ</t>
        </is>
      </c>
      <c r="G69" t="n">
        <v>3.6</v>
      </c>
      <c r="H69" t="n">
        <v>0</v>
      </c>
      <c r="I69" t="n">
        <v>0</v>
      </c>
      <c r="J69" t="n">
        <v>1</v>
      </c>
      <c r="K69" t="n">
        <v>0</v>
      </c>
      <c r="L69" t="n">
        <v>0</v>
      </c>
      <c r="M69" t="n">
        <v>0</v>
      </c>
      <c r="N69" t="n">
        <v>0</v>
      </c>
      <c r="O69" t="n">
        <v>1</v>
      </c>
      <c r="P69" t="n">
        <v>0</v>
      </c>
      <c r="Q69" t="n">
        <v>1</v>
      </c>
      <c r="R69" s="2" t="inlineStr">
        <is>
          <t>Ullticka</t>
        </is>
      </c>
      <c r="S69">
        <f>HYPERLINK("https://klasma.github.io/Logging_2262/artfynd/A 40407-2020 artfynd.xlsx", "A 40407-2020")</f>
        <v/>
      </c>
      <c r="T69">
        <f>HYPERLINK("https://klasma.github.io/Logging_2262/kartor/A 40407-2020 karta.png", "A 40407-2020")</f>
        <v/>
      </c>
      <c r="V69">
        <f>HYPERLINK("https://klasma.github.io/Logging_2262/klagomål/A 40407-2020 FSC-klagomål.docx", "A 40407-2020")</f>
        <v/>
      </c>
      <c r="W69">
        <f>HYPERLINK("https://klasma.github.io/Logging_2262/klagomålsmail/A 40407-2020 FSC-klagomål mail.docx", "A 40407-2020")</f>
        <v/>
      </c>
      <c r="X69">
        <f>HYPERLINK("https://klasma.github.io/Logging_2262/tillsyn/A 40407-2020 tillsynsbegäran.docx", "A 40407-2020")</f>
        <v/>
      </c>
      <c r="Y69">
        <f>HYPERLINK("https://klasma.github.io/Logging_2262/tillsynsmail/A 40407-2020 tillsynsbegäran mail.docx", "A 40407-2020")</f>
        <v/>
      </c>
    </row>
    <row r="70" ht="15" customHeight="1">
      <c r="A70" t="inlineStr">
        <is>
          <t>A 69202-2020</t>
        </is>
      </c>
      <c r="B70" s="1" t="n">
        <v>44191</v>
      </c>
      <c r="C70" s="1" t="n">
        <v>45764</v>
      </c>
      <c r="D70" t="inlineStr">
        <is>
          <t>VÄSTERNORRLANDS LÄN</t>
        </is>
      </c>
      <c r="E70" t="inlineStr">
        <is>
          <t>TIMRÅ</t>
        </is>
      </c>
      <c r="F70" t="inlineStr">
        <is>
          <t>SCA</t>
        </is>
      </c>
      <c r="G70" t="n">
        <v>12</v>
      </c>
      <c r="H70" t="n">
        <v>0</v>
      </c>
      <c r="I70" t="n">
        <v>0</v>
      </c>
      <c r="J70" t="n">
        <v>1</v>
      </c>
      <c r="K70" t="n">
        <v>0</v>
      </c>
      <c r="L70" t="n">
        <v>0</v>
      </c>
      <c r="M70" t="n">
        <v>0</v>
      </c>
      <c r="N70" t="n">
        <v>0</v>
      </c>
      <c r="O70" t="n">
        <v>1</v>
      </c>
      <c r="P70" t="n">
        <v>0</v>
      </c>
      <c r="Q70" t="n">
        <v>1</v>
      </c>
      <c r="R70" s="2" t="inlineStr">
        <is>
          <t>Garnlav</t>
        </is>
      </c>
      <c r="S70">
        <f>HYPERLINK("https://klasma.github.io/Logging_2262/artfynd/A 69202-2020 artfynd.xlsx", "A 69202-2020")</f>
        <v/>
      </c>
      <c r="T70">
        <f>HYPERLINK("https://klasma.github.io/Logging_2262/kartor/A 69202-2020 karta.png", "A 69202-2020")</f>
        <v/>
      </c>
      <c r="V70">
        <f>HYPERLINK("https://klasma.github.io/Logging_2262/klagomål/A 69202-2020 FSC-klagomål.docx", "A 69202-2020")</f>
        <v/>
      </c>
      <c r="W70">
        <f>HYPERLINK("https://klasma.github.io/Logging_2262/klagomålsmail/A 69202-2020 FSC-klagomål mail.docx", "A 69202-2020")</f>
        <v/>
      </c>
      <c r="X70">
        <f>HYPERLINK("https://klasma.github.io/Logging_2262/tillsyn/A 69202-2020 tillsynsbegäran.docx", "A 69202-2020")</f>
        <v/>
      </c>
      <c r="Y70">
        <f>HYPERLINK("https://klasma.github.io/Logging_2262/tillsynsmail/A 69202-2020 tillsynsbegäran mail.docx", "A 69202-2020")</f>
        <v/>
      </c>
    </row>
    <row r="71" ht="15" customHeight="1">
      <c r="A71" t="inlineStr">
        <is>
          <t>A 18969-2021</t>
        </is>
      </c>
      <c r="B71" s="1" t="n">
        <v>44308</v>
      </c>
      <c r="C71" s="1" t="n">
        <v>45764</v>
      </c>
      <c r="D71" t="inlineStr">
        <is>
          <t>VÄSTERNORRLANDS LÄN</t>
        </is>
      </c>
      <c r="E71" t="inlineStr">
        <is>
          <t>TIMRÅ</t>
        </is>
      </c>
      <c r="G71" t="n">
        <v>7.4</v>
      </c>
      <c r="H71" t="n">
        <v>0</v>
      </c>
      <c r="I71" t="n">
        <v>1</v>
      </c>
      <c r="J71" t="n">
        <v>0</v>
      </c>
      <c r="K71" t="n">
        <v>0</v>
      </c>
      <c r="L71" t="n">
        <v>0</v>
      </c>
      <c r="M71" t="n">
        <v>0</v>
      </c>
      <c r="N71" t="n">
        <v>0</v>
      </c>
      <c r="O71" t="n">
        <v>0</v>
      </c>
      <c r="P71" t="n">
        <v>0</v>
      </c>
      <c r="Q71" t="n">
        <v>1</v>
      </c>
      <c r="R71" s="2" t="inlineStr">
        <is>
          <t>Strutbräken</t>
        </is>
      </c>
      <c r="S71">
        <f>HYPERLINK("https://klasma.github.io/Logging_2262/artfynd/A 18969-2021 artfynd.xlsx", "A 18969-2021")</f>
        <v/>
      </c>
      <c r="T71">
        <f>HYPERLINK("https://klasma.github.io/Logging_2262/kartor/A 18969-2021 karta.png", "A 18969-2021")</f>
        <v/>
      </c>
      <c r="V71">
        <f>HYPERLINK("https://klasma.github.io/Logging_2262/klagomål/A 18969-2021 FSC-klagomål.docx", "A 18969-2021")</f>
        <v/>
      </c>
      <c r="W71">
        <f>HYPERLINK("https://klasma.github.io/Logging_2262/klagomålsmail/A 18969-2021 FSC-klagomål mail.docx", "A 18969-2021")</f>
        <v/>
      </c>
      <c r="X71">
        <f>HYPERLINK("https://klasma.github.io/Logging_2262/tillsyn/A 18969-2021 tillsynsbegäran.docx", "A 18969-2021")</f>
        <v/>
      </c>
      <c r="Y71">
        <f>HYPERLINK("https://klasma.github.io/Logging_2262/tillsynsmail/A 18969-2021 tillsynsbegäran mail.docx", "A 18969-2021")</f>
        <v/>
      </c>
    </row>
    <row r="72" ht="15" customHeight="1">
      <c r="A72" t="inlineStr">
        <is>
          <t>A 20679-2021</t>
        </is>
      </c>
      <c r="B72" s="1" t="n">
        <v>44316</v>
      </c>
      <c r="C72" s="1" t="n">
        <v>45764</v>
      </c>
      <c r="D72" t="inlineStr">
        <is>
          <t>VÄSTERNORRLANDS LÄN</t>
        </is>
      </c>
      <c r="E72" t="inlineStr">
        <is>
          <t>TIMRÅ</t>
        </is>
      </c>
      <c r="G72" t="n">
        <v>12.6</v>
      </c>
      <c r="H72" t="n">
        <v>1</v>
      </c>
      <c r="I72" t="n">
        <v>0</v>
      </c>
      <c r="J72" t="n">
        <v>1</v>
      </c>
      <c r="K72" t="n">
        <v>0</v>
      </c>
      <c r="L72" t="n">
        <v>0</v>
      </c>
      <c r="M72" t="n">
        <v>0</v>
      </c>
      <c r="N72" t="n">
        <v>0</v>
      </c>
      <c r="O72" t="n">
        <v>1</v>
      </c>
      <c r="P72" t="n">
        <v>0</v>
      </c>
      <c r="Q72" t="n">
        <v>1</v>
      </c>
      <c r="R72" s="2" t="inlineStr">
        <is>
          <t>Havsörn</t>
        </is>
      </c>
      <c r="S72">
        <f>HYPERLINK("https://klasma.github.io/Logging_2262/artfynd/A 20679-2021 artfynd.xlsx", "A 20679-2021")</f>
        <v/>
      </c>
      <c r="T72">
        <f>HYPERLINK("https://klasma.github.io/Logging_2262/kartor/A 20679-2021 karta.png", "A 20679-2021")</f>
        <v/>
      </c>
      <c r="V72">
        <f>HYPERLINK("https://klasma.github.io/Logging_2262/klagomål/A 20679-2021 FSC-klagomål.docx", "A 20679-2021")</f>
        <v/>
      </c>
      <c r="W72">
        <f>HYPERLINK("https://klasma.github.io/Logging_2262/klagomålsmail/A 20679-2021 FSC-klagomål mail.docx", "A 20679-2021")</f>
        <v/>
      </c>
      <c r="X72">
        <f>HYPERLINK("https://klasma.github.io/Logging_2262/tillsyn/A 20679-2021 tillsynsbegäran.docx", "A 20679-2021")</f>
        <v/>
      </c>
      <c r="Y72">
        <f>HYPERLINK("https://klasma.github.io/Logging_2262/tillsynsmail/A 20679-2021 tillsynsbegäran mail.docx", "A 20679-2021")</f>
        <v/>
      </c>
      <c r="Z72">
        <f>HYPERLINK("https://klasma.github.io/Logging_2262/fåglar/A 20679-2021 prioriterade fågelarter.docx", "A 20679-2021")</f>
        <v/>
      </c>
    </row>
    <row r="73" ht="15" customHeight="1">
      <c r="A73" t="inlineStr">
        <is>
          <t>A 12753-2022</t>
        </is>
      </c>
      <c r="B73" s="1" t="n">
        <v>44641</v>
      </c>
      <c r="C73" s="1" t="n">
        <v>45764</v>
      </c>
      <c r="D73" t="inlineStr">
        <is>
          <t>VÄSTERNORRLANDS LÄN</t>
        </is>
      </c>
      <c r="E73" t="inlineStr">
        <is>
          <t>TIMRÅ</t>
        </is>
      </c>
      <c r="G73" t="n">
        <v>1.6</v>
      </c>
      <c r="H73" t="n">
        <v>0</v>
      </c>
      <c r="I73" t="n">
        <v>1</v>
      </c>
      <c r="J73" t="n">
        <v>0</v>
      </c>
      <c r="K73" t="n">
        <v>0</v>
      </c>
      <c r="L73" t="n">
        <v>0</v>
      </c>
      <c r="M73" t="n">
        <v>0</v>
      </c>
      <c r="N73" t="n">
        <v>0</v>
      </c>
      <c r="O73" t="n">
        <v>0</v>
      </c>
      <c r="P73" t="n">
        <v>0</v>
      </c>
      <c r="Q73" t="n">
        <v>1</v>
      </c>
      <c r="R73" s="2" t="inlineStr">
        <is>
          <t>Strutbräken</t>
        </is>
      </c>
      <c r="S73">
        <f>HYPERLINK("https://klasma.github.io/Logging_2262/artfynd/A 12753-2022 artfynd.xlsx", "A 12753-2022")</f>
        <v/>
      </c>
      <c r="T73">
        <f>HYPERLINK("https://klasma.github.io/Logging_2262/kartor/A 12753-2022 karta.png", "A 12753-2022")</f>
        <v/>
      </c>
      <c r="V73">
        <f>HYPERLINK("https://klasma.github.io/Logging_2262/klagomål/A 12753-2022 FSC-klagomål.docx", "A 12753-2022")</f>
        <v/>
      </c>
      <c r="W73">
        <f>HYPERLINK("https://klasma.github.io/Logging_2262/klagomålsmail/A 12753-2022 FSC-klagomål mail.docx", "A 12753-2022")</f>
        <v/>
      </c>
      <c r="X73">
        <f>HYPERLINK("https://klasma.github.io/Logging_2262/tillsyn/A 12753-2022 tillsynsbegäran.docx", "A 12753-2022")</f>
        <v/>
      </c>
      <c r="Y73">
        <f>HYPERLINK("https://klasma.github.io/Logging_2262/tillsynsmail/A 12753-2022 tillsynsbegäran mail.docx", "A 12753-2022")</f>
        <v/>
      </c>
    </row>
    <row r="74" ht="15" customHeight="1">
      <c r="A74" t="inlineStr">
        <is>
          <t>A 12785-2022</t>
        </is>
      </c>
      <c r="B74" s="1" t="n">
        <v>44641</v>
      </c>
      <c r="C74" s="1" t="n">
        <v>45764</v>
      </c>
      <c r="D74" t="inlineStr">
        <is>
          <t>VÄSTERNORRLANDS LÄN</t>
        </is>
      </c>
      <c r="E74" t="inlineStr">
        <is>
          <t>TIMRÅ</t>
        </is>
      </c>
      <c r="G74" t="n">
        <v>2.2</v>
      </c>
      <c r="H74" t="n">
        <v>0</v>
      </c>
      <c r="I74" t="n">
        <v>1</v>
      </c>
      <c r="J74" t="n">
        <v>0</v>
      </c>
      <c r="K74" t="n">
        <v>0</v>
      </c>
      <c r="L74" t="n">
        <v>0</v>
      </c>
      <c r="M74" t="n">
        <v>0</v>
      </c>
      <c r="N74" t="n">
        <v>0</v>
      </c>
      <c r="O74" t="n">
        <v>0</v>
      </c>
      <c r="P74" t="n">
        <v>0</v>
      </c>
      <c r="Q74" t="n">
        <v>1</v>
      </c>
      <c r="R74" s="2" t="inlineStr">
        <is>
          <t>Ögonpyrola</t>
        </is>
      </c>
      <c r="S74">
        <f>HYPERLINK("https://klasma.github.io/Logging_2262/artfynd/A 12785-2022 artfynd.xlsx", "A 12785-2022")</f>
        <v/>
      </c>
      <c r="T74">
        <f>HYPERLINK("https://klasma.github.io/Logging_2262/kartor/A 12785-2022 karta.png", "A 12785-2022")</f>
        <v/>
      </c>
      <c r="V74">
        <f>HYPERLINK("https://klasma.github.io/Logging_2262/klagomål/A 12785-2022 FSC-klagomål.docx", "A 12785-2022")</f>
        <v/>
      </c>
      <c r="W74">
        <f>HYPERLINK("https://klasma.github.io/Logging_2262/klagomålsmail/A 12785-2022 FSC-klagomål mail.docx", "A 12785-2022")</f>
        <v/>
      </c>
      <c r="X74">
        <f>HYPERLINK("https://klasma.github.io/Logging_2262/tillsyn/A 12785-2022 tillsynsbegäran.docx", "A 12785-2022")</f>
        <v/>
      </c>
      <c r="Y74">
        <f>HYPERLINK("https://klasma.github.io/Logging_2262/tillsynsmail/A 12785-2022 tillsynsbegäran mail.docx", "A 12785-2022")</f>
        <v/>
      </c>
    </row>
    <row r="75" ht="15" customHeight="1">
      <c r="A75" t="inlineStr">
        <is>
          <t>A 57242-2022</t>
        </is>
      </c>
      <c r="B75" s="1" t="n">
        <v>44889</v>
      </c>
      <c r="C75" s="1" t="n">
        <v>45764</v>
      </c>
      <c r="D75" t="inlineStr">
        <is>
          <t>VÄSTERNORRLANDS LÄN</t>
        </is>
      </c>
      <c r="E75" t="inlineStr">
        <is>
          <t>TIMRÅ</t>
        </is>
      </c>
      <c r="G75" t="n">
        <v>18.8</v>
      </c>
      <c r="H75" t="n">
        <v>0</v>
      </c>
      <c r="I75" t="n">
        <v>0</v>
      </c>
      <c r="J75" t="n">
        <v>0</v>
      </c>
      <c r="K75" t="n">
        <v>0</v>
      </c>
      <c r="L75" t="n">
        <v>1</v>
      </c>
      <c r="M75" t="n">
        <v>0</v>
      </c>
      <c r="N75" t="n">
        <v>0</v>
      </c>
      <c r="O75" t="n">
        <v>1</v>
      </c>
      <c r="P75" t="n">
        <v>1</v>
      </c>
      <c r="Q75" t="n">
        <v>1</v>
      </c>
      <c r="R75" s="2" t="inlineStr">
        <is>
          <t>Flodpärlmussla</t>
        </is>
      </c>
      <c r="S75">
        <f>HYPERLINK("https://klasma.github.io/Logging_2262/artfynd/A 57242-2022 artfynd.xlsx", "A 57242-2022")</f>
        <v/>
      </c>
      <c r="T75">
        <f>HYPERLINK("https://klasma.github.io/Logging_2262/kartor/A 57242-2022 karta.png", "A 57242-2022")</f>
        <v/>
      </c>
      <c r="V75">
        <f>HYPERLINK("https://klasma.github.io/Logging_2262/klagomål/A 57242-2022 FSC-klagomål.docx", "A 57242-2022")</f>
        <v/>
      </c>
      <c r="W75">
        <f>HYPERLINK("https://klasma.github.io/Logging_2262/klagomålsmail/A 57242-2022 FSC-klagomål mail.docx", "A 57242-2022")</f>
        <v/>
      </c>
      <c r="X75">
        <f>HYPERLINK("https://klasma.github.io/Logging_2262/tillsyn/A 57242-2022 tillsynsbegäran.docx", "A 57242-2022")</f>
        <v/>
      </c>
      <c r="Y75">
        <f>HYPERLINK("https://klasma.github.io/Logging_2262/tillsynsmail/A 57242-2022 tillsynsbegäran mail.docx", "A 57242-2022")</f>
        <v/>
      </c>
    </row>
    <row r="76" ht="15" customHeight="1">
      <c r="A76" t="inlineStr">
        <is>
          <t>A 10313-2023</t>
        </is>
      </c>
      <c r="B76" s="1" t="n">
        <v>44986</v>
      </c>
      <c r="C76" s="1" t="n">
        <v>45764</v>
      </c>
      <c r="D76" t="inlineStr">
        <is>
          <t>VÄSTERNORRLANDS LÄN</t>
        </is>
      </c>
      <c r="E76" t="inlineStr">
        <is>
          <t>TIMRÅ</t>
        </is>
      </c>
      <c r="F76" t="inlineStr">
        <is>
          <t>SCA</t>
        </is>
      </c>
      <c r="G76" t="n">
        <v>39.3</v>
      </c>
      <c r="H76" t="n">
        <v>1</v>
      </c>
      <c r="I76" t="n">
        <v>0</v>
      </c>
      <c r="J76" t="n">
        <v>1</v>
      </c>
      <c r="K76" t="n">
        <v>0</v>
      </c>
      <c r="L76" t="n">
        <v>0</v>
      </c>
      <c r="M76" t="n">
        <v>0</v>
      </c>
      <c r="N76" t="n">
        <v>0</v>
      </c>
      <c r="O76" t="n">
        <v>1</v>
      </c>
      <c r="P76" t="n">
        <v>0</v>
      </c>
      <c r="Q76" t="n">
        <v>1</v>
      </c>
      <c r="R76" s="2" t="inlineStr">
        <is>
          <t>Slaguggla</t>
        </is>
      </c>
      <c r="S76">
        <f>HYPERLINK("https://klasma.github.io/Logging_2262/artfynd/A 10313-2023 artfynd.xlsx", "A 10313-2023")</f>
        <v/>
      </c>
      <c r="T76">
        <f>HYPERLINK("https://klasma.github.io/Logging_2262/kartor/A 10313-2023 karta.png", "A 10313-2023")</f>
        <v/>
      </c>
      <c r="V76">
        <f>HYPERLINK("https://klasma.github.io/Logging_2262/klagomål/A 10313-2023 FSC-klagomål.docx", "A 10313-2023")</f>
        <v/>
      </c>
      <c r="W76">
        <f>HYPERLINK("https://klasma.github.io/Logging_2262/klagomålsmail/A 10313-2023 FSC-klagomål mail.docx", "A 10313-2023")</f>
        <v/>
      </c>
      <c r="X76">
        <f>HYPERLINK("https://klasma.github.io/Logging_2262/tillsyn/A 10313-2023 tillsynsbegäran.docx", "A 10313-2023")</f>
        <v/>
      </c>
      <c r="Y76">
        <f>HYPERLINK("https://klasma.github.io/Logging_2262/tillsynsmail/A 10313-2023 tillsynsbegäran mail.docx", "A 10313-2023")</f>
        <v/>
      </c>
      <c r="Z76">
        <f>HYPERLINK("https://klasma.github.io/Logging_2262/fåglar/A 10313-2023 prioriterade fågelarter.docx", "A 10313-2023")</f>
        <v/>
      </c>
    </row>
    <row r="77" ht="15" customHeight="1">
      <c r="A77" t="inlineStr">
        <is>
          <t>A 30850-2023</t>
        </is>
      </c>
      <c r="B77" s="1" t="n">
        <v>45112</v>
      </c>
      <c r="C77" s="1" t="n">
        <v>45764</v>
      </c>
      <c r="D77" t="inlineStr">
        <is>
          <t>VÄSTERNORRLANDS LÄN</t>
        </is>
      </c>
      <c r="E77" t="inlineStr">
        <is>
          <t>TIMRÅ</t>
        </is>
      </c>
      <c r="F77" t="inlineStr">
        <is>
          <t>SCA</t>
        </is>
      </c>
      <c r="G77" t="n">
        <v>16.1</v>
      </c>
      <c r="H77" t="n">
        <v>0</v>
      </c>
      <c r="I77" t="n">
        <v>0</v>
      </c>
      <c r="J77" t="n">
        <v>1</v>
      </c>
      <c r="K77" t="n">
        <v>0</v>
      </c>
      <c r="L77" t="n">
        <v>0</v>
      </c>
      <c r="M77" t="n">
        <v>0</v>
      </c>
      <c r="N77" t="n">
        <v>0</v>
      </c>
      <c r="O77" t="n">
        <v>1</v>
      </c>
      <c r="P77" t="n">
        <v>0</v>
      </c>
      <c r="Q77" t="n">
        <v>1</v>
      </c>
      <c r="R77" s="2" t="inlineStr">
        <is>
          <t>Lunglav</t>
        </is>
      </c>
      <c r="S77">
        <f>HYPERLINK("https://klasma.github.io/Logging_2262/artfynd/A 30850-2023 artfynd.xlsx", "A 30850-2023")</f>
        <v/>
      </c>
      <c r="T77">
        <f>HYPERLINK("https://klasma.github.io/Logging_2262/kartor/A 30850-2023 karta.png", "A 30850-2023")</f>
        <v/>
      </c>
      <c r="V77">
        <f>HYPERLINK("https://klasma.github.io/Logging_2262/klagomål/A 30850-2023 FSC-klagomål.docx", "A 30850-2023")</f>
        <v/>
      </c>
      <c r="W77">
        <f>HYPERLINK("https://klasma.github.io/Logging_2262/klagomålsmail/A 30850-2023 FSC-klagomål mail.docx", "A 30850-2023")</f>
        <v/>
      </c>
      <c r="X77">
        <f>HYPERLINK("https://klasma.github.io/Logging_2262/tillsyn/A 30850-2023 tillsynsbegäran.docx", "A 30850-2023")</f>
        <v/>
      </c>
      <c r="Y77">
        <f>HYPERLINK("https://klasma.github.io/Logging_2262/tillsynsmail/A 30850-2023 tillsynsbegäran mail.docx", "A 30850-2023")</f>
        <v/>
      </c>
    </row>
    <row r="78" ht="15" customHeight="1">
      <c r="A78" t="inlineStr">
        <is>
          <t>A 33330-2023</t>
        </is>
      </c>
      <c r="B78" s="1" t="n">
        <v>45127</v>
      </c>
      <c r="C78" s="1" t="n">
        <v>45764</v>
      </c>
      <c r="D78" t="inlineStr">
        <is>
          <t>VÄSTERNORRLANDS LÄN</t>
        </is>
      </c>
      <c r="E78" t="inlineStr">
        <is>
          <t>TIMRÅ</t>
        </is>
      </c>
      <c r="F78" t="inlineStr">
        <is>
          <t>SCA</t>
        </is>
      </c>
      <c r="G78" t="n">
        <v>4</v>
      </c>
      <c r="H78" t="n">
        <v>0</v>
      </c>
      <c r="I78" t="n">
        <v>0</v>
      </c>
      <c r="J78" t="n">
        <v>1</v>
      </c>
      <c r="K78" t="n">
        <v>0</v>
      </c>
      <c r="L78" t="n">
        <v>0</v>
      </c>
      <c r="M78" t="n">
        <v>0</v>
      </c>
      <c r="N78" t="n">
        <v>0</v>
      </c>
      <c r="O78" t="n">
        <v>1</v>
      </c>
      <c r="P78" t="n">
        <v>0</v>
      </c>
      <c r="Q78" t="n">
        <v>1</v>
      </c>
      <c r="R78" s="2" t="inlineStr">
        <is>
          <t>Lunglav</t>
        </is>
      </c>
      <c r="S78">
        <f>HYPERLINK("https://klasma.github.io/Logging_2262/artfynd/A 33330-2023 artfynd.xlsx", "A 33330-2023")</f>
        <v/>
      </c>
      <c r="T78">
        <f>HYPERLINK("https://klasma.github.io/Logging_2262/kartor/A 33330-2023 karta.png", "A 33330-2023")</f>
        <v/>
      </c>
      <c r="V78">
        <f>HYPERLINK("https://klasma.github.io/Logging_2262/klagomål/A 33330-2023 FSC-klagomål.docx", "A 33330-2023")</f>
        <v/>
      </c>
      <c r="W78">
        <f>HYPERLINK("https://klasma.github.io/Logging_2262/klagomålsmail/A 33330-2023 FSC-klagomål mail.docx", "A 33330-2023")</f>
        <v/>
      </c>
      <c r="X78">
        <f>HYPERLINK("https://klasma.github.io/Logging_2262/tillsyn/A 33330-2023 tillsynsbegäran.docx", "A 33330-2023")</f>
        <v/>
      </c>
      <c r="Y78">
        <f>HYPERLINK("https://klasma.github.io/Logging_2262/tillsynsmail/A 33330-2023 tillsynsbegäran mail.docx", "A 33330-2023")</f>
        <v/>
      </c>
    </row>
    <row r="79" ht="15" customHeight="1">
      <c r="A79" t="inlineStr">
        <is>
          <t>A 33503-2023</t>
        </is>
      </c>
      <c r="B79" s="1" t="n">
        <v>45131</v>
      </c>
      <c r="C79" s="1" t="n">
        <v>45764</v>
      </c>
      <c r="D79" t="inlineStr">
        <is>
          <t>VÄSTERNORRLANDS LÄN</t>
        </is>
      </c>
      <c r="E79" t="inlineStr">
        <is>
          <t>TIMRÅ</t>
        </is>
      </c>
      <c r="G79" t="n">
        <v>28.3</v>
      </c>
      <c r="H79" t="n">
        <v>1</v>
      </c>
      <c r="I79" t="n">
        <v>0</v>
      </c>
      <c r="J79" t="n">
        <v>1</v>
      </c>
      <c r="K79" t="n">
        <v>0</v>
      </c>
      <c r="L79" t="n">
        <v>0</v>
      </c>
      <c r="M79" t="n">
        <v>0</v>
      </c>
      <c r="N79" t="n">
        <v>0</v>
      </c>
      <c r="O79" t="n">
        <v>1</v>
      </c>
      <c r="P79" t="n">
        <v>0</v>
      </c>
      <c r="Q79" t="n">
        <v>1</v>
      </c>
      <c r="R79" s="2" t="inlineStr">
        <is>
          <t>Utter</t>
        </is>
      </c>
      <c r="S79">
        <f>HYPERLINK("https://klasma.github.io/Logging_2262/artfynd/A 33503-2023 artfynd.xlsx", "A 33503-2023")</f>
        <v/>
      </c>
      <c r="T79">
        <f>HYPERLINK("https://klasma.github.io/Logging_2262/kartor/A 33503-2023 karta.png", "A 33503-2023")</f>
        <v/>
      </c>
      <c r="V79">
        <f>HYPERLINK("https://klasma.github.io/Logging_2262/klagomål/A 33503-2023 FSC-klagomål.docx", "A 33503-2023")</f>
        <v/>
      </c>
      <c r="W79">
        <f>HYPERLINK("https://klasma.github.io/Logging_2262/klagomålsmail/A 33503-2023 FSC-klagomål mail.docx", "A 33503-2023")</f>
        <v/>
      </c>
      <c r="X79">
        <f>HYPERLINK("https://klasma.github.io/Logging_2262/tillsyn/A 33503-2023 tillsynsbegäran.docx", "A 33503-2023")</f>
        <v/>
      </c>
      <c r="Y79">
        <f>HYPERLINK("https://klasma.github.io/Logging_2262/tillsynsmail/A 33503-2023 tillsynsbegäran mail.docx", "A 33503-2023")</f>
        <v/>
      </c>
    </row>
    <row r="80" ht="15" customHeight="1">
      <c r="A80" t="inlineStr">
        <is>
          <t>A 35510-2023</t>
        </is>
      </c>
      <c r="B80" s="1" t="n">
        <v>45147</v>
      </c>
      <c r="C80" s="1" t="n">
        <v>45764</v>
      </c>
      <c r="D80" t="inlineStr">
        <is>
          <t>VÄSTERNORRLANDS LÄN</t>
        </is>
      </c>
      <c r="E80" t="inlineStr">
        <is>
          <t>TIMRÅ</t>
        </is>
      </c>
      <c r="F80" t="inlineStr">
        <is>
          <t>SCA</t>
        </is>
      </c>
      <c r="G80" t="n">
        <v>3.5</v>
      </c>
      <c r="H80" t="n">
        <v>1</v>
      </c>
      <c r="I80" t="n">
        <v>0</v>
      </c>
      <c r="J80" t="n">
        <v>0</v>
      </c>
      <c r="K80" t="n">
        <v>0</v>
      </c>
      <c r="L80" t="n">
        <v>0</v>
      </c>
      <c r="M80" t="n">
        <v>0</v>
      </c>
      <c r="N80" t="n">
        <v>0</v>
      </c>
      <c r="O80" t="n">
        <v>0</v>
      </c>
      <c r="P80" t="n">
        <v>0</v>
      </c>
      <c r="Q80" t="n">
        <v>1</v>
      </c>
      <c r="R80" s="2" t="inlineStr">
        <is>
          <t>Revlummer</t>
        </is>
      </c>
      <c r="S80">
        <f>HYPERLINK("https://klasma.github.io/Logging_2262/artfynd/A 35510-2023 artfynd.xlsx", "A 35510-2023")</f>
        <v/>
      </c>
      <c r="T80">
        <f>HYPERLINK("https://klasma.github.io/Logging_2262/kartor/A 35510-2023 karta.png", "A 35510-2023")</f>
        <v/>
      </c>
      <c r="V80">
        <f>HYPERLINK("https://klasma.github.io/Logging_2262/klagomål/A 35510-2023 FSC-klagomål.docx", "A 35510-2023")</f>
        <v/>
      </c>
      <c r="W80">
        <f>HYPERLINK("https://klasma.github.io/Logging_2262/klagomålsmail/A 35510-2023 FSC-klagomål mail.docx", "A 35510-2023")</f>
        <v/>
      </c>
      <c r="X80">
        <f>HYPERLINK("https://klasma.github.io/Logging_2262/tillsyn/A 35510-2023 tillsynsbegäran.docx", "A 35510-2023")</f>
        <v/>
      </c>
      <c r="Y80">
        <f>HYPERLINK("https://klasma.github.io/Logging_2262/tillsynsmail/A 35510-2023 tillsynsbegäran mail.docx", "A 35510-2023")</f>
        <v/>
      </c>
    </row>
    <row r="81" ht="15" customHeight="1">
      <c r="A81" t="inlineStr">
        <is>
          <t>A 39141-2023</t>
        </is>
      </c>
      <c r="B81" s="1" t="n">
        <v>45165</v>
      </c>
      <c r="C81" s="1" t="n">
        <v>45764</v>
      </c>
      <c r="D81" t="inlineStr">
        <is>
          <t>VÄSTERNORRLANDS LÄN</t>
        </is>
      </c>
      <c r="E81" t="inlineStr">
        <is>
          <t>TIMRÅ</t>
        </is>
      </c>
      <c r="F81" t="inlineStr">
        <is>
          <t>SCA</t>
        </is>
      </c>
      <c r="G81" t="n">
        <v>11.3</v>
      </c>
      <c r="H81" t="n">
        <v>1</v>
      </c>
      <c r="I81" t="n">
        <v>1</v>
      </c>
      <c r="J81" t="n">
        <v>0</v>
      </c>
      <c r="K81" t="n">
        <v>0</v>
      </c>
      <c r="L81" t="n">
        <v>0</v>
      </c>
      <c r="M81" t="n">
        <v>0</v>
      </c>
      <c r="N81" t="n">
        <v>0</v>
      </c>
      <c r="O81" t="n">
        <v>0</v>
      </c>
      <c r="P81" t="n">
        <v>0</v>
      </c>
      <c r="Q81" t="n">
        <v>1</v>
      </c>
      <c r="R81" s="2" t="inlineStr">
        <is>
          <t>Plattlummer</t>
        </is>
      </c>
      <c r="S81">
        <f>HYPERLINK("https://klasma.github.io/Logging_2262/artfynd/A 39141-2023 artfynd.xlsx", "A 39141-2023")</f>
        <v/>
      </c>
      <c r="T81">
        <f>HYPERLINK("https://klasma.github.io/Logging_2262/kartor/A 39141-2023 karta.png", "A 39141-2023")</f>
        <v/>
      </c>
      <c r="V81">
        <f>HYPERLINK("https://klasma.github.io/Logging_2262/klagomål/A 39141-2023 FSC-klagomål.docx", "A 39141-2023")</f>
        <v/>
      </c>
      <c r="W81">
        <f>HYPERLINK("https://klasma.github.io/Logging_2262/klagomålsmail/A 39141-2023 FSC-klagomål mail.docx", "A 39141-2023")</f>
        <v/>
      </c>
      <c r="X81">
        <f>HYPERLINK("https://klasma.github.io/Logging_2262/tillsyn/A 39141-2023 tillsynsbegäran.docx", "A 39141-2023")</f>
        <v/>
      </c>
      <c r="Y81">
        <f>HYPERLINK("https://klasma.github.io/Logging_2262/tillsynsmail/A 39141-2023 tillsynsbegäran mail.docx", "A 39141-2023")</f>
        <v/>
      </c>
    </row>
    <row r="82" ht="15" customHeight="1">
      <c r="A82" t="inlineStr">
        <is>
          <t>A 47793-2023</t>
        </is>
      </c>
      <c r="B82" s="1" t="n">
        <v>45203</v>
      </c>
      <c r="C82" s="1" t="n">
        <v>45764</v>
      </c>
      <c r="D82" t="inlineStr">
        <is>
          <t>VÄSTERNORRLANDS LÄN</t>
        </is>
      </c>
      <c r="E82" t="inlineStr">
        <is>
          <t>TIMRÅ</t>
        </is>
      </c>
      <c r="F82" t="inlineStr">
        <is>
          <t>SCA</t>
        </is>
      </c>
      <c r="G82" t="n">
        <v>9.699999999999999</v>
      </c>
      <c r="H82" t="n">
        <v>1</v>
      </c>
      <c r="I82" t="n">
        <v>0</v>
      </c>
      <c r="J82" t="n">
        <v>0</v>
      </c>
      <c r="K82" t="n">
        <v>0</v>
      </c>
      <c r="L82" t="n">
        <v>0</v>
      </c>
      <c r="M82" t="n">
        <v>0</v>
      </c>
      <c r="N82" t="n">
        <v>0</v>
      </c>
      <c r="O82" t="n">
        <v>0</v>
      </c>
      <c r="P82" t="n">
        <v>0</v>
      </c>
      <c r="Q82" t="n">
        <v>1</v>
      </c>
      <c r="R82" s="2" t="inlineStr">
        <is>
          <t>Revlummer</t>
        </is>
      </c>
      <c r="S82">
        <f>HYPERLINK("https://klasma.github.io/Logging_2262/artfynd/A 47793-2023 artfynd.xlsx", "A 47793-2023")</f>
        <v/>
      </c>
      <c r="T82">
        <f>HYPERLINK("https://klasma.github.io/Logging_2262/kartor/A 47793-2023 karta.png", "A 47793-2023")</f>
        <v/>
      </c>
      <c r="V82">
        <f>HYPERLINK("https://klasma.github.io/Logging_2262/klagomål/A 47793-2023 FSC-klagomål.docx", "A 47793-2023")</f>
        <v/>
      </c>
      <c r="W82">
        <f>HYPERLINK("https://klasma.github.io/Logging_2262/klagomålsmail/A 47793-2023 FSC-klagomål mail.docx", "A 47793-2023")</f>
        <v/>
      </c>
      <c r="X82">
        <f>HYPERLINK("https://klasma.github.io/Logging_2262/tillsyn/A 47793-2023 tillsynsbegäran.docx", "A 47793-2023")</f>
        <v/>
      </c>
      <c r="Y82">
        <f>HYPERLINK("https://klasma.github.io/Logging_2262/tillsynsmail/A 47793-2023 tillsynsbegäran mail.docx", "A 47793-2023")</f>
        <v/>
      </c>
    </row>
    <row r="83" ht="15" customHeight="1">
      <c r="A83" t="inlineStr">
        <is>
          <t>A 47792-2023</t>
        </is>
      </c>
      <c r="B83" s="1" t="n">
        <v>45203</v>
      </c>
      <c r="C83" s="1" t="n">
        <v>45764</v>
      </c>
      <c r="D83" t="inlineStr">
        <is>
          <t>VÄSTERNORRLANDS LÄN</t>
        </is>
      </c>
      <c r="E83" t="inlineStr">
        <is>
          <t>TIMRÅ</t>
        </is>
      </c>
      <c r="F83" t="inlineStr">
        <is>
          <t>SCA</t>
        </is>
      </c>
      <c r="G83" t="n">
        <v>4.1</v>
      </c>
      <c r="H83" t="n">
        <v>0</v>
      </c>
      <c r="I83" t="n">
        <v>1</v>
      </c>
      <c r="J83" t="n">
        <v>0</v>
      </c>
      <c r="K83" t="n">
        <v>0</v>
      </c>
      <c r="L83" t="n">
        <v>0</v>
      </c>
      <c r="M83" t="n">
        <v>0</v>
      </c>
      <c r="N83" t="n">
        <v>0</v>
      </c>
      <c r="O83" t="n">
        <v>0</v>
      </c>
      <c r="P83" t="n">
        <v>0</v>
      </c>
      <c r="Q83" t="n">
        <v>1</v>
      </c>
      <c r="R83" s="2" t="inlineStr">
        <is>
          <t>Gräsull</t>
        </is>
      </c>
      <c r="S83">
        <f>HYPERLINK("https://klasma.github.io/Logging_2262/artfynd/A 47792-2023 artfynd.xlsx", "A 47792-2023")</f>
        <v/>
      </c>
      <c r="T83">
        <f>HYPERLINK("https://klasma.github.io/Logging_2262/kartor/A 47792-2023 karta.png", "A 47792-2023")</f>
        <v/>
      </c>
      <c r="V83">
        <f>HYPERLINK("https://klasma.github.io/Logging_2262/klagomål/A 47792-2023 FSC-klagomål.docx", "A 47792-2023")</f>
        <v/>
      </c>
      <c r="W83">
        <f>HYPERLINK("https://klasma.github.io/Logging_2262/klagomålsmail/A 47792-2023 FSC-klagomål mail.docx", "A 47792-2023")</f>
        <v/>
      </c>
      <c r="X83">
        <f>HYPERLINK("https://klasma.github.io/Logging_2262/tillsyn/A 47792-2023 tillsynsbegäran.docx", "A 47792-2023")</f>
        <v/>
      </c>
      <c r="Y83">
        <f>HYPERLINK("https://klasma.github.io/Logging_2262/tillsynsmail/A 47792-2023 tillsynsbegäran mail.docx", "A 47792-2023")</f>
        <v/>
      </c>
    </row>
    <row r="84" ht="15" customHeight="1">
      <c r="A84" t="inlineStr">
        <is>
          <t>A 49329-2023</t>
        </is>
      </c>
      <c r="B84" s="1" t="n">
        <v>45210</v>
      </c>
      <c r="C84" s="1" t="n">
        <v>45764</v>
      </c>
      <c r="D84" t="inlineStr">
        <is>
          <t>VÄSTERNORRLANDS LÄN</t>
        </is>
      </c>
      <c r="E84" t="inlineStr">
        <is>
          <t>TIMRÅ</t>
        </is>
      </c>
      <c r="F84" t="inlineStr">
        <is>
          <t>SCA</t>
        </is>
      </c>
      <c r="G84" t="n">
        <v>12.9</v>
      </c>
      <c r="H84" t="n">
        <v>0</v>
      </c>
      <c r="I84" t="n">
        <v>0</v>
      </c>
      <c r="J84" t="n">
        <v>1</v>
      </c>
      <c r="K84" t="n">
        <v>0</v>
      </c>
      <c r="L84" t="n">
        <v>0</v>
      </c>
      <c r="M84" t="n">
        <v>0</v>
      </c>
      <c r="N84" t="n">
        <v>0</v>
      </c>
      <c r="O84" t="n">
        <v>1</v>
      </c>
      <c r="P84" t="n">
        <v>0</v>
      </c>
      <c r="Q84" t="n">
        <v>1</v>
      </c>
      <c r="R84" s="2" t="inlineStr">
        <is>
          <t>Ullticka</t>
        </is>
      </c>
      <c r="S84">
        <f>HYPERLINK("https://klasma.github.io/Logging_2262/artfynd/A 49329-2023 artfynd.xlsx", "A 49329-2023")</f>
        <v/>
      </c>
      <c r="T84">
        <f>HYPERLINK("https://klasma.github.io/Logging_2262/kartor/A 49329-2023 karta.png", "A 49329-2023")</f>
        <v/>
      </c>
      <c r="V84">
        <f>HYPERLINK("https://klasma.github.io/Logging_2262/klagomål/A 49329-2023 FSC-klagomål.docx", "A 49329-2023")</f>
        <v/>
      </c>
      <c r="W84">
        <f>HYPERLINK("https://klasma.github.io/Logging_2262/klagomålsmail/A 49329-2023 FSC-klagomål mail.docx", "A 49329-2023")</f>
        <v/>
      </c>
      <c r="X84">
        <f>HYPERLINK("https://klasma.github.io/Logging_2262/tillsyn/A 49329-2023 tillsynsbegäran.docx", "A 49329-2023")</f>
        <v/>
      </c>
      <c r="Y84">
        <f>HYPERLINK("https://klasma.github.io/Logging_2262/tillsynsmail/A 49329-2023 tillsynsbegäran mail.docx", "A 49329-2023")</f>
        <v/>
      </c>
    </row>
    <row r="85" ht="15" customHeight="1">
      <c r="A85" t="inlineStr">
        <is>
          <t>A 56372-2023</t>
        </is>
      </c>
      <c r="B85" s="1" t="n">
        <v>45243</v>
      </c>
      <c r="C85" s="1" t="n">
        <v>45764</v>
      </c>
      <c r="D85" t="inlineStr">
        <is>
          <t>VÄSTERNORRLANDS LÄN</t>
        </is>
      </c>
      <c r="E85" t="inlineStr">
        <is>
          <t>TIMRÅ</t>
        </is>
      </c>
      <c r="G85" t="n">
        <v>6.9</v>
      </c>
      <c r="H85" t="n">
        <v>1</v>
      </c>
      <c r="I85" t="n">
        <v>0</v>
      </c>
      <c r="J85" t="n">
        <v>0</v>
      </c>
      <c r="K85" t="n">
        <v>1</v>
      </c>
      <c r="L85" t="n">
        <v>0</v>
      </c>
      <c r="M85" t="n">
        <v>0</v>
      </c>
      <c r="N85" t="n">
        <v>0</v>
      </c>
      <c r="O85" t="n">
        <v>1</v>
      </c>
      <c r="P85" t="n">
        <v>1</v>
      </c>
      <c r="Q85" t="n">
        <v>1</v>
      </c>
      <c r="R85" s="2" t="inlineStr">
        <is>
          <t>Knärot</t>
        </is>
      </c>
      <c r="S85">
        <f>HYPERLINK("https://klasma.github.io/Logging_2262/artfynd/A 56372-2023 artfynd.xlsx", "A 56372-2023")</f>
        <v/>
      </c>
      <c r="T85">
        <f>HYPERLINK("https://klasma.github.io/Logging_2262/kartor/A 56372-2023 karta.png", "A 56372-2023")</f>
        <v/>
      </c>
      <c r="U85">
        <f>HYPERLINK("https://klasma.github.io/Logging_2262/knärot/A 56372-2023 karta knärot.png", "A 56372-2023")</f>
        <v/>
      </c>
      <c r="V85">
        <f>HYPERLINK("https://klasma.github.io/Logging_2262/klagomål/A 56372-2023 FSC-klagomål.docx", "A 56372-2023")</f>
        <v/>
      </c>
      <c r="W85">
        <f>HYPERLINK("https://klasma.github.io/Logging_2262/klagomålsmail/A 56372-2023 FSC-klagomål mail.docx", "A 56372-2023")</f>
        <v/>
      </c>
      <c r="X85">
        <f>HYPERLINK("https://klasma.github.io/Logging_2262/tillsyn/A 56372-2023 tillsynsbegäran.docx", "A 56372-2023")</f>
        <v/>
      </c>
      <c r="Y85">
        <f>HYPERLINK("https://klasma.github.io/Logging_2262/tillsynsmail/A 56372-2023 tillsynsbegäran mail.docx", "A 56372-2023")</f>
        <v/>
      </c>
    </row>
    <row r="86" ht="15" customHeight="1">
      <c r="A86" t="inlineStr">
        <is>
          <t>A 58464-2023</t>
        </is>
      </c>
      <c r="B86" s="1" t="n">
        <v>45250</v>
      </c>
      <c r="C86" s="1" t="n">
        <v>45764</v>
      </c>
      <c r="D86" t="inlineStr">
        <is>
          <t>VÄSTERNORRLANDS LÄN</t>
        </is>
      </c>
      <c r="E86" t="inlineStr">
        <is>
          <t>TIMRÅ</t>
        </is>
      </c>
      <c r="F86" t="inlineStr">
        <is>
          <t>SCA</t>
        </is>
      </c>
      <c r="G86" t="n">
        <v>6.5</v>
      </c>
      <c r="H86" t="n">
        <v>0</v>
      </c>
      <c r="I86" t="n">
        <v>0</v>
      </c>
      <c r="J86" t="n">
        <v>1</v>
      </c>
      <c r="K86" t="n">
        <v>0</v>
      </c>
      <c r="L86" t="n">
        <v>0</v>
      </c>
      <c r="M86" t="n">
        <v>0</v>
      </c>
      <c r="N86" t="n">
        <v>0</v>
      </c>
      <c r="O86" t="n">
        <v>1</v>
      </c>
      <c r="P86" t="n">
        <v>0</v>
      </c>
      <c r="Q86" t="n">
        <v>1</v>
      </c>
      <c r="R86" s="2" t="inlineStr">
        <is>
          <t>Granticka</t>
        </is>
      </c>
      <c r="S86">
        <f>HYPERLINK("https://klasma.github.io/Logging_2262/artfynd/A 58464-2023 artfynd.xlsx", "A 58464-2023")</f>
        <v/>
      </c>
      <c r="T86">
        <f>HYPERLINK("https://klasma.github.io/Logging_2262/kartor/A 58464-2023 karta.png", "A 58464-2023")</f>
        <v/>
      </c>
      <c r="V86">
        <f>HYPERLINK("https://klasma.github.io/Logging_2262/klagomål/A 58464-2023 FSC-klagomål.docx", "A 58464-2023")</f>
        <v/>
      </c>
      <c r="W86">
        <f>HYPERLINK("https://klasma.github.io/Logging_2262/klagomålsmail/A 58464-2023 FSC-klagomål mail.docx", "A 58464-2023")</f>
        <v/>
      </c>
      <c r="X86">
        <f>HYPERLINK("https://klasma.github.io/Logging_2262/tillsyn/A 58464-2023 tillsynsbegäran.docx", "A 58464-2023")</f>
        <v/>
      </c>
      <c r="Y86">
        <f>HYPERLINK("https://klasma.github.io/Logging_2262/tillsynsmail/A 58464-2023 tillsynsbegäran mail.docx", "A 58464-2023")</f>
        <v/>
      </c>
    </row>
    <row r="87" ht="15" customHeight="1">
      <c r="A87" t="inlineStr">
        <is>
          <t>A 1152-2024</t>
        </is>
      </c>
      <c r="B87" s="1" t="n">
        <v>45302</v>
      </c>
      <c r="C87" s="1" t="n">
        <v>45764</v>
      </c>
      <c r="D87" t="inlineStr">
        <is>
          <t>VÄSTERNORRLANDS LÄN</t>
        </is>
      </c>
      <c r="E87" t="inlineStr">
        <is>
          <t>TIMRÅ</t>
        </is>
      </c>
      <c r="G87" t="n">
        <v>5.8</v>
      </c>
      <c r="H87" t="n">
        <v>0</v>
      </c>
      <c r="I87" t="n">
        <v>1</v>
      </c>
      <c r="J87" t="n">
        <v>0</v>
      </c>
      <c r="K87" t="n">
        <v>0</v>
      </c>
      <c r="L87" t="n">
        <v>0</v>
      </c>
      <c r="M87" t="n">
        <v>0</v>
      </c>
      <c r="N87" t="n">
        <v>0</v>
      </c>
      <c r="O87" t="n">
        <v>0</v>
      </c>
      <c r="P87" t="n">
        <v>0</v>
      </c>
      <c r="Q87" t="n">
        <v>1</v>
      </c>
      <c r="R87" s="2" t="inlineStr">
        <is>
          <t>Tibast</t>
        </is>
      </c>
      <c r="S87">
        <f>HYPERLINK("https://klasma.github.io/Logging_2262/artfynd/A 1152-2024 artfynd.xlsx", "A 1152-2024")</f>
        <v/>
      </c>
      <c r="T87">
        <f>HYPERLINK("https://klasma.github.io/Logging_2262/kartor/A 1152-2024 karta.png", "A 1152-2024")</f>
        <v/>
      </c>
      <c r="V87">
        <f>HYPERLINK("https://klasma.github.io/Logging_2262/klagomål/A 1152-2024 FSC-klagomål.docx", "A 1152-2024")</f>
        <v/>
      </c>
      <c r="W87">
        <f>HYPERLINK("https://klasma.github.io/Logging_2262/klagomålsmail/A 1152-2024 FSC-klagomål mail.docx", "A 1152-2024")</f>
        <v/>
      </c>
      <c r="X87">
        <f>HYPERLINK("https://klasma.github.io/Logging_2262/tillsyn/A 1152-2024 tillsynsbegäran.docx", "A 1152-2024")</f>
        <v/>
      </c>
      <c r="Y87">
        <f>HYPERLINK("https://klasma.github.io/Logging_2262/tillsynsmail/A 1152-2024 tillsynsbegäran mail.docx", "A 1152-2024")</f>
        <v/>
      </c>
    </row>
    <row r="88" ht="15" customHeight="1">
      <c r="A88" t="inlineStr">
        <is>
          <t>A 7904-2024</t>
        </is>
      </c>
      <c r="B88" s="1" t="n">
        <v>45349</v>
      </c>
      <c r="C88" s="1" t="n">
        <v>45764</v>
      </c>
      <c r="D88" t="inlineStr">
        <is>
          <t>VÄSTERNORRLANDS LÄN</t>
        </is>
      </c>
      <c r="E88" t="inlineStr">
        <is>
          <t>TIMRÅ</t>
        </is>
      </c>
      <c r="G88" t="n">
        <v>7.3</v>
      </c>
      <c r="H88" t="n">
        <v>1</v>
      </c>
      <c r="I88" t="n">
        <v>0</v>
      </c>
      <c r="J88" t="n">
        <v>0</v>
      </c>
      <c r="K88" t="n">
        <v>1</v>
      </c>
      <c r="L88" t="n">
        <v>0</v>
      </c>
      <c r="M88" t="n">
        <v>0</v>
      </c>
      <c r="N88" t="n">
        <v>0</v>
      </c>
      <c r="O88" t="n">
        <v>1</v>
      </c>
      <c r="P88" t="n">
        <v>1</v>
      </c>
      <c r="Q88" t="n">
        <v>1</v>
      </c>
      <c r="R88" s="2" t="inlineStr">
        <is>
          <t>Bergviol</t>
        </is>
      </c>
      <c r="S88">
        <f>HYPERLINK("https://klasma.github.io/Logging_2262/artfynd/A 7904-2024 artfynd.xlsx", "A 7904-2024")</f>
        <v/>
      </c>
      <c r="T88">
        <f>HYPERLINK("https://klasma.github.io/Logging_2262/kartor/A 7904-2024 karta.png", "A 7904-2024")</f>
        <v/>
      </c>
      <c r="V88">
        <f>HYPERLINK("https://klasma.github.io/Logging_2262/klagomål/A 7904-2024 FSC-klagomål.docx", "A 7904-2024")</f>
        <v/>
      </c>
      <c r="W88">
        <f>HYPERLINK("https://klasma.github.io/Logging_2262/klagomålsmail/A 7904-2024 FSC-klagomål mail.docx", "A 7904-2024")</f>
        <v/>
      </c>
      <c r="X88">
        <f>HYPERLINK("https://klasma.github.io/Logging_2262/tillsyn/A 7904-2024 tillsynsbegäran.docx", "A 7904-2024")</f>
        <v/>
      </c>
      <c r="Y88">
        <f>HYPERLINK("https://klasma.github.io/Logging_2262/tillsynsmail/A 7904-2024 tillsynsbegäran mail.docx", "A 7904-2024")</f>
        <v/>
      </c>
    </row>
    <row r="89" ht="15" customHeight="1">
      <c r="A89" t="inlineStr">
        <is>
          <t>A 8998-2024</t>
        </is>
      </c>
      <c r="B89" s="1" t="n">
        <v>45356</v>
      </c>
      <c r="C89" s="1" t="n">
        <v>45764</v>
      </c>
      <c r="D89" t="inlineStr">
        <is>
          <t>VÄSTERNORRLANDS LÄN</t>
        </is>
      </c>
      <c r="E89" t="inlineStr">
        <is>
          <t>TIMRÅ</t>
        </is>
      </c>
      <c r="G89" t="n">
        <v>2.1</v>
      </c>
      <c r="H89" t="n">
        <v>0</v>
      </c>
      <c r="I89" t="n">
        <v>1</v>
      </c>
      <c r="J89" t="n">
        <v>0</v>
      </c>
      <c r="K89" t="n">
        <v>0</v>
      </c>
      <c r="L89" t="n">
        <v>0</v>
      </c>
      <c r="M89" t="n">
        <v>0</v>
      </c>
      <c r="N89" t="n">
        <v>0</v>
      </c>
      <c r="O89" t="n">
        <v>0</v>
      </c>
      <c r="P89" t="n">
        <v>0</v>
      </c>
      <c r="Q89" t="n">
        <v>1</v>
      </c>
      <c r="R89" s="2" t="inlineStr">
        <is>
          <t>Strutbräken</t>
        </is>
      </c>
      <c r="S89">
        <f>HYPERLINK("https://klasma.github.io/Logging_2262/artfynd/A 8998-2024 artfynd.xlsx", "A 8998-2024")</f>
        <v/>
      </c>
      <c r="T89">
        <f>HYPERLINK("https://klasma.github.io/Logging_2262/kartor/A 8998-2024 karta.png", "A 8998-2024")</f>
        <v/>
      </c>
      <c r="V89">
        <f>HYPERLINK("https://klasma.github.io/Logging_2262/klagomål/A 8998-2024 FSC-klagomål.docx", "A 8998-2024")</f>
        <v/>
      </c>
      <c r="W89">
        <f>HYPERLINK("https://klasma.github.io/Logging_2262/klagomålsmail/A 8998-2024 FSC-klagomål mail.docx", "A 8998-2024")</f>
        <v/>
      </c>
      <c r="X89">
        <f>HYPERLINK("https://klasma.github.io/Logging_2262/tillsyn/A 8998-2024 tillsynsbegäran.docx", "A 8998-2024")</f>
        <v/>
      </c>
      <c r="Y89">
        <f>HYPERLINK("https://klasma.github.io/Logging_2262/tillsynsmail/A 8998-2024 tillsynsbegäran mail.docx", "A 8998-2024")</f>
        <v/>
      </c>
    </row>
    <row r="90" ht="15" customHeight="1">
      <c r="A90" t="inlineStr">
        <is>
          <t>A 14168-2024</t>
        </is>
      </c>
      <c r="B90" s="1" t="n">
        <v>45392</v>
      </c>
      <c r="C90" s="1" t="n">
        <v>45764</v>
      </c>
      <c r="D90" t="inlineStr">
        <is>
          <t>VÄSTERNORRLANDS LÄN</t>
        </is>
      </c>
      <c r="E90" t="inlineStr">
        <is>
          <t>TIMRÅ</t>
        </is>
      </c>
      <c r="F90" t="inlineStr">
        <is>
          <t>SCA</t>
        </is>
      </c>
      <c r="G90" t="n">
        <v>6.3</v>
      </c>
      <c r="H90" t="n">
        <v>0</v>
      </c>
      <c r="I90" t="n">
        <v>1</v>
      </c>
      <c r="J90" t="n">
        <v>0</v>
      </c>
      <c r="K90" t="n">
        <v>0</v>
      </c>
      <c r="L90" t="n">
        <v>0</v>
      </c>
      <c r="M90" t="n">
        <v>0</v>
      </c>
      <c r="N90" t="n">
        <v>0</v>
      </c>
      <c r="O90" t="n">
        <v>0</v>
      </c>
      <c r="P90" t="n">
        <v>0</v>
      </c>
      <c r="Q90" t="n">
        <v>1</v>
      </c>
      <c r="R90" s="2" t="inlineStr">
        <is>
          <t>Vedticka</t>
        </is>
      </c>
      <c r="S90">
        <f>HYPERLINK("https://klasma.github.io/Logging_2262/artfynd/A 14168-2024 artfynd.xlsx", "A 14168-2024")</f>
        <v/>
      </c>
      <c r="T90">
        <f>HYPERLINK("https://klasma.github.io/Logging_2262/kartor/A 14168-2024 karta.png", "A 14168-2024")</f>
        <v/>
      </c>
      <c r="V90">
        <f>HYPERLINK("https://klasma.github.io/Logging_2262/klagomål/A 14168-2024 FSC-klagomål.docx", "A 14168-2024")</f>
        <v/>
      </c>
      <c r="W90">
        <f>HYPERLINK("https://klasma.github.io/Logging_2262/klagomålsmail/A 14168-2024 FSC-klagomål mail.docx", "A 14168-2024")</f>
        <v/>
      </c>
      <c r="X90">
        <f>HYPERLINK("https://klasma.github.io/Logging_2262/tillsyn/A 14168-2024 tillsynsbegäran.docx", "A 14168-2024")</f>
        <v/>
      </c>
      <c r="Y90">
        <f>HYPERLINK("https://klasma.github.io/Logging_2262/tillsynsmail/A 14168-2024 tillsynsbegäran mail.docx", "A 14168-2024")</f>
        <v/>
      </c>
    </row>
    <row r="91" ht="15" customHeight="1">
      <c r="A91" t="inlineStr">
        <is>
          <t>A 15477-2024</t>
        </is>
      </c>
      <c r="B91" s="1" t="n">
        <v>45401</v>
      </c>
      <c r="C91" s="1" t="n">
        <v>45764</v>
      </c>
      <c r="D91" t="inlineStr">
        <is>
          <t>VÄSTERNORRLANDS LÄN</t>
        </is>
      </c>
      <c r="E91" t="inlineStr">
        <is>
          <t>TIMRÅ</t>
        </is>
      </c>
      <c r="G91" t="n">
        <v>2.1</v>
      </c>
      <c r="H91" t="n">
        <v>0</v>
      </c>
      <c r="I91" t="n">
        <v>0</v>
      </c>
      <c r="J91" t="n">
        <v>1</v>
      </c>
      <c r="K91" t="n">
        <v>0</v>
      </c>
      <c r="L91" t="n">
        <v>0</v>
      </c>
      <c r="M91" t="n">
        <v>0</v>
      </c>
      <c r="N91" t="n">
        <v>0</v>
      </c>
      <c r="O91" t="n">
        <v>1</v>
      </c>
      <c r="P91" t="n">
        <v>0</v>
      </c>
      <c r="Q91" t="n">
        <v>1</v>
      </c>
      <c r="R91" s="2" t="inlineStr">
        <is>
          <t>Tallticka</t>
        </is>
      </c>
      <c r="S91">
        <f>HYPERLINK("https://klasma.github.io/Logging_2262/artfynd/A 15477-2024 artfynd.xlsx", "A 15477-2024")</f>
        <v/>
      </c>
      <c r="T91">
        <f>HYPERLINK("https://klasma.github.io/Logging_2262/kartor/A 15477-2024 karta.png", "A 15477-2024")</f>
        <v/>
      </c>
      <c r="V91">
        <f>HYPERLINK("https://klasma.github.io/Logging_2262/klagomål/A 15477-2024 FSC-klagomål.docx", "A 15477-2024")</f>
        <v/>
      </c>
      <c r="W91">
        <f>HYPERLINK("https://klasma.github.io/Logging_2262/klagomålsmail/A 15477-2024 FSC-klagomål mail.docx", "A 15477-2024")</f>
        <v/>
      </c>
      <c r="X91">
        <f>HYPERLINK("https://klasma.github.io/Logging_2262/tillsyn/A 15477-2024 tillsynsbegäran.docx", "A 15477-2024")</f>
        <v/>
      </c>
      <c r="Y91">
        <f>HYPERLINK("https://klasma.github.io/Logging_2262/tillsynsmail/A 15477-2024 tillsynsbegäran mail.docx", "A 15477-2024")</f>
        <v/>
      </c>
    </row>
    <row r="92" ht="15" customHeight="1">
      <c r="A92" t="inlineStr">
        <is>
          <t>A 20350-2024</t>
        </is>
      </c>
      <c r="B92" s="1" t="n">
        <v>45435</v>
      </c>
      <c r="C92" s="1" t="n">
        <v>45764</v>
      </c>
      <c r="D92" t="inlineStr">
        <is>
          <t>VÄSTERNORRLANDS LÄN</t>
        </is>
      </c>
      <c r="E92" t="inlineStr">
        <is>
          <t>TIMRÅ</t>
        </is>
      </c>
      <c r="F92" t="inlineStr">
        <is>
          <t>SCA</t>
        </is>
      </c>
      <c r="G92" t="n">
        <v>6.9</v>
      </c>
      <c r="H92" t="n">
        <v>0</v>
      </c>
      <c r="I92" t="n">
        <v>0</v>
      </c>
      <c r="J92" t="n">
        <v>1</v>
      </c>
      <c r="K92" t="n">
        <v>0</v>
      </c>
      <c r="L92" t="n">
        <v>0</v>
      </c>
      <c r="M92" t="n">
        <v>0</v>
      </c>
      <c r="N92" t="n">
        <v>0</v>
      </c>
      <c r="O92" t="n">
        <v>1</v>
      </c>
      <c r="P92" t="n">
        <v>0</v>
      </c>
      <c r="Q92" t="n">
        <v>1</v>
      </c>
      <c r="R92" s="2" t="inlineStr">
        <is>
          <t>Garnlav</t>
        </is>
      </c>
      <c r="S92">
        <f>HYPERLINK("https://klasma.github.io/Logging_2262/artfynd/A 20350-2024 artfynd.xlsx", "A 20350-2024")</f>
        <v/>
      </c>
      <c r="T92">
        <f>HYPERLINK("https://klasma.github.io/Logging_2262/kartor/A 20350-2024 karta.png", "A 20350-2024")</f>
        <v/>
      </c>
      <c r="V92">
        <f>HYPERLINK("https://klasma.github.io/Logging_2262/klagomål/A 20350-2024 FSC-klagomål.docx", "A 20350-2024")</f>
        <v/>
      </c>
      <c r="W92">
        <f>HYPERLINK("https://klasma.github.io/Logging_2262/klagomålsmail/A 20350-2024 FSC-klagomål mail.docx", "A 20350-2024")</f>
        <v/>
      </c>
      <c r="X92">
        <f>HYPERLINK("https://klasma.github.io/Logging_2262/tillsyn/A 20350-2024 tillsynsbegäran.docx", "A 20350-2024")</f>
        <v/>
      </c>
      <c r="Y92">
        <f>HYPERLINK("https://klasma.github.io/Logging_2262/tillsynsmail/A 20350-2024 tillsynsbegäran mail.docx", "A 20350-2024")</f>
        <v/>
      </c>
    </row>
    <row r="93" ht="15" customHeight="1">
      <c r="A93" t="inlineStr">
        <is>
          <t>A 20785-2024</t>
        </is>
      </c>
      <c r="B93" s="1" t="n">
        <v>45437</v>
      </c>
      <c r="C93" s="1" t="n">
        <v>45764</v>
      </c>
      <c r="D93" t="inlineStr">
        <is>
          <t>VÄSTERNORRLANDS LÄN</t>
        </is>
      </c>
      <c r="E93" t="inlineStr">
        <is>
          <t>TIMRÅ</t>
        </is>
      </c>
      <c r="F93" t="inlineStr">
        <is>
          <t>SCA</t>
        </is>
      </c>
      <c r="G93" t="n">
        <v>3.4</v>
      </c>
      <c r="H93" t="n">
        <v>0</v>
      </c>
      <c r="I93" t="n">
        <v>0</v>
      </c>
      <c r="J93" t="n">
        <v>1</v>
      </c>
      <c r="K93" t="n">
        <v>0</v>
      </c>
      <c r="L93" t="n">
        <v>0</v>
      </c>
      <c r="M93" t="n">
        <v>0</v>
      </c>
      <c r="N93" t="n">
        <v>0</v>
      </c>
      <c r="O93" t="n">
        <v>1</v>
      </c>
      <c r="P93" t="n">
        <v>0</v>
      </c>
      <c r="Q93" t="n">
        <v>1</v>
      </c>
      <c r="R93" s="2" t="inlineStr">
        <is>
          <t>Rosenticka</t>
        </is>
      </c>
      <c r="S93">
        <f>HYPERLINK("https://klasma.github.io/Logging_2262/artfynd/A 20785-2024 artfynd.xlsx", "A 20785-2024")</f>
        <v/>
      </c>
      <c r="T93">
        <f>HYPERLINK("https://klasma.github.io/Logging_2262/kartor/A 20785-2024 karta.png", "A 20785-2024")</f>
        <v/>
      </c>
      <c r="V93">
        <f>HYPERLINK("https://klasma.github.io/Logging_2262/klagomål/A 20785-2024 FSC-klagomål.docx", "A 20785-2024")</f>
        <v/>
      </c>
      <c r="W93">
        <f>HYPERLINK("https://klasma.github.io/Logging_2262/klagomålsmail/A 20785-2024 FSC-klagomål mail.docx", "A 20785-2024")</f>
        <v/>
      </c>
      <c r="X93">
        <f>HYPERLINK("https://klasma.github.io/Logging_2262/tillsyn/A 20785-2024 tillsynsbegäran.docx", "A 20785-2024")</f>
        <v/>
      </c>
      <c r="Y93">
        <f>HYPERLINK("https://klasma.github.io/Logging_2262/tillsynsmail/A 20785-2024 tillsynsbegäran mail.docx", "A 20785-2024")</f>
        <v/>
      </c>
    </row>
    <row r="94" ht="15" customHeight="1">
      <c r="A94" t="inlineStr">
        <is>
          <t>A 21845-2024</t>
        </is>
      </c>
      <c r="B94" s="1" t="n">
        <v>45442</v>
      </c>
      <c r="C94" s="1" t="n">
        <v>45764</v>
      </c>
      <c r="D94" t="inlineStr">
        <is>
          <t>VÄSTERNORRLANDS LÄN</t>
        </is>
      </c>
      <c r="E94" t="inlineStr">
        <is>
          <t>TIMRÅ</t>
        </is>
      </c>
      <c r="F94" t="inlineStr">
        <is>
          <t>SCA</t>
        </is>
      </c>
      <c r="G94" t="n">
        <v>14.7</v>
      </c>
      <c r="H94" t="n">
        <v>0</v>
      </c>
      <c r="I94" t="n">
        <v>0</v>
      </c>
      <c r="J94" t="n">
        <v>1</v>
      </c>
      <c r="K94" t="n">
        <v>0</v>
      </c>
      <c r="L94" t="n">
        <v>0</v>
      </c>
      <c r="M94" t="n">
        <v>0</v>
      </c>
      <c r="N94" t="n">
        <v>0</v>
      </c>
      <c r="O94" t="n">
        <v>1</v>
      </c>
      <c r="P94" t="n">
        <v>0</v>
      </c>
      <c r="Q94" t="n">
        <v>1</v>
      </c>
      <c r="R94" s="2" t="inlineStr">
        <is>
          <t>Lunglav</t>
        </is>
      </c>
      <c r="S94">
        <f>HYPERLINK("https://klasma.github.io/Logging_2262/artfynd/A 21845-2024 artfynd.xlsx", "A 21845-2024")</f>
        <v/>
      </c>
      <c r="T94">
        <f>HYPERLINK("https://klasma.github.io/Logging_2262/kartor/A 21845-2024 karta.png", "A 21845-2024")</f>
        <v/>
      </c>
      <c r="V94">
        <f>HYPERLINK("https://klasma.github.io/Logging_2262/klagomål/A 21845-2024 FSC-klagomål.docx", "A 21845-2024")</f>
        <v/>
      </c>
      <c r="W94">
        <f>HYPERLINK("https://klasma.github.io/Logging_2262/klagomålsmail/A 21845-2024 FSC-klagomål mail.docx", "A 21845-2024")</f>
        <v/>
      </c>
      <c r="X94">
        <f>HYPERLINK("https://klasma.github.io/Logging_2262/tillsyn/A 21845-2024 tillsynsbegäran.docx", "A 21845-2024")</f>
        <v/>
      </c>
      <c r="Y94">
        <f>HYPERLINK("https://klasma.github.io/Logging_2262/tillsynsmail/A 21845-2024 tillsynsbegäran mail.docx", "A 21845-2024")</f>
        <v/>
      </c>
    </row>
    <row r="95" ht="15" customHeight="1">
      <c r="A95" t="inlineStr">
        <is>
          <t>A 39150-2024</t>
        </is>
      </c>
      <c r="B95" s="1" t="n">
        <v>45548</v>
      </c>
      <c r="C95" s="1" t="n">
        <v>45764</v>
      </c>
      <c r="D95" t="inlineStr">
        <is>
          <t>VÄSTERNORRLANDS LÄN</t>
        </is>
      </c>
      <c r="E95" t="inlineStr">
        <is>
          <t>TIMRÅ</t>
        </is>
      </c>
      <c r="G95" t="n">
        <v>4.4</v>
      </c>
      <c r="H95" t="n">
        <v>0</v>
      </c>
      <c r="I95" t="n">
        <v>1</v>
      </c>
      <c r="J95" t="n">
        <v>0</v>
      </c>
      <c r="K95" t="n">
        <v>0</v>
      </c>
      <c r="L95" t="n">
        <v>0</v>
      </c>
      <c r="M95" t="n">
        <v>0</v>
      </c>
      <c r="N95" t="n">
        <v>0</v>
      </c>
      <c r="O95" t="n">
        <v>0</v>
      </c>
      <c r="P95" t="n">
        <v>0</v>
      </c>
      <c r="Q95" t="n">
        <v>1</v>
      </c>
      <c r="R95" s="2" t="inlineStr">
        <is>
          <t>Ögonpyrola</t>
        </is>
      </c>
      <c r="S95">
        <f>HYPERLINK("https://klasma.github.io/Logging_2262/artfynd/A 39150-2024 artfynd.xlsx", "A 39150-2024")</f>
        <v/>
      </c>
      <c r="T95">
        <f>HYPERLINK("https://klasma.github.io/Logging_2262/kartor/A 39150-2024 karta.png", "A 39150-2024")</f>
        <v/>
      </c>
      <c r="V95">
        <f>HYPERLINK("https://klasma.github.io/Logging_2262/klagomål/A 39150-2024 FSC-klagomål.docx", "A 39150-2024")</f>
        <v/>
      </c>
      <c r="W95">
        <f>HYPERLINK("https://klasma.github.io/Logging_2262/klagomålsmail/A 39150-2024 FSC-klagomål mail.docx", "A 39150-2024")</f>
        <v/>
      </c>
      <c r="X95">
        <f>HYPERLINK("https://klasma.github.io/Logging_2262/tillsyn/A 39150-2024 tillsynsbegäran.docx", "A 39150-2024")</f>
        <v/>
      </c>
      <c r="Y95">
        <f>HYPERLINK("https://klasma.github.io/Logging_2262/tillsynsmail/A 39150-2024 tillsynsbegäran mail.docx", "A 39150-2024")</f>
        <v/>
      </c>
    </row>
    <row r="96" ht="15" customHeight="1">
      <c r="A96" t="inlineStr">
        <is>
          <t>A 40659-2024</t>
        </is>
      </c>
      <c r="B96" s="1" t="n">
        <v>45558</v>
      </c>
      <c r="C96" s="1" t="n">
        <v>45764</v>
      </c>
      <c r="D96" t="inlineStr">
        <is>
          <t>VÄSTERNORRLANDS LÄN</t>
        </is>
      </c>
      <c r="E96" t="inlineStr">
        <is>
          <t>TIMRÅ</t>
        </is>
      </c>
      <c r="F96" t="inlineStr">
        <is>
          <t>SCA</t>
        </is>
      </c>
      <c r="G96" t="n">
        <v>0.7</v>
      </c>
      <c r="H96" t="n">
        <v>0</v>
      </c>
      <c r="I96" t="n">
        <v>0</v>
      </c>
      <c r="J96" t="n">
        <v>1</v>
      </c>
      <c r="K96" t="n">
        <v>0</v>
      </c>
      <c r="L96" t="n">
        <v>0</v>
      </c>
      <c r="M96" t="n">
        <v>0</v>
      </c>
      <c r="N96" t="n">
        <v>0</v>
      </c>
      <c r="O96" t="n">
        <v>1</v>
      </c>
      <c r="P96" t="n">
        <v>0</v>
      </c>
      <c r="Q96" t="n">
        <v>1</v>
      </c>
      <c r="R96" s="2" t="inlineStr">
        <is>
          <t>Rosenticka</t>
        </is>
      </c>
      <c r="S96">
        <f>HYPERLINK("https://klasma.github.io/Logging_2262/artfynd/A 40659-2024 artfynd.xlsx", "A 40659-2024")</f>
        <v/>
      </c>
      <c r="T96">
        <f>HYPERLINK("https://klasma.github.io/Logging_2262/kartor/A 40659-2024 karta.png", "A 40659-2024")</f>
        <v/>
      </c>
      <c r="V96">
        <f>HYPERLINK("https://klasma.github.io/Logging_2262/klagomål/A 40659-2024 FSC-klagomål.docx", "A 40659-2024")</f>
        <v/>
      </c>
      <c r="W96">
        <f>HYPERLINK("https://klasma.github.io/Logging_2262/klagomålsmail/A 40659-2024 FSC-klagomål mail.docx", "A 40659-2024")</f>
        <v/>
      </c>
      <c r="X96">
        <f>HYPERLINK("https://klasma.github.io/Logging_2262/tillsyn/A 40659-2024 tillsynsbegäran.docx", "A 40659-2024")</f>
        <v/>
      </c>
      <c r="Y96">
        <f>HYPERLINK("https://klasma.github.io/Logging_2262/tillsynsmail/A 40659-2024 tillsynsbegäran mail.docx", "A 40659-2024")</f>
        <v/>
      </c>
    </row>
    <row r="97" ht="15" customHeight="1">
      <c r="A97" t="inlineStr">
        <is>
          <t>A 45721-2024</t>
        </is>
      </c>
      <c r="B97" s="1" t="n">
        <v>45579</v>
      </c>
      <c r="C97" s="1" t="n">
        <v>45764</v>
      </c>
      <c r="D97" t="inlineStr">
        <is>
          <t>VÄSTERNORRLANDS LÄN</t>
        </is>
      </c>
      <c r="E97" t="inlineStr">
        <is>
          <t>TIMRÅ</t>
        </is>
      </c>
      <c r="F97" t="inlineStr">
        <is>
          <t>SCA</t>
        </is>
      </c>
      <c r="G97" t="n">
        <v>6</v>
      </c>
      <c r="H97" t="n">
        <v>0</v>
      </c>
      <c r="I97" t="n">
        <v>0</v>
      </c>
      <c r="J97" t="n">
        <v>1</v>
      </c>
      <c r="K97" t="n">
        <v>0</v>
      </c>
      <c r="L97" t="n">
        <v>0</v>
      </c>
      <c r="M97" t="n">
        <v>0</v>
      </c>
      <c r="N97" t="n">
        <v>0</v>
      </c>
      <c r="O97" t="n">
        <v>1</v>
      </c>
      <c r="P97" t="n">
        <v>0</v>
      </c>
      <c r="Q97" t="n">
        <v>1</v>
      </c>
      <c r="R97" s="2" t="inlineStr">
        <is>
          <t>Gammelgransskål</t>
        </is>
      </c>
      <c r="S97">
        <f>HYPERLINK("https://klasma.github.io/Logging_2262/artfynd/A 45721-2024 artfynd.xlsx", "A 45721-2024")</f>
        <v/>
      </c>
      <c r="T97">
        <f>HYPERLINK("https://klasma.github.io/Logging_2262/kartor/A 45721-2024 karta.png", "A 45721-2024")</f>
        <v/>
      </c>
      <c r="V97">
        <f>HYPERLINK("https://klasma.github.io/Logging_2262/klagomål/A 45721-2024 FSC-klagomål.docx", "A 45721-2024")</f>
        <v/>
      </c>
      <c r="W97">
        <f>HYPERLINK("https://klasma.github.io/Logging_2262/klagomålsmail/A 45721-2024 FSC-klagomål mail.docx", "A 45721-2024")</f>
        <v/>
      </c>
      <c r="X97">
        <f>HYPERLINK("https://klasma.github.io/Logging_2262/tillsyn/A 45721-2024 tillsynsbegäran.docx", "A 45721-2024")</f>
        <v/>
      </c>
      <c r="Y97">
        <f>HYPERLINK("https://klasma.github.io/Logging_2262/tillsynsmail/A 45721-2024 tillsynsbegäran mail.docx", "A 45721-2024")</f>
        <v/>
      </c>
    </row>
    <row r="98" ht="15" customHeight="1">
      <c r="A98" t="inlineStr">
        <is>
          <t>A 53295-2024</t>
        </is>
      </c>
      <c r="B98" s="1" t="n">
        <v>45614</v>
      </c>
      <c r="C98" s="1" t="n">
        <v>45764</v>
      </c>
      <c r="D98" t="inlineStr">
        <is>
          <t>VÄSTERNORRLANDS LÄN</t>
        </is>
      </c>
      <c r="E98" t="inlineStr">
        <is>
          <t>TIMRÅ</t>
        </is>
      </c>
      <c r="F98" t="inlineStr">
        <is>
          <t>SCA</t>
        </is>
      </c>
      <c r="G98" t="n">
        <v>1.9</v>
      </c>
      <c r="H98" t="n">
        <v>0</v>
      </c>
      <c r="I98" t="n">
        <v>0</v>
      </c>
      <c r="J98" t="n">
        <v>1</v>
      </c>
      <c r="K98" t="n">
        <v>0</v>
      </c>
      <c r="L98" t="n">
        <v>0</v>
      </c>
      <c r="M98" t="n">
        <v>0</v>
      </c>
      <c r="N98" t="n">
        <v>0</v>
      </c>
      <c r="O98" t="n">
        <v>1</v>
      </c>
      <c r="P98" t="n">
        <v>0</v>
      </c>
      <c r="Q98" t="n">
        <v>1</v>
      </c>
      <c r="R98" s="2" t="inlineStr">
        <is>
          <t>Vedskivlav</t>
        </is>
      </c>
      <c r="S98">
        <f>HYPERLINK("https://klasma.github.io/Logging_2262/artfynd/A 53295-2024 artfynd.xlsx", "A 53295-2024")</f>
        <v/>
      </c>
      <c r="T98">
        <f>HYPERLINK("https://klasma.github.io/Logging_2262/kartor/A 53295-2024 karta.png", "A 53295-2024")</f>
        <v/>
      </c>
      <c r="V98">
        <f>HYPERLINK("https://klasma.github.io/Logging_2262/klagomål/A 53295-2024 FSC-klagomål.docx", "A 53295-2024")</f>
        <v/>
      </c>
      <c r="W98">
        <f>HYPERLINK("https://klasma.github.io/Logging_2262/klagomålsmail/A 53295-2024 FSC-klagomål mail.docx", "A 53295-2024")</f>
        <v/>
      </c>
      <c r="X98">
        <f>HYPERLINK("https://klasma.github.io/Logging_2262/tillsyn/A 53295-2024 tillsynsbegäran.docx", "A 53295-2024")</f>
        <v/>
      </c>
      <c r="Y98">
        <f>HYPERLINK("https://klasma.github.io/Logging_2262/tillsynsmail/A 53295-2024 tillsynsbegäran mail.docx", "A 53295-2024")</f>
        <v/>
      </c>
    </row>
    <row r="99" ht="15" customHeight="1">
      <c r="A99" t="inlineStr">
        <is>
          <t>A 53300-2024</t>
        </is>
      </c>
      <c r="B99" s="1" t="n">
        <v>45614</v>
      </c>
      <c r="C99" s="1" t="n">
        <v>45764</v>
      </c>
      <c r="D99" t="inlineStr">
        <is>
          <t>VÄSTERNORRLANDS LÄN</t>
        </is>
      </c>
      <c r="E99" t="inlineStr">
        <is>
          <t>TIMRÅ</t>
        </is>
      </c>
      <c r="F99" t="inlineStr">
        <is>
          <t>SCA</t>
        </is>
      </c>
      <c r="G99" t="n">
        <v>1</v>
      </c>
      <c r="H99" t="n">
        <v>0</v>
      </c>
      <c r="I99" t="n">
        <v>0</v>
      </c>
      <c r="J99" t="n">
        <v>1</v>
      </c>
      <c r="K99" t="n">
        <v>0</v>
      </c>
      <c r="L99" t="n">
        <v>0</v>
      </c>
      <c r="M99" t="n">
        <v>0</v>
      </c>
      <c r="N99" t="n">
        <v>0</v>
      </c>
      <c r="O99" t="n">
        <v>1</v>
      </c>
      <c r="P99" t="n">
        <v>0</v>
      </c>
      <c r="Q99" t="n">
        <v>1</v>
      </c>
      <c r="R99" s="2" t="inlineStr">
        <is>
          <t>Garnlav</t>
        </is>
      </c>
      <c r="S99">
        <f>HYPERLINK("https://klasma.github.io/Logging_2262/artfynd/A 53300-2024 artfynd.xlsx", "A 53300-2024")</f>
        <v/>
      </c>
      <c r="T99">
        <f>HYPERLINK("https://klasma.github.io/Logging_2262/kartor/A 53300-2024 karta.png", "A 53300-2024")</f>
        <v/>
      </c>
      <c r="V99">
        <f>HYPERLINK("https://klasma.github.io/Logging_2262/klagomål/A 53300-2024 FSC-klagomål.docx", "A 53300-2024")</f>
        <v/>
      </c>
      <c r="W99">
        <f>HYPERLINK("https://klasma.github.io/Logging_2262/klagomålsmail/A 53300-2024 FSC-klagomål mail.docx", "A 53300-2024")</f>
        <v/>
      </c>
      <c r="X99">
        <f>HYPERLINK("https://klasma.github.io/Logging_2262/tillsyn/A 53300-2024 tillsynsbegäran.docx", "A 53300-2024")</f>
        <v/>
      </c>
      <c r="Y99">
        <f>HYPERLINK("https://klasma.github.io/Logging_2262/tillsynsmail/A 53300-2024 tillsynsbegäran mail.docx", "A 53300-2024")</f>
        <v/>
      </c>
    </row>
    <row r="100" ht="15" customHeight="1">
      <c r="A100" t="inlineStr">
        <is>
          <t>A 56287-2024</t>
        </is>
      </c>
      <c r="B100" s="1" t="n">
        <v>45624</v>
      </c>
      <c r="C100" s="1" t="n">
        <v>45764</v>
      </c>
      <c r="D100" t="inlineStr">
        <is>
          <t>VÄSTERNORRLANDS LÄN</t>
        </is>
      </c>
      <c r="E100" t="inlineStr">
        <is>
          <t>TIMRÅ</t>
        </is>
      </c>
      <c r="F100" t="inlineStr">
        <is>
          <t>SCA</t>
        </is>
      </c>
      <c r="G100" t="n">
        <v>10.2</v>
      </c>
      <c r="H100" t="n">
        <v>0</v>
      </c>
      <c r="I100" t="n">
        <v>0</v>
      </c>
      <c r="J100" t="n">
        <v>1</v>
      </c>
      <c r="K100" t="n">
        <v>0</v>
      </c>
      <c r="L100" t="n">
        <v>0</v>
      </c>
      <c r="M100" t="n">
        <v>0</v>
      </c>
      <c r="N100" t="n">
        <v>0</v>
      </c>
      <c r="O100" t="n">
        <v>1</v>
      </c>
      <c r="P100" t="n">
        <v>0</v>
      </c>
      <c r="Q100" t="n">
        <v>1</v>
      </c>
      <c r="R100" s="2" t="inlineStr">
        <is>
          <t>Garnlav</t>
        </is>
      </c>
      <c r="S100">
        <f>HYPERLINK("https://klasma.github.io/Logging_2262/artfynd/A 56287-2024 artfynd.xlsx", "A 56287-2024")</f>
        <v/>
      </c>
      <c r="T100">
        <f>HYPERLINK("https://klasma.github.io/Logging_2262/kartor/A 56287-2024 karta.png", "A 56287-2024")</f>
        <v/>
      </c>
      <c r="V100">
        <f>HYPERLINK("https://klasma.github.io/Logging_2262/klagomål/A 56287-2024 FSC-klagomål.docx", "A 56287-2024")</f>
        <v/>
      </c>
      <c r="W100">
        <f>HYPERLINK("https://klasma.github.io/Logging_2262/klagomålsmail/A 56287-2024 FSC-klagomål mail.docx", "A 56287-2024")</f>
        <v/>
      </c>
      <c r="X100">
        <f>HYPERLINK("https://klasma.github.io/Logging_2262/tillsyn/A 56287-2024 tillsynsbegäran.docx", "A 56287-2024")</f>
        <v/>
      </c>
      <c r="Y100">
        <f>HYPERLINK("https://klasma.github.io/Logging_2262/tillsynsmail/A 56287-2024 tillsynsbegäran mail.docx", "A 56287-2024")</f>
        <v/>
      </c>
    </row>
    <row r="101" ht="15" customHeight="1">
      <c r="A101" t="inlineStr">
        <is>
          <t>A 62081-2024</t>
        </is>
      </c>
      <c r="B101" s="1" t="n">
        <v>45656</v>
      </c>
      <c r="C101" s="1" t="n">
        <v>45764</v>
      </c>
      <c r="D101" t="inlineStr">
        <is>
          <t>VÄSTERNORRLANDS LÄN</t>
        </is>
      </c>
      <c r="E101" t="inlineStr">
        <is>
          <t>TIMRÅ</t>
        </is>
      </c>
      <c r="F101" t="inlineStr">
        <is>
          <t>SCA</t>
        </is>
      </c>
      <c r="G101" t="n">
        <v>6.3</v>
      </c>
      <c r="H101" t="n">
        <v>1</v>
      </c>
      <c r="I101" t="n">
        <v>0</v>
      </c>
      <c r="J101" t="n">
        <v>0</v>
      </c>
      <c r="K101" t="n">
        <v>1</v>
      </c>
      <c r="L101" t="n">
        <v>0</v>
      </c>
      <c r="M101" t="n">
        <v>0</v>
      </c>
      <c r="N101" t="n">
        <v>0</v>
      </c>
      <c r="O101" t="n">
        <v>1</v>
      </c>
      <c r="P101" t="n">
        <v>1</v>
      </c>
      <c r="Q101" t="n">
        <v>1</v>
      </c>
      <c r="R101" s="2" t="inlineStr">
        <is>
          <t>Knärot</t>
        </is>
      </c>
      <c r="S101">
        <f>HYPERLINK("https://klasma.github.io/Logging_2262/artfynd/A 62081-2024 artfynd.xlsx", "A 62081-2024")</f>
        <v/>
      </c>
      <c r="T101">
        <f>HYPERLINK("https://klasma.github.io/Logging_2262/kartor/A 62081-2024 karta.png", "A 62081-2024")</f>
        <v/>
      </c>
      <c r="U101">
        <f>HYPERLINK("https://klasma.github.io/Logging_2262/knärot/A 62081-2024 karta knärot.png", "A 62081-2024")</f>
        <v/>
      </c>
      <c r="V101">
        <f>HYPERLINK("https://klasma.github.io/Logging_2262/klagomål/A 62081-2024 FSC-klagomål.docx", "A 62081-2024")</f>
        <v/>
      </c>
      <c r="W101">
        <f>HYPERLINK("https://klasma.github.io/Logging_2262/klagomålsmail/A 62081-2024 FSC-klagomål mail.docx", "A 62081-2024")</f>
        <v/>
      </c>
      <c r="X101">
        <f>HYPERLINK("https://klasma.github.io/Logging_2262/tillsyn/A 62081-2024 tillsynsbegäran.docx", "A 62081-2024")</f>
        <v/>
      </c>
      <c r="Y101">
        <f>HYPERLINK("https://klasma.github.io/Logging_2262/tillsynsmail/A 62081-2024 tillsynsbegäran mail.docx", "A 62081-2024")</f>
        <v/>
      </c>
    </row>
    <row r="102" ht="15" customHeight="1">
      <c r="A102" t="inlineStr">
        <is>
          <t>A 2295-2025</t>
        </is>
      </c>
      <c r="B102" s="1" t="n">
        <v>45673</v>
      </c>
      <c r="C102" s="1" t="n">
        <v>45764</v>
      </c>
      <c r="D102" t="inlineStr">
        <is>
          <t>VÄSTERNORRLANDS LÄN</t>
        </is>
      </c>
      <c r="E102" t="inlineStr">
        <is>
          <t>TIMRÅ</t>
        </is>
      </c>
      <c r="F102" t="inlineStr">
        <is>
          <t>SCA</t>
        </is>
      </c>
      <c r="G102" t="n">
        <v>5.1</v>
      </c>
      <c r="H102" t="n">
        <v>0</v>
      </c>
      <c r="I102" t="n">
        <v>0</v>
      </c>
      <c r="J102" t="n">
        <v>1</v>
      </c>
      <c r="K102" t="n">
        <v>0</v>
      </c>
      <c r="L102" t="n">
        <v>0</v>
      </c>
      <c r="M102" t="n">
        <v>0</v>
      </c>
      <c r="N102" t="n">
        <v>0</v>
      </c>
      <c r="O102" t="n">
        <v>1</v>
      </c>
      <c r="P102" t="n">
        <v>0</v>
      </c>
      <c r="Q102" t="n">
        <v>1</v>
      </c>
      <c r="R102" s="2" t="inlineStr">
        <is>
          <t>Ullticka</t>
        </is>
      </c>
      <c r="S102">
        <f>HYPERLINK("https://klasma.github.io/Logging_2262/artfynd/A 2295-2025 artfynd.xlsx", "A 2295-2025")</f>
        <v/>
      </c>
      <c r="T102">
        <f>HYPERLINK("https://klasma.github.io/Logging_2262/kartor/A 2295-2025 karta.png", "A 2295-2025")</f>
        <v/>
      </c>
      <c r="V102">
        <f>HYPERLINK("https://klasma.github.io/Logging_2262/klagomål/A 2295-2025 FSC-klagomål.docx", "A 2295-2025")</f>
        <v/>
      </c>
      <c r="W102">
        <f>HYPERLINK("https://klasma.github.io/Logging_2262/klagomålsmail/A 2295-2025 FSC-klagomål mail.docx", "A 2295-2025")</f>
        <v/>
      </c>
      <c r="X102">
        <f>HYPERLINK("https://klasma.github.io/Logging_2262/tillsyn/A 2295-2025 tillsynsbegäran.docx", "A 2295-2025")</f>
        <v/>
      </c>
      <c r="Y102">
        <f>HYPERLINK("https://klasma.github.io/Logging_2262/tillsynsmail/A 2295-2025 tillsynsbegäran mail.docx", "A 2295-2025")</f>
        <v/>
      </c>
    </row>
    <row r="103" ht="15" customHeight="1">
      <c r="A103" t="inlineStr">
        <is>
          <t>A 7272-2025</t>
        </is>
      </c>
      <c r="B103" s="1" t="n">
        <v>45702</v>
      </c>
      <c r="C103" s="1" t="n">
        <v>45764</v>
      </c>
      <c r="D103" t="inlineStr">
        <is>
          <t>VÄSTERNORRLANDS LÄN</t>
        </is>
      </c>
      <c r="E103" t="inlineStr">
        <is>
          <t>TIMRÅ</t>
        </is>
      </c>
      <c r="G103" t="n">
        <v>2.9</v>
      </c>
      <c r="H103" t="n">
        <v>0</v>
      </c>
      <c r="I103" t="n">
        <v>0</v>
      </c>
      <c r="J103" t="n">
        <v>1</v>
      </c>
      <c r="K103" t="n">
        <v>0</v>
      </c>
      <c r="L103" t="n">
        <v>0</v>
      </c>
      <c r="M103" t="n">
        <v>0</v>
      </c>
      <c r="N103" t="n">
        <v>0</v>
      </c>
      <c r="O103" t="n">
        <v>1</v>
      </c>
      <c r="P103" t="n">
        <v>0</v>
      </c>
      <c r="Q103" t="n">
        <v>1</v>
      </c>
      <c r="R103" s="2" t="inlineStr">
        <is>
          <t>Reliktbock</t>
        </is>
      </c>
      <c r="S103">
        <f>HYPERLINK("https://klasma.github.io/Logging_2262/artfynd/A 7272-2025 artfynd.xlsx", "A 7272-2025")</f>
        <v/>
      </c>
      <c r="T103">
        <f>HYPERLINK("https://klasma.github.io/Logging_2262/kartor/A 7272-2025 karta.png", "A 7272-2025")</f>
        <v/>
      </c>
      <c r="V103">
        <f>HYPERLINK("https://klasma.github.io/Logging_2262/klagomål/A 7272-2025 FSC-klagomål.docx", "A 7272-2025")</f>
        <v/>
      </c>
      <c r="W103">
        <f>HYPERLINK("https://klasma.github.io/Logging_2262/klagomålsmail/A 7272-2025 FSC-klagomål mail.docx", "A 7272-2025")</f>
        <v/>
      </c>
      <c r="X103">
        <f>HYPERLINK("https://klasma.github.io/Logging_2262/tillsyn/A 7272-2025 tillsynsbegäran.docx", "A 7272-2025")</f>
        <v/>
      </c>
      <c r="Y103">
        <f>HYPERLINK("https://klasma.github.io/Logging_2262/tillsynsmail/A 7272-2025 tillsynsbegäran mail.docx", "A 7272-2025")</f>
        <v/>
      </c>
    </row>
    <row r="104" ht="15" customHeight="1">
      <c r="A104" t="inlineStr">
        <is>
          <t>A 16301-2025</t>
        </is>
      </c>
      <c r="B104" s="1" t="n">
        <v>45751</v>
      </c>
      <c r="C104" s="1" t="n">
        <v>45764</v>
      </c>
      <c r="D104" t="inlineStr">
        <is>
          <t>VÄSTERNORRLANDS LÄN</t>
        </is>
      </c>
      <c r="E104" t="inlineStr">
        <is>
          <t>TIMRÅ</t>
        </is>
      </c>
      <c r="F104" t="inlineStr">
        <is>
          <t>SCA</t>
        </is>
      </c>
      <c r="G104" t="n">
        <v>1.6</v>
      </c>
      <c r="H104" t="n">
        <v>0</v>
      </c>
      <c r="I104" t="n">
        <v>0</v>
      </c>
      <c r="J104" t="n">
        <v>1</v>
      </c>
      <c r="K104" t="n">
        <v>0</v>
      </c>
      <c r="L104" t="n">
        <v>0</v>
      </c>
      <c r="M104" t="n">
        <v>0</v>
      </c>
      <c r="N104" t="n">
        <v>0</v>
      </c>
      <c r="O104" t="n">
        <v>1</v>
      </c>
      <c r="P104" t="n">
        <v>0</v>
      </c>
      <c r="Q104" t="n">
        <v>1</v>
      </c>
      <c r="R104" s="2" t="inlineStr">
        <is>
          <t>Lunglav</t>
        </is>
      </c>
      <c r="S104">
        <f>HYPERLINK("https://klasma.github.io/Logging_222262/artfynd/A 16301-2025 artfynd.xlsx", "A 16301-2025")</f>
        <v/>
      </c>
      <c r="T104">
        <f>HYPERLINK("https://klasma.github.io/Logging_222262/kartor/A 16301-2025 karta.png", "A 16301-2025")</f>
        <v/>
      </c>
      <c r="U104">
        <f>HYPERLINK("https://klasma.github.io/Logging_222262/knärot/A 16301-2025 karta knärot.png", "A 16301-2025")</f>
        <v/>
      </c>
      <c r="V104">
        <f>HYPERLINK("https://klasma.github.io/Logging_222262/klagomål/A 16301-2025 FSC-klagomål.docx", "A 16301-2025")</f>
        <v/>
      </c>
      <c r="W104">
        <f>HYPERLINK("https://klasma.github.io/Logging_222262/klagomålsmail/A 16301-2025 FSC-klagomål mail.docx", "A 16301-2025")</f>
        <v/>
      </c>
      <c r="X104">
        <f>HYPERLINK("https://klasma.github.io/Logging_222262/tillsyn/A 16301-2025 tillsynsbegäran.docx", "A 16301-2025")</f>
        <v/>
      </c>
      <c r="Y104">
        <f>HYPERLINK("https://klasma.github.io/Logging_222262/tillsynsmail/A 16301-2025 tillsynsbegäran mail.docx", "A 16301-2025")</f>
        <v/>
      </c>
    </row>
    <row r="105" ht="15" customHeight="1">
      <c r="A105" t="inlineStr">
        <is>
          <t>A 17858-2019</t>
        </is>
      </c>
      <c r="B105" s="1" t="n">
        <v>43556</v>
      </c>
      <c r="C105" s="1" t="n">
        <v>45764</v>
      </c>
      <c r="D105" t="inlineStr">
        <is>
          <t>VÄSTERNORRLANDS LÄN</t>
        </is>
      </c>
      <c r="E105" t="inlineStr">
        <is>
          <t>TIMRÅ</t>
        </is>
      </c>
      <c r="F105" t="inlineStr">
        <is>
          <t>SCA</t>
        </is>
      </c>
      <c r="G105" t="n">
        <v>5.2</v>
      </c>
      <c r="H105" t="n">
        <v>0</v>
      </c>
      <c r="I105" t="n">
        <v>0</v>
      </c>
      <c r="J105" t="n">
        <v>0</v>
      </c>
      <c r="K105" t="n">
        <v>0</v>
      </c>
      <c r="L105" t="n">
        <v>0</v>
      </c>
      <c r="M105" t="n">
        <v>0</v>
      </c>
      <c r="N105" t="n">
        <v>0</v>
      </c>
      <c r="O105" t="n">
        <v>0</v>
      </c>
      <c r="P105" t="n">
        <v>0</v>
      </c>
      <c r="Q105" t="n">
        <v>0</v>
      </c>
      <c r="R105" s="2" t="inlineStr"/>
    </row>
    <row r="106" ht="15" customHeight="1">
      <c r="A106" t="inlineStr">
        <is>
          <t>A 18703-2019</t>
        </is>
      </c>
      <c r="B106" s="1" t="n">
        <v>43559</v>
      </c>
      <c r="C106" s="1" t="n">
        <v>45764</v>
      </c>
      <c r="D106" t="inlineStr">
        <is>
          <t>VÄSTERNORRLANDS LÄN</t>
        </is>
      </c>
      <c r="E106" t="inlineStr">
        <is>
          <t>TIMRÅ</t>
        </is>
      </c>
      <c r="G106" t="n">
        <v>5</v>
      </c>
      <c r="H106" t="n">
        <v>0</v>
      </c>
      <c r="I106" t="n">
        <v>0</v>
      </c>
      <c r="J106" t="n">
        <v>0</v>
      </c>
      <c r="K106" t="n">
        <v>0</v>
      </c>
      <c r="L106" t="n">
        <v>0</v>
      </c>
      <c r="M106" t="n">
        <v>0</v>
      </c>
      <c r="N106" t="n">
        <v>0</v>
      </c>
      <c r="O106" t="n">
        <v>0</v>
      </c>
      <c r="P106" t="n">
        <v>0</v>
      </c>
      <c r="Q106" t="n">
        <v>0</v>
      </c>
      <c r="R106" s="2" t="inlineStr"/>
    </row>
    <row r="107" ht="15" customHeight="1">
      <c r="A107" t="inlineStr">
        <is>
          <t>A 20205-2019</t>
        </is>
      </c>
      <c r="B107" s="1" t="n">
        <v>43570</v>
      </c>
      <c r="C107" s="1" t="n">
        <v>45764</v>
      </c>
      <c r="D107" t="inlineStr">
        <is>
          <t>VÄSTERNORRLANDS LÄN</t>
        </is>
      </c>
      <c r="E107" t="inlineStr">
        <is>
          <t>TIMRÅ</t>
        </is>
      </c>
      <c r="F107" t="inlineStr">
        <is>
          <t>SCA</t>
        </is>
      </c>
      <c r="G107" t="n">
        <v>29.1</v>
      </c>
      <c r="H107" t="n">
        <v>0</v>
      </c>
      <c r="I107" t="n">
        <v>0</v>
      </c>
      <c r="J107" t="n">
        <v>0</v>
      </c>
      <c r="K107" t="n">
        <v>0</v>
      </c>
      <c r="L107" t="n">
        <v>0</v>
      </c>
      <c r="M107" t="n">
        <v>0</v>
      </c>
      <c r="N107" t="n">
        <v>0</v>
      </c>
      <c r="O107" t="n">
        <v>0</v>
      </c>
      <c r="P107" t="n">
        <v>0</v>
      </c>
      <c r="Q107" t="n">
        <v>0</v>
      </c>
      <c r="R107" s="2" t="inlineStr"/>
    </row>
    <row r="108" ht="15" customHeight="1">
      <c r="A108" t="inlineStr">
        <is>
          <t>A 20591-2019</t>
        </is>
      </c>
      <c r="B108" s="1" t="n">
        <v>43572</v>
      </c>
      <c r="C108" s="1" t="n">
        <v>45764</v>
      </c>
      <c r="D108" t="inlineStr">
        <is>
          <t>VÄSTERNORRLANDS LÄN</t>
        </is>
      </c>
      <c r="E108" t="inlineStr">
        <is>
          <t>TIMRÅ</t>
        </is>
      </c>
      <c r="F108" t="inlineStr">
        <is>
          <t>SCA</t>
        </is>
      </c>
      <c r="G108" t="n">
        <v>2.2</v>
      </c>
      <c r="H108" t="n">
        <v>0</v>
      </c>
      <c r="I108" t="n">
        <v>0</v>
      </c>
      <c r="J108" t="n">
        <v>0</v>
      </c>
      <c r="K108" t="n">
        <v>0</v>
      </c>
      <c r="L108" t="n">
        <v>0</v>
      </c>
      <c r="M108" t="n">
        <v>0</v>
      </c>
      <c r="N108" t="n">
        <v>0</v>
      </c>
      <c r="O108" t="n">
        <v>0</v>
      </c>
      <c r="P108" t="n">
        <v>0</v>
      </c>
      <c r="Q108" t="n">
        <v>0</v>
      </c>
      <c r="R108" s="2" t="inlineStr"/>
    </row>
    <row r="109" ht="15" customHeight="1">
      <c r="A109" t="inlineStr">
        <is>
          <t>A 22036-2019</t>
        </is>
      </c>
      <c r="B109" s="1" t="n">
        <v>43584</v>
      </c>
      <c r="C109" s="1" t="n">
        <v>45764</v>
      </c>
      <c r="D109" t="inlineStr">
        <is>
          <t>VÄSTERNORRLANDS LÄN</t>
        </is>
      </c>
      <c r="E109" t="inlineStr">
        <is>
          <t>TIMRÅ</t>
        </is>
      </c>
      <c r="G109" t="n">
        <v>0.4</v>
      </c>
      <c r="H109" t="n">
        <v>0</v>
      </c>
      <c r="I109" t="n">
        <v>0</v>
      </c>
      <c r="J109" t="n">
        <v>0</v>
      </c>
      <c r="K109" t="n">
        <v>0</v>
      </c>
      <c r="L109" t="n">
        <v>0</v>
      </c>
      <c r="M109" t="n">
        <v>0</v>
      </c>
      <c r="N109" t="n">
        <v>0</v>
      </c>
      <c r="O109" t="n">
        <v>0</v>
      </c>
      <c r="P109" t="n">
        <v>0</v>
      </c>
      <c r="Q109" t="n">
        <v>0</v>
      </c>
      <c r="R109" s="2" t="inlineStr"/>
    </row>
    <row r="110" ht="15" customHeight="1">
      <c r="A110" t="inlineStr">
        <is>
          <t>A 22345-2019</t>
        </is>
      </c>
      <c r="B110" s="1" t="n">
        <v>43587</v>
      </c>
      <c r="C110" s="1" t="n">
        <v>45764</v>
      </c>
      <c r="D110" t="inlineStr">
        <is>
          <t>VÄSTERNORRLANDS LÄN</t>
        </is>
      </c>
      <c r="E110" t="inlineStr">
        <is>
          <t>TIMRÅ</t>
        </is>
      </c>
      <c r="G110" t="n">
        <v>0.3</v>
      </c>
      <c r="H110" t="n">
        <v>0</v>
      </c>
      <c r="I110" t="n">
        <v>0</v>
      </c>
      <c r="J110" t="n">
        <v>0</v>
      </c>
      <c r="K110" t="n">
        <v>0</v>
      </c>
      <c r="L110" t="n">
        <v>0</v>
      </c>
      <c r="M110" t="n">
        <v>0</v>
      </c>
      <c r="N110" t="n">
        <v>0</v>
      </c>
      <c r="O110" t="n">
        <v>0</v>
      </c>
      <c r="P110" t="n">
        <v>0</v>
      </c>
      <c r="Q110" t="n">
        <v>0</v>
      </c>
      <c r="R110" s="2" t="inlineStr"/>
    </row>
    <row r="111" ht="15" customHeight="1">
      <c r="A111" t="inlineStr">
        <is>
          <t>A 23074-2019</t>
        </is>
      </c>
      <c r="B111" s="1" t="n">
        <v>43591</v>
      </c>
      <c r="C111" s="1" t="n">
        <v>45764</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24767-2019</t>
        </is>
      </c>
      <c r="B112" s="1" t="n">
        <v>43601</v>
      </c>
      <c r="C112" s="1" t="n">
        <v>45764</v>
      </c>
      <c r="D112" t="inlineStr">
        <is>
          <t>VÄSTERNORRLANDS LÄN</t>
        </is>
      </c>
      <c r="E112" t="inlineStr">
        <is>
          <t>TIMRÅ</t>
        </is>
      </c>
      <c r="G112" t="n">
        <v>6.1</v>
      </c>
      <c r="H112" t="n">
        <v>0</v>
      </c>
      <c r="I112" t="n">
        <v>0</v>
      </c>
      <c r="J112" t="n">
        <v>0</v>
      </c>
      <c r="K112" t="n">
        <v>0</v>
      </c>
      <c r="L112" t="n">
        <v>0</v>
      </c>
      <c r="M112" t="n">
        <v>0</v>
      </c>
      <c r="N112" t="n">
        <v>0</v>
      </c>
      <c r="O112" t="n">
        <v>0</v>
      </c>
      <c r="P112" t="n">
        <v>0</v>
      </c>
      <c r="Q112" t="n">
        <v>0</v>
      </c>
      <c r="R112" s="2" t="inlineStr"/>
    </row>
    <row r="113" ht="15" customHeight="1">
      <c r="A113" t="inlineStr">
        <is>
          <t>A 29163-2019</t>
        </is>
      </c>
      <c r="B113" s="1" t="n">
        <v>43628</v>
      </c>
      <c r="C113" s="1" t="n">
        <v>45764</v>
      </c>
      <c r="D113" t="inlineStr">
        <is>
          <t>VÄSTERNORRLANDS LÄN</t>
        </is>
      </c>
      <c r="E113" t="inlineStr">
        <is>
          <t>TIMRÅ</t>
        </is>
      </c>
      <c r="G113" t="n">
        <v>4.6</v>
      </c>
      <c r="H113" t="n">
        <v>0</v>
      </c>
      <c r="I113" t="n">
        <v>0</v>
      </c>
      <c r="J113" t="n">
        <v>0</v>
      </c>
      <c r="K113" t="n">
        <v>0</v>
      </c>
      <c r="L113" t="n">
        <v>0</v>
      </c>
      <c r="M113" t="n">
        <v>0</v>
      </c>
      <c r="N113" t="n">
        <v>0</v>
      </c>
      <c r="O113" t="n">
        <v>0</v>
      </c>
      <c r="P113" t="n">
        <v>0</v>
      </c>
      <c r="Q113" t="n">
        <v>0</v>
      </c>
      <c r="R113" s="2" t="inlineStr"/>
    </row>
    <row r="114" ht="15" customHeight="1">
      <c r="A114" t="inlineStr">
        <is>
          <t>A 29485-2019</t>
        </is>
      </c>
      <c r="B114" s="1" t="n">
        <v>43629</v>
      </c>
      <c r="C114" s="1" t="n">
        <v>45764</v>
      </c>
      <c r="D114" t="inlineStr">
        <is>
          <t>VÄSTERNORRLANDS LÄN</t>
        </is>
      </c>
      <c r="E114" t="inlineStr">
        <is>
          <t>TIMRÅ</t>
        </is>
      </c>
      <c r="G114" t="n">
        <v>3.4</v>
      </c>
      <c r="H114" t="n">
        <v>0</v>
      </c>
      <c r="I114" t="n">
        <v>0</v>
      </c>
      <c r="J114" t="n">
        <v>0</v>
      </c>
      <c r="K114" t="n">
        <v>0</v>
      </c>
      <c r="L114" t="n">
        <v>0</v>
      </c>
      <c r="M114" t="n">
        <v>0</v>
      </c>
      <c r="N114" t="n">
        <v>0</v>
      </c>
      <c r="O114" t="n">
        <v>0</v>
      </c>
      <c r="P114" t="n">
        <v>0</v>
      </c>
      <c r="Q114" t="n">
        <v>0</v>
      </c>
      <c r="R114" s="2" t="inlineStr"/>
    </row>
    <row r="115" ht="15" customHeight="1">
      <c r="A115" t="inlineStr">
        <is>
          <t>A 29751-2019</t>
        </is>
      </c>
      <c r="B115" s="1" t="n">
        <v>43630</v>
      </c>
      <c r="C115" s="1" t="n">
        <v>45764</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32982-2019</t>
        </is>
      </c>
      <c r="B116" s="1" t="n">
        <v>43648</v>
      </c>
      <c r="C116" s="1" t="n">
        <v>45764</v>
      </c>
      <c r="D116" t="inlineStr">
        <is>
          <t>VÄSTERNORRLANDS LÄN</t>
        </is>
      </c>
      <c r="E116" t="inlineStr">
        <is>
          <t>TIMRÅ</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33835-2019</t>
        </is>
      </c>
      <c r="B117" s="1" t="n">
        <v>43651</v>
      </c>
      <c r="C117" s="1" t="n">
        <v>45764</v>
      </c>
      <c r="D117" t="inlineStr">
        <is>
          <t>VÄSTERNORRLANDS LÄN</t>
        </is>
      </c>
      <c r="E117" t="inlineStr">
        <is>
          <t>TIMRÅ</t>
        </is>
      </c>
      <c r="G117" t="n">
        <v>6.2</v>
      </c>
      <c r="H117" t="n">
        <v>0</v>
      </c>
      <c r="I117" t="n">
        <v>0</v>
      </c>
      <c r="J117" t="n">
        <v>0</v>
      </c>
      <c r="K117" t="n">
        <v>0</v>
      </c>
      <c r="L117" t="n">
        <v>0</v>
      </c>
      <c r="M117" t="n">
        <v>0</v>
      </c>
      <c r="N117" t="n">
        <v>0</v>
      </c>
      <c r="O117" t="n">
        <v>0</v>
      </c>
      <c r="P117" t="n">
        <v>0</v>
      </c>
      <c r="Q117" t="n">
        <v>0</v>
      </c>
      <c r="R117" s="2" t="inlineStr"/>
    </row>
    <row r="118" ht="15" customHeight="1">
      <c r="A118" t="inlineStr">
        <is>
          <t>A 33834-2019</t>
        </is>
      </c>
      <c r="B118" s="1" t="n">
        <v>43651</v>
      </c>
      <c r="C118" s="1" t="n">
        <v>45764</v>
      </c>
      <c r="D118" t="inlineStr">
        <is>
          <t>VÄSTERNORRLANDS LÄN</t>
        </is>
      </c>
      <c r="E118" t="inlineStr">
        <is>
          <t>TIMRÅ</t>
        </is>
      </c>
      <c r="G118" t="n">
        <v>4.5</v>
      </c>
      <c r="H118" t="n">
        <v>0</v>
      </c>
      <c r="I118" t="n">
        <v>0</v>
      </c>
      <c r="J118" t="n">
        <v>0</v>
      </c>
      <c r="K118" t="n">
        <v>0</v>
      </c>
      <c r="L118" t="n">
        <v>0</v>
      </c>
      <c r="M118" t="n">
        <v>0</v>
      </c>
      <c r="N118" t="n">
        <v>0</v>
      </c>
      <c r="O118" t="n">
        <v>0</v>
      </c>
      <c r="P118" t="n">
        <v>0</v>
      </c>
      <c r="Q118" t="n">
        <v>0</v>
      </c>
      <c r="R118" s="2" t="inlineStr"/>
    </row>
    <row r="119" ht="15" customHeight="1">
      <c r="A119" t="inlineStr">
        <is>
          <t>A 34106-2019</t>
        </is>
      </c>
      <c r="B119" s="1" t="n">
        <v>43654</v>
      </c>
      <c r="C119" s="1" t="n">
        <v>45764</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35877-2019</t>
        </is>
      </c>
      <c r="B120" s="1" t="n">
        <v>43665</v>
      </c>
      <c r="C120" s="1" t="n">
        <v>45764</v>
      </c>
      <c r="D120" t="inlineStr">
        <is>
          <t>VÄSTERNORRLANDS LÄN</t>
        </is>
      </c>
      <c r="E120" t="inlineStr">
        <is>
          <t>TIMRÅ</t>
        </is>
      </c>
      <c r="G120" t="n">
        <v>3.7</v>
      </c>
      <c r="H120" t="n">
        <v>0</v>
      </c>
      <c r="I120" t="n">
        <v>0</v>
      </c>
      <c r="J120" t="n">
        <v>0</v>
      </c>
      <c r="K120" t="n">
        <v>0</v>
      </c>
      <c r="L120" t="n">
        <v>0</v>
      </c>
      <c r="M120" t="n">
        <v>0</v>
      </c>
      <c r="N120" t="n">
        <v>0</v>
      </c>
      <c r="O120" t="n">
        <v>0</v>
      </c>
      <c r="P120" t="n">
        <v>0</v>
      </c>
      <c r="Q120" t="n">
        <v>0</v>
      </c>
      <c r="R120" s="2" t="inlineStr"/>
    </row>
    <row r="121" ht="15" customHeight="1">
      <c r="A121" t="inlineStr">
        <is>
          <t>A 36176-2019</t>
        </is>
      </c>
      <c r="B121" s="1" t="n">
        <v>43668</v>
      </c>
      <c r="C121" s="1" t="n">
        <v>45764</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36806-2019</t>
        </is>
      </c>
      <c r="B122" s="1" t="n">
        <v>43672</v>
      </c>
      <c r="C122" s="1" t="n">
        <v>45764</v>
      </c>
      <c r="D122" t="inlineStr">
        <is>
          <t>VÄSTERNORRLANDS LÄN</t>
        </is>
      </c>
      <c r="E122" t="inlineStr">
        <is>
          <t>TIMRÅ</t>
        </is>
      </c>
      <c r="G122" t="n">
        <v>3.8</v>
      </c>
      <c r="H122" t="n">
        <v>0</v>
      </c>
      <c r="I122" t="n">
        <v>0</v>
      </c>
      <c r="J122" t="n">
        <v>0</v>
      </c>
      <c r="K122" t="n">
        <v>0</v>
      </c>
      <c r="L122" t="n">
        <v>0</v>
      </c>
      <c r="M122" t="n">
        <v>0</v>
      </c>
      <c r="N122" t="n">
        <v>0</v>
      </c>
      <c r="O122" t="n">
        <v>0</v>
      </c>
      <c r="P122" t="n">
        <v>0</v>
      </c>
      <c r="Q122" t="n">
        <v>0</v>
      </c>
      <c r="R122" s="2" t="inlineStr"/>
    </row>
    <row r="123" ht="15" customHeight="1">
      <c r="A123" t="inlineStr">
        <is>
          <t>A 40956-2019</t>
        </is>
      </c>
      <c r="B123" s="1" t="n">
        <v>43697</v>
      </c>
      <c r="C123" s="1" t="n">
        <v>45764</v>
      </c>
      <c r="D123" t="inlineStr">
        <is>
          <t>VÄSTERNORRLANDS LÄN</t>
        </is>
      </c>
      <c r="E123" t="inlineStr">
        <is>
          <t>TIMRÅ</t>
        </is>
      </c>
      <c r="G123" t="n">
        <v>1.3</v>
      </c>
      <c r="H123" t="n">
        <v>0</v>
      </c>
      <c r="I123" t="n">
        <v>0</v>
      </c>
      <c r="J123" t="n">
        <v>0</v>
      </c>
      <c r="K123" t="n">
        <v>0</v>
      </c>
      <c r="L123" t="n">
        <v>0</v>
      </c>
      <c r="M123" t="n">
        <v>0</v>
      </c>
      <c r="N123" t="n">
        <v>0</v>
      </c>
      <c r="O123" t="n">
        <v>0</v>
      </c>
      <c r="P123" t="n">
        <v>0</v>
      </c>
      <c r="Q123" t="n">
        <v>0</v>
      </c>
      <c r="R123" s="2" t="inlineStr"/>
    </row>
    <row r="124" ht="15" customHeight="1">
      <c r="A124" t="inlineStr">
        <is>
          <t>A 43975-2019</t>
        </is>
      </c>
      <c r="B124" s="1" t="n">
        <v>43708</v>
      </c>
      <c r="C124" s="1" t="n">
        <v>45764</v>
      </c>
      <c r="D124" t="inlineStr">
        <is>
          <t>VÄSTERNORRLANDS LÄN</t>
        </is>
      </c>
      <c r="E124" t="inlineStr">
        <is>
          <t>TIMRÅ</t>
        </is>
      </c>
      <c r="G124" t="n">
        <v>1.4</v>
      </c>
      <c r="H124" t="n">
        <v>0</v>
      </c>
      <c r="I124" t="n">
        <v>0</v>
      </c>
      <c r="J124" t="n">
        <v>0</v>
      </c>
      <c r="K124" t="n">
        <v>0</v>
      </c>
      <c r="L124" t="n">
        <v>0</v>
      </c>
      <c r="M124" t="n">
        <v>0</v>
      </c>
      <c r="N124" t="n">
        <v>0</v>
      </c>
      <c r="O124" t="n">
        <v>0</v>
      </c>
      <c r="P124" t="n">
        <v>0</v>
      </c>
      <c r="Q124" t="n">
        <v>0</v>
      </c>
      <c r="R124" s="2" t="inlineStr"/>
    </row>
    <row r="125" ht="15" customHeight="1">
      <c r="A125" t="inlineStr">
        <is>
          <t>A 44673-2019</t>
        </is>
      </c>
      <c r="B125" s="1" t="n">
        <v>43712</v>
      </c>
      <c r="C125" s="1" t="n">
        <v>45764</v>
      </c>
      <c r="D125" t="inlineStr">
        <is>
          <t>VÄSTERNORRLANDS LÄN</t>
        </is>
      </c>
      <c r="E125" t="inlineStr">
        <is>
          <t>TIMRÅ</t>
        </is>
      </c>
      <c r="G125" t="n">
        <v>1.8</v>
      </c>
      <c r="H125" t="n">
        <v>0</v>
      </c>
      <c r="I125" t="n">
        <v>0</v>
      </c>
      <c r="J125" t="n">
        <v>0</v>
      </c>
      <c r="K125" t="n">
        <v>0</v>
      </c>
      <c r="L125" t="n">
        <v>0</v>
      </c>
      <c r="M125" t="n">
        <v>0</v>
      </c>
      <c r="N125" t="n">
        <v>0</v>
      </c>
      <c r="O125" t="n">
        <v>0</v>
      </c>
      <c r="P125" t="n">
        <v>0</v>
      </c>
      <c r="Q125" t="n">
        <v>0</v>
      </c>
      <c r="R125" s="2" t="inlineStr"/>
    </row>
    <row r="126" ht="15" customHeight="1">
      <c r="A126" t="inlineStr">
        <is>
          <t>A 47656-2019</t>
        </is>
      </c>
      <c r="B126" s="1" t="n">
        <v>43724</v>
      </c>
      <c r="C126" s="1" t="n">
        <v>45764</v>
      </c>
      <c r="D126" t="inlineStr">
        <is>
          <t>VÄSTERNORRLANDS LÄN</t>
        </is>
      </c>
      <c r="E126" t="inlineStr">
        <is>
          <t>TIMRÅ</t>
        </is>
      </c>
      <c r="G126" t="n">
        <v>8</v>
      </c>
      <c r="H126" t="n">
        <v>0</v>
      </c>
      <c r="I126" t="n">
        <v>0</v>
      </c>
      <c r="J126" t="n">
        <v>0</v>
      </c>
      <c r="K126" t="n">
        <v>0</v>
      </c>
      <c r="L126" t="n">
        <v>0</v>
      </c>
      <c r="M126" t="n">
        <v>0</v>
      </c>
      <c r="N126" t="n">
        <v>0</v>
      </c>
      <c r="O126" t="n">
        <v>0</v>
      </c>
      <c r="P126" t="n">
        <v>0</v>
      </c>
      <c r="Q126" t="n">
        <v>0</v>
      </c>
      <c r="R126" s="2" t="inlineStr"/>
    </row>
    <row r="127" ht="15" customHeight="1">
      <c r="A127" t="inlineStr">
        <is>
          <t>A 48964-2019</t>
        </is>
      </c>
      <c r="B127" s="1" t="n">
        <v>43728</v>
      </c>
      <c r="C127" s="1" t="n">
        <v>45764</v>
      </c>
      <c r="D127" t="inlineStr">
        <is>
          <t>VÄSTERNORRLANDS LÄN</t>
        </is>
      </c>
      <c r="E127" t="inlineStr">
        <is>
          <t>TIMRÅ</t>
        </is>
      </c>
      <c r="G127" t="n">
        <v>7.8</v>
      </c>
      <c r="H127" t="n">
        <v>0</v>
      </c>
      <c r="I127" t="n">
        <v>0</v>
      </c>
      <c r="J127" t="n">
        <v>0</v>
      </c>
      <c r="K127" t="n">
        <v>0</v>
      </c>
      <c r="L127" t="n">
        <v>0</v>
      </c>
      <c r="M127" t="n">
        <v>0</v>
      </c>
      <c r="N127" t="n">
        <v>0</v>
      </c>
      <c r="O127" t="n">
        <v>0</v>
      </c>
      <c r="P127" t="n">
        <v>0</v>
      </c>
      <c r="Q127" t="n">
        <v>0</v>
      </c>
      <c r="R127" s="2" t="inlineStr"/>
    </row>
    <row r="128" ht="15" customHeight="1">
      <c r="A128" t="inlineStr">
        <is>
          <t>A 50604-2019</t>
        </is>
      </c>
      <c r="B128" s="1" t="n">
        <v>43735</v>
      </c>
      <c r="C128" s="1" t="n">
        <v>45764</v>
      </c>
      <c r="D128" t="inlineStr">
        <is>
          <t>VÄSTERNORRLANDS LÄN</t>
        </is>
      </c>
      <c r="E128" t="inlineStr">
        <is>
          <t>TIMRÅ</t>
        </is>
      </c>
      <c r="G128" t="n">
        <v>7.7</v>
      </c>
      <c r="H128" t="n">
        <v>0</v>
      </c>
      <c r="I128" t="n">
        <v>0</v>
      </c>
      <c r="J128" t="n">
        <v>0</v>
      </c>
      <c r="K128" t="n">
        <v>0</v>
      </c>
      <c r="L128" t="n">
        <v>0</v>
      </c>
      <c r="M128" t="n">
        <v>0</v>
      </c>
      <c r="N128" t="n">
        <v>0</v>
      </c>
      <c r="O128" t="n">
        <v>0</v>
      </c>
      <c r="P128" t="n">
        <v>0</v>
      </c>
      <c r="Q128" t="n">
        <v>0</v>
      </c>
      <c r="R128" s="2" t="inlineStr"/>
    </row>
    <row r="129" ht="15" customHeight="1">
      <c r="A129" t="inlineStr">
        <is>
          <t>A 51297-2019</t>
        </is>
      </c>
      <c r="B129" s="1" t="n">
        <v>43739</v>
      </c>
      <c r="C129" s="1" t="n">
        <v>45764</v>
      </c>
      <c r="D129" t="inlineStr">
        <is>
          <t>VÄSTERNORRLANDS LÄN</t>
        </is>
      </c>
      <c r="E129" t="inlineStr">
        <is>
          <t>TIMRÅ</t>
        </is>
      </c>
      <c r="G129" t="n">
        <v>2</v>
      </c>
      <c r="H129" t="n">
        <v>0</v>
      </c>
      <c r="I129" t="n">
        <v>0</v>
      </c>
      <c r="J129" t="n">
        <v>0</v>
      </c>
      <c r="K129" t="n">
        <v>0</v>
      </c>
      <c r="L129" t="n">
        <v>0</v>
      </c>
      <c r="M129" t="n">
        <v>0</v>
      </c>
      <c r="N129" t="n">
        <v>0</v>
      </c>
      <c r="O129" t="n">
        <v>0</v>
      </c>
      <c r="P129" t="n">
        <v>0</v>
      </c>
      <c r="Q129" t="n">
        <v>0</v>
      </c>
      <c r="R129" s="2" t="inlineStr"/>
    </row>
    <row r="130" ht="15" customHeight="1">
      <c r="A130" t="inlineStr">
        <is>
          <t>A 52869-2019</t>
        </is>
      </c>
      <c r="B130" s="1" t="n">
        <v>43739</v>
      </c>
      <c r="C130" s="1" t="n">
        <v>45764</v>
      </c>
      <c r="D130" t="inlineStr">
        <is>
          <t>VÄSTERNORRLANDS LÄN</t>
        </is>
      </c>
      <c r="E130" t="inlineStr">
        <is>
          <t>TIMRÅ</t>
        </is>
      </c>
      <c r="G130" t="n">
        <v>4</v>
      </c>
      <c r="H130" t="n">
        <v>0</v>
      </c>
      <c r="I130" t="n">
        <v>0</v>
      </c>
      <c r="J130" t="n">
        <v>0</v>
      </c>
      <c r="K130" t="n">
        <v>0</v>
      </c>
      <c r="L130" t="n">
        <v>0</v>
      </c>
      <c r="M130" t="n">
        <v>0</v>
      </c>
      <c r="N130" t="n">
        <v>0</v>
      </c>
      <c r="O130" t="n">
        <v>0</v>
      </c>
      <c r="P130" t="n">
        <v>0</v>
      </c>
      <c r="Q130" t="n">
        <v>0</v>
      </c>
      <c r="R130" s="2" t="inlineStr"/>
    </row>
    <row r="131" ht="15" customHeight="1">
      <c r="A131" t="inlineStr">
        <is>
          <t>A 51907-2019</t>
        </is>
      </c>
      <c r="B131" s="1" t="n">
        <v>43741</v>
      </c>
      <c r="C131" s="1" t="n">
        <v>45764</v>
      </c>
      <c r="D131" t="inlineStr">
        <is>
          <t>VÄSTERNORRLANDS LÄN</t>
        </is>
      </c>
      <c r="E131" t="inlineStr">
        <is>
          <t>TIMRÅ</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53162-2019</t>
        </is>
      </c>
      <c r="B132" s="1" t="n">
        <v>43747</v>
      </c>
      <c r="C132" s="1" t="n">
        <v>45764</v>
      </c>
      <c r="D132" t="inlineStr">
        <is>
          <t>VÄSTERNORRLANDS LÄN</t>
        </is>
      </c>
      <c r="E132" t="inlineStr">
        <is>
          <t>TIMRÅ</t>
        </is>
      </c>
      <c r="G132" t="n">
        <v>3.4</v>
      </c>
      <c r="H132" t="n">
        <v>0</v>
      </c>
      <c r="I132" t="n">
        <v>0</v>
      </c>
      <c r="J132" t="n">
        <v>0</v>
      </c>
      <c r="K132" t="n">
        <v>0</v>
      </c>
      <c r="L132" t="n">
        <v>0</v>
      </c>
      <c r="M132" t="n">
        <v>0</v>
      </c>
      <c r="N132" t="n">
        <v>0</v>
      </c>
      <c r="O132" t="n">
        <v>0</v>
      </c>
      <c r="P132" t="n">
        <v>0</v>
      </c>
      <c r="Q132" t="n">
        <v>0</v>
      </c>
      <c r="R132" s="2" t="inlineStr"/>
    </row>
    <row r="133" ht="15" customHeight="1">
      <c r="A133" t="inlineStr">
        <is>
          <t>A 54072-2019</t>
        </is>
      </c>
      <c r="B133" s="1" t="n">
        <v>43752</v>
      </c>
      <c r="C133" s="1" t="n">
        <v>45764</v>
      </c>
      <c r="D133" t="inlineStr">
        <is>
          <t>VÄSTERNORRLANDS LÄN</t>
        </is>
      </c>
      <c r="E133" t="inlineStr">
        <is>
          <t>TIMRÅ</t>
        </is>
      </c>
      <c r="G133" t="n">
        <v>12.8</v>
      </c>
      <c r="H133" t="n">
        <v>0</v>
      </c>
      <c r="I133" t="n">
        <v>0</v>
      </c>
      <c r="J133" t="n">
        <v>0</v>
      </c>
      <c r="K133" t="n">
        <v>0</v>
      </c>
      <c r="L133" t="n">
        <v>0</v>
      </c>
      <c r="M133" t="n">
        <v>0</v>
      </c>
      <c r="N133" t="n">
        <v>0</v>
      </c>
      <c r="O133" t="n">
        <v>0</v>
      </c>
      <c r="P133" t="n">
        <v>0</v>
      </c>
      <c r="Q133" t="n">
        <v>0</v>
      </c>
      <c r="R133" s="2" t="inlineStr"/>
    </row>
    <row r="134" ht="15" customHeight="1">
      <c r="A134" t="inlineStr">
        <is>
          <t>A 54365-2019</t>
        </is>
      </c>
      <c r="B134" s="1" t="n">
        <v>43753</v>
      </c>
      <c r="C134" s="1" t="n">
        <v>45764</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56316-2019</t>
        </is>
      </c>
      <c r="B135" s="1" t="n">
        <v>43756</v>
      </c>
      <c r="C135" s="1" t="n">
        <v>45764</v>
      </c>
      <c r="D135" t="inlineStr">
        <is>
          <t>VÄSTERNORRLANDS LÄN</t>
        </is>
      </c>
      <c r="E135" t="inlineStr">
        <is>
          <t>TIMRÅ</t>
        </is>
      </c>
      <c r="G135" t="n">
        <v>2.6</v>
      </c>
      <c r="H135" t="n">
        <v>0</v>
      </c>
      <c r="I135" t="n">
        <v>0</v>
      </c>
      <c r="J135" t="n">
        <v>0</v>
      </c>
      <c r="K135" t="n">
        <v>0</v>
      </c>
      <c r="L135" t="n">
        <v>0</v>
      </c>
      <c r="M135" t="n">
        <v>0</v>
      </c>
      <c r="N135" t="n">
        <v>0</v>
      </c>
      <c r="O135" t="n">
        <v>0</v>
      </c>
      <c r="P135" t="n">
        <v>0</v>
      </c>
      <c r="Q135" t="n">
        <v>0</v>
      </c>
      <c r="R135" s="2" t="inlineStr"/>
    </row>
    <row r="136" ht="15" customHeight="1">
      <c r="A136" t="inlineStr">
        <is>
          <t>A 55809-2019</t>
        </is>
      </c>
      <c r="B136" s="1" t="n">
        <v>43759</v>
      </c>
      <c r="C136" s="1" t="n">
        <v>45764</v>
      </c>
      <c r="D136" t="inlineStr">
        <is>
          <t>VÄSTERNORRLANDS LÄN</t>
        </is>
      </c>
      <c r="E136" t="inlineStr">
        <is>
          <t>TIMRÅ</t>
        </is>
      </c>
      <c r="G136" t="n">
        <v>5.9</v>
      </c>
      <c r="H136" t="n">
        <v>0</v>
      </c>
      <c r="I136" t="n">
        <v>0</v>
      </c>
      <c r="J136" t="n">
        <v>0</v>
      </c>
      <c r="K136" t="n">
        <v>0</v>
      </c>
      <c r="L136" t="n">
        <v>0</v>
      </c>
      <c r="M136" t="n">
        <v>0</v>
      </c>
      <c r="N136" t="n">
        <v>0</v>
      </c>
      <c r="O136" t="n">
        <v>0</v>
      </c>
      <c r="P136" t="n">
        <v>0</v>
      </c>
      <c r="Q136" t="n">
        <v>0</v>
      </c>
      <c r="R136" s="2" t="inlineStr"/>
    </row>
    <row r="137" ht="15" customHeight="1">
      <c r="A137" t="inlineStr">
        <is>
          <t>A 56065-2019</t>
        </is>
      </c>
      <c r="B137" s="1" t="n">
        <v>43759</v>
      </c>
      <c r="C137" s="1" t="n">
        <v>45764</v>
      </c>
      <c r="D137" t="inlineStr">
        <is>
          <t>VÄSTERNORRLANDS LÄN</t>
        </is>
      </c>
      <c r="E137" t="inlineStr">
        <is>
          <t>TIMRÅ</t>
        </is>
      </c>
      <c r="F137" t="inlineStr">
        <is>
          <t>SCA</t>
        </is>
      </c>
      <c r="G137" t="n">
        <v>1.4</v>
      </c>
      <c r="H137" t="n">
        <v>0</v>
      </c>
      <c r="I137" t="n">
        <v>0</v>
      </c>
      <c r="J137" t="n">
        <v>0</v>
      </c>
      <c r="K137" t="n">
        <v>0</v>
      </c>
      <c r="L137" t="n">
        <v>0</v>
      </c>
      <c r="M137" t="n">
        <v>0</v>
      </c>
      <c r="N137" t="n">
        <v>0</v>
      </c>
      <c r="O137" t="n">
        <v>0</v>
      </c>
      <c r="P137" t="n">
        <v>0</v>
      </c>
      <c r="Q137" t="n">
        <v>0</v>
      </c>
      <c r="R137" s="2" t="inlineStr"/>
    </row>
    <row r="138" ht="15" customHeight="1">
      <c r="A138" t="inlineStr">
        <is>
          <t>A 56178-2019</t>
        </is>
      </c>
      <c r="B138" s="1" t="n">
        <v>43761</v>
      </c>
      <c r="C138" s="1" t="n">
        <v>45764</v>
      </c>
      <c r="D138" t="inlineStr">
        <is>
          <t>VÄSTERNORRLANDS LÄN</t>
        </is>
      </c>
      <c r="E138" t="inlineStr">
        <is>
          <t>TIMRÅ</t>
        </is>
      </c>
      <c r="G138" t="n">
        <v>0.8</v>
      </c>
      <c r="H138" t="n">
        <v>0</v>
      </c>
      <c r="I138" t="n">
        <v>0</v>
      </c>
      <c r="J138" t="n">
        <v>0</v>
      </c>
      <c r="K138" t="n">
        <v>0</v>
      </c>
      <c r="L138" t="n">
        <v>0</v>
      </c>
      <c r="M138" t="n">
        <v>0</v>
      </c>
      <c r="N138" t="n">
        <v>0</v>
      </c>
      <c r="O138" t="n">
        <v>0</v>
      </c>
      <c r="P138" t="n">
        <v>0</v>
      </c>
      <c r="Q138" t="n">
        <v>0</v>
      </c>
      <c r="R138" s="2" t="inlineStr"/>
    </row>
    <row r="139" ht="15" customHeight="1">
      <c r="A139" t="inlineStr">
        <is>
          <t>A 58711-2019</t>
        </is>
      </c>
      <c r="B139" s="1" t="n">
        <v>43768</v>
      </c>
      <c r="C139" s="1" t="n">
        <v>45764</v>
      </c>
      <c r="D139" t="inlineStr">
        <is>
          <t>VÄSTERNORRLANDS LÄN</t>
        </is>
      </c>
      <c r="E139" t="inlineStr">
        <is>
          <t>TIMRÅ</t>
        </is>
      </c>
      <c r="G139" t="n">
        <v>3.6</v>
      </c>
      <c r="H139" t="n">
        <v>0</v>
      </c>
      <c r="I139" t="n">
        <v>0</v>
      </c>
      <c r="J139" t="n">
        <v>0</v>
      </c>
      <c r="K139" t="n">
        <v>0</v>
      </c>
      <c r="L139" t="n">
        <v>0</v>
      </c>
      <c r="M139" t="n">
        <v>0</v>
      </c>
      <c r="N139" t="n">
        <v>0</v>
      </c>
      <c r="O139" t="n">
        <v>0</v>
      </c>
      <c r="P139" t="n">
        <v>0</v>
      </c>
      <c r="Q139" t="n">
        <v>0</v>
      </c>
      <c r="R139" s="2" t="inlineStr"/>
    </row>
    <row r="140" ht="15" customHeight="1">
      <c r="A140" t="inlineStr">
        <is>
          <t>A 58867-2019</t>
        </is>
      </c>
      <c r="B140" s="1" t="n">
        <v>43774</v>
      </c>
      <c r="C140" s="1" t="n">
        <v>45764</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60849-2019</t>
        </is>
      </c>
      <c r="B141" s="1" t="n">
        <v>43781</v>
      </c>
      <c r="C141" s="1" t="n">
        <v>45764</v>
      </c>
      <c r="D141" t="inlineStr">
        <is>
          <t>VÄSTERNORRLANDS LÄN</t>
        </is>
      </c>
      <c r="E141" t="inlineStr">
        <is>
          <t>TIMRÅ</t>
        </is>
      </c>
      <c r="F141" t="inlineStr">
        <is>
          <t>Kommuner</t>
        </is>
      </c>
      <c r="G141" t="n">
        <v>1.7</v>
      </c>
      <c r="H141" t="n">
        <v>0</v>
      </c>
      <c r="I141" t="n">
        <v>0</v>
      </c>
      <c r="J141" t="n">
        <v>0</v>
      </c>
      <c r="K141" t="n">
        <v>0</v>
      </c>
      <c r="L141" t="n">
        <v>0</v>
      </c>
      <c r="M141" t="n">
        <v>0</v>
      </c>
      <c r="N141" t="n">
        <v>0</v>
      </c>
      <c r="O141" t="n">
        <v>0</v>
      </c>
      <c r="P141" t="n">
        <v>0</v>
      </c>
      <c r="Q141" t="n">
        <v>0</v>
      </c>
      <c r="R141" s="2" t="inlineStr"/>
    </row>
    <row r="142" ht="15" customHeight="1">
      <c r="A142" t="inlineStr">
        <is>
          <t>A 62282-2019</t>
        </is>
      </c>
      <c r="B142" s="1" t="n">
        <v>43782</v>
      </c>
      <c r="C142" s="1" t="n">
        <v>45764</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63685-2019</t>
        </is>
      </c>
      <c r="B143" s="1" t="n">
        <v>43788</v>
      </c>
      <c r="C143" s="1" t="n">
        <v>45764</v>
      </c>
      <c r="D143" t="inlineStr">
        <is>
          <t>VÄSTERNORRLANDS LÄN</t>
        </is>
      </c>
      <c r="E143" t="inlineStr">
        <is>
          <t>TIMRÅ</t>
        </is>
      </c>
      <c r="G143" t="n">
        <v>1.9</v>
      </c>
      <c r="H143" t="n">
        <v>0</v>
      </c>
      <c r="I143" t="n">
        <v>0</v>
      </c>
      <c r="J143" t="n">
        <v>0</v>
      </c>
      <c r="K143" t="n">
        <v>0</v>
      </c>
      <c r="L143" t="n">
        <v>0</v>
      </c>
      <c r="M143" t="n">
        <v>0</v>
      </c>
      <c r="N143" t="n">
        <v>0</v>
      </c>
      <c r="O143" t="n">
        <v>0</v>
      </c>
      <c r="P143" t="n">
        <v>0</v>
      </c>
      <c r="Q143" t="n">
        <v>0</v>
      </c>
      <c r="R143" s="2" t="inlineStr"/>
    </row>
    <row r="144" ht="15" customHeight="1">
      <c r="A144" t="inlineStr">
        <is>
          <t>A 63836-2019</t>
        </is>
      </c>
      <c r="B144" s="1" t="n">
        <v>43795</v>
      </c>
      <c r="C144" s="1" t="n">
        <v>45764</v>
      </c>
      <c r="D144" t="inlineStr">
        <is>
          <t>VÄSTERNORRLANDS LÄN</t>
        </is>
      </c>
      <c r="E144" t="inlineStr">
        <is>
          <t>TIMRÅ</t>
        </is>
      </c>
      <c r="F144" t="inlineStr">
        <is>
          <t>Kyrkan</t>
        </is>
      </c>
      <c r="G144" t="n">
        <v>4.9</v>
      </c>
      <c r="H144" t="n">
        <v>0</v>
      </c>
      <c r="I144" t="n">
        <v>0</v>
      </c>
      <c r="J144" t="n">
        <v>0</v>
      </c>
      <c r="K144" t="n">
        <v>0</v>
      </c>
      <c r="L144" t="n">
        <v>0</v>
      </c>
      <c r="M144" t="n">
        <v>0</v>
      </c>
      <c r="N144" t="n">
        <v>0</v>
      </c>
      <c r="O144" t="n">
        <v>0</v>
      </c>
      <c r="P144" t="n">
        <v>0</v>
      </c>
      <c r="Q144" t="n">
        <v>0</v>
      </c>
      <c r="R144" s="2" t="inlineStr"/>
    </row>
    <row r="145" ht="15" customHeight="1">
      <c r="A145" t="inlineStr">
        <is>
          <t>A 65954-2019</t>
        </is>
      </c>
      <c r="B145" s="1" t="n">
        <v>43801</v>
      </c>
      <c r="C145" s="1" t="n">
        <v>45764</v>
      </c>
      <c r="D145" t="inlineStr">
        <is>
          <t>VÄSTERNORRLANDS LÄN</t>
        </is>
      </c>
      <c r="E145" t="inlineStr">
        <is>
          <t>TIMRÅ</t>
        </is>
      </c>
      <c r="G145" t="n">
        <v>9.1</v>
      </c>
      <c r="H145" t="n">
        <v>0</v>
      </c>
      <c r="I145" t="n">
        <v>0</v>
      </c>
      <c r="J145" t="n">
        <v>0</v>
      </c>
      <c r="K145" t="n">
        <v>0</v>
      </c>
      <c r="L145" t="n">
        <v>0</v>
      </c>
      <c r="M145" t="n">
        <v>0</v>
      </c>
      <c r="N145" t="n">
        <v>0</v>
      </c>
      <c r="O145" t="n">
        <v>0</v>
      </c>
      <c r="P145" t="n">
        <v>0</v>
      </c>
      <c r="Q145" t="n">
        <v>0</v>
      </c>
      <c r="R145" s="2" t="inlineStr"/>
    </row>
    <row r="146" ht="15" customHeight="1">
      <c r="A146" t="inlineStr">
        <is>
          <t>A 65367-2019</t>
        </is>
      </c>
      <c r="B146" s="1" t="n">
        <v>43803</v>
      </c>
      <c r="C146" s="1" t="n">
        <v>45764</v>
      </c>
      <c r="D146" t="inlineStr">
        <is>
          <t>VÄSTERNORRLANDS LÄN</t>
        </is>
      </c>
      <c r="E146" t="inlineStr">
        <is>
          <t>TIMRÅ</t>
        </is>
      </c>
      <c r="G146" t="n">
        <v>1.7</v>
      </c>
      <c r="H146" t="n">
        <v>0</v>
      </c>
      <c r="I146" t="n">
        <v>0</v>
      </c>
      <c r="J146" t="n">
        <v>0</v>
      </c>
      <c r="K146" t="n">
        <v>0</v>
      </c>
      <c r="L146" t="n">
        <v>0</v>
      </c>
      <c r="M146" t="n">
        <v>0</v>
      </c>
      <c r="N146" t="n">
        <v>0</v>
      </c>
      <c r="O146" t="n">
        <v>0</v>
      </c>
      <c r="P146" t="n">
        <v>0</v>
      </c>
      <c r="Q146" t="n">
        <v>0</v>
      </c>
      <c r="R146" s="2" t="inlineStr"/>
    </row>
    <row r="147" ht="15" customHeight="1">
      <c r="A147" t="inlineStr">
        <is>
          <t>A 66385-2019</t>
        </is>
      </c>
      <c r="B147" s="1" t="n">
        <v>43808</v>
      </c>
      <c r="C147" s="1" t="n">
        <v>45764</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66415-2019</t>
        </is>
      </c>
      <c r="B148" s="1" t="n">
        <v>43808</v>
      </c>
      <c r="C148" s="1" t="n">
        <v>45764</v>
      </c>
      <c r="D148" t="inlineStr">
        <is>
          <t>VÄSTERNORRLANDS LÄN</t>
        </is>
      </c>
      <c r="E148" t="inlineStr">
        <is>
          <t>TIMRÅ</t>
        </is>
      </c>
      <c r="G148" t="n">
        <v>2.8</v>
      </c>
      <c r="H148" t="n">
        <v>0</v>
      </c>
      <c r="I148" t="n">
        <v>0</v>
      </c>
      <c r="J148" t="n">
        <v>0</v>
      </c>
      <c r="K148" t="n">
        <v>0</v>
      </c>
      <c r="L148" t="n">
        <v>0</v>
      </c>
      <c r="M148" t="n">
        <v>0</v>
      </c>
      <c r="N148" t="n">
        <v>0</v>
      </c>
      <c r="O148" t="n">
        <v>0</v>
      </c>
      <c r="P148" t="n">
        <v>0</v>
      </c>
      <c r="Q148" t="n">
        <v>0</v>
      </c>
      <c r="R148" s="2" t="inlineStr"/>
    </row>
    <row r="149" ht="15" customHeight="1">
      <c r="A149" t="inlineStr">
        <is>
          <t>A 66387-2019</t>
        </is>
      </c>
      <c r="B149" s="1" t="n">
        <v>43808</v>
      </c>
      <c r="C149" s="1" t="n">
        <v>45764</v>
      </c>
      <c r="D149" t="inlineStr">
        <is>
          <t>VÄSTERNORRLANDS LÄN</t>
        </is>
      </c>
      <c r="E149" t="inlineStr">
        <is>
          <t>TIMRÅ</t>
        </is>
      </c>
      <c r="G149" t="n">
        <v>0.5</v>
      </c>
      <c r="H149" t="n">
        <v>0</v>
      </c>
      <c r="I149" t="n">
        <v>0</v>
      </c>
      <c r="J149" t="n">
        <v>0</v>
      </c>
      <c r="K149" t="n">
        <v>0</v>
      </c>
      <c r="L149" t="n">
        <v>0</v>
      </c>
      <c r="M149" t="n">
        <v>0</v>
      </c>
      <c r="N149" t="n">
        <v>0</v>
      </c>
      <c r="O149" t="n">
        <v>0</v>
      </c>
      <c r="P149" t="n">
        <v>0</v>
      </c>
      <c r="Q149" t="n">
        <v>0</v>
      </c>
      <c r="R149" s="2" t="inlineStr"/>
    </row>
    <row r="150" ht="15" customHeight="1">
      <c r="A150" t="inlineStr">
        <is>
          <t>A 67825-2019</t>
        </is>
      </c>
      <c r="B150" s="1" t="n">
        <v>43815</v>
      </c>
      <c r="C150" s="1" t="n">
        <v>45764</v>
      </c>
      <c r="D150" t="inlineStr">
        <is>
          <t>VÄSTERNORRLANDS LÄN</t>
        </is>
      </c>
      <c r="E150" t="inlineStr">
        <is>
          <t>TIMRÅ</t>
        </is>
      </c>
      <c r="G150" t="n">
        <v>2.6</v>
      </c>
      <c r="H150" t="n">
        <v>0</v>
      </c>
      <c r="I150" t="n">
        <v>0</v>
      </c>
      <c r="J150" t="n">
        <v>0</v>
      </c>
      <c r="K150" t="n">
        <v>0</v>
      </c>
      <c r="L150" t="n">
        <v>0</v>
      </c>
      <c r="M150" t="n">
        <v>0</v>
      </c>
      <c r="N150" t="n">
        <v>0</v>
      </c>
      <c r="O150" t="n">
        <v>0</v>
      </c>
      <c r="P150" t="n">
        <v>0</v>
      </c>
      <c r="Q150" t="n">
        <v>0</v>
      </c>
      <c r="R150" s="2" t="inlineStr"/>
    </row>
    <row r="151" ht="15" customHeight="1">
      <c r="A151" t="inlineStr">
        <is>
          <t>A 1298-2020</t>
        </is>
      </c>
      <c r="B151" s="1" t="n">
        <v>43842</v>
      </c>
      <c r="C151" s="1" t="n">
        <v>45764</v>
      </c>
      <c r="D151" t="inlineStr">
        <is>
          <t>VÄSTERNORRLANDS LÄN</t>
        </is>
      </c>
      <c r="E151" t="inlineStr">
        <is>
          <t>TIMRÅ</t>
        </is>
      </c>
      <c r="G151" t="n">
        <v>10.8</v>
      </c>
      <c r="H151" t="n">
        <v>0</v>
      </c>
      <c r="I151" t="n">
        <v>0</v>
      </c>
      <c r="J151" t="n">
        <v>0</v>
      </c>
      <c r="K151" t="n">
        <v>0</v>
      </c>
      <c r="L151" t="n">
        <v>0</v>
      </c>
      <c r="M151" t="n">
        <v>0</v>
      </c>
      <c r="N151" t="n">
        <v>0</v>
      </c>
      <c r="O151" t="n">
        <v>0</v>
      </c>
      <c r="P151" t="n">
        <v>0</v>
      </c>
      <c r="Q151" t="n">
        <v>0</v>
      </c>
      <c r="R151" s="2" t="inlineStr"/>
    </row>
    <row r="152" ht="15" customHeight="1">
      <c r="A152" t="inlineStr">
        <is>
          <t>A 3007-2020</t>
        </is>
      </c>
      <c r="B152" s="1" t="n">
        <v>43850</v>
      </c>
      <c r="C152" s="1" t="n">
        <v>45764</v>
      </c>
      <c r="D152" t="inlineStr">
        <is>
          <t>VÄSTERNORRLANDS LÄN</t>
        </is>
      </c>
      <c r="E152" t="inlineStr">
        <is>
          <t>TIMRÅ</t>
        </is>
      </c>
      <c r="G152" t="n">
        <v>1</v>
      </c>
      <c r="H152" t="n">
        <v>0</v>
      </c>
      <c r="I152" t="n">
        <v>0</v>
      </c>
      <c r="J152" t="n">
        <v>0</v>
      </c>
      <c r="K152" t="n">
        <v>0</v>
      </c>
      <c r="L152" t="n">
        <v>0</v>
      </c>
      <c r="M152" t="n">
        <v>0</v>
      </c>
      <c r="N152" t="n">
        <v>0</v>
      </c>
      <c r="O152" t="n">
        <v>0</v>
      </c>
      <c r="P152" t="n">
        <v>0</v>
      </c>
      <c r="Q152" t="n">
        <v>0</v>
      </c>
      <c r="R152" s="2" t="inlineStr"/>
    </row>
    <row r="153" ht="15" customHeight="1">
      <c r="A153" t="inlineStr">
        <is>
          <t>A 3006-2020</t>
        </is>
      </c>
      <c r="B153" s="1" t="n">
        <v>43850</v>
      </c>
      <c r="C153" s="1" t="n">
        <v>45764</v>
      </c>
      <c r="D153" t="inlineStr">
        <is>
          <t>VÄSTERNORRLANDS LÄN</t>
        </is>
      </c>
      <c r="E153" t="inlineStr">
        <is>
          <t>TIMRÅ</t>
        </is>
      </c>
      <c r="G153" t="n">
        <v>1.3</v>
      </c>
      <c r="H153" t="n">
        <v>0</v>
      </c>
      <c r="I153" t="n">
        <v>0</v>
      </c>
      <c r="J153" t="n">
        <v>0</v>
      </c>
      <c r="K153" t="n">
        <v>0</v>
      </c>
      <c r="L153" t="n">
        <v>0</v>
      </c>
      <c r="M153" t="n">
        <v>0</v>
      </c>
      <c r="N153" t="n">
        <v>0</v>
      </c>
      <c r="O153" t="n">
        <v>0</v>
      </c>
      <c r="P153" t="n">
        <v>0</v>
      </c>
      <c r="Q153" t="n">
        <v>0</v>
      </c>
      <c r="R153" s="2" t="inlineStr"/>
    </row>
    <row r="154" ht="15" customHeight="1">
      <c r="A154" t="inlineStr">
        <is>
          <t>A 3010-2020</t>
        </is>
      </c>
      <c r="B154" s="1" t="n">
        <v>43850</v>
      </c>
      <c r="C154" s="1" t="n">
        <v>45764</v>
      </c>
      <c r="D154" t="inlineStr">
        <is>
          <t>VÄSTERNORRLANDS LÄN</t>
        </is>
      </c>
      <c r="E154" t="inlineStr">
        <is>
          <t>TIMRÅ</t>
        </is>
      </c>
      <c r="G154" t="n">
        <v>1.4</v>
      </c>
      <c r="H154" t="n">
        <v>0</v>
      </c>
      <c r="I154" t="n">
        <v>0</v>
      </c>
      <c r="J154" t="n">
        <v>0</v>
      </c>
      <c r="K154" t="n">
        <v>0</v>
      </c>
      <c r="L154" t="n">
        <v>0</v>
      </c>
      <c r="M154" t="n">
        <v>0</v>
      </c>
      <c r="N154" t="n">
        <v>0</v>
      </c>
      <c r="O154" t="n">
        <v>0</v>
      </c>
      <c r="P154" t="n">
        <v>0</v>
      </c>
      <c r="Q154" t="n">
        <v>0</v>
      </c>
      <c r="R154" s="2" t="inlineStr"/>
    </row>
    <row r="155" ht="15" customHeight="1">
      <c r="A155" t="inlineStr">
        <is>
          <t>A 3030-2020</t>
        </is>
      </c>
      <c r="B155" s="1" t="n">
        <v>43851</v>
      </c>
      <c r="C155" s="1" t="n">
        <v>45764</v>
      </c>
      <c r="D155" t="inlineStr">
        <is>
          <t>VÄSTERNORRLANDS LÄN</t>
        </is>
      </c>
      <c r="E155" t="inlineStr">
        <is>
          <t>TIMRÅ</t>
        </is>
      </c>
      <c r="F155" t="inlineStr">
        <is>
          <t>Kyrkan</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3285-2020</t>
        </is>
      </c>
      <c r="B156" s="1" t="n">
        <v>43852</v>
      </c>
      <c r="C156" s="1" t="n">
        <v>45764</v>
      </c>
      <c r="D156" t="inlineStr">
        <is>
          <t>VÄSTERNORRLANDS LÄN</t>
        </is>
      </c>
      <c r="E156" t="inlineStr">
        <is>
          <t>TIMRÅ</t>
        </is>
      </c>
      <c r="G156" t="n">
        <v>0.6</v>
      </c>
      <c r="H156" t="n">
        <v>0</v>
      </c>
      <c r="I156" t="n">
        <v>0</v>
      </c>
      <c r="J156" t="n">
        <v>0</v>
      </c>
      <c r="K156" t="n">
        <v>0</v>
      </c>
      <c r="L156" t="n">
        <v>0</v>
      </c>
      <c r="M156" t="n">
        <v>0</v>
      </c>
      <c r="N156" t="n">
        <v>0</v>
      </c>
      <c r="O156" t="n">
        <v>0</v>
      </c>
      <c r="P156" t="n">
        <v>0</v>
      </c>
      <c r="Q156" t="n">
        <v>0</v>
      </c>
      <c r="R156" s="2" t="inlineStr"/>
    </row>
    <row r="157" ht="15" customHeight="1">
      <c r="A157" t="inlineStr">
        <is>
          <t>A 3283-2020</t>
        </is>
      </c>
      <c r="B157" s="1" t="n">
        <v>43852</v>
      </c>
      <c r="C157" s="1" t="n">
        <v>45764</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7134-2020</t>
        </is>
      </c>
      <c r="B158" s="1" t="n">
        <v>43868</v>
      </c>
      <c r="C158" s="1" t="n">
        <v>45764</v>
      </c>
      <c r="D158" t="inlineStr">
        <is>
          <t>VÄSTERNORRLANDS LÄN</t>
        </is>
      </c>
      <c r="E158" t="inlineStr">
        <is>
          <t>TIMRÅ</t>
        </is>
      </c>
      <c r="F158" t="inlineStr">
        <is>
          <t>SCA</t>
        </is>
      </c>
      <c r="G158" t="n">
        <v>25.8</v>
      </c>
      <c r="H158" t="n">
        <v>0</v>
      </c>
      <c r="I158" t="n">
        <v>0</v>
      </c>
      <c r="J158" t="n">
        <v>0</v>
      </c>
      <c r="K158" t="n">
        <v>0</v>
      </c>
      <c r="L158" t="n">
        <v>0</v>
      </c>
      <c r="M158" t="n">
        <v>0</v>
      </c>
      <c r="N158" t="n">
        <v>0</v>
      </c>
      <c r="O158" t="n">
        <v>0</v>
      </c>
      <c r="P158" t="n">
        <v>0</v>
      </c>
      <c r="Q158" t="n">
        <v>0</v>
      </c>
      <c r="R158" s="2" t="inlineStr"/>
    </row>
    <row r="159" ht="15" customHeight="1">
      <c r="A159" t="inlineStr">
        <is>
          <t>A 8279-2020</t>
        </is>
      </c>
      <c r="B159" s="1" t="n">
        <v>43874</v>
      </c>
      <c r="C159" s="1" t="n">
        <v>45764</v>
      </c>
      <c r="D159" t="inlineStr">
        <is>
          <t>VÄSTERNORRLANDS LÄN</t>
        </is>
      </c>
      <c r="E159" t="inlineStr">
        <is>
          <t>TIMRÅ</t>
        </is>
      </c>
      <c r="G159" t="n">
        <v>10.9</v>
      </c>
      <c r="H159" t="n">
        <v>0</v>
      </c>
      <c r="I159" t="n">
        <v>0</v>
      </c>
      <c r="J159" t="n">
        <v>0</v>
      </c>
      <c r="K159" t="n">
        <v>0</v>
      </c>
      <c r="L159" t="n">
        <v>0</v>
      </c>
      <c r="M159" t="n">
        <v>0</v>
      </c>
      <c r="N159" t="n">
        <v>0</v>
      </c>
      <c r="O159" t="n">
        <v>0</v>
      </c>
      <c r="P159" t="n">
        <v>0</v>
      </c>
      <c r="Q159" t="n">
        <v>0</v>
      </c>
      <c r="R159" s="2" t="inlineStr"/>
    </row>
    <row r="160" ht="15" customHeight="1">
      <c r="A160" t="inlineStr">
        <is>
          <t>A 9029-2020</t>
        </is>
      </c>
      <c r="B160" s="1" t="n">
        <v>43879</v>
      </c>
      <c r="C160" s="1" t="n">
        <v>45764</v>
      </c>
      <c r="D160" t="inlineStr">
        <is>
          <t>VÄSTERNORRLANDS LÄN</t>
        </is>
      </c>
      <c r="E160" t="inlineStr">
        <is>
          <t>TIMRÅ</t>
        </is>
      </c>
      <c r="G160" t="n">
        <v>6.3</v>
      </c>
      <c r="H160" t="n">
        <v>0</v>
      </c>
      <c r="I160" t="n">
        <v>0</v>
      </c>
      <c r="J160" t="n">
        <v>0</v>
      </c>
      <c r="K160" t="n">
        <v>0</v>
      </c>
      <c r="L160" t="n">
        <v>0</v>
      </c>
      <c r="M160" t="n">
        <v>0</v>
      </c>
      <c r="N160" t="n">
        <v>0</v>
      </c>
      <c r="O160" t="n">
        <v>0</v>
      </c>
      <c r="P160" t="n">
        <v>0</v>
      </c>
      <c r="Q160" t="n">
        <v>0</v>
      </c>
      <c r="R160" s="2" t="inlineStr"/>
    </row>
    <row r="161" ht="15" customHeight="1">
      <c r="A161" t="inlineStr">
        <is>
          <t>A 9097-2020</t>
        </is>
      </c>
      <c r="B161" s="1" t="n">
        <v>43879</v>
      </c>
      <c r="C161" s="1" t="n">
        <v>45764</v>
      </c>
      <c r="D161" t="inlineStr">
        <is>
          <t>VÄSTERNORRLANDS LÄN</t>
        </is>
      </c>
      <c r="E161" t="inlineStr">
        <is>
          <t>TIMRÅ</t>
        </is>
      </c>
      <c r="G161" t="n">
        <v>7.4</v>
      </c>
      <c r="H161" t="n">
        <v>0</v>
      </c>
      <c r="I161" t="n">
        <v>0</v>
      </c>
      <c r="J161" t="n">
        <v>0</v>
      </c>
      <c r="K161" t="n">
        <v>0</v>
      </c>
      <c r="L161" t="n">
        <v>0</v>
      </c>
      <c r="M161" t="n">
        <v>0</v>
      </c>
      <c r="N161" t="n">
        <v>0</v>
      </c>
      <c r="O161" t="n">
        <v>0</v>
      </c>
      <c r="P161" t="n">
        <v>0</v>
      </c>
      <c r="Q161" t="n">
        <v>0</v>
      </c>
      <c r="R161" s="2" t="inlineStr"/>
    </row>
    <row r="162" ht="15" customHeight="1">
      <c r="A162" t="inlineStr">
        <is>
          <t>A 10377-2020</t>
        </is>
      </c>
      <c r="B162" s="1" t="n">
        <v>43885</v>
      </c>
      <c r="C162" s="1" t="n">
        <v>45764</v>
      </c>
      <c r="D162" t="inlineStr">
        <is>
          <t>VÄSTERNORRLANDS LÄN</t>
        </is>
      </c>
      <c r="E162" t="inlineStr">
        <is>
          <t>TIMRÅ</t>
        </is>
      </c>
      <c r="G162" t="n">
        <v>1.6</v>
      </c>
      <c r="H162" t="n">
        <v>0</v>
      </c>
      <c r="I162" t="n">
        <v>0</v>
      </c>
      <c r="J162" t="n">
        <v>0</v>
      </c>
      <c r="K162" t="n">
        <v>0</v>
      </c>
      <c r="L162" t="n">
        <v>0</v>
      </c>
      <c r="M162" t="n">
        <v>0</v>
      </c>
      <c r="N162" t="n">
        <v>0</v>
      </c>
      <c r="O162" t="n">
        <v>0</v>
      </c>
      <c r="P162" t="n">
        <v>0</v>
      </c>
      <c r="Q162" t="n">
        <v>0</v>
      </c>
      <c r="R162" s="2" t="inlineStr"/>
    </row>
    <row r="163" ht="15" customHeight="1">
      <c r="A163" t="inlineStr">
        <is>
          <t>A 13782-2020</t>
        </is>
      </c>
      <c r="B163" s="1" t="n">
        <v>43903</v>
      </c>
      <c r="C163" s="1" t="n">
        <v>45764</v>
      </c>
      <c r="D163" t="inlineStr">
        <is>
          <t>VÄSTERNORRLANDS LÄN</t>
        </is>
      </c>
      <c r="E163" t="inlineStr">
        <is>
          <t>TIMRÅ</t>
        </is>
      </c>
      <c r="G163" t="n">
        <v>4.1</v>
      </c>
      <c r="H163" t="n">
        <v>0</v>
      </c>
      <c r="I163" t="n">
        <v>0</v>
      </c>
      <c r="J163" t="n">
        <v>0</v>
      </c>
      <c r="K163" t="n">
        <v>0</v>
      </c>
      <c r="L163" t="n">
        <v>0</v>
      </c>
      <c r="M163" t="n">
        <v>0</v>
      </c>
      <c r="N163" t="n">
        <v>0</v>
      </c>
      <c r="O163" t="n">
        <v>0</v>
      </c>
      <c r="P163" t="n">
        <v>0</v>
      </c>
      <c r="Q163" t="n">
        <v>0</v>
      </c>
      <c r="R163" s="2" t="inlineStr"/>
    </row>
    <row r="164" ht="15" customHeight="1">
      <c r="A164" t="inlineStr">
        <is>
          <t>A 15631-2020</t>
        </is>
      </c>
      <c r="B164" s="1" t="n">
        <v>43914</v>
      </c>
      <c r="C164" s="1" t="n">
        <v>45764</v>
      </c>
      <c r="D164" t="inlineStr">
        <is>
          <t>VÄSTERNORRLANDS LÄN</t>
        </is>
      </c>
      <c r="E164" t="inlineStr">
        <is>
          <t>TIMRÅ</t>
        </is>
      </c>
      <c r="G164" t="n">
        <v>1.1</v>
      </c>
      <c r="H164" t="n">
        <v>0</v>
      </c>
      <c r="I164" t="n">
        <v>0</v>
      </c>
      <c r="J164" t="n">
        <v>0</v>
      </c>
      <c r="K164" t="n">
        <v>0</v>
      </c>
      <c r="L164" t="n">
        <v>0</v>
      </c>
      <c r="M164" t="n">
        <v>0</v>
      </c>
      <c r="N164" t="n">
        <v>0</v>
      </c>
      <c r="O164" t="n">
        <v>0</v>
      </c>
      <c r="P164" t="n">
        <v>0</v>
      </c>
      <c r="Q164" t="n">
        <v>0</v>
      </c>
      <c r="R164" s="2" t="inlineStr"/>
    </row>
    <row r="165" ht="15" customHeight="1">
      <c r="A165" t="inlineStr">
        <is>
          <t>A 17822-2020</t>
        </is>
      </c>
      <c r="B165" s="1" t="n">
        <v>43924</v>
      </c>
      <c r="C165" s="1" t="n">
        <v>45764</v>
      </c>
      <c r="D165" t="inlineStr">
        <is>
          <t>VÄSTERNORRLANDS LÄN</t>
        </is>
      </c>
      <c r="E165" t="inlineStr">
        <is>
          <t>TIMRÅ</t>
        </is>
      </c>
      <c r="G165" t="n">
        <v>0.2</v>
      </c>
      <c r="H165" t="n">
        <v>0</v>
      </c>
      <c r="I165" t="n">
        <v>0</v>
      </c>
      <c r="J165" t="n">
        <v>0</v>
      </c>
      <c r="K165" t="n">
        <v>0</v>
      </c>
      <c r="L165" t="n">
        <v>0</v>
      </c>
      <c r="M165" t="n">
        <v>0</v>
      </c>
      <c r="N165" t="n">
        <v>0</v>
      </c>
      <c r="O165" t="n">
        <v>0</v>
      </c>
      <c r="P165" t="n">
        <v>0</v>
      </c>
      <c r="Q165" t="n">
        <v>0</v>
      </c>
      <c r="R165" s="2" t="inlineStr"/>
    </row>
    <row r="166" ht="15" customHeight="1">
      <c r="A166" t="inlineStr">
        <is>
          <t>A 18107-2020</t>
        </is>
      </c>
      <c r="B166" s="1" t="n">
        <v>43927</v>
      </c>
      <c r="C166" s="1" t="n">
        <v>45764</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18211-2020</t>
        </is>
      </c>
      <c r="B167" s="1" t="n">
        <v>43927</v>
      </c>
      <c r="C167" s="1" t="n">
        <v>45764</v>
      </c>
      <c r="D167" t="inlineStr">
        <is>
          <t>VÄSTERNORRLANDS LÄN</t>
        </is>
      </c>
      <c r="E167" t="inlineStr">
        <is>
          <t>TIMRÅ</t>
        </is>
      </c>
      <c r="G167" t="n">
        <v>0.5</v>
      </c>
      <c r="H167" t="n">
        <v>0</v>
      </c>
      <c r="I167" t="n">
        <v>0</v>
      </c>
      <c r="J167" t="n">
        <v>0</v>
      </c>
      <c r="K167" t="n">
        <v>0</v>
      </c>
      <c r="L167" t="n">
        <v>0</v>
      </c>
      <c r="M167" t="n">
        <v>0</v>
      </c>
      <c r="N167" t="n">
        <v>0</v>
      </c>
      <c r="O167" t="n">
        <v>0</v>
      </c>
      <c r="P167" t="n">
        <v>0</v>
      </c>
      <c r="Q167" t="n">
        <v>0</v>
      </c>
      <c r="R167" s="2" t="inlineStr"/>
    </row>
    <row r="168" ht="15" customHeight="1">
      <c r="A168" t="inlineStr">
        <is>
          <t>A 18208-2020</t>
        </is>
      </c>
      <c r="B168" s="1" t="n">
        <v>43927</v>
      </c>
      <c r="C168" s="1" t="n">
        <v>45764</v>
      </c>
      <c r="D168" t="inlineStr">
        <is>
          <t>VÄSTERNORRLANDS LÄN</t>
        </is>
      </c>
      <c r="E168" t="inlineStr">
        <is>
          <t>TIMRÅ</t>
        </is>
      </c>
      <c r="G168" t="n">
        <v>8.9</v>
      </c>
      <c r="H168" t="n">
        <v>0</v>
      </c>
      <c r="I168" t="n">
        <v>0</v>
      </c>
      <c r="J168" t="n">
        <v>0</v>
      </c>
      <c r="K168" t="n">
        <v>0</v>
      </c>
      <c r="L168" t="n">
        <v>0</v>
      </c>
      <c r="M168" t="n">
        <v>0</v>
      </c>
      <c r="N168" t="n">
        <v>0</v>
      </c>
      <c r="O168" t="n">
        <v>0</v>
      </c>
      <c r="P168" t="n">
        <v>0</v>
      </c>
      <c r="Q168" t="n">
        <v>0</v>
      </c>
      <c r="R168" s="2" t="inlineStr"/>
    </row>
    <row r="169" ht="15" customHeight="1">
      <c r="A169" t="inlineStr">
        <is>
          <t>A 19769-2020</t>
        </is>
      </c>
      <c r="B169" s="1" t="n">
        <v>43937</v>
      </c>
      <c r="C169" s="1" t="n">
        <v>45764</v>
      </c>
      <c r="D169" t="inlineStr">
        <is>
          <t>VÄSTERNORRLANDS LÄN</t>
        </is>
      </c>
      <c r="E169" t="inlineStr">
        <is>
          <t>TIMRÅ</t>
        </is>
      </c>
      <c r="G169" t="n">
        <v>2.1</v>
      </c>
      <c r="H169" t="n">
        <v>0</v>
      </c>
      <c r="I169" t="n">
        <v>0</v>
      </c>
      <c r="J169" t="n">
        <v>0</v>
      </c>
      <c r="K169" t="n">
        <v>0</v>
      </c>
      <c r="L169" t="n">
        <v>0</v>
      </c>
      <c r="M169" t="n">
        <v>0</v>
      </c>
      <c r="N169" t="n">
        <v>0</v>
      </c>
      <c r="O169" t="n">
        <v>0</v>
      </c>
      <c r="P169" t="n">
        <v>0</v>
      </c>
      <c r="Q169" t="n">
        <v>0</v>
      </c>
      <c r="R169" s="2" t="inlineStr"/>
    </row>
    <row r="170" ht="15" customHeight="1">
      <c r="A170" t="inlineStr">
        <is>
          <t>A 19792-2020</t>
        </is>
      </c>
      <c r="B170" s="1" t="n">
        <v>43937</v>
      </c>
      <c r="C170" s="1" t="n">
        <v>45764</v>
      </c>
      <c r="D170" t="inlineStr">
        <is>
          <t>VÄSTERNORRLANDS LÄN</t>
        </is>
      </c>
      <c r="E170" t="inlineStr">
        <is>
          <t>TIMRÅ</t>
        </is>
      </c>
      <c r="G170" t="n">
        <v>1.2</v>
      </c>
      <c r="H170" t="n">
        <v>0</v>
      </c>
      <c r="I170" t="n">
        <v>0</v>
      </c>
      <c r="J170" t="n">
        <v>0</v>
      </c>
      <c r="K170" t="n">
        <v>0</v>
      </c>
      <c r="L170" t="n">
        <v>0</v>
      </c>
      <c r="M170" t="n">
        <v>0</v>
      </c>
      <c r="N170" t="n">
        <v>0</v>
      </c>
      <c r="O170" t="n">
        <v>0</v>
      </c>
      <c r="P170" t="n">
        <v>0</v>
      </c>
      <c r="Q170" t="n">
        <v>0</v>
      </c>
      <c r="R170" s="2" t="inlineStr"/>
    </row>
    <row r="171" ht="15" customHeight="1">
      <c r="A171" t="inlineStr">
        <is>
          <t>A 19311-2020</t>
        </is>
      </c>
      <c r="B171" s="1" t="n">
        <v>43937</v>
      </c>
      <c r="C171" s="1" t="n">
        <v>45764</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19764-2020</t>
        </is>
      </c>
      <c r="B172" s="1" t="n">
        <v>43937</v>
      </c>
      <c r="C172" s="1" t="n">
        <v>45764</v>
      </c>
      <c r="D172" t="inlineStr">
        <is>
          <t>VÄSTERNORRLANDS LÄN</t>
        </is>
      </c>
      <c r="E172" t="inlineStr">
        <is>
          <t>TIMRÅ</t>
        </is>
      </c>
      <c r="G172" t="n">
        <v>3.1</v>
      </c>
      <c r="H172" t="n">
        <v>0</v>
      </c>
      <c r="I172" t="n">
        <v>0</v>
      </c>
      <c r="J172" t="n">
        <v>0</v>
      </c>
      <c r="K172" t="n">
        <v>0</v>
      </c>
      <c r="L172" t="n">
        <v>0</v>
      </c>
      <c r="M172" t="n">
        <v>0</v>
      </c>
      <c r="N172" t="n">
        <v>0</v>
      </c>
      <c r="O172" t="n">
        <v>0</v>
      </c>
      <c r="P172" t="n">
        <v>0</v>
      </c>
      <c r="Q172" t="n">
        <v>0</v>
      </c>
      <c r="R172" s="2" t="inlineStr"/>
    </row>
    <row r="173" ht="15" customHeight="1">
      <c r="A173" t="inlineStr">
        <is>
          <t>A 19785-2020</t>
        </is>
      </c>
      <c r="B173" s="1" t="n">
        <v>43937</v>
      </c>
      <c r="C173" s="1" t="n">
        <v>45764</v>
      </c>
      <c r="D173" t="inlineStr">
        <is>
          <t>VÄSTERNORRLANDS LÄN</t>
        </is>
      </c>
      <c r="E173" t="inlineStr">
        <is>
          <t>TIMRÅ</t>
        </is>
      </c>
      <c r="G173" t="n">
        <v>2</v>
      </c>
      <c r="H173" t="n">
        <v>0</v>
      </c>
      <c r="I173" t="n">
        <v>0</v>
      </c>
      <c r="J173" t="n">
        <v>0</v>
      </c>
      <c r="K173" t="n">
        <v>0</v>
      </c>
      <c r="L173" t="n">
        <v>0</v>
      </c>
      <c r="M173" t="n">
        <v>0</v>
      </c>
      <c r="N173" t="n">
        <v>0</v>
      </c>
      <c r="O173" t="n">
        <v>0</v>
      </c>
      <c r="P173" t="n">
        <v>0</v>
      </c>
      <c r="Q173" t="n">
        <v>0</v>
      </c>
      <c r="R173" s="2" t="inlineStr"/>
    </row>
    <row r="174" ht="15" customHeight="1">
      <c r="A174" t="inlineStr">
        <is>
          <t>A 19796-2020</t>
        </is>
      </c>
      <c r="B174" s="1" t="n">
        <v>43937</v>
      </c>
      <c r="C174" s="1" t="n">
        <v>45764</v>
      </c>
      <c r="D174" t="inlineStr">
        <is>
          <t>VÄSTERNORRLANDS LÄN</t>
        </is>
      </c>
      <c r="E174" t="inlineStr">
        <is>
          <t>TIMRÅ</t>
        </is>
      </c>
      <c r="G174" t="n">
        <v>1.4</v>
      </c>
      <c r="H174" t="n">
        <v>0</v>
      </c>
      <c r="I174" t="n">
        <v>0</v>
      </c>
      <c r="J174" t="n">
        <v>0</v>
      </c>
      <c r="K174" t="n">
        <v>0</v>
      </c>
      <c r="L174" t="n">
        <v>0</v>
      </c>
      <c r="M174" t="n">
        <v>0</v>
      </c>
      <c r="N174" t="n">
        <v>0</v>
      </c>
      <c r="O174" t="n">
        <v>0</v>
      </c>
      <c r="P174" t="n">
        <v>0</v>
      </c>
      <c r="Q174" t="n">
        <v>0</v>
      </c>
      <c r="R174" s="2" t="inlineStr"/>
    </row>
    <row r="175" ht="15" customHeight="1">
      <c r="A175" t="inlineStr">
        <is>
          <t>A 19809-2020</t>
        </is>
      </c>
      <c r="B175" s="1" t="n">
        <v>43937</v>
      </c>
      <c r="C175" s="1" t="n">
        <v>45764</v>
      </c>
      <c r="D175" t="inlineStr">
        <is>
          <t>VÄSTERNORRLANDS LÄN</t>
        </is>
      </c>
      <c r="E175" t="inlineStr">
        <is>
          <t>TIMRÅ</t>
        </is>
      </c>
      <c r="G175" t="n">
        <v>4.5</v>
      </c>
      <c r="H175" t="n">
        <v>0</v>
      </c>
      <c r="I175" t="n">
        <v>0</v>
      </c>
      <c r="J175" t="n">
        <v>0</v>
      </c>
      <c r="K175" t="n">
        <v>0</v>
      </c>
      <c r="L175" t="n">
        <v>0</v>
      </c>
      <c r="M175" t="n">
        <v>0</v>
      </c>
      <c r="N175" t="n">
        <v>0</v>
      </c>
      <c r="O175" t="n">
        <v>0</v>
      </c>
      <c r="P175" t="n">
        <v>0</v>
      </c>
      <c r="Q175" t="n">
        <v>0</v>
      </c>
      <c r="R175" s="2" t="inlineStr"/>
    </row>
    <row r="176" ht="15" customHeight="1">
      <c r="A176" t="inlineStr">
        <is>
          <t>A 19761-2020</t>
        </is>
      </c>
      <c r="B176" s="1" t="n">
        <v>43937</v>
      </c>
      <c r="C176" s="1" t="n">
        <v>45764</v>
      </c>
      <c r="D176" t="inlineStr">
        <is>
          <t>VÄSTERNORRLANDS LÄN</t>
        </is>
      </c>
      <c r="E176" t="inlineStr">
        <is>
          <t>TIMRÅ</t>
        </is>
      </c>
      <c r="G176" t="n">
        <v>0.4</v>
      </c>
      <c r="H176" t="n">
        <v>0</v>
      </c>
      <c r="I176" t="n">
        <v>0</v>
      </c>
      <c r="J176" t="n">
        <v>0</v>
      </c>
      <c r="K176" t="n">
        <v>0</v>
      </c>
      <c r="L176" t="n">
        <v>0</v>
      </c>
      <c r="M176" t="n">
        <v>0</v>
      </c>
      <c r="N176" t="n">
        <v>0</v>
      </c>
      <c r="O176" t="n">
        <v>0</v>
      </c>
      <c r="P176" t="n">
        <v>0</v>
      </c>
      <c r="Q176" t="n">
        <v>0</v>
      </c>
      <c r="R176" s="2" t="inlineStr"/>
    </row>
    <row r="177" ht="15" customHeight="1">
      <c r="A177" t="inlineStr">
        <is>
          <t>A 19774-2020</t>
        </is>
      </c>
      <c r="B177" s="1" t="n">
        <v>43937</v>
      </c>
      <c r="C177" s="1" t="n">
        <v>45764</v>
      </c>
      <c r="D177" t="inlineStr">
        <is>
          <t>VÄSTERNORRLANDS LÄN</t>
        </is>
      </c>
      <c r="E177" t="inlineStr">
        <is>
          <t>TIMRÅ</t>
        </is>
      </c>
      <c r="G177" t="n">
        <v>6.1</v>
      </c>
      <c r="H177" t="n">
        <v>0</v>
      </c>
      <c r="I177" t="n">
        <v>0</v>
      </c>
      <c r="J177" t="n">
        <v>0</v>
      </c>
      <c r="K177" t="n">
        <v>0</v>
      </c>
      <c r="L177" t="n">
        <v>0</v>
      </c>
      <c r="M177" t="n">
        <v>0</v>
      </c>
      <c r="N177" t="n">
        <v>0</v>
      </c>
      <c r="O177" t="n">
        <v>0</v>
      </c>
      <c r="P177" t="n">
        <v>0</v>
      </c>
      <c r="Q177" t="n">
        <v>0</v>
      </c>
      <c r="R177" s="2" t="inlineStr"/>
    </row>
    <row r="178" ht="15" customHeight="1">
      <c r="A178" t="inlineStr">
        <is>
          <t>A 19794-2020</t>
        </is>
      </c>
      <c r="B178" s="1" t="n">
        <v>43937</v>
      </c>
      <c r="C178" s="1" t="n">
        <v>45764</v>
      </c>
      <c r="D178" t="inlineStr">
        <is>
          <t>VÄSTERNORRLANDS LÄN</t>
        </is>
      </c>
      <c r="E178" t="inlineStr">
        <is>
          <t>TIMRÅ</t>
        </is>
      </c>
      <c r="G178" t="n">
        <v>3</v>
      </c>
      <c r="H178" t="n">
        <v>0</v>
      </c>
      <c r="I178" t="n">
        <v>0</v>
      </c>
      <c r="J178" t="n">
        <v>0</v>
      </c>
      <c r="K178" t="n">
        <v>0</v>
      </c>
      <c r="L178" t="n">
        <v>0</v>
      </c>
      <c r="M178" t="n">
        <v>0</v>
      </c>
      <c r="N178" t="n">
        <v>0</v>
      </c>
      <c r="O178" t="n">
        <v>0</v>
      </c>
      <c r="P178" t="n">
        <v>0</v>
      </c>
      <c r="Q178" t="n">
        <v>0</v>
      </c>
      <c r="R178" s="2" t="inlineStr"/>
    </row>
    <row r="179" ht="15" customHeight="1">
      <c r="A179" t="inlineStr">
        <is>
          <t>A 19807-2020</t>
        </is>
      </c>
      <c r="B179" s="1" t="n">
        <v>43937</v>
      </c>
      <c r="C179" s="1" t="n">
        <v>45764</v>
      </c>
      <c r="D179" t="inlineStr">
        <is>
          <t>VÄSTERNORRLANDS LÄN</t>
        </is>
      </c>
      <c r="E179" t="inlineStr">
        <is>
          <t>TIMRÅ</t>
        </is>
      </c>
      <c r="G179" t="n">
        <v>3.4</v>
      </c>
      <c r="H179" t="n">
        <v>0</v>
      </c>
      <c r="I179" t="n">
        <v>0</v>
      </c>
      <c r="J179" t="n">
        <v>0</v>
      </c>
      <c r="K179" t="n">
        <v>0</v>
      </c>
      <c r="L179" t="n">
        <v>0</v>
      </c>
      <c r="M179" t="n">
        <v>0</v>
      </c>
      <c r="N179" t="n">
        <v>0</v>
      </c>
      <c r="O179" t="n">
        <v>0</v>
      </c>
      <c r="P179" t="n">
        <v>0</v>
      </c>
      <c r="Q179" t="n">
        <v>0</v>
      </c>
      <c r="R179" s="2" t="inlineStr"/>
    </row>
    <row r="180" ht="15" customHeight="1">
      <c r="A180" t="inlineStr">
        <is>
          <t>A 19765-2020</t>
        </is>
      </c>
      <c r="B180" s="1" t="n">
        <v>43937</v>
      </c>
      <c r="C180" s="1" t="n">
        <v>45764</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19789-2020</t>
        </is>
      </c>
      <c r="B181" s="1" t="n">
        <v>43937</v>
      </c>
      <c r="C181" s="1" t="n">
        <v>45764</v>
      </c>
      <c r="D181" t="inlineStr">
        <is>
          <t>VÄSTERNORRLANDS LÄN</t>
        </is>
      </c>
      <c r="E181" t="inlineStr">
        <is>
          <t>TIMRÅ</t>
        </is>
      </c>
      <c r="G181" t="n">
        <v>0.3</v>
      </c>
      <c r="H181" t="n">
        <v>0</v>
      </c>
      <c r="I181" t="n">
        <v>0</v>
      </c>
      <c r="J181" t="n">
        <v>0</v>
      </c>
      <c r="K181" t="n">
        <v>0</v>
      </c>
      <c r="L181" t="n">
        <v>0</v>
      </c>
      <c r="M181" t="n">
        <v>0</v>
      </c>
      <c r="N181" t="n">
        <v>0</v>
      </c>
      <c r="O181" t="n">
        <v>0</v>
      </c>
      <c r="P181" t="n">
        <v>0</v>
      </c>
      <c r="Q181" t="n">
        <v>0</v>
      </c>
      <c r="R181" s="2" t="inlineStr"/>
    </row>
    <row r="182" ht="15" customHeight="1">
      <c r="A182" t="inlineStr">
        <is>
          <t>A 21210-2020</t>
        </is>
      </c>
      <c r="B182" s="1" t="n">
        <v>43951</v>
      </c>
      <c r="C182" s="1" t="n">
        <v>45764</v>
      </c>
      <c r="D182" t="inlineStr">
        <is>
          <t>VÄSTERNORRLANDS LÄN</t>
        </is>
      </c>
      <c r="E182" t="inlineStr">
        <is>
          <t>TIMRÅ</t>
        </is>
      </c>
      <c r="G182" t="n">
        <v>1</v>
      </c>
      <c r="H182" t="n">
        <v>0</v>
      </c>
      <c r="I182" t="n">
        <v>0</v>
      </c>
      <c r="J182" t="n">
        <v>0</v>
      </c>
      <c r="K182" t="n">
        <v>0</v>
      </c>
      <c r="L182" t="n">
        <v>0</v>
      </c>
      <c r="M182" t="n">
        <v>0</v>
      </c>
      <c r="N182" t="n">
        <v>0</v>
      </c>
      <c r="O182" t="n">
        <v>0</v>
      </c>
      <c r="P182" t="n">
        <v>0</v>
      </c>
      <c r="Q182" t="n">
        <v>0</v>
      </c>
      <c r="R182" s="2" t="inlineStr"/>
    </row>
    <row r="183" ht="15" customHeight="1">
      <c r="A183" t="inlineStr">
        <is>
          <t>A 21874-2020</t>
        </is>
      </c>
      <c r="B183" s="1" t="n">
        <v>43955</v>
      </c>
      <c r="C183" s="1" t="n">
        <v>45764</v>
      </c>
      <c r="D183" t="inlineStr">
        <is>
          <t>VÄSTERNORRLANDS LÄN</t>
        </is>
      </c>
      <c r="E183" t="inlineStr">
        <is>
          <t>TIMRÅ</t>
        </is>
      </c>
      <c r="G183" t="n">
        <v>7.5</v>
      </c>
      <c r="H183" t="n">
        <v>0</v>
      </c>
      <c r="I183" t="n">
        <v>0</v>
      </c>
      <c r="J183" t="n">
        <v>0</v>
      </c>
      <c r="K183" t="n">
        <v>0</v>
      </c>
      <c r="L183" t="n">
        <v>0</v>
      </c>
      <c r="M183" t="n">
        <v>0</v>
      </c>
      <c r="N183" t="n">
        <v>0</v>
      </c>
      <c r="O183" t="n">
        <v>0</v>
      </c>
      <c r="P183" t="n">
        <v>0</v>
      </c>
      <c r="Q183" t="n">
        <v>0</v>
      </c>
      <c r="R183" s="2" t="inlineStr"/>
    </row>
    <row r="184" ht="15" customHeight="1">
      <c r="A184" t="inlineStr">
        <is>
          <t>A 21598-2020</t>
        </is>
      </c>
      <c r="B184" s="1" t="n">
        <v>43956</v>
      </c>
      <c r="C184" s="1" t="n">
        <v>45764</v>
      </c>
      <c r="D184" t="inlineStr">
        <is>
          <t>VÄSTERNORRLANDS LÄN</t>
        </is>
      </c>
      <c r="E184" t="inlineStr">
        <is>
          <t>TIMRÅ</t>
        </is>
      </c>
      <c r="G184" t="n">
        <v>5</v>
      </c>
      <c r="H184" t="n">
        <v>0</v>
      </c>
      <c r="I184" t="n">
        <v>0</v>
      </c>
      <c r="J184" t="n">
        <v>0</v>
      </c>
      <c r="K184" t="n">
        <v>0</v>
      </c>
      <c r="L184" t="n">
        <v>0</v>
      </c>
      <c r="M184" t="n">
        <v>0</v>
      </c>
      <c r="N184" t="n">
        <v>0</v>
      </c>
      <c r="O184" t="n">
        <v>0</v>
      </c>
      <c r="P184" t="n">
        <v>0</v>
      </c>
      <c r="Q184" t="n">
        <v>0</v>
      </c>
      <c r="R184" s="2" t="inlineStr"/>
    </row>
    <row r="185" ht="15" customHeight="1">
      <c r="A185" t="inlineStr">
        <is>
          <t>A 24263-2020</t>
        </is>
      </c>
      <c r="B185" s="1" t="n">
        <v>43971</v>
      </c>
      <c r="C185" s="1" t="n">
        <v>45764</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29475-2020</t>
        </is>
      </c>
      <c r="B186" s="1" t="n">
        <v>44004</v>
      </c>
      <c r="C186" s="1" t="n">
        <v>45764</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33966-2020</t>
        </is>
      </c>
      <c r="B187" s="1" t="n">
        <v>44028</v>
      </c>
      <c r="C187" s="1" t="n">
        <v>45764</v>
      </c>
      <c r="D187" t="inlineStr">
        <is>
          <t>VÄSTERNORRLANDS LÄN</t>
        </is>
      </c>
      <c r="E187" t="inlineStr">
        <is>
          <t>TIMRÅ</t>
        </is>
      </c>
      <c r="G187" t="n">
        <v>4.9</v>
      </c>
      <c r="H187" t="n">
        <v>0</v>
      </c>
      <c r="I187" t="n">
        <v>0</v>
      </c>
      <c r="J187" t="n">
        <v>0</v>
      </c>
      <c r="K187" t="n">
        <v>0</v>
      </c>
      <c r="L187" t="n">
        <v>0</v>
      </c>
      <c r="M187" t="n">
        <v>0</v>
      </c>
      <c r="N187" t="n">
        <v>0</v>
      </c>
      <c r="O187" t="n">
        <v>0</v>
      </c>
      <c r="P187" t="n">
        <v>0</v>
      </c>
      <c r="Q187" t="n">
        <v>0</v>
      </c>
      <c r="R187" s="2" t="inlineStr"/>
    </row>
    <row r="188" ht="15" customHeight="1">
      <c r="A188" t="inlineStr">
        <is>
          <t>A 35531-2020</t>
        </is>
      </c>
      <c r="B188" s="1" t="n">
        <v>44043</v>
      </c>
      <c r="C188" s="1" t="n">
        <v>45764</v>
      </c>
      <c r="D188" t="inlineStr">
        <is>
          <t>VÄSTERNORRLANDS LÄN</t>
        </is>
      </c>
      <c r="E188" t="inlineStr">
        <is>
          <t>TIMRÅ</t>
        </is>
      </c>
      <c r="G188" t="n">
        <v>0.9</v>
      </c>
      <c r="H188" t="n">
        <v>0</v>
      </c>
      <c r="I188" t="n">
        <v>0</v>
      </c>
      <c r="J188" t="n">
        <v>0</v>
      </c>
      <c r="K188" t="n">
        <v>0</v>
      </c>
      <c r="L188" t="n">
        <v>0</v>
      </c>
      <c r="M188" t="n">
        <v>0</v>
      </c>
      <c r="N188" t="n">
        <v>0</v>
      </c>
      <c r="O188" t="n">
        <v>0</v>
      </c>
      <c r="P188" t="n">
        <v>0</v>
      </c>
      <c r="Q188" t="n">
        <v>0</v>
      </c>
      <c r="R188" s="2" t="inlineStr"/>
    </row>
    <row r="189" ht="15" customHeight="1">
      <c r="A189" t="inlineStr">
        <is>
          <t>A 40413-2020</t>
        </is>
      </c>
      <c r="B189" s="1" t="n">
        <v>44068</v>
      </c>
      <c r="C189" s="1" t="n">
        <v>45764</v>
      </c>
      <c r="D189" t="inlineStr">
        <is>
          <t>VÄSTERNORRLANDS LÄN</t>
        </is>
      </c>
      <c r="E189" t="inlineStr">
        <is>
          <t>TIMRÅ</t>
        </is>
      </c>
      <c r="G189" t="n">
        <v>2.5</v>
      </c>
      <c r="H189" t="n">
        <v>0</v>
      </c>
      <c r="I189" t="n">
        <v>0</v>
      </c>
      <c r="J189" t="n">
        <v>0</v>
      </c>
      <c r="K189" t="n">
        <v>0</v>
      </c>
      <c r="L189" t="n">
        <v>0</v>
      </c>
      <c r="M189" t="n">
        <v>0</v>
      </c>
      <c r="N189" t="n">
        <v>0</v>
      </c>
      <c r="O189" t="n">
        <v>0</v>
      </c>
      <c r="P189" t="n">
        <v>0</v>
      </c>
      <c r="Q189" t="n">
        <v>0</v>
      </c>
      <c r="R189" s="2" t="inlineStr"/>
    </row>
    <row r="190" ht="15" customHeight="1">
      <c r="A190" t="inlineStr">
        <is>
          <t>A 40410-2020</t>
        </is>
      </c>
      <c r="B190" s="1" t="n">
        <v>44068</v>
      </c>
      <c r="C190" s="1" t="n">
        <v>45764</v>
      </c>
      <c r="D190" t="inlineStr">
        <is>
          <t>VÄSTERNORRLANDS LÄN</t>
        </is>
      </c>
      <c r="E190" t="inlineStr">
        <is>
          <t>TIMRÅ</t>
        </is>
      </c>
      <c r="G190" t="n">
        <v>0.8</v>
      </c>
      <c r="H190" t="n">
        <v>0</v>
      </c>
      <c r="I190" t="n">
        <v>0</v>
      </c>
      <c r="J190" t="n">
        <v>0</v>
      </c>
      <c r="K190" t="n">
        <v>0</v>
      </c>
      <c r="L190" t="n">
        <v>0</v>
      </c>
      <c r="M190" t="n">
        <v>0</v>
      </c>
      <c r="N190" t="n">
        <v>0</v>
      </c>
      <c r="O190" t="n">
        <v>0</v>
      </c>
      <c r="P190" t="n">
        <v>0</v>
      </c>
      <c r="Q190" t="n">
        <v>0</v>
      </c>
      <c r="R190" s="2" t="inlineStr"/>
    </row>
    <row r="191" ht="15" customHeight="1">
      <c r="A191" t="inlineStr">
        <is>
          <t>A 40737-2020</t>
        </is>
      </c>
      <c r="B191" s="1" t="n">
        <v>44069</v>
      </c>
      <c r="C191" s="1" t="n">
        <v>45764</v>
      </c>
      <c r="D191" t="inlineStr">
        <is>
          <t>VÄSTERNORRLANDS LÄN</t>
        </is>
      </c>
      <c r="E191" t="inlineStr">
        <is>
          <t>TIMRÅ</t>
        </is>
      </c>
      <c r="G191" t="n">
        <v>3.1</v>
      </c>
      <c r="H191" t="n">
        <v>0</v>
      </c>
      <c r="I191" t="n">
        <v>0</v>
      </c>
      <c r="J191" t="n">
        <v>0</v>
      </c>
      <c r="K191" t="n">
        <v>0</v>
      </c>
      <c r="L191" t="n">
        <v>0</v>
      </c>
      <c r="M191" t="n">
        <v>0</v>
      </c>
      <c r="N191" t="n">
        <v>0</v>
      </c>
      <c r="O191" t="n">
        <v>0</v>
      </c>
      <c r="P191" t="n">
        <v>0</v>
      </c>
      <c r="Q191" t="n">
        <v>0</v>
      </c>
      <c r="R191" s="2" t="inlineStr"/>
    </row>
    <row r="192" ht="15" customHeight="1">
      <c r="A192" t="inlineStr">
        <is>
          <t>A 42443-2020</t>
        </is>
      </c>
      <c r="B192" s="1" t="n">
        <v>44074</v>
      </c>
      <c r="C192" s="1" t="n">
        <v>45764</v>
      </c>
      <c r="D192" t="inlineStr">
        <is>
          <t>VÄSTERNORRLANDS LÄN</t>
        </is>
      </c>
      <c r="E192" t="inlineStr">
        <is>
          <t>TIMRÅ</t>
        </is>
      </c>
      <c r="G192" t="n">
        <v>1.5</v>
      </c>
      <c r="H192" t="n">
        <v>0</v>
      </c>
      <c r="I192" t="n">
        <v>0</v>
      </c>
      <c r="J192" t="n">
        <v>0</v>
      </c>
      <c r="K192" t="n">
        <v>0</v>
      </c>
      <c r="L192" t="n">
        <v>0</v>
      </c>
      <c r="M192" t="n">
        <v>0</v>
      </c>
      <c r="N192" t="n">
        <v>0</v>
      </c>
      <c r="O192" t="n">
        <v>0</v>
      </c>
      <c r="P192" t="n">
        <v>0</v>
      </c>
      <c r="Q192" t="n">
        <v>0</v>
      </c>
      <c r="R192" s="2" t="inlineStr"/>
    </row>
    <row r="193" ht="15" customHeight="1">
      <c r="A193" t="inlineStr">
        <is>
          <t>A 44503-2020</t>
        </is>
      </c>
      <c r="B193" s="1" t="n">
        <v>44084</v>
      </c>
      <c r="C193" s="1" t="n">
        <v>45764</v>
      </c>
      <c r="D193" t="inlineStr">
        <is>
          <t>VÄSTERNORRLANDS LÄN</t>
        </is>
      </c>
      <c r="E193" t="inlineStr">
        <is>
          <t>TIMRÅ</t>
        </is>
      </c>
      <c r="F193" t="inlineStr">
        <is>
          <t>SCA</t>
        </is>
      </c>
      <c r="G193" t="n">
        <v>7.4</v>
      </c>
      <c r="H193" t="n">
        <v>0</v>
      </c>
      <c r="I193" t="n">
        <v>0</v>
      </c>
      <c r="J193" t="n">
        <v>0</v>
      </c>
      <c r="K193" t="n">
        <v>0</v>
      </c>
      <c r="L193" t="n">
        <v>0</v>
      </c>
      <c r="M193" t="n">
        <v>0</v>
      </c>
      <c r="N193" t="n">
        <v>0</v>
      </c>
      <c r="O193" t="n">
        <v>0</v>
      </c>
      <c r="P193" t="n">
        <v>0</v>
      </c>
      <c r="Q193" t="n">
        <v>0</v>
      </c>
      <c r="R193" s="2" t="inlineStr"/>
    </row>
    <row r="194" ht="15" customHeight="1">
      <c r="A194" t="inlineStr">
        <is>
          <t>A 48574-2020</t>
        </is>
      </c>
      <c r="B194" s="1" t="n">
        <v>44103</v>
      </c>
      <c r="C194" s="1" t="n">
        <v>45764</v>
      </c>
      <c r="D194" t="inlineStr">
        <is>
          <t>VÄSTERNORRLANDS LÄN</t>
        </is>
      </c>
      <c r="E194" t="inlineStr">
        <is>
          <t>TIMRÅ</t>
        </is>
      </c>
      <c r="G194" t="n">
        <v>1.1</v>
      </c>
      <c r="H194" t="n">
        <v>0</v>
      </c>
      <c r="I194" t="n">
        <v>0</v>
      </c>
      <c r="J194" t="n">
        <v>0</v>
      </c>
      <c r="K194" t="n">
        <v>0</v>
      </c>
      <c r="L194" t="n">
        <v>0</v>
      </c>
      <c r="M194" t="n">
        <v>0</v>
      </c>
      <c r="N194" t="n">
        <v>0</v>
      </c>
      <c r="O194" t="n">
        <v>0</v>
      </c>
      <c r="P194" t="n">
        <v>0</v>
      </c>
      <c r="Q194" t="n">
        <v>0</v>
      </c>
      <c r="R194" s="2" t="inlineStr"/>
    </row>
    <row r="195" ht="15" customHeight="1">
      <c r="A195" t="inlineStr">
        <is>
          <t>A 50162-2020</t>
        </is>
      </c>
      <c r="B195" s="1" t="n">
        <v>44104</v>
      </c>
      <c r="C195" s="1" t="n">
        <v>45764</v>
      </c>
      <c r="D195" t="inlineStr">
        <is>
          <t>VÄSTERNORRLANDS LÄN</t>
        </is>
      </c>
      <c r="E195" t="inlineStr">
        <is>
          <t>TIMRÅ</t>
        </is>
      </c>
      <c r="G195" t="n">
        <v>6</v>
      </c>
      <c r="H195" t="n">
        <v>0</v>
      </c>
      <c r="I195" t="n">
        <v>0</v>
      </c>
      <c r="J195" t="n">
        <v>0</v>
      </c>
      <c r="K195" t="n">
        <v>0</v>
      </c>
      <c r="L195" t="n">
        <v>0</v>
      </c>
      <c r="M195" t="n">
        <v>0</v>
      </c>
      <c r="N195" t="n">
        <v>0</v>
      </c>
      <c r="O195" t="n">
        <v>0</v>
      </c>
      <c r="P195" t="n">
        <v>0</v>
      </c>
      <c r="Q195" t="n">
        <v>0</v>
      </c>
      <c r="R195" s="2" t="inlineStr"/>
    </row>
    <row r="196" ht="15" customHeight="1">
      <c r="A196" t="inlineStr">
        <is>
          <t>A 51330-2020</t>
        </is>
      </c>
      <c r="B196" s="1" t="n">
        <v>44112</v>
      </c>
      <c r="C196" s="1" t="n">
        <v>45764</v>
      </c>
      <c r="D196" t="inlineStr">
        <is>
          <t>VÄSTERNORRLANDS LÄN</t>
        </is>
      </c>
      <c r="E196" t="inlineStr">
        <is>
          <t>TIMRÅ</t>
        </is>
      </c>
      <c r="G196" t="n">
        <v>9.699999999999999</v>
      </c>
      <c r="H196" t="n">
        <v>0</v>
      </c>
      <c r="I196" t="n">
        <v>0</v>
      </c>
      <c r="J196" t="n">
        <v>0</v>
      </c>
      <c r="K196" t="n">
        <v>0</v>
      </c>
      <c r="L196" t="n">
        <v>0</v>
      </c>
      <c r="M196" t="n">
        <v>0</v>
      </c>
      <c r="N196" t="n">
        <v>0</v>
      </c>
      <c r="O196" t="n">
        <v>0</v>
      </c>
      <c r="P196" t="n">
        <v>0</v>
      </c>
      <c r="Q196" t="n">
        <v>0</v>
      </c>
      <c r="R196" s="2" t="inlineStr"/>
    </row>
    <row r="197" ht="15" customHeight="1">
      <c r="A197" t="inlineStr">
        <is>
          <t>A 53254-2020</t>
        </is>
      </c>
      <c r="B197" s="1" t="n">
        <v>44123</v>
      </c>
      <c r="C197" s="1" t="n">
        <v>45764</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54946-2020</t>
        </is>
      </c>
      <c r="B198" s="1" t="n">
        <v>44129</v>
      </c>
      <c r="C198" s="1" t="n">
        <v>45764</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57007-2020</t>
        </is>
      </c>
      <c r="B199" s="1" t="n">
        <v>44137</v>
      </c>
      <c r="C199" s="1" t="n">
        <v>45764</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61730-2020</t>
        </is>
      </c>
      <c r="B200" s="1" t="n">
        <v>44158</v>
      </c>
      <c r="C200" s="1" t="n">
        <v>45764</v>
      </c>
      <c r="D200" t="inlineStr">
        <is>
          <t>VÄSTERNORRLANDS LÄN</t>
        </is>
      </c>
      <c r="E200" t="inlineStr">
        <is>
          <t>TIMRÅ</t>
        </is>
      </c>
      <c r="G200" t="n">
        <v>2.8</v>
      </c>
      <c r="H200" t="n">
        <v>0</v>
      </c>
      <c r="I200" t="n">
        <v>0</v>
      </c>
      <c r="J200" t="n">
        <v>0</v>
      </c>
      <c r="K200" t="n">
        <v>0</v>
      </c>
      <c r="L200" t="n">
        <v>0</v>
      </c>
      <c r="M200" t="n">
        <v>0</v>
      </c>
      <c r="N200" t="n">
        <v>0</v>
      </c>
      <c r="O200" t="n">
        <v>0</v>
      </c>
      <c r="P200" t="n">
        <v>0</v>
      </c>
      <c r="Q200" t="n">
        <v>0</v>
      </c>
      <c r="R200" s="2" t="inlineStr"/>
    </row>
    <row r="201" ht="15" customHeight="1">
      <c r="A201" t="inlineStr">
        <is>
          <t>A 63960-2020</t>
        </is>
      </c>
      <c r="B201" s="1" t="n">
        <v>44165</v>
      </c>
      <c r="C201" s="1" t="n">
        <v>45764</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63927-2020</t>
        </is>
      </c>
      <c r="B202" s="1" t="n">
        <v>44166</v>
      </c>
      <c r="C202" s="1" t="n">
        <v>45764</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64571-2020</t>
        </is>
      </c>
      <c r="B203" s="1" t="n">
        <v>44166</v>
      </c>
      <c r="C203" s="1" t="n">
        <v>45764</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65001-2020</t>
        </is>
      </c>
      <c r="B204" s="1" t="n">
        <v>44167</v>
      </c>
      <c r="C204" s="1" t="n">
        <v>45764</v>
      </c>
      <c r="D204" t="inlineStr">
        <is>
          <t>VÄSTERNORRLANDS LÄN</t>
        </is>
      </c>
      <c r="E204" t="inlineStr">
        <is>
          <t>TIMRÅ</t>
        </is>
      </c>
      <c r="G204" t="n">
        <v>3.3</v>
      </c>
      <c r="H204" t="n">
        <v>0</v>
      </c>
      <c r="I204" t="n">
        <v>0</v>
      </c>
      <c r="J204" t="n">
        <v>0</v>
      </c>
      <c r="K204" t="n">
        <v>0</v>
      </c>
      <c r="L204" t="n">
        <v>0</v>
      </c>
      <c r="M204" t="n">
        <v>0</v>
      </c>
      <c r="N204" t="n">
        <v>0</v>
      </c>
      <c r="O204" t="n">
        <v>0</v>
      </c>
      <c r="P204" t="n">
        <v>0</v>
      </c>
      <c r="Q204" t="n">
        <v>0</v>
      </c>
      <c r="R204" s="2" t="inlineStr"/>
    </row>
    <row r="205" ht="15" customHeight="1">
      <c r="A205" t="inlineStr">
        <is>
          <t>A 66837-2020</t>
        </is>
      </c>
      <c r="B205" s="1" t="n">
        <v>44179</v>
      </c>
      <c r="C205" s="1" t="n">
        <v>45764</v>
      </c>
      <c r="D205" t="inlineStr">
        <is>
          <t>VÄSTERNORRLANDS LÄN</t>
        </is>
      </c>
      <c r="E205" t="inlineStr">
        <is>
          <t>TIMRÅ</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67610-2020</t>
        </is>
      </c>
      <c r="B206" s="1" t="n">
        <v>44181</v>
      </c>
      <c r="C206" s="1" t="n">
        <v>45764</v>
      </c>
      <c r="D206" t="inlineStr">
        <is>
          <t>VÄSTERNORRLANDS LÄN</t>
        </is>
      </c>
      <c r="E206" t="inlineStr">
        <is>
          <t>TIMRÅ</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69203-2020</t>
        </is>
      </c>
      <c r="B207" s="1" t="n">
        <v>44191</v>
      </c>
      <c r="C207" s="1" t="n">
        <v>45764</v>
      </c>
      <c r="D207" t="inlineStr">
        <is>
          <t>VÄSTERNORRLANDS LÄN</t>
        </is>
      </c>
      <c r="E207" t="inlineStr">
        <is>
          <t>TIMRÅ</t>
        </is>
      </c>
      <c r="F207" t="inlineStr">
        <is>
          <t>SCA</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731-2021</t>
        </is>
      </c>
      <c r="B208" s="1" t="n">
        <v>44203</v>
      </c>
      <c r="C208" s="1" t="n">
        <v>45764</v>
      </c>
      <c r="D208" t="inlineStr">
        <is>
          <t>VÄSTERNORRLANDS LÄN</t>
        </is>
      </c>
      <c r="E208" t="inlineStr">
        <is>
          <t>TIMRÅ</t>
        </is>
      </c>
      <c r="G208" t="n">
        <v>3.5</v>
      </c>
      <c r="H208" t="n">
        <v>0</v>
      </c>
      <c r="I208" t="n">
        <v>0</v>
      </c>
      <c r="J208" t="n">
        <v>0</v>
      </c>
      <c r="K208" t="n">
        <v>0</v>
      </c>
      <c r="L208" t="n">
        <v>0</v>
      </c>
      <c r="M208" t="n">
        <v>0</v>
      </c>
      <c r="N208" t="n">
        <v>0</v>
      </c>
      <c r="O208" t="n">
        <v>0</v>
      </c>
      <c r="P208" t="n">
        <v>0</v>
      </c>
      <c r="Q208" t="n">
        <v>0</v>
      </c>
      <c r="R208" s="2" t="inlineStr"/>
    </row>
    <row r="209" ht="15" customHeight="1">
      <c r="A209" t="inlineStr">
        <is>
          <t>A 1555-2021</t>
        </is>
      </c>
      <c r="B209" s="1" t="n">
        <v>44209</v>
      </c>
      <c r="C209" s="1" t="n">
        <v>45764</v>
      </c>
      <c r="D209" t="inlineStr">
        <is>
          <t>VÄSTERNORRLANDS LÄN</t>
        </is>
      </c>
      <c r="E209" t="inlineStr">
        <is>
          <t>TIMRÅ</t>
        </is>
      </c>
      <c r="G209" t="n">
        <v>2.9</v>
      </c>
      <c r="H209" t="n">
        <v>0</v>
      </c>
      <c r="I209" t="n">
        <v>0</v>
      </c>
      <c r="J209" t="n">
        <v>0</v>
      </c>
      <c r="K209" t="n">
        <v>0</v>
      </c>
      <c r="L209" t="n">
        <v>0</v>
      </c>
      <c r="M209" t="n">
        <v>0</v>
      </c>
      <c r="N209" t="n">
        <v>0</v>
      </c>
      <c r="O209" t="n">
        <v>0</v>
      </c>
      <c r="P209" t="n">
        <v>0</v>
      </c>
      <c r="Q209" t="n">
        <v>0</v>
      </c>
      <c r="R209" s="2" t="inlineStr"/>
    </row>
    <row r="210" ht="15" customHeight="1">
      <c r="A210" t="inlineStr">
        <is>
          <t>A 1559-2021</t>
        </is>
      </c>
      <c r="B210" s="1" t="n">
        <v>44209</v>
      </c>
      <c r="C210" s="1" t="n">
        <v>45764</v>
      </c>
      <c r="D210" t="inlineStr">
        <is>
          <t>VÄSTERNORRLANDS LÄN</t>
        </is>
      </c>
      <c r="E210" t="inlineStr">
        <is>
          <t>TIMRÅ</t>
        </is>
      </c>
      <c r="G210" t="n">
        <v>6.7</v>
      </c>
      <c r="H210" t="n">
        <v>0</v>
      </c>
      <c r="I210" t="n">
        <v>0</v>
      </c>
      <c r="J210" t="n">
        <v>0</v>
      </c>
      <c r="K210" t="n">
        <v>0</v>
      </c>
      <c r="L210" t="n">
        <v>0</v>
      </c>
      <c r="M210" t="n">
        <v>0</v>
      </c>
      <c r="N210" t="n">
        <v>0</v>
      </c>
      <c r="O210" t="n">
        <v>0</v>
      </c>
      <c r="P210" t="n">
        <v>0</v>
      </c>
      <c r="Q210" t="n">
        <v>0</v>
      </c>
      <c r="R210" s="2" t="inlineStr"/>
    </row>
    <row r="211" ht="15" customHeight="1">
      <c r="A211" t="inlineStr">
        <is>
          <t>A 2284-2021</t>
        </is>
      </c>
      <c r="B211" s="1" t="n">
        <v>44211</v>
      </c>
      <c r="C211" s="1" t="n">
        <v>45764</v>
      </c>
      <c r="D211" t="inlineStr">
        <is>
          <t>VÄSTERNORRLANDS LÄN</t>
        </is>
      </c>
      <c r="E211" t="inlineStr">
        <is>
          <t>TIMRÅ</t>
        </is>
      </c>
      <c r="G211" t="n">
        <v>2.2</v>
      </c>
      <c r="H211" t="n">
        <v>0</v>
      </c>
      <c r="I211" t="n">
        <v>0</v>
      </c>
      <c r="J211" t="n">
        <v>0</v>
      </c>
      <c r="K211" t="n">
        <v>0</v>
      </c>
      <c r="L211" t="n">
        <v>0</v>
      </c>
      <c r="M211" t="n">
        <v>0</v>
      </c>
      <c r="N211" t="n">
        <v>0</v>
      </c>
      <c r="O211" t="n">
        <v>0</v>
      </c>
      <c r="P211" t="n">
        <v>0</v>
      </c>
      <c r="Q211" t="n">
        <v>0</v>
      </c>
      <c r="R211" s="2" t="inlineStr"/>
    </row>
    <row r="212" ht="15" customHeight="1">
      <c r="A212" t="inlineStr">
        <is>
          <t>A 7367-2021</t>
        </is>
      </c>
      <c r="B212" s="1" t="n">
        <v>44237</v>
      </c>
      <c r="C212" s="1" t="n">
        <v>45764</v>
      </c>
      <c r="D212" t="inlineStr">
        <is>
          <t>VÄSTERNORRLANDS LÄN</t>
        </is>
      </c>
      <c r="E212" t="inlineStr">
        <is>
          <t>TIMRÅ</t>
        </is>
      </c>
      <c r="G212" t="n">
        <v>1.6</v>
      </c>
      <c r="H212" t="n">
        <v>0</v>
      </c>
      <c r="I212" t="n">
        <v>0</v>
      </c>
      <c r="J212" t="n">
        <v>0</v>
      </c>
      <c r="K212" t="n">
        <v>0</v>
      </c>
      <c r="L212" t="n">
        <v>0</v>
      </c>
      <c r="M212" t="n">
        <v>0</v>
      </c>
      <c r="N212" t="n">
        <v>0</v>
      </c>
      <c r="O212" t="n">
        <v>0</v>
      </c>
      <c r="P212" t="n">
        <v>0</v>
      </c>
      <c r="Q212" t="n">
        <v>0</v>
      </c>
      <c r="R212" s="2" t="inlineStr"/>
    </row>
    <row r="213" ht="15" customHeight="1">
      <c r="A213" t="inlineStr">
        <is>
          <t>A 9472-2021</t>
        </is>
      </c>
      <c r="B213" s="1" t="n">
        <v>44250</v>
      </c>
      <c r="C213" s="1" t="n">
        <v>45764</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9503-2021</t>
        </is>
      </c>
      <c r="B214" s="1" t="n">
        <v>44250</v>
      </c>
      <c r="C214" s="1" t="n">
        <v>45764</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9480-2021</t>
        </is>
      </c>
      <c r="B215" s="1" t="n">
        <v>44250</v>
      </c>
      <c r="C215" s="1" t="n">
        <v>45764</v>
      </c>
      <c r="D215" t="inlineStr">
        <is>
          <t>VÄSTERNORRLANDS LÄN</t>
        </is>
      </c>
      <c r="E215" t="inlineStr">
        <is>
          <t>TIMRÅ</t>
        </is>
      </c>
      <c r="G215" t="n">
        <v>2.7</v>
      </c>
      <c r="H215" t="n">
        <v>0</v>
      </c>
      <c r="I215" t="n">
        <v>0</v>
      </c>
      <c r="J215" t="n">
        <v>0</v>
      </c>
      <c r="K215" t="n">
        <v>0</v>
      </c>
      <c r="L215" t="n">
        <v>0</v>
      </c>
      <c r="M215" t="n">
        <v>0</v>
      </c>
      <c r="N215" t="n">
        <v>0</v>
      </c>
      <c r="O215" t="n">
        <v>0</v>
      </c>
      <c r="P215" t="n">
        <v>0</v>
      </c>
      <c r="Q215" t="n">
        <v>0</v>
      </c>
      <c r="R215" s="2" t="inlineStr"/>
    </row>
    <row r="216" ht="15" customHeight="1">
      <c r="A216" t="inlineStr">
        <is>
          <t>A 20487-2021</t>
        </is>
      </c>
      <c r="B216" s="1" t="n">
        <v>44315</v>
      </c>
      <c r="C216" s="1" t="n">
        <v>45764</v>
      </c>
      <c r="D216" t="inlineStr">
        <is>
          <t>VÄSTERNORRLANDS LÄN</t>
        </is>
      </c>
      <c r="E216" t="inlineStr">
        <is>
          <t>TIMRÅ</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20732-2021</t>
        </is>
      </c>
      <c r="B217" s="1" t="n">
        <v>44316</v>
      </c>
      <c r="C217" s="1" t="n">
        <v>45764</v>
      </c>
      <c r="D217" t="inlineStr">
        <is>
          <t>VÄSTERNORRLANDS LÄN</t>
        </is>
      </c>
      <c r="E217" t="inlineStr">
        <is>
          <t>TIMRÅ</t>
        </is>
      </c>
      <c r="G217" t="n">
        <v>3.8</v>
      </c>
      <c r="H217" t="n">
        <v>0</v>
      </c>
      <c r="I217" t="n">
        <v>0</v>
      </c>
      <c r="J217" t="n">
        <v>0</v>
      </c>
      <c r="K217" t="n">
        <v>0</v>
      </c>
      <c r="L217" t="n">
        <v>0</v>
      </c>
      <c r="M217" t="n">
        <v>0</v>
      </c>
      <c r="N217" t="n">
        <v>0</v>
      </c>
      <c r="O217" t="n">
        <v>0</v>
      </c>
      <c r="P217" t="n">
        <v>0</v>
      </c>
      <c r="Q217" t="n">
        <v>0</v>
      </c>
      <c r="R217" s="2" t="inlineStr"/>
    </row>
    <row r="218" ht="15" customHeight="1">
      <c r="A218" t="inlineStr">
        <is>
          <t>A 23611-2021</t>
        </is>
      </c>
      <c r="B218" s="1" t="n">
        <v>44334</v>
      </c>
      <c r="C218" s="1" t="n">
        <v>45764</v>
      </c>
      <c r="D218" t="inlineStr">
        <is>
          <t>VÄSTERNORRLANDS LÄN</t>
        </is>
      </c>
      <c r="E218" t="inlineStr">
        <is>
          <t>TIMRÅ</t>
        </is>
      </c>
      <c r="G218" t="n">
        <v>13.7</v>
      </c>
      <c r="H218" t="n">
        <v>0</v>
      </c>
      <c r="I218" t="n">
        <v>0</v>
      </c>
      <c r="J218" t="n">
        <v>0</v>
      </c>
      <c r="K218" t="n">
        <v>0</v>
      </c>
      <c r="L218" t="n">
        <v>0</v>
      </c>
      <c r="M218" t="n">
        <v>0</v>
      </c>
      <c r="N218" t="n">
        <v>0</v>
      </c>
      <c r="O218" t="n">
        <v>0</v>
      </c>
      <c r="P218" t="n">
        <v>0</v>
      </c>
      <c r="Q218" t="n">
        <v>0</v>
      </c>
      <c r="R218" s="2" t="inlineStr"/>
    </row>
    <row r="219" ht="15" customHeight="1">
      <c r="A219" t="inlineStr">
        <is>
          <t>A 24513-2021</t>
        </is>
      </c>
      <c r="B219" s="1" t="n">
        <v>44338</v>
      </c>
      <c r="C219" s="1" t="n">
        <v>45764</v>
      </c>
      <c r="D219" t="inlineStr">
        <is>
          <t>VÄSTERNORRLANDS LÄN</t>
        </is>
      </c>
      <c r="E219" t="inlineStr">
        <is>
          <t>TIMRÅ</t>
        </is>
      </c>
      <c r="G219" t="n">
        <v>2.6</v>
      </c>
      <c r="H219" t="n">
        <v>0</v>
      </c>
      <c r="I219" t="n">
        <v>0</v>
      </c>
      <c r="J219" t="n">
        <v>0</v>
      </c>
      <c r="K219" t="n">
        <v>0</v>
      </c>
      <c r="L219" t="n">
        <v>0</v>
      </c>
      <c r="M219" t="n">
        <v>0</v>
      </c>
      <c r="N219" t="n">
        <v>0</v>
      </c>
      <c r="O219" t="n">
        <v>0</v>
      </c>
      <c r="P219" t="n">
        <v>0</v>
      </c>
      <c r="Q219" t="n">
        <v>0</v>
      </c>
      <c r="R219" s="2" t="inlineStr"/>
    </row>
    <row r="220" ht="15" customHeight="1">
      <c r="A220" t="inlineStr">
        <is>
          <t>A 26588-2021</t>
        </is>
      </c>
      <c r="B220" s="1" t="n">
        <v>44348</v>
      </c>
      <c r="C220" s="1" t="n">
        <v>45764</v>
      </c>
      <c r="D220" t="inlineStr">
        <is>
          <t>VÄSTERNORRLANDS LÄN</t>
        </is>
      </c>
      <c r="E220" t="inlineStr">
        <is>
          <t>TIMRÅ</t>
        </is>
      </c>
      <c r="F220" t="inlineStr">
        <is>
          <t>Kyrkan</t>
        </is>
      </c>
      <c r="G220" t="n">
        <v>1.1</v>
      </c>
      <c r="H220" t="n">
        <v>0</v>
      </c>
      <c r="I220" t="n">
        <v>0</v>
      </c>
      <c r="J220" t="n">
        <v>0</v>
      </c>
      <c r="K220" t="n">
        <v>0</v>
      </c>
      <c r="L220" t="n">
        <v>0</v>
      </c>
      <c r="M220" t="n">
        <v>0</v>
      </c>
      <c r="N220" t="n">
        <v>0</v>
      </c>
      <c r="O220" t="n">
        <v>0</v>
      </c>
      <c r="P220" t="n">
        <v>0</v>
      </c>
      <c r="Q220" t="n">
        <v>0</v>
      </c>
      <c r="R220" s="2" t="inlineStr"/>
    </row>
    <row r="221" ht="15" customHeight="1">
      <c r="A221" t="inlineStr">
        <is>
          <t>A 26921-2021</t>
        </is>
      </c>
      <c r="B221" s="1" t="n">
        <v>44349</v>
      </c>
      <c r="C221" s="1" t="n">
        <v>45764</v>
      </c>
      <c r="D221" t="inlineStr">
        <is>
          <t>VÄSTERNORRLANDS LÄN</t>
        </is>
      </c>
      <c r="E221" t="inlineStr">
        <is>
          <t>TIMRÅ</t>
        </is>
      </c>
      <c r="G221" t="n">
        <v>6.6</v>
      </c>
      <c r="H221" t="n">
        <v>0</v>
      </c>
      <c r="I221" t="n">
        <v>0</v>
      </c>
      <c r="J221" t="n">
        <v>0</v>
      </c>
      <c r="K221" t="n">
        <v>0</v>
      </c>
      <c r="L221" t="n">
        <v>0</v>
      </c>
      <c r="M221" t="n">
        <v>0</v>
      </c>
      <c r="N221" t="n">
        <v>0</v>
      </c>
      <c r="O221" t="n">
        <v>0</v>
      </c>
      <c r="P221" t="n">
        <v>0</v>
      </c>
      <c r="Q221" t="n">
        <v>0</v>
      </c>
      <c r="R221" s="2" t="inlineStr"/>
    </row>
    <row r="222" ht="15" customHeight="1">
      <c r="A222" t="inlineStr">
        <is>
          <t>A 26936-2021</t>
        </is>
      </c>
      <c r="B222" s="1" t="n">
        <v>44349</v>
      </c>
      <c r="C222" s="1" t="n">
        <v>45764</v>
      </c>
      <c r="D222" t="inlineStr">
        <is>
          <t>VÄSTERNORRLANDS LÄN</t>
        </is>
      </c>
      <c r="E222" t="inlineStr">
        <is>
          <t>TIMRÅ</t>
        </is>
      </c>
      <c r="G222" t="n">
        <v>4.1</v>
      </c>
      <c r="H222" t="n">
        <v>0</v>
      </c>
      <c r="I222" t="n">
        <v>0</v>
      </c>
      <c r="J222" t="n">
        <v>0</v>
      </c>
      <c r="K222" t="n">
        <v>0</v>
      </c>
      <c r="L222" t="n">
        <v>0</v>
      </c>
      <c r="M222" t="n">
        <v>0</v>
      </c>
      <c r="N222" t="n">
        <v>0</v>
      </c>
      <c r="O222" t="n">
        <v>0</v>
      </c>
      <c r="P222" t="n">
        <v>0</v>
      </c>
      <c r="Q222" t="n">
        <v>0</v>
      </c>
      <c r="R222" s="2" t="inlineStr"/>
    </row>
    <row r="223" ht="15" customHeight="1">
      <c r="A223" t="inlineStr">
        <is>
          <t>A 27243-2021</t>
        </is>
      </c>
      <c r="B223" s="1" t="n">
        <v>44350</v>
      </c>
      <c r="C223" s="1" t="n">
        <v>45764</v>
      </c>
      <c r="D223" t="inlineStr">
        <is>
          <t>VÄSTERNORRLANDS LÄN</t>
        </is>
      </c>
      <c r="E223" t="inlineStr">
        <is>
          <t>TIMRÅ</t>
        </is>
      </c>
      <c r="G223" t="n">
        <v>1.4</v>
      </c>
      <c r="H223" t="n">
        <v>0</v>
      </c>
      <c r="I223" t="n">
        <v>0</v>
      </c>
      <c r="J223" t="n">
        <v>0</v>
      </c>
      <c r="K223" t="n">
        <v>0</v>
      </c>
      <c r="L223" t="n">
        <v>0</v>
      </c>
      <c r="M223" t="n">
        <v>0</v>
      </c>
      <c r="N223" t="n">
        <v>0</v>
      </c>
      <c r="O223" t="n">
        <v>0</v>
      </c>
      <c r="P223" t="n">
        <v>0</v>
      </c>
      <c r="Q223" t="n">
        <v>0</v>
      </c>
      <c r="R223" s="2" t="inlineStr"/>
    </row>
    <row r="224" ht="15" customHeight="1">
      <c r="A224" t="inlineStr">
        <is>
          <t>A 28695-2021</t>
        </is>
      </c>
      <c r="B224" s="1" t="n">
        <v>44357</v>
      </c>
      <c r="C224" s="1" t="n">
        <v>45764</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28706-2021</t>
        </is>
      </c>
      <c r="B225" s="1" t="n">
        <v>44357</v>
      </c>
      <c r="C225" s="1" t="n">
        <v>45764</v>
      </c>
      <c r="D225" t="inlineStr">
        <is>
          <t>VÄSTERNORRLANDS LÄN</t>
        </is>
      </c>
      <c r="E225" t="inlineStr">
        <is>
          <t>TIMRÅ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28650-2021</t>
        </is>
      </c>
      <c r="B226" s="1" t="n">
        <v>44357</v>
      </c>
      <c r="C226" s="1" t="n">
        <v>45764</v>
      </c>
      <c r="D226" t="inlineStr">
        <is>
          <t>VÄSTERNORRLANDS LÄN</t>
        </is>
      </c>
      <c r="E226" t="inlineStr">
        <is>
          <t>TIMRÅ</t>
        </is>
      </c>
      <c r="G226" t="n">
        <v>1.7</v>
      </c>
      <c r="H226" t="n">
        <v>0</v>
      </c>
      <c r="I226" t="n">
        <v>0</v>
      </c>
      <c r="J226" t="n">
        <v>0</v>
      </c>
      <c r="K226" t="n">
        <v>0</v>
      </c>
      <c r="L226" t="n">
        <v>0</v>
      </c>
      <c r="M226" t="n">
        <v>0</v>
      </c>
      <c r="N226" t="n">
        <v>0</v>
      </c>
      <c r="O226" t="n">
        <v>0</v>
      </c>
      <c r="P226" t="n">
        <v>0</v>
      </c>
      <c r="Q226" t="n">
        <v>0</v>
      </c>
      <c r="R226" s="2" t="inlineStr"/>
    </row>
    <row r="227" ht="15" customHeight="1">
      <c r="A227" t="inlineStr">
        <is>
          <t>A 28702-2021</t>
        </is>
      </c>
      <c r="B227" s="1" t="n">
        <v>44357</v>
      </c>
      <c r="C227" s="1" t="n">
        <v>45764</v>
      </c>
      <c r="D227" t="inlineStr">
        <is>
          <t>VÄSTERNORRLANDS LÄN</t>
        </is>
      </c>
      <c r="E227" t="inlineStr">
        <is>
          <t>TIMRÅ</t>
        </is>
      </c>
      <c r="G227" t="n">
        <v>3.6</v>
      </c>
      <c r="H227" t="n">
        <v>0</v>
      </c>
      <c r="I227" t="n">
        <v>0</v>
      </c>
      <c r="J227" t="n">
        <v>0</v>
      </c>
      <c r="K227" t="n">
        <v>0</v>
      </c>
      <c r="L227" t="n">
        <v>0</v>
      </c>
      <c r="M227" t="n">
        <v>0</v>
      </c>
      <c r="N227" t="n">
        <v>0</v>
      </c>
      <c r="O227" t="n">
        <v>0</v>
      </c>
      <c r="P227" t="n">
        <v>0</v>
      </c>
      <c r="Q227" t="n">
        <v>0</v>
      </c>
      <c r="R227" s="2" t="inlineStr"/>
    </row>
    <row r="228" ht="15" customHeight="1">
      <c r="A228" t="inlineStr">
        <is>
          <t>A 30098-2021</t>
        </is>
      </c>
      <c r="B228" s="1" t="n">
        <v>44363</v>
      </c>
      <c r="C228" s="1" t="n">
        <v>45764</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30091-2021</t>
        </is>
      </c>
      <c r="B229" s="1" t="n">
        <v>44363</v>
      </c>
      <c r="C229" s="1" t="n">
        <v>45764</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30591-2021</t>
        </is>
      </c>
      <c r="B230" s="1" t="n">
        <v>44364</v>
      </c>
      <c r="C230" s="1" t="n">
        <v>45764</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32287-2021</t>
        </is>
      </c>
      <c r="B231" s="1" t="n">
        <v>44371</v>
      </c>
      <c r="C231" s="1" t="n">
        <v>45764</v>
      </c>
      <c r="D231" t="inlineStr">
        <is>
          <t>VÄSTERNORRLANDS LÄN</t>
        </is>
      </c>
      <c r="E231" t="inlineStr">
        <is>
          <t>TIMRÅ</t>
        </is>
      </c>
      <c r="F231" t="inlineStr">
        <is>
          <t>Kyrkan</t>
        </is>
      </c>
      <c r="G231" t="n">
        <v>5</v>
      </c>
      <c r="H231" t="n">
        <v>0</v>
      </c>
      <c r="I231" t="n">
        <v>0</v>
      </c>
      <c r="J231" t="n">
        <v>0</v>
      </c>
      <c r="K231" t="n">
        <v>0</v>
      </c>
      <c r="L231" t="n">
        <v>0</v>
      </c>
      <c r="M231" t="n">
        <v>0</v>
      </c>
      <c r="N231" t="n">
        <v>0</v>
      </c>
      <c r="O231" t="n">
        <v>0</v>
      </c>
      <c r="P231" t="n">
        <v>0</v>
      </c>
      <c r="Q231" t="n">
        <v>0</v>
      </c>
      <c r="R231" s="2" t="inlineStr"/>
    </row>
    <row r="232" ht="15" customHeight="1">
      <c r="A232" t="inlineStr">
        <is>
          <t>A 32210-2021</t>
        </is>
      </c>
      <c r="B232" s="1" t="n">
        <v>44371</v>
      </c>
      <c r="C232" s="1" t="n">
        <v>45764</v>
      </c>
      <c r="D232" t="inlineStr">
        <is>
          <t>VÄSTERNORRLANDS LÄN</t>
        </is>
      </c>
      <c r="E232" t="inlineStr">
        <is>
          <t>TIMRÅ</t>
        </is>
      </c>
      <c r="G232" t="n">
        <v>4.9</v>
      </c>
      <c r="H232" t="n">
        <v>0</v>
      </c>
      <c r="I232" t="n">
        <v>0</v>
      </c>
      <c r="J232" t="n">
        <v>0</v>
      </c>
      <c r="K232" t="n">
        <v>0</v>
      </c>
      <c r="L232" t="n">
        <v>0</v>
      </c>
      <c r="M232" t="n">
        <v>0</v>
      </c>
      <c r="N232" t="n">
        <v>0</v>
      </c>
      <c r="O232" t="n">
        <v>0</v>
      </c>
      <c r="P232" t="n">
        <v>0</v>
      </c>
      <c r="Q232" t="n">
        <v>0</v>
      </c>
      <c r="R232" s="2" t="inlineStr"/>
    </row>
    <row r="233" ht="15" customHeight="1">
      <c r="A233" t="inlineStr">
        <is>
          <t>A 32484-2021</t>
        </is>
      </c>
      <c r="B233" s="1" t="n">
        <v>44371</v>
      </c>
      <c r="C233" s="1" t="n">
        <v>45764</v>
      </c>
      <c r="D233" t="inlineStr">
        <is>
          <t>VÄSTERNORRLANDS LÄN</t>
        </is>
      </c>
      <c r="E233" t="inlineStr">
        <is>
          <t>TIMRÅ</t>
        </is>
      </c>
      <c r="F233" t="inlineStr">
        <is>
          <t>SCA</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32487-2021</t>
        </is>
      </c>
      <c r="B234" s="1" t="n">
        <v>44371</v>
      </c>
      <c r="C234" s="1" t="n">
        <v>45764</v>
      </c>
      <c r="D234" t="inlineStr">
        <is>
          <t>VÄSTERNORRLANDS LÄN</t>
        </is>
      </c>
      <c r="E234" t="inlineStr">
        <is>
          <t>TIMRÅ</t>
        </is>
      </c>
      <c r="F234" t="inlineStr">
        <is>
          <t>Kyrkan</t>
        </is>
      </c>
      <c r="G234" t="n">
        <v>21</v>
      </c>
      <c r="H234" t="n">
        <v>0</v>
      </c>
      <c r="I234" t="n">
        <v>0</v>
      </c>
      <c r="J234" t="n">
        <v>0</v>
      </c>
      <c r="K234" t="n">
        <v>0</v>
      </c>
      <c r="L234" t="n">
        <v>0</v>
      </c>
      <c r="M234" t="n">
        <v>0</v>
      </c>
      <c r="N234" t="n">
        <v>0</v>
      </c>
      <c r="O234" t="n">
        <v>0</v>
      </c>
      <c r="P234" t="n">
        <v>0</v>
      </c>
      <c r="Q234" t="n">
        <v>0</v>
      </c>
      <c r="R234" s="2" t="inlineStr"/>
    </row>
    <row r="235" ht="15" customHeight="1">
      <c r="A235" t="inlineStr">
        <is>
          <t>A 32483-2021</t>
        </is>
      </c>
      <c r="B235" s="1" t="n">
        <v>44371</v>
      </c>
      <c r="C235" s="1" t="n">
        <v>45764</v>
      </c>
      <c r="D235" t="inlineStr">
        <is>
          <t>VÄSTERNORRLANDS LÄN</t>
        </is>
      </c>
      <c r="E235" t="inlineStr">
        <is>
          <t>TIMRÅ</t>
        </is>
      </c>
      <c r="F235" t="inlineStr">
        <is>
          <t>Kyrkan</t>
        </is>
      </c>
      <c r="G235" t="n">
        <v>6.3</v>
      </c>
      <c r="H235" t="n">
        <v>0</v>
      </c>
      <c r="I235" t="n">
        <v>0</v>
      </c>
      <c r="J235" t="n">
        <v>0</v>
      </c>
      <c r="K235" t="n">
        <v>0</v>
      </c>
      <c r="L235" t="n">
        <v>0</v>
      </c>
      <c r="M235" t="n">
        <v>0</v>
      </c>
      <c r="N235" t="n">
        <v>0</v>
      </c>
      <c r="O235" t="n">
        <v>0</v>
      </c>
      <c r="P235" t="n">
        <v>0</v>
      </c>
      <c r="Q235" t="n">
        <v>0</v>
      </c>
      <c r="R235" s="2" t="inlineStr"/>
    </row>
    <row r="236" ht="15" customHeight="1">
      <c r="A236" t="inlineStr">
        <is>
          <t>A 34035-2021</t>
        </is>
      </c>
      <c r="B236" s="1" t="n">
        <v>44378</v>
      </c>
      <c r="C236" s="1" t="n">
        <v>45764</v>
      </c>
      <c r="D236" t="inlineStr">
        <is>
          <t>VÄSTERNORRLANDS LÄN</t>
        </is>
      </c>
      <c r="E236" t="inlineStr">
        <is>
          <t>TIMRÅ</t>
        </is>
      </c>
      <c r="G236" t="n">
        <v>4</v>
      </c>
      <c r="H236" t="n">
        <v>0</v>
      </c>
      <c r="I236" t="n">
        <v>0</v>
      </c>
      <c r="J236" t="n">
        <v>0</v>
      </c>
      <c r="K236" t="n">
        <v>0</v>
      </c>
      <c r="L236" t="n">
        <v>0</v>
      </c>
      <c r="M236" t="n">
        <v>0</v>
      </c>
      <c r="N236" t="n">
        <v>0</v>
      </c>
      <c r="O236" t="n">
        <v>0</v>
      </c>
      <c r="P236" t="n">
        <v>0</v>
      </c>
      <c r="Q236" t="n">
        <v>0</v>
      </c>
      <c r="R236" s="2" t="inlineStr"/>
    </row>
    <row r="237" ht="15" customHeight="1">
      <c r="A237" t="inlineStr">
        <is>
          <t>A 34767-2021</t>
        </is>
      </c>
      <c r="B237" s="1" t="n">
        <v>44382</v>
      </c>
      <c r="C237" s="1" t="n">
        <v>45764</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35262-2021</t>
        </is>
      </c>
      <c r="B238" s="1" t="n">
        <v>44384</v>
      </c>
      <c r="C238" s="1" t="n">
        <v>45764</v>
      </c>
      <c r="D238" t="inlineStr">
        <is>
          <t>VÄSTERNORRLANDS LÄN</t>
        </is>
      </c>
      <c r="E238" t="inlineStr">
        <is>
          <t>TIMRÅ</t>
        </is>
      </c>
      <c r="G238" t="n">
        <v>2.1</v>
      </c>
      <c r="H238" t="n">
        <v>0</v>
      </c>
      <c r="I238" t="n">
        <v>0</v>
      </c>
      <c r="J238" t="n">
        <v>0</v>
      </c>
      <c r="K238" t="n">
        <v>0</v>
      </c>
      <c r="L238" t="n">
        <v>0</v>
      </c>
      <c r="M238" t="n">
        <v>0</v>
      </c>
      <c r="N238" t="n">
        <v>0</v>
      </c>
      <c r="O238" t="n">
        <v>0</v>
      </c>
      <c r="P238" t="n">
        <v>0</v>
      </c>
      <c r="Q238" t="n">
        <v>0</v>
      </c>
      <c r="R238" s="2" t="inlineStr"/>
    </row>
    <row r="239" ht="15" customHeight="1">
      <c r="A239" t="inlineStr">
        <is>
          <t>A 35413-2021</t>
        </is>
      </c>
      <c r="B239" s="1" t="n">
        <v>44385</v>
      </c>
      <c r="C239" s="1" t="n">
        <v>45764</v>
      </c>
      <c r="D239" t="inlineStr">
        <is>
          <t>VÄSTERNORRLANDS LÄN</t>
        </is>
      </c>
      <c r="E239" t="inlineStr">
        <is>
          <t>TIMRÅ</t>
        </is>
      </c>
      <c r="G239" t="n">
        <v>1</v>
      </c>
      <c r="H239" t="n">
        <v>0</v>
      </c>
      <c r="I239" t="n">
        <v>0</v>
      </c>
      <c r="J239" t="n">
        <v>0</v>
      </c>
      <c r="K239" t="n">
        <v>0</v>
      </c>
      <c r="L239" t="n">
        <v>0</v>
      </c>
      <c r="M239" t="n">
        <v>0</v>
      </c>
      <c r="N239" t="n">
        <v>0</v>
      </c>
      <c r="O239" t="n">
        <v>0</v>
      </c>
      <c r="P239" t="n">
        <v>0</v>
      </c>
      <c r="Q239" t="n">
        <v>0</v>
      </c>
      <c r="R239" s="2" t="inlineStr"/>
    </row>
    <row r="240" ht="15" customHeight="1">
      <c r="A240" t="inlineStr">
        <is>
          <t>A 35417-2021</t>
        </is>
      </c>
      <c r="B240" s="1" t="n">
        <v>44385</v>
      </c>
      <c r="C240" s="1" t="n">
        <v>45764</v>
      </c>
      <c r="D240" t="inlineStr">
        <is>
          <t>VÄSTERNORRLANDS LÄN</t>
        </is>
      </c>
      <c r="E240" t="inlineStr">
        <is>
          <t>TIMRÅ</t>
        </is>
      </c>
      <c r="G240" t="n">
        <v>4.9</v>
      </c>
      <c r="H240" t="n">
        <v>0</v>
      </c>
      <c r="I240" t="n">
        <v>0</v>
      </c>
      <c r="J240" t="n">
        <v>0</v>
      </c>
      <c r="K240" t="n">
        <v>0</v>
      </c>
      <c r="L240" t="n">
        <v>0</v>
      </c>
      <c r="M240" t="n">
        <v>0</v>
      </c>
      <c r="N240" t="n">
        <v>0</v>
      </c>
      <c r="O240" t="n">
        <v>0</v>
      </c>
      <c r="P240" t="n">
        <v>0</v>
      </c>
      <c r="Q240" t="n">
        <v>0</v>
      </c>
      <c r="R240" s="2" t="inlineStr"/>
    </row>
    <row r="241" ht="15" customHeight="1">
      <c r="A241" t="inlineStr">
        <is>
          <t>A 36987-2021</t>
        </is>
      </c>
      <c r="B241" s="1" t="n">
        <v>44393</v>
      </c>
      <c r="C241" s="1" t="n">
        <v>45764</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37165-2021</t>
        </is>
      </c>
      <c r="B242" s="1" t="n">
        <v>44396</v>
      </c>
      <c r="C242" s="1" t="n">
        <v>45764</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39534-2021</t>
        </is>
      </c>
      <c r="B243" s="1" t="n">
        <v>44416</v>
      </c>
      <c r="C243" s="1" t="n">
        <v>45764</v>
      </c>
      <c r="D243" t="inlineStr">
        <is>
          <t>VÄSTERNORRLANDS LÄN</t>
        </is>
      </c>
      <c r="E243" t="inlineStr">
        <is>
          <t>TIMRÅ</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39821-2021</t>
        </is>
      </c>
      <c r="B244" s="1" t="n">
        <v>44417</v>
      </c>
      <c r="C244" s="1" t="n">
        <v>45764</v>
      </c>
      <c r="D244" t="inlineStr">
        <is>
          <t>VÄSTERNORRLANDS LÄN</t>
        </is>
      </c>
      <c r="E244" t="inlineStr">
        <is>
          <t>TIMRÅ</t>
        </is>
      </c>
      <c r="G244" t="n">
        <v>0.4</v>
      </c>
      <c r="H244" t="n">
        <v>0</v>
      </c>
      <c r="I244" t="n">
        <v>0</v>
      </c>
      <c r="J244" t="n">
        <v>0</v>
      </c>
      <c r="K244" t="n">
        <v>0</v>
      </c>
      <c r="L244" t="n">
        <v>0</v>
      </c>
      <c r="M244" t="n">
        <v>0</v>
      </c>
      <c r="N244" t="n">
        <v>0</v>
      </c>
      <c r="O244" t="n">
        <v>0</v>
      </c>
      <c r="P244" t="n">
        <v>0</v>
      </c>
      <c r="Q244" t="n">
        <v>0</v>
      </c>
      <c r="R244" s="2" t="inlineStr"/>
    </row>
    <row r="245" ht="15" customHeight="1">
      <c r="A245" t="inlineStr">
        <is>
          <t>A 40519-2021</t>
        </is>
      </c>
      <c r="B245" s="1" t="n">
        <v>44420</v>
      </c>
      <c r="C245" s="1" t="n">
        <v>45764</v>
      </c>
      <c r="D245" t="inlineStr">
        <is>
          <t>VÄSTERNORRLANDS LÄN</t>
        </is>
      </c>
      <c r="E245" t="inlineStr">
        <is>
          <t>TIMRÅ</t>
        </is>
      </c>
      <c r="G245" t="n">
        <v>1.7</v>
      </c>
      <c r="H245" t="n">
        <v>0</v>
      </c>
      <c r="I245" t="n">
        <v>0</v>
      </c>
      <c r="J245" t="n">
        <v>0</v>
      </c>
      <c r="K245" t="n">
        <v>0</v>
      </c>
      <c r="L245" t="n">
        <v>0</v>
      </c>
      <c r="M245" t="n">
        <v>0</v>
      </c>
      <c r="N245" t="n">
        <v>0</v>
      </c>
      <c r="O245" t="n">
        <v>0</v>
      </c>
      <c r="P245" t="n">
        <v>0</v>
      </c>
      <c r="Q245" t="n">
        <v>0</v>
      </c>
      <c r="R245" s="2" t="inlineStr"/>
    </row>
    <row r="246" ht="15" customHeight="1">
      <c r="A246" t="inlineStr">
        <is>
          <t>A 43848-2021</t>
        </is>
      </c>
      <c r="B246" s="1" t="n">
        <v>44434</v>
      </c>
      <c r="C246" s="1" t="n">
        <v>45764</v>
      </c>
      <c r="D246" t="inlineStr">
        <is>
          <t>VÄSTERNORRLANDS LÄN</t>
        </is>
      </c>
      <c r="E246" t="inlineStr">
        <is>
          <t>TIMRÅ</t>
        </is>
      </c>
      <c r="G246" t="n">
        <v>2.4</v>
      </c>
      <c r="H246" t="n">
        <v>0</v>
      </c>
      <c r="I246" t="n">
        <v>0</v>
      </c>
      <c r="J246" t="n">
        <v>0</v>
      </c>
      <c r="K246" t="n">
        <v>0</v>
      </c>
      <c r="L246" t="n">
        <v>0</v>
      </c>
      <c r="M246" t="n">
        <v>0</v>
      </c>
      <c r="N246" t="n">
        <v>0</v>
      </c>
      <c r="O246" t="n">
        <v>0</v>
      </c>
      <c r="P246" t="n">
        <v>0</v>
      </c>
      <c r="Q246" t="n">
        <v>0</v>
      </c>
      <c r="R246" s="2" t="inlineStr"/>
    </row>
    <row r="247" ht="15" customHeight="1">
      <c r="A247" t="inlineStr">
        <is>
          <t>A 45441-2021</t>
        </is>
      </c>
      <c r="B247" s="1" t="n">
        <v>44440</v>
      </c>
      <c r="C247" s="1" t="n">
        <v>45764</v>
      </c>
      <c r="D247" t="inlineStr">
        <is>
          <t>VÄSTERNORRLANDS LÄN</t>
        </is>
      </c>
      <c r="E247" t="inlineStr">
        <is>
          <t>TIMRÅ</t>
        </is>
      </c>
      <c r="G247" t="n">
        <v>2</v>
      </c>
      <c r="H247" t="n">
        <v>0</v>
      </c>
      <c r="I247" t="n">
        <v>0</v>
      </c>
      <c r="J247" t="n">
        <v>0</v>
      </c>
      <c r="K247" t="n">
        <v>0</v>
      </c>
      <c r="L247" t="n">
        <v>0</v>
      </c>
      <c r="M247" t="n">
        <v>0</v>
      </c>
      <c r="N247" t="n">
        <v>0</v>
      </c>
      <c r="O247" t="n">
        <v>0</v>
      </c>
      <c r="P247" t="n">
        <v>0</v>
      </c>
      <c r="Q247" t="n">
        <v>0</v>
      </c>
      <c r="R247" s="2" t="inlineStr"/>
    </row>
    <row r="248" ht="15" customHeight="1">
      <c r="A248" t="inlineStr">
        <is>
          <t>A 47203-2021</t>
        </is>
      </c>
      <c r="B248" s="1" t="n">
        <v>44447</v>
      </c>
      <c r="C248" s="1" t="n">
        <v>45764</v>
      </c>
      <c r="D248" t="inlineStr">
        <is>
          <t>VÄSTERNORRLANDS LÄN</t>
        </is>
      </c>
      <c r="E248" t="inlineStr">
        <is>
          <t>TIMRÅ</t>
        </is>
      </c>
      <c r="G248" t="n">
        <v>1.3</v>
      </c>
      <c r="H248" t="n">
        <v>0</v>
      </c>
      <c r="I248" t="n">
        <v>0</v>
      </c>
      <c r="J248" t="n">
        <v>0</v>
      </c>
      <c r="K248" t="n">
        <v>0</v>
      </c>
      <c r="L248" t="n">
        <v>0</v>
      </c>
      <c r="M248" t="n">
        <v>0</v>
      </c>
      <c r="N248" t="n">
        <v>0</v>
      </c>
      <c r="O248" t="n">
        <v>0</v>
      </c>
      <c r="P248" t="n">
        <v>0</v>
      </c>
      <c r="Q248" t="n">
        <v>0</v>
      </c>
      <c r="R248" s="2" t="inlineStr"/>
    </row>
    <row r="249" ht="15" customHeight="1">
      <c r="A249" t="inlineStr">
        <is>
          <t>A 47569-2021</t>
        </is>
      </c>
      <c r="B249" s="1" t="n">
        <v>44447</v>
      </c>
      <c r="C249" s="1" t="n">
        <v>45764</v>
      </c>
      <c r="D249" t="inlineStr">
        <is>
          <t>VÄSTERNORRLANDS LÄN</t>
        </is>
      </c>
      <c r="E249" t="inlineStr">
        <is>
          <t>TIMRÅ</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47570-2021</t>
        </is>
      </c>
      <c r="B250" s="1" t="n">
        <v>44448</v>
      </c>
      <c r="C250" s="1" t="n">
        <v>45764</v>
      </c>
      <c r="D250" t="inlineStr">
        <is>
          <t>VÄSTERNORRLANDS LÄN</t>
        </is>
      </c>
      <c r="E250" t="inlineStr">
        <is>
          <t>TIMRÅ</t>
        </is>
      </c>
      <c r="F250" t="inlineStr">
        <is>
          <t>SCA</t>
        </is>
      </c>
      <c r="G250" t="n">
        <v>1.9</v>
      </c>
      <c r="H250" t="n">
        <v>0</v>
      </c>
      <c r="I250" t="n">
        <v>0</v>
      </c>
      <c r="J250" t="n">
        <v>0</v>
      </c>
      <c r="K250" t="n">
        <v>0</v>
      </c>
      <c r="L250" t="n">
        <v>0</v>
      </c>
      <c r="M250" t="n">
        <v>0</v>
      </c>
      <c r="N250" t="n">
        <v>0</v>
      </c>
      <c r="O250" t="n">
        <v>0</v>
      </c>
      <c r="P250" t="n">
        <v>0</v>
      </c>
      <c r="Q250" t="n">
        <v>0</v>
      </c>
      <c r="R250" s="2" t="inlineStr"/>
    </row>
    <row r="251" ht="15" customHeight="1">
      <c r="A251" t="inlineStr">
        <is>
          <t>A 49056-2021</t>
        </is>
      </c>
      <c r="B251" s="1" t="n">
        <v>44453</v>
      </c>
      <c r="C251" s="1" t="n">
        <v>45764</v>
      </c>
      <c r="D251" t="inlineStr">
        <is>
          <t>VÄSTERNORRLANDS LÄN</t>
        </is>
      </c>
      <c r="E251" t="inlineStr">
        <is>
          <t>TIMRÅ</t>
        </is>
      </c>
      <c r="G251" t="n">
        <v>3.4</v>
      </c>
      <c r="H251" t="n">
        <v>0</v>
      </c>
      <c r="I251" t="n">
        <v>0</v>
      </c>
      <c r="J251" t="n">
        <v>0</v>
      </c>
      <c r="K251" t="n">
        <v>0</v>
      </c>
      <c r="L251" t="n">
        <v>0</v>
      </c>
      <c r="M251" t="n">
        <v>0</v>
      </c>
      <c r="N251" t="n">
        <v>0</v>
      </c>
      <c r="O251" t="n">
        <v>0</v>
      </c>
      <c r="P251" t="n">
        <v>0</v>
      </c>
      <c r="Q251" t="n">
        <v>0</v>
      </c>
      <c r="R251" s="2" t="inlineStr"/>
    </row>
    <row r="252" ht="15" customHeight="1">
      <c r="A252" t="inlineStr">
        <is>
          <t>A 49486-2021</t>
        </is>
      </c>
      <c r="B252" s="1" t="n">
        <v>44455</v>
      </c>
      <c r="C252" s="1" t="n">
        <v>45764</v>
      </c>
      <c r="D252" t="inlineStr">
        <is>
          <t>VÄSTERNORRLANDS LÄN</t>
        </is>
      </c>
      <c r="E252" t="inlineStr">
        <is>
          <t>TIMRÅ</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53305-2021</t>
        </is>
      </c>
      <c r="B253" s="1" t="n">
        <v>44467</v>
      </c>
      <c r="C253" s="1" t="n">
        <v>45764</v>
      </c>
      <c r="D253" t="inlineStr">
        <is>
          <t>VÄSTERNORRLANDS LÄN</t>
        </is>
      </c>
      <c r="E253" t="inlineStr">
        <is>
          <t>TIMRÅ</t>
        </is>
      </c>
      <c r="G253" t="n">
        <v>1.7</v>
      </c>
      <c r="H253" t="n">
        <v>0</v>
      </c>
      <c r="I253" t="n">
        <v>0</v>
      </c>
      <c r="J253" t="n">
        <v>0</v>
      </c>
      <c r="K253" t="n">
        <v>0</v>
      </c>
      <c r="L253" t="n">
        <v>0</v>
      </c>
      <c r="M253" t="n">
        <v>0</v>
      </c>
      <c r="N253" t="n">
        <v>0</v>
      </c>
      <c r="O253" t="n">
        <v>0</v>
      </c>
      <c r="P253" t="n">
        <v>0</v>
      </c>
      <c r="Q253" t="n">
        <v>0</v>
      </c>
      <c r="R253" s="2" t="inlineStr"/>
    </row>
    <row r="254" ht="15" customHeight="1">
      <c r="A254" t="inlineStr">
        <is>
          <t>A 53699-2021</t>
        </is>
      </c>
      <c r="B254" s="1" t="n">
        <v>44469</v>
      </c>
      <c r="C254" s="1" t="n">
        <v>45764</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53703-2021</t>
        </is>
      </c>
      <c r="B255" s="1" t="n">
        <v>44469</v>
      </c>
      <c r="C255" s="1" t="n">
        <v>45764</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59570-2021</t>
        </is>
      </c>
      <c r="B256" s="1" t="n">
        <v>44491</v>
      </c>
      <c r="C256" s="1" t="n">
        <v>45764</v>
      </c>
      <c r="D256" t="inlineStr">
        <is>
          <t>VÄSTERNORRLANDS LÄN</t>
        </is>
      </c>
      <c r="E256" t="inlineStr">
        <is>
          <t>TIMRÅ</t>
        </is>
      </c>
      <c r="G256" t="n">
        <v>1.3</v>
      </c>
      <c r="H256" t="n">
        <v>0</v>
      </c>
      <c r="I256" t="n">
        <v>0</v>
      </c>
      <c r="J256" t="n">
        <v>0</v>
      </c>
      <c r="K256" t="n">
        <v>0</v>
      </c>
      <c r="L256" t="n">
        <v>0</v>
      </c>
      <c r="M256" t="n">
        <v>0</v>
      </c>
      <c r="N256" t="n">
        <v>0</v>
      </c>
      <c r="O256" t="n">
        <v>0</v>
      </c>
      <c r="P256" t="n">
        <v>0</v>
      </c>
      <c r="Q256" t="n">
        <v>0</v>
      </c>
      <c r="R256" s="2" t="inlineStr"/>
    </row>
    <row r="257" ht="15" customHeight="1">
      <c r="A257" t="inlineStr">
        <is>
          <t>A 59964-2021</t>
        </is>
      </c>
      <c r="B257" s="1" t="n">
        <v>44494</v>
      </c>
      <c r="C257" s="1" t="n">
        <v>45764</v>
      </c>
      <c r="D257" t="inlineStr">
        <is>
          <t>VÄSTERNORRLANDS LÄN</t>
        </is>
      </c>
      <c r="E257" t="inlineStr">
        <is>
          <t>TIMRÅ</t>
        </is>
      </c>
      <c r="G257" t="n">
        <v>1</v>
      </c>
      <c r="H257" t="n">
        <v>0</v>
      </c>
      <c r="I257" t="n">
        <v>0</v>
      </c>
      <c r="J257" t="n">
        <v>0</v>
      </c>
      <c r="K257" t="n">
        <v>0</v>
      </c>
      <c r="L257" t="n">
        <v>0</v>
      </c>
      <c r="M257" t="n">
        <v>0</v>
      </c>
      <c r="N257" t="n">
        <v>0</v>
      </c>
      <c r="O257" t="n">
        <v>0</v>
      </c>
      <c r="P257" t="n">
        <v>0</v>
      </c>
      <c r="Q257" t="n">
        <v>0</v>
      </c>
      <c r="R257" s="2" t="inlineStr"/>
    </row>
    <row r="258" ht="15" customHeight="1">
      <c r="A258" t="inlineStr">
        <is>
          <t>A 64433-2021</t>
        </is>
      </c>
      <c r="B258" s="1" t="n">
        <v>44511</v>
      </c>
      <c r="C258" s="1" t="n">
        <v>45764</v>
      </c>
      <c r="D258" t="inlineStr">
        <is>
          <t>VÄSTERNORRLANDS LÄN</t>
        </is>
      </c>
      <c r="E258" t="inlineStr">
        <is>
          <t>TIMRÅ</t>
        </is>
      </c>
      <c r="G258" t="n">
        <v>0.6</v>
      </c>
      <c r="H258" t="n">
        <v>0</v>
      </c>
      <c r="I258" t="n">
        <v>0</v>
      </c>
      <c r="J258" t="n">
        <v>0</v>
      </c>
      <c r="K258" t="n">
        <v>0</v>
      </c>
      <c r="L258" t="n">
        <v>0</v>
      </c>
      <c r="M258" t="n">
        <v>0</v>
      </c>
      <c r="N258" t="n">
        <v>0</v>
      </c>
      <c r="O258" t="n">
        <v>0</v>
      </c>
      <c r="P258" t="n">
        <v>0</v>
      </c>
      <c r="Q258" t="n">
        <v>0</v>
      </c>
      <c r="R258" s="2" t="inlineStr"/>
    </row>
    <row r="259" ht="15" customHeight="1">
      <c r="A259" t="inlineStr">
        <is>
          <t>A 66154-2021</t>
        </is>
      </c>
      <c r="B259" s="1" t="n">
        <v>44517</v>
      </c>
      <c r="C259" s="1" t="n">
        <v>45764</v>
      </c>
      <c r="D259" t="inlineStr">
        <is>
          <t>VÄSTERNORRLANDS LÄN</t>
        </is>
      </c>
      <c r="E259" t="inlineStr">
        <is>
          <t>TIMRÅ</t>
        </is>
      </c>
      <c r="G259" t="n">
        <v>5.6</v>
      </c>
      <c r="H259" t="n">
        <v>0</v>
      </c>
      <c r="I259" t="n">
        <v>0</v>
      </c>
      <c r="J259" t="n">
        <v>0</v>
      </c>
      <c r="K259" t="n">
        <v>0</v>
      </c>
      <c r="L259" t="n">
        <v>0</v>
      </c>
      <c r="M259" t="n">
        <v>0</v>
      </c>
      <c r="N259" t="n">
        <v>0</v>
      </c>
      <c r="O259" t="n">
        <v>0</v>
      </c>
      <c r="P259" t="n">
        <v>0</v>
      </c>
      <c r="Q259" t="n">
        <v>0</v>
      </c>
      <c r="R259" s="2" t="inlineStr"/>
    </row>
    <row r="260" ht="15" customHeight="1">
      <c r="A260" t="inlineStr">
        <is>
          <t>A 66409-2021</t>
        </is>
      </c>
      <c r="B260" s="1" t="n">
        <v>44518</v>
      </c>
      <c r="C260" s="1" t="n">
        <v>45764</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67065-2021</t>
        </is>
      </c>
      <c r="B261" s="1" t="n">
        <v>44522</v>
      </c>
      <c r="C261" s="1" t="n">
        <v>45764</v>
      </c>
      <c r="D261" t="inlineStr">
        <is>
          <t>VÄSTERNORRLANDS LÄN</t>
        </is>
      </c>
      <c r="E261" t="inlineStr">
        <is>
          <t>TIMRÅ</t>
        </is>
      </c>
      <c r="G261" t="n">
        <v>2.6</v>
      </c>
      <c r="H261" t="n">
        <v>0</v>
      </c>
      <c r="I261" t="n">
        <v>0</v>
      </c>
      <c r="J261" t="n">
        <v>0</v>
      </c>
      <c r="K261" t="n">
        <v>0</v>
      </c>
      <c r="L261" t="n">
        <v>0</v>
      </c>
      <c r="M261" t="n">
        <v>0</v>
      </c>
      <c r="N261" t="n">
        <v>0</v>
      </c>
      <c r="O261" t="n">
        <v>0</v>
      </c>
      <c r="P261" t="n">
        <v>0</v>
      </c>
      <c r="Q261" t="n">
        <v>0</v>
      </c>
      <c r="R261" s="2" t="inlineStr"/>
    </row>
    <row r="262" ht="15" customHeight="1">
      <c r="A262" t="inlineStr">
        <is>
          <t>A 67063-2021</t>
        </is>
      </c>
      <c r="B262" s="1" t="n">
        <v>44522</v>
      </c>
      <c r="C262" s="1" t="n">
        <v>45764</v>
      </c>
      <c r="D262" t="inlineStr">
        <is>
          <t>VÄSTERNORRLANDS LÄN</t>
        </is>
      </c>
      <c r="E262" t="inlineStr">
        <is>
          <t>TIMRÅ</t>
        </is>
      </c>
      <c r="G262" t="n">
        <v>1.9</v>
      </c>
      <c r="H262" t="n">
        <v>0</v>
      </c>
      <c r="I262" t="n">
        <v>0</v>
      </c>
      <c r="J262" t="n">
        <v>0</v>
      </c>
      <c r="K262" t="n">
        <v>0</v>
      </c>
      <c r="L262" t="n">
        <v>0</v>
      </c>
      <c r="M262" t="n">
        <v>0</v>
      </c>
      <c r="N262" t="n">
        <v>0</v>
      </c>
      <c r="O262" t="n">
        <v>0</v>
      </c>
      <c r="P262" t="n">
        <v>0</v>
      </c>
      <c r="Q262" t="n">
        <v>0</v>
      </c>
      <c r="R262" s="2" t="inlineStr"/>
    </row>
    <row r="263" ht="15" customHeight="1">
      <c r="A263" t="inlineStr">
        <is>
          <t>A 67673-2021</t>
        </is>
      </c>
      <c r="B263" s="1" t="n">
        <v>44524</v>
      </c>
      <c r="C263" s="1" t="n">
        <v>45764</v>
      </c>
      <c r="D263" t="inlineStr">
        <is>
          <t>VÄSTERNORRLANDS LÄN</t>
        </is>
      </c>
      <c r="E263" t="inlineStr">
        <is>
          <t>TIMRÅ</t>
        </is>
      </c>
      <c r="G263" t="n">
        <v>6.8</v>
      </c>
      <c r="H263" t="n">
        <v>0</v>
      </c>
      <c r="I263" t="n">
        <v>0</v>
      </c>
      <c r="J263" t="n">
        <v>0</v>
      </c>
      <c r="K263" t="n">
        <v>0</v>
      </c>
      <c r="L263" t="n">
        <v>0</v>
      </c>
      <c r="M263" t="n">
        <v>0</v>
      </c>
      <c r="N263" t="n">
        <v>0</v>
      </c>
      <c r="O263" t="n">
        <v>0</v>
      </c>
      <c r="P263" t="n">
        <v>0</v>
      </c>
      <c r="Q263" t="n">
        <v>0</v>
      </c>
      <c r="R263" s="2" t="inlineStr"/>
    </row>
    <row r="264" ht="15" customHeight="1">
      <c r="A264" t="inlineStr">
        <is>
          <t>A 68391-2021</t>
        </is>
      </c>
      <c r="B264" s="1" t="n">
        <v>44526</v>
      </c>
      <c r="C264" s="1" t="n">
        <v>45764</v>
      </c>
      <c r="D264" t="inlineStr">
        <is>
          <t>VÄSTERNORRLANDS LÄN</t>
        </is>
      </c>
      <c r="E264" t="inlineStr">
        <is>
          <t>TIMRÅ</t>
        </is>
      </c>
      <c r="G264" t="n">
        <v>2.2</v>
      </c>
      <c r="H264" t="n">
        <v>0</v>
      </c>
      <c r="I264" t="n">
        <v>0</v>
      </c>
      <c r="J264" t="n">
        <v>0</v>
      </c>
      <c r="K264" t="n">
        <v>0</v>
      </c>
      <c r="L264" t="n">
        <v>0</v>
      </c>
      <c r="M264" t="n">
        <v>0</v>
      </c>
      <c r="N264" t="n">
        <v>0</v>
      </c>
      <c r="O264" t="n">
        <v>0</v>
      </c>
      <c r="P264" t="n">
        <v>0</v>
      </c>
      <c r="Q264" t="n">
        <v>0</v>
      </c>
      <c r="R264" s="2" t="inlineStr"/>
    </row>
    <row r="265" ht="15" customHeight="1">
      <c r="A265" t="inlineStr">
        <is>
          <t>A 68774-2021</t>
        </is>
      </c>
      <c r="B265" s="1" t="n">
        <v>44529</v>
      </c>
      <c r="C265" s="1" t="n">
        <v>45764</v>
      </c>
      <c r="D265" t="inlineStr">
        <is>
          <t>VÄSTERNORRLANDS LÄN</t>
        </is>
      </c>
      <c r="E265" t="inlineStr">
        <is>
          <t>TIMRÅ</t>
        </is>
      </c>
      <c r="G265" t="n">
        <v>0.5</v>
      </c>
      <c r="H265" t="n">
        <v>0</v>
      </c>
      <c r="I265" t="n">
        <v>0</v>
      </c>
      <c r="J265" t="n">
        <v>0</v>
      </c>
      <c r="K265" t="n">
        <v>0</v>
      </c>
      <c r="L265" t="n">
        <v>0</v>
      </c>
      <c r="M265" t="n">
        <v>0</v>
      </c>
      <c r="N265" t="n">
        <v>0</v>
      </c>
      <c r="O265" t="n">
        <v>0</v>
      </c>
      <c r="P265" t="n">
        <v>0</v>
      </c>
      <c r="Q265" t="n">
        <v>0</v>
      </c>
      <c r="R265" s="2" t="inlineStr"/>
    </row>
    <row r="266" ht="15" customHeight="1">
      <c r="A266" t="inlineStr">
        <is>
          <t>A 69274-2021</t>
        </is>
      </c>
      <c r="B266" s="1" t="n">
        <v>44530</v>
      </c>
      <c r="C266" s="1" t="n">
        <v>45764</v>
      </c>
      <c r="D266" t="inlineStr">
        <is>
          <t>VÄSTERNORRLANDS LÄN</t>
        </is>
      </c>
      <c r="E266" t="inlineStr">
        <is>
          <t>TIMRÅ</t>
        </is>
      </c>
      <c r="G266" t="n">
        <v>0.3</v>
      </c>
      <c r="H266" t="n">
        <v>0</v>
      </c>
      <c r="I266" t="n">
        <v>0</v>
      </c>
      <c r="J266" t="n">
        <v>0</v>
      </c>
      <c r="K266" t="n">
        <v>0</v>
      </c>
      <c r="L266" t="n">
        <v>0</v>
      </c>
      <c r="M266" t="n">
        <v>0</v>
      </c>
      <c r="N266" t="n">
        <v>0</v>
      </c>
      <c r="O266" t="n">
        <v>0</v>
      </c>
      <c r="P266" t="n">
        <v>0</v>
      </c>
      <c r="Q266" t="n">
        <v>0</v>
      </c>
      <c r="R266" s="2" t="inlineStr"/>
    </row>
    <row r="267" ht="15" customHeight="1">
      <c r="A267" t="inlineStr">
        <is>
          <t>A 69266-2021</t>
        </is>
      </c>
      <c r="B267" s="1" t="n">
        <v>44530</v>
      </c>
      <c r="C267" s="1" t="n">
        <v>45764</v>
      </c>
      <c r="D267" t="inlineStr">
        <is>
          <t>VÄSTERNORRLANDS LÄN</t>
        </is>
      </c>
      <c r="E267" t="inlineStr">
        <is>
          <t>TIMRÅ</t>
        </is>
      </c>
      <c r="G267" t="n">
        <v>0.3</v>
      </c>
      <c r="H267" t="n">
        <v>0</v>
      </c>
      <c r="I267" t="n">
        <v>0</v>
      </c>
      <c r="J267" t="n">
        <v>0</v>
      </c>
      <c r="K267" t="n">
        <v>0</v>
      </c>
      <c r="L267" t="n">
        <v>0</v>
      </c>
      <c r="M267" t="n">
        <v>0</v>
      </c>
      <c r="N267" t="n">
        <v>0</v>
      </c>
      <c r="O267" t="n">
        <v>0</v>
      </c>
      <c r="P267" t="n">
        <v>0</v>
      </c>
      <c r="Q267" t="n">
        <v>0</v>
      </c>
      <c r="R267" s="2" t="inlineStr"/>
    </row>
    <row r="268" ht="15" customHeight="1">
      <c r="A268" t="inlineStr">
        <is>
          <t>A 69278-2021</t>
        </is>
      </c>
      <c r="B268" s="1" t="n">
        <v>44531</v>
      </c>
      <c r="C268" s="1" t="n">
        <v>45764</v>
      </c>
      <c r="D268" t="inlineStr">
        <is>
          <t>VÄSTERNORRLANDS LÄN</t>
        </is>
      </c>
      <c r="E268" t="inlineStr">
        <is>
          <t>TIMRÅ</t>
        </is>
      </c>
      <c r="G268" t="n">
        <v>1.2</v>
      </c>
      <c r="H268" t="n">
        <v>0</v>
      </c>
      <c r="I268" t="n">
        <v>0</v>
      </c>
      <c r="J268" t="n">
        <v>0</v>
      </c>
      <c r="K268" t="n">
        <v>0</v>
      </c>
      <c r="L268" t="n">
        <v>0</v>
      </c>
      <c r="M268" t="n">
        <v>0</v>
      </c>
      <c r="N268" t="n">
        <v>0</v>
      </c>
      <c r="O268" t="n">
        <v>0</v>
      </c>
      <c r="P268" t="n">
        <v>0</v>
      </c>
      <c r="Q268" t="n">
        <v>0</v>
      </c>
      <c r="R268" s="2" t="inlineStr"/>
    </row>
    <row r="269" ht="15" customHeight="1">
      <c r="A269" t="inlineStr">
        <is>
          <t>A 69663-2021</t>
        </is>
      </c>
      <c r="B269" s="1" t="n">
        <v>44531</v>
      </c>
      <c r="C269" s="1" t="n">
        <v>45764</v>
      </c>
      <c r="D269" t="inlineStr">
        <is>
          <t>VÄSTERNORRLANDS LÄN</t>
        </is>
      </c>
      <c r="E269" t="inlineStr">
        <is>
          <t>TIMRÅ</t>
        </is>
      </c>
      <c r="G269" t="n">
        <v>1.2</v>
      </c>
      <c r="H269" t="n">
        <v>0</v>
      </c>
      <c r="I269" t="n">
        <v>0</v>
      </c>
      <c r="J269" t="n">
        <v>0</v>
      </c>
      <c r="K269" t="n">
        <v>0</v>
      </c>
      <c r="L269" t="n">
        <v>0</v>
      </c>
      <c r="M269" t="n">
        <v>0</v>
      </c>
      <c r="N269" t="n">
        <v>0</v>
      </c>
      <c r="O269" t="n">
        <v>0</v>
      </c>
      <c r="P269" t="n">
        <v>0</v>
      </c>
      <c r="Q269" t="n">
        <v>0</v>
      </c>
      <c r="R269" s="2" t="inlineStr"/>
    </row>
    <row r="270" ht="15" customHeight="1">
      <c r="A270" t="inlineStr">
        <is>
          <t>A 70507-2021</t>
        </is>
      </c>
      <c r="B270" s="1" t="n">
        <v>44536</v>
      </c>
      <c r="C270" s="1" t="n">
        <v>45764</v>
      </c>
      <c r="D270" t="inlineStr">
        <is>
          <t>VÄSTERNORRLANDS LÄN</t>
        </is>
      </c>
      <c r="E270" t="inlineStr">
        <is>
          <t>TIMRÅ</t>
        </is>
      </c>
      <c r="G270" t="n">
        <v>2.5</v>
      </c>
      <c r="H270" t="n">
        <v>0</v>
      </c>
      <c r="I270" t="n">
        <v>0</v>
      </c>
      <c r="J270" t="n">
        <v>0</v>
      </c>
      <c r="K270" t="n">
        <v>0</v>
      </c>
      <c r="L270" t="n">
        <v>0</v>
      </c>
      <c r="M270" t="n">
        <v>0</v>
      </c>
      <c r="N270" t="n">
        <v>0</v>
      </c>
      <c r="O270" t="n">
        <v>0</v>
      </c>
      <c r="P270" t="n">
        <v>0</v>
      </c>
      <c r="Q270" t="n">
        <v>0</v>
      </c>
      <c r="R270" s="2" t="inlineStr"/>
    </row>
    <row r="271" ht="15" customHeight="1">
      <c r="A271" t="inlineStr">
        <is>
          <t>A 70906-2021</t>
        </is>
      </c>
      <c r="B271" s="1" t="n">
        <v>44537</v>
      </c>
      <c r="C271" s="1" t="n">
        <v>45764</v>
      </c>
      <c r="D271" t="inlineStr">
        <is>
          <t>VÄSTERNORRLANDS LÄN</t>
        </is>
      </c>
      <c r="E271" t="inlineStr">
        <is>
          <t>TIMRÅ</t>
        </is>
      </c>
      <c r="G271" t="n">
        <v>3.9</v>
      </c>
      <c r="H271" t="n">
        <v>0</v>
      </c>
      <c r="I271" t="n">
        <v>0</v>
      </c>
      <c r="J271" t="n">
        <v>0</v>
      </c>
      <c r="K271" t="n">
        <v>0</v>
      </c>
      <c r="L271" t="n">
        <v>0</v>
      </c>
      <c r="M271" t="n">
        <v>0</v>
      </c>
      <c r="N271" t="n">
        <v>0</v>
      </c>
      <c r="O271" t="n">
        <v>0</v>
      </c>
      <c r="P271" t="n">
        <v>0</v>
      </c>
      <c r="Q271" t="n">
        <v>0</v>
      </c>
      <c r="R271" s="2" t="inlineStr"/>
    </row>
    <row r="272" ht="15" customHeight="1">
      <c r="A272" t="inlineStr">
        <is>
          <t>A 71213-2021</t>
        </is>
      </c>
      <c r="B272" s="1" t="n">
        <v>44539</v>
      </c>
      <c r="C272" s="1" t="n">
        <v>45764</v>
      </c>
      <c r="D272" t="inlineStr">
        <is>
          <t>VÄSTERNORRLANDS LÄN</t>
        </is>
      </c>
      <c r="E272" t="inlineStr">
        <is>
          <t>TIMRÅ</t>
        </is>
      </c>
      <c r="G272" t="n">
        <v>0.8</v>
      </c>
      <c r="H272" t="n">
        <v>0</v>
      </c>
      <c r="I272" t="n">
        <v>0</v>
      </c>
      <c r="J272" t="n">
        <v>0</v>
      </c>
      <c r="K272" t="n">
        <v>0</v>
      </c>
      <c r="L272" t="n">
        <v>0</v>
      </c>
      <c r="M272" t="n">
        <v>0</v>
      </c>
      <c r="N272" t="n">
        <v>0</v>
      </c>
      <c r="O272" t="n">
        <v>0</v>
      </c>
      <c r="P272" t="n">
        <v>0</v>
      </c>
      <c r="Q272" t="n">
        <v>0</v>
      </c>
      <c r="R272" s="2" t="inlineStr"/>
    </row>
    <row r="273" ht="15" customHeight="1">
      <c r="A273" t="inlineStr">
        <is>
          <t>A 73225-2021</t>
        </is>
      </c>
      <c r="B273" s="1" t="n">
        <v>44550</v>
      </c>
      <c r="C273" s="1" t="n">
        <v>45764</v>
      </c>
      <c r="D273" t="inlineStr">
        <is>
          <t>VÄSTERNORRLANDS LÄN</t>
        </is>
      </c>
      <c r="E273" t="inlineStr">
        <is>
          <t>TIMRÅ</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74020-2021</t>
        </is>
      </c>
      <c r="B274" s="1" t="n">
        <v>44557</v>
      </c>
      <c r="C274" s="1" t="n">
        <v>45764</v>
      </c>
      <c r="D274" t="inlineStr">
        <is>
          <t>VÄSTERNORRLANDS LÄN</t>
        </is>
      </c>
      <c r="E274" t="inlineStr">
        <is>
          <t>TIMRÅ</t>
        </is>
      </c>
      <c r="G274" t="n">
        <v>1.4</v>
      </c>
      <c r="H274" t="n">
        <v>0</v>
      </c>
      <c r="I274" t="n">
        <v>0</v>
      </c>
      <c r="J274" t="n">
        <v>0</v>
      </c>
      <c r="K274" t="n">
        <v>0</v>
      </c>
      <c r="L274" t="n">
        <v>0</v>
      </c>
      <c r="M274" t="n">
        <v>0</v>
      </c>
      <c r="N274" t="n">
        <v>0</v>
      </c>
      <c r="O274" t="n">
        <v>0</v>
      </c>
      <c r="P274" t="n">
        <v>0</v>
      </c>
      <c r="Q274" t="n">
        <v>0</v>
      </c>
      <c r="R274" s="2" t="inlineStr"/>
    </row>
    <row r="275" ht="15" customHeight="1">
      <c r="A275" t="inlineStr">
        <is>
          <t>A 74043-2021</t>
        </is>
      </c>
      <c r="B275" s="1" t="n">
        <v>44557</v>
      </c>
      <c r="C275" s="1" t="n">
        <v>45764</v>
      </c>
      <c r="D275" t="inlineStr">
        <is>
          <t>VÄSTERNORRLANDS LÄN</t>
        </is>
      </c>
      <c r="E275" t="inlineStr">
        <is>
          <t>TIMRÅ</t>
        </is>
      </c>
      <c r="G275" t="n">
        <v>0.1</v>
      </c>
      <c r="H275" t="n">
        <v>0</v>
      </c>
      <c r="I275" t="n">
        <v>0</v>
      </c>
      <c r="J275" t="n">
        <v>0</v>
      </c>
      <c r="K275" t="n">
        <v>0</v>
      </c>
      <c r="L275" t="n">
        <v>0</v>
      </c>
      <c r="M275" t="n">
        <v>0</v>
      </c>
      <c r="N275" t="n">
        <v>0</v>
      </c>
      <c r="O275" t="n">
        <v>0</v>
      </c>
      <c r="P275" t="n">
        <v>0</v>
      </c>
      <c r="Q275" t="n">
        <v>0</v>
      </c>
      <c r="R275" s="2" t="inlineStr"/>
    </row>
    <row r="276" ht="15" customHeight="1">
      <c r="A276" t="inlineStr">
        <is>
          <t>A 74044-2021</t>
        </is>
      </c>
      <c r="B276" s="1" t="n">
        <v>44557</v>
      </c>
      <c r="C276" s="1" t="n">
        <v>45764</v>
      </c>
      <c r="D276" t="inlineStr">
        <is>
          <t>VÄSTERNORRLANDS LÄN</t>
        </is>
      </c>
      <c r="E276" t="inlineStr">
        <is>
          <t>TIMRÅ</t>
        </is>
      </c>
      <c r="G276" t="n">
        <v>0.2</v>
      </c>
      <c r="H276" t="n">
        <v>0</v>
      </c>
      <c r="I276" t="n">
        <v>0</v>
      </c>
      <c r="J276" t="n">
        <v>0</v>
      </c>
      <c r="K276" t="n">
        <v>0</v>
      </c>
      <c r="L276" t="n">
        <v>0</v>
      </c>
      <c r="M276" t="n">
        <v>0</v>
      </c>
      <c r="N276" t="n">
        <v>0</v>
      </c>
      <c r="O276" t="n">
        <v>0</v>
      </c>
      <c r="P276" t="n">
        <v>0</v>
      </c>
      <c r="Q276" t="n">
        <v>0</v>
      </c>
      <c r="R276" s="2" t="inlineStr"/>
    </row>
    <row r="277" ht="15" customHeight="1">
      <c r="A277" t="inlineStr">
        <is>
          <t>A 74148-2021</t>
        </is>
      </c>
      <c r="B277" s="1" t="n">
        <v>44557</v>
      </c>
      <c r="C277" s="1" t="n">
        <v>45764</v>
      </c>
      <c r="D277" t="inlineStr">
        <is>
          <t>VÄSTERNORRLANDS LÄN</t>
        </is>
      </c>
      <c r="E277" t="inlineStr">
        <is>
          <t>TIMRÅ</t>
        </is>
      </c>
      <c r="G277" t="n">
        <v>0.7</v>
      </c>
      <c r="H277" t="n">
        <v>0</v>
      </c>
      <c r="I277" t="n">
        <v>0</v>
      </c>
      <c r="J277" t="n">
        <v>0</v>
      </c>
      <c r="K277" t="n">
        <v>0</v>
      </c>
      <c r="L277" t="n">
        <v>0</v>
      </c>
      <c r="M277" t="n">
        <v>0</v>
      </c>
      <c r="N277" t="n">
        <v>0</v>
      </c>
      <c r="O277" t="n">
        <v>0</v>
      </c>
      <c r="P277" t="n">
        <v>0</v>
      </c>
      <c r="Q277" t="n">
        <v>0</v>
      </c>
      <c r="R277" s="2" t="inlineStr"/>
    </row>
    <row r="278" ht="15" customHeight="1">
      <c r="A278" t="inlineStr">
        <is>
          <t>A 74150-2021</t>
        </is>
      </c>
      <c r="B278" s="1" t="n">
        <v>44557</v>
      </c>
      <c r="C278" s="1" t="n">
        <v>45764</v>
      </c>
      <c r="D278" t="inlineStr">
        <is>
          <t>VÄSTERNORRLANDS LÄN</t>
        </is>
      </c>
      <c r="E278" t="inlineStr">
        <is>
          <t>TIMRÅ</t>
        </is>
      </c>
      <c r="G278" t="n">
        <v>1.8</v>
      </c>
      <c r="H278" t="n">
        <v>0</v>
      </c>
      <c r="I278" t="n">
        <v>0</v>
      </c>
      <c r="J278" t="n">
        <v>0</v>
      </c>
      <c r="K278" t="n">
        <v>0</v>
      </c>
      <c r="L278" t="n">
        <v>0</v>
      </c>
      <c r="M278" t="n">
        <v>0</v>
      </c>
      <c r="N278" t="n">
        <v>0</v>
      </c>
      <c r="O278" t="n">
        <v>0</v>
      </c>
      <c r="P278" t="n">
        <v>0</v>
      </c>
      <c r="Q278" t="n">
        <v>0</v>
      </c>
      <c r="R278" s="2" t="inlineStr"/>
    </row>
    <row r="279" ht="15" customHeight="1">
      <c r="A279" t="inlineStr">
        <is>
          <t>A 74177-2021</t>
        </is>
      </c>
      <c r="B279" s="1" t="n">
        <v>44558</v>
      </c>
      <c r="C279" s="1" t="n">
        <v>45764</v>
      </c>
      <c r="D279" t="inlineStr">
        <is>
          <t>VÄSTERNORRLANDS LÄN</t>
        </is>
      </c>
      <c r="E279" t="inlineStr">
        <is>
          <t>TIMRÅ</t>
        </is>
      </c>
      <c r="G279" t="n">
        <v>1.8</v>
      </c>
      <c r="H279" t="n">
        <v>0</v>
      </c>
      <c r="I279" t="n">
        <v>0</v>
      </c>
      <c r="J279" t="n">
        <v>0</v>
      </c>
      <c r="K279" t="n">
        <v>0</v>
      </c>
      <c r="L279" t="n">
        <v>0</v>
      </c>
      <c r="M279" t="n">
        <v>0</v>
      </c>
      <c r="N279" t="n">
        <v>0</v>
      </c>
      <c r="O279" t="n">
        <v>0</v>
      </c>
      <c r="P279" t="n">
        <v>0</v>
      </c>
      <c r="Q279" t="n">
        <v>0</v>
      </c>
      <c r="R279" s="2" t="inlineStr"/>
    </row>
    <row r="280" ht="15" customHeight="1">
      <c r="A280" t="inlineStr">
        <is>
          <t>A 580-2022</t>
        </is>
      </c>
      <c r="B280" s="1" t="n">
        <v>44566</v>
      </c>
      <c r="C280" s="1" t="n">
        <v>45764</v>
      </c>
      <c r="D280" t="inlineStr">
        <is>
          <t>VÄSTERNORRLANDS LÄN</t>
        </is>
      </c>
      <c r="E280" t="inlineStr">
        <is>
          <t>TIMRÅ</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1078-2022</t>
        </is>
      </c>
      <c r="B281" s="1" t="n">
        <v>44571</v>
      </c>
      <c r="C281" s="1" t="n">
        <v>45764</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1855-2022</t>
        </is>
      </c>
      <c r="B282" s="1" t="n">
        <v>44574</v>
      </c>
      <c r="C282" s="1" t="n">
        <v>45764</v>
      </c>
      <c r="D282" t="inlineStr">
        <is>
          <t>VÄSTERNORRLANDS LÄN</t>
        </is>
      </c>
      <c r="E282" t="inlineStr">
        <is>
          <t>TIMRÅ</t>
        </is>
      </c>
      <c r="G282" t="n">
        <v>3.1</v>
      </c>
      <c r="H282" t="n">
        <v>0</v>
      </c>
      <c r="I282" t="n">
        <v>0</v>
      </c>
      <c r="J282" t="n">
        <v>0</v>
      </c>
      <c r="K282" t="n">
        <v>0</v>
      </c>
      <c r="L282" t="n">
        <v>0</v>
      </c>
      <c r="M282" t="n">
        <v>0</v>
      </c>
      <c r="N282" t="n">
        <v>0</v>
      </c>
      <c r="O282" t="n">
        <v>0</v>
      </c>
      <c r="P282" t="n">
        <v>0</v>
      </c>
      <c r="Q282" t="n">
        <v>0</v>
      </c>
      <c r="R282" s="2" t="inlineStr"/>
    </row>
    <row r="283" ht="15" customHeight="1">
      <c r="A283" t="inlineStr">
        <is>
          <t>A 2073-2022</t>
        </is>
      </c>
      <c r="B283" s="1" t="n">
        <v>44575</v>
      </c>
      <c r="C283" s="1" t="n">
        <v>45764</v>
      </c>
      <c r="D283" t="inlineStr">
        <is>
          <t>VÄSTERNORRLANDS LÄN</t>
        </is>
      </c>
      <c r="E283" t="inlineStr">
        <is>
          <t>TIMRÅ</t>
        </is>
      </c>
      <c r="G283" t="n">
        <v>2.5</v>
      </c>
      <c r="H283" t="n">
        <v>0</v>
      </c>
      <c r="I283" t="n">
        <v>0</v>
      </c>
      <c r="J283" t="n">
        <v>0</v>
      </c>
      <c r="K283" t="n">
        <v>0</v>
      </c>
      <c r="L283" t="n">
        <v>0</v>
      </c>
      <c r="M283" t="n">
        <v>0</v>
      </c>
      <c r="N283" t="n">
        <v>0</v>
      </c>
      <c r="O283" t="n">
        <v>0</v>
      </c>
      <c r="P283" t="n">
        <v>0</v>
      </c>
      <c r="Q283" t="n">
        <v>0</v>
      </c>
      <c r="R283" s="2" t="inlineStr"/>
    </row>
    <row r="284" ht="15" customHeight="1">
      <c r="A284" t="inlineStr">
        <is>
          <t>A 2226-2022</t>
        </is>
      </c>
      <c r="B284" s="1" t="n">
        <v>44578</v>
      </c>
      <c r="C284" s="1" t="n">
        <v>45764</v>
      </c>
      <c r="D284" t="inlineStr">
        <is>
          <t>VÄSTERNORRLANDS LÄN</t>
        </is>
      </c>
      <c r="E284" t="inlineStr">
        <is>
          <t>TIMRÅ</t>
        </is>
      </c>
      <c r="G284" t="n">
        <v>2.9</v>
      </c>
      <c r="H284" t="n">
        <v>0</v>
      </c>
      <c r="I284" t="n">
        <v>0</v>
      </c>
      <c r="J284" t="n">
        <v>0</v>
      </c>
      <c r="K284" t="n">
        <v>0</v>
      </c>
      <c r="L284" t="n">
        <v>0</v>
      </c>
      <c r="M284" t="n">
        <v>0</v>
      </c>
      <c r="N284" t="n">
        <v>0</v>
      </c>
      <c r="O284" t="n">
        <v>0</v>
      </c>
      <c r="P284" t="n">
        <v>0</v>
      </c>
      <c r="Q284" t="n">
        <v>0</v>
      </c>
      <c r="R284" s="2" t="inlineStr"/>
    </row>
    <row r="285" ht="15" customHeight="1">
      <c r="A285" t="inlineStr">
        <is>
          <t>A 5649-2022</t>
        </is>
      </c>
      <c r="B285" s="1" t="n">
        <v>44595</v>
      </c>
      <c r="C285" s="1" t="n">
        <v>45764</v>
      </c>
      <c r="D285" t="inlineStr">
        <is>
          <t>VÄSTERNORRLANDS LÄN</t>
        </is>
      </c>
      <c r="E285" t="inlineStr">
        <is>
          <t>TIMRÅ</t>
        </is>
      </c>
      <c r="G285" t="n">
        <v>1.5</v>
      </c>
      <c r="H285" t="n">
        <v>0</v>
      </c>
      <c r="I285" t="n">
        <v>0</v>
      </c>
      <c r="J285" t="n">
        <v>0</v>
      </c>
      <c r="K285" t="n">
        <v>0</v>
      </c>
      <c r="L285" t="n">
        <v>0</v>
      </c>
      <c r="M285" t="n">
        <v>0</v>
      </c>
      <c r="N285" t="n">
        <v>0</v>
      </c>
      <c r="O285" t="n">
        <v>0</v>
      </c>
      <c r="P285" t="n">
        <v>0</v>
      </c>
      <c r="Q285" t="n">
        <v>0</v>
      </c>
      <c r="R285" s="2" t="inlineStr"/>
    </row>
    <row r="286" ht="15" customHeight="1">
      <c r="A286" t="inlineStr">
        <is>
          <t>A 7152-2022</t>
        </is>
      </c>
      <c r="B286" s="1" t="n">
        <v>44603</v>
      </c>
      <c r="C286" s="1" t="n">
        <v>45764</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7670-2022</t>
        </is>
      </c>
      <c r="B287" s="1" t="n">
        <v>44607</v>
      </c>
      <c r="C287" s="1" t="n">
        <v>45764</v>
      </c>
      <c r="D287" t="inlineStr">
        <is>
          <t>VÄSTERNORRLANDS LÄN</t>
        </is>
      </c>
      <c r="E287" t="inlineStr">
        <is>
          <t>TIMRÅ</t>
        </is>
      </c>
      <c r="G287" t="n">
        <v>3.6</v>
      </c>
      <c r="H287" t="n">
        <v>0</v>
      </c>
      <c r="I287" t="n">
        <v>0</v>
      </c>
      <c r="J287" t="n">
        <v>0</v>
      </c>
      <c r="K287" t="n">
        <v>0</v>
      </c>
      <c r="L287" t="n">
        <v>0</v>
      </c>
      <c r="M287" t="n">
        <v>0</v>
      </c>
      <c r="N287" t="n">
        <v>0</v>
      </c>
      <c r="O287" t="n">
        <v>0</v>
      </c>
      <c r="P287" t="n">
        <v>0</v>
      </c>
      <c r="Q287" t="n">
        <v>0</v>
      </c>
      <c r="R287" s="2" t="inlineStr"/>
    </row>
    <row r="288" ht="15" customHeight="1">
      <c r="A288" t="inlineStr">
        <is>
          <t>A 7966-2022</t>
        </is>
      </c>
      <c r="B288" s="1" t="n">
        <v>44608</v>
      </c>
      <c r="C288" s="1" t="n">
        <v>45764</v>
      </c>
      <c r="D288" t="inlineStr">
        <is>
          <t>VÄSTERNORRLANDS LÄN</t>
        </is>
      </c>
      <c r="E288" t="inlineStr">
        <is>
          <t>TIMRÅ</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8336-2022</t>
        </is>
      </c>
      <c r="B289" s="1" t="n">
        <v>44610</v>
      </c>
      <c r="C289" s="1" t="n">
        <v>45764</v>
      </c>
      <c r="D289" t="inlineStr">
        <is>
          <t>VÄSTERNORRLANDS LÄN</t>
        </is>
      </c>
      <c r="E289" t="inlineStr">
        <is>
          <t>TIMRÅ</t>
        </is>
      </c>
      <c r="F289" t="inlineStr">
        <is>
          <t>Kommuner</t>
        </is>
      </c>
      <c r="G289" t="n">
        <v>1.2</v>
      </c>
      <c r="H289" t="n">
        <v>0</v>
      </c>
      <c r="I289" t="n">
        <v>0</v>
      </c>
      <c r="J289" t="n">
        <v>0</v>
      </c>
      <c r="K289" t="n">
        <v>0</v>
      </c>
      <c r="L289" t="n">
        <v>0</v>
      </c>
      <c r="M289" t="n">
        <v>0</v>
      </c>
      <c r="N289" t="n">
        <v>0</v>
      </c>
      <c r="O289" t="n">
        <v>0</v>
      </c>
      <c r="P289" t="n">
        <v>0</v>
      </c>
      <c r="Q289" t="n">
        <v>0</v>
      </c>
      <c r="R289" s="2" t="inlineStr"/>
    </row>
    <row r="290" ht="15" customHeight="1">
      <c r="A290" t="inlineStr">
        <is>
          <t>A 9203-2022</t>
        </is>
      </c>
      <c r="B290" s="1" t="n">
        <v>44615</v>
      </c>
      <c r="C290" s="1" t="n">
        <v>45764</v>
      </c>
      <c r="D290" t="inlineStr">
        <is>
          <t>VÄSTERNORRLANDS LÄN</t>
        </is>
      </c>
      <c r="E290" t="inlineStr">
        <is>
          <t>TIMRÅ</t>
        </is>
      </c>
      <c r="G290" t="n">
        <v>5.5</v>
      </c>
      <c r="H290" t="n">
        <v>0</v>
      </c>
      <c r="I290" t="n">
        <v>0</v>
      </c>
      <c r="J290" t="n">
        <v>0</v>
      </c>
      <c r="K290" t="n">
        <v>0</v>
      </c>
      <c r="L290" t="n">
        <v>0</v>
      </c>
      <c r="M290" t="n">
        <v>0</v>
      </c>
      <c r="N290" t="n">
        <v>0</v>
      </c>
      <c r="O290" t="n">
        <v>0</v>
      </c>
      <c r="P290" t="n">
        <v>0</v>
      </c>
      <c r="Q290" t="n">
        <v>0</v>
      </c>
      <c r="R290" s="2" t="inlineStr"/>
    </row>
    <row r="291" ht="15" customHeight="1">
      <c r="A291" t="inlineStr">
        <is>
          <t>A 9202-2022</t>
        </is>
      </c>
      <c r="B291" s="1" t="n">
        <v>44615</v>
      </c>
      <c r="C291" s="1" t="n">
        <v>45764</v>
      </c>
      <c r="D291" t="inlineStr">
        <is>
          <t>VÄSTERNORRLANDS LÄN</t>
        </is>
      </c>
      <c r="E291" t="inlineStr">
        <is>
          <t>TIMRÅ</t>
        </is>
      </c>
      <c r="G291" t="n">
        <v>2.1</v>
      </c>
      <c r="H291" t="n">
        <v>0</v>
      </c>
      <c r="I291" t="n">
        <v>0</v>
      </c>
      <c r="J291" t="n">
        <v>0</v>
      </c>
      <c r="K291" t="n">
        <v>0</v>
      </c>
      <c r="L291" t="n">
        <v>0</v>
      </c>
      <c r="M291" t="n">
        <v>0</v>
      </c>
      <c r="N291" t="n">
        <v>0</v>
      </c>
      <c r="O291" t="n">
        <v>0</v>
      </c>
      <c r="P291" t="n">
        <v>0</v>
      </c>
      <c r="Q291" t="n">
        <v>0</v>
      </c>
      <c r="R291" s="2" t="inlineStr"/>
    </row>
    <row r="292" ht="15" customHeight="1">
      <c r="A292" t="inlineStr">
        <is>
          <t>A 9256-2022</t>
        </is>
      </c>
      <c r="B292" s="1" t="n">
        <v>44616</v>
      </c>
      <c r="C292" s="1" t="n">
        <v>45764</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9317-2022</t>
        </is>
      </c>
      <c r="B293" s="1" t="n">
        <v>44616</v>
      </c>
      <c r="C293" s="1" t="n">
        <v>45764</v>
      </c>
      <c r="D293" t="inlineStr">
        <is>
          <t>VÄSTERNORRLANDS LÄN</t>
        </is>
      </c>
      <c r="E293" t="inlineStr">
        <is>
          <t>TIMRÅ</t>
        </is>
      </c>
      <c r="G293" t="n">
        <v>1.1</v>
      </c>
      <c r="H293" t="n">
        <v>0</v>
      </c>
      <c r="I293" t="n">
        <v>0</v>
      </c>
      <c r="J293" t="n">
        <v>0</v>
      </c>
      <c r="K293" t="n">
        <v>0</v>
      </c>
      <c r="L293" t="n">
        <v>0</v>
      </c>
      <c r="M293" t="n">
        <v>0</v>
      </c>
      <c r="N293" t="n">
        <v>0</v>
      </c>
      <c r="O293" t="n">
        <v>0</v>
      </c>
      <c r="P293" t="n">
        <v>0</v>
      </c>
      <c r="Q293" t="n">
        <v>0</v>
      </c>
      <c r="R293" s="2" t="inlineStr"/>
    </row>
    <row r="294" ht="15" customHeight="1">
      <c r="A294" t="inlineStr">
        <is>
          <t>A 11269-2022</t>
        </is>
      </c>
      <c r="B294" s="1" t="n">
        <v>44629</v>
      </c>
      <c r="C294" s="1" t="n">
        <v>45764</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11479-2022</t>
        </is>
      </c>
      <c r="B295" s="1" t="n">
        <v>44630</v>
      </c>
      <c r="C295" s="1" t="n">
        <v>45764</v>
      </c>
      <c r="D295" t="inlineStr">
        <is>
          <t>VÄSTERNORRLANDS LÄN</t>
        </is>
      </c>
      <c r="E295" t="inlineStr">
        <is>
          <t>TIMRÅ</t>
        </is>
      </c>
      <c r="G295" t="n">
        <v>2.9</v>
      </c>
      <c r="H295" t="n">
        <v>0</v>
      </c>
      <c r="I295" t="n">
        <v>0</v>
      </c>
      <c r="J295" t="n">
        <v>0</v>
      </c>
      <c r="K295" t="n">
        <v>0</v>
      </c>
      <c r="L295" t="n">
        <v>0</v>
      </c>
      <c r="M295" t="n">
        <v>0</v>
      </c>
      <c r="N295" t="n">
        <v>0</v>
      </c>
      <c r="O295" t="n">
        <v>0</v>
      </c>
      <c r="P295" t="n">
        <v>0</v>
      </c>
      <c r="Q295" t="n">
        <v>0</v>
      </c>
      <c r="R295" s="2" t="inlineStr"/>
    </row>
    <row r="296" ht="15" customHeight="1">
      <c r="A296" t="inlineStr">
        <is>
          <t>A 12205-2022</t>
        </is>
      </c>
      <c r="B296" s="1" t="n">
        <v>44636</v>
      </c>
      <c r="C296" s="1" t="n">
        <v>45764</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12782-2022</t>
        </is>
      </c>
      <c r="B297" s="1" t="n">
        <v>44641</v>
      </c>
      <c r="C297" s="1" t="n">
        <v>45764</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12780-2022</t>
        </is>
      </c>
      <c r="B298" s="1" t="n">
        <v>44641</v>
      </c>
      <c r="C298" s="1" t="n">
        <v>45764</v>
      </c>
      <c r="D298" t="inlineStr">
        <is>
          <t>VÄSTERNORRLANDS LÄN</t>
        </is>
      </c>
      <c r="E298" t="inlineStr">
        <is>
          <t>TIMRÅ</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12779-2022</t>
        </is>
      </c>
      <c r="B299" s="1" t="n">
        <v>44641</v>
      </c>
      <c r="C299" s="1" t="n">
        <v>45764</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12882-2022</t>
        </is>
      </c>
      <c r="B300" s="1" t="n">
        <v>44642</v>
      </c>
      <c r="C300" s="1" t="n">
        <v>45764</v>
      </c>
      <c r="D300" t="inlineStr">
        <is>
          <t>VÄSTERNORRLANDS LÄN</t>
        </is>
      </c>
      <c r="E300" t="inlineStr">
        <is>
          <t>TIMRÅ</t>
        </is>
      </c>
      <c r="G300" t="n">
        <v>0.4</v>
      </c>
      <c r="H300" t="n">
        <v>0</v>
      </c>
      <c r="I300" t="n">
        <v>0</v>
      </c>
      <c r="J300" t="n">
        <v>0</v>
      </c>
      <c r="K300" t="n">
        <v>0</v>
      </c>
      <c r="L300" t="n">
        <v>0</v>
      </c>
      <c r="M300" t="n">
        <v>0</v>
      </c>
      <c r="N300" t="n">
        <v>0</v>
      </c>
      <c r="O300" t="n">
        <v>0</v>
      </c>
      <c r="P300" t="n">
        <v>0</v>
      </c>
      <c r="Q300" t="n">
        <v>0</v>
      </c>
      <c r="R300" s="2" t="inlineStr"/>
    </row>
    <row r="301" ht="15" customHeight="1">
      <c r="A301" t="inlineStr">
        <is>
          <t>A 12880-2022</t>
        </is>
      </c>
      <c r="B301" s="1" t="n">
        <v>44642</v>
      </c>
      <c r="C301" s="1" t="n">
        <v>45764</v>
      </c>
      <c r="D301" t="inlineStr">
        <is>
          <t>VÄSTERNORRLANDS LÄN</t>
        </is>
      </c>
      <c r="E301" t="inlineStr">
        <is>
          <t>TIMRÅ</t>
        </is>
      </c>
      <c r="G301" t="n">
        <v>1.3</v>
      </c>
      <c r="H301" t="n">
        <v>0</v>
      </c>
      <c r="I301" t="n">
        <v>0</v>
      </c>
      <c r="J301" t="n">
        <v>0</v>
      </c>
      <c r="K301" t="n">
        <v>0</v>
      </c>
      <c r="L301" t="n">
        <v>0</v>
      </c>
      <c r="M301" t="n">
        <v>0</v>
      </c>
      <c r="N301" t="n">
        <v>0</v>
      </c>
      <c r="O301" t="n">
        <v>0</v>
      </c>
      <c r="P301" t="n">
        <v>0</v>
      </c>
      <c r="Q301" t="n">
        <v>0</v>
      </c>
      <c r="R301" s="2" t="inlineStr"/>
    </row>
    <row r="302" ht="15" customHeight="1">
      <c r="A302" t="inlineStr">
        <is>
          <t>A 12885-2022</t>
        </is>
      </c>
      <c r="B302" s="1" t="n">
        <v>44642</v>
      </c>
      <c r="C302" s="1" t="n">
        <v>45764</v>
      </c>
      <c r="D302" t="inlineStr">
        <is>
          <t>VÄSTERNORRLANDS LÄN</t>
        </is>
      </c>
      <c r="E302" t="inlineStr">
        <is>
          <t>TIMRÅ</t>
        </is>
      </c>
      <c r="G302" t="n">
        <v>1.5</v>
      </c>
      <c r="H302" t="n">
        <v>0</v>
      </c>
      <c r="I302" t="n">
        <v>0</v>
      </c>
      <c r="J302" t="n">
        <v>0</v>
      </c>
      <c r="K302" t="n">
        <v>0</v>
      </c>
      <c r="L302" t="n">
        <v>0</v>
      </c>
      <c r="M302" t="n">
        <v>0</v>
      </c>
      <c r="N302" t="n">
        <v>0</v>
      </c>
      <c r="O302" t="n">
        <v>0</v>
      </c>
      <c r="P302" t="n">
        <v>0</v>
      </c>
      <c r="Q302" t="n">
        <v>0</v>
      </c>
      <c r="R302" s="2" t="inlineStr"/>
    </row>
    <row r="303" ht="15" customHeight="1">
      <c r="A303" t="inlineStr">
        <is>
          <t>A 14680-2022</t>
        </is>
      </c>
      <c r="B303" s="1" t="n">
        <v>44655</v>
      </c>
      <c r="C303" s="1" t="n">
        <v>45764</v>
      </c>
      <c r="D303" t="inlineStr">
        <is>
          <t>VÄSTERNORRLANDS LÄN</t>
        </is>
      </c>
      <c r="E303" t="inlineStr">
        <is>
          <t>TIMRÅ</t>
        </is>
      </c>
      <c r="G303" t="n">
        <v>8.9</v>
      </c>
      <c r="H303" t="n">
        <v>0</v>
      </c>
      <c r="I303" t="n">
        <v>0</v>
      </c>
      <c r="J303" t="n">
        <v>0</v>
      </c>
      <c r="K303" t="n">
        <v>0</v>
      </c>
      <c r="L303" t="n">
        <v>0</v>
      </c>
      <c r="M303" t="n">
        <v>0</v>
      </c>
      <c r="N303" t="n">
        <v>0</v>
      </c>
      <c r="O303" t="n">
        <v>0</v>
      </c>
      <c r="P303" t="n">
        <v>0</v>
      </c>
      <c r="Q303" t="n">
        <v>0</v>
      </c>
      <c r="R303" s="2" t="inlineStr"/>
    </row>
    <row r="304" ht="15" customHeight="1">
      <c r="A304" t="inlineStr">
        <is>
          <t>A 16519-2022</t>
        </is>
      </c>
      <c r="B304" s="1" t="n">
        <v>44672</v>
      </c>
      <c r="C304" s="1" t="n">
        <v>45764</v>
      </c>
      <c r="D304" t="inlineStr">
        <is>
          <t>VÄSTERNORRLANDS LÄN</t>
        </is>
      </c>
      <c r="E304" t="inlineStr">
        <is>
          <t>TIMRÅ</t>
        </is>
      </c>
      <c r="G304" t="n">
        <v>3</v>
      </c>
      <c r="H304" t="n">
        <v>0</v>
      </c>
      <c r="I304" t="n">
        <v>0</v>
      </c>
      <c r="J304" t="n">
        <v>0</v>
      </c>
      <c r="K304" t="n">
        <v>0</v>
      </c>
      <c r="L304" t="n">
        <v>0</v>
      </c>
      <c r="M304" t="n">
        <v>0</v>
      </c>
      <c r="N304" t="n">
        <v>0</v>
      </c>
      <c r="O304" t="n">
        <v>0</v>
      </c>
      <c r="P304" t="n">
        <v>0</v>
      </c>
      <c r="Q304" t="n">
        <v>0</v>
      </c>
      <c r="R304" s="2" t="inlineStr"/>
    </row>
    <row r="305" ht="15" customHeight="1">
      <c r="A305" t="inlineStr">
        <is>
          <t>A 17040-2022</t>
        </is>
      </c>
      <c r="B305" s="1" t="n">
        <v>44676</v>
      </c>
      <c r="C305" s="1" t="n">
        <v>45764</v>
      </c>
      <c r="D305" t="inlineStr">
        <is>
          <t>VÄSTERNORRLANDS LÄN</t>
        </is>
      </c>
      <c r="E305" t="inlineStr">
        <is>
          <t>TIMRÅ</t>
        </is>
      </c>
      <c r="G305" t="n">
        <v>3.5</v>
      </c>
      <c r="H305" t="n">
        <v>0</v>
      </c>
      <c r="I305" t="n">
        <v>0</v>
      </c>
      <c r="J305" t="n">
        <v>0</v>
      </c>
      <c r="K305" t="n">
        <v>0</v>
      </c>
      <c r="L305" t="n">
        <v>0</v>
      </c>
      <c r="M305" t="n">
        <v>0</v>
      </c>
      <c r="N305" t="n">
        <v>0</v>
      </c>
      <c r="O305" t="n">
        <v>0</v>
      </c>
      <c r="P305" t="n">
        <v>0</v>
      </c>
      <c r="Q305" t="n">
        <v>0</v>
      </c>
      <c r="R305" s="2" t="inlineStr"/>
    </row>
    <row r="306" ht="15" customHeight="1">
      <c r="A306" t="inlineStr">
        <is>
          <t>A 22194-2022</t>
        </is>
      </c>
      <c r="B306" s="1" t="n">
        <v>44712</v>
      </c>
      <c r="C306" s="1" t="n">
        <v>45764</v>
      </c>
      <c r="D306" t="inlineStr">
        <is>
          <t>VÄSTERNORRLANDS LÄN</t>
        </is>
      </c>
      <c r="E306" t="inlineStr">
        <is>
          <t>TIMRÅ</t>
        </is>
      </c>
      <c r="G306" t="n">
        <v>0.9</v>
      </c>
      <c r="H306" t="n">
        <v>0</v>
      </c>
      <c r="I306" t="n">
        <v>0</v>
      </c>
      <c r="J306" t="n">
        <v>0</v>
      </c>
      <c r="K306" t="n">
        <v>0</v>
      </c>
      <c r="L306" t="n">
        <v>0</v>
      </c>
      <c r="M306" t="n">
        <v>0</v>
      </c>
      <c r="N306" t="n">
        <v>0</v>
      </c>
      <c r="O306" t="n">
        <v>0</v>
      </c>
      <c r="P306" t="n">
        <v>0</v>
      </c>
      <c r="Q306" t="n">
        <v>0</v>
      </c>
      <c r="R306" s="2" t="inlineStr"/>
    </row>
    <row r="307" ht="15" customHeight="1">
      <c r="A307" t="inlineStr">
        <is>
          <t>A 23670-2022</t>
        </is>
      </c>
      <c r="B307" s="1" t="n">
        <v>44722</v>
      </c>
      <c r="C307" s="1" t="n">
        <v>45764</v>
      </c>
      <c r="D307" t="inlineStr">
        <is>
          <t>VÄSTERNORRLANDS LÄN</t>
        </is>
      </c>
      <c r="E307" t="inlineStr">
        <is>
          <t>TIMRÅ</t>
        </is>
      </c>
      <c r="G307" t="n">
        <v>4.9</v>
      </c>
      <c r="H307" t="n">
        <v>0</v>
      </c>
      <c r="I307" t="n">
        <v>0</v>
      </c>
      <c r="J307" t="n">
        <v>0</v>
      </c>
      <c r="K307" t="n">
        <v>0</v>
      </c>
      <c r="L307" t="n">
        <v>0</v>
      </c>
      <c r="M307" t="n">
        <v>0</v>
      </c>
      <c r="N307" t="n">
        <v>0</v>
      </c>
      <c r="O307" t="n">
        <v>0</v>
      </c>
      <c r="P307" t="n">
        <v>0</v>
      </c>
      <c r="Q307" t="n">
        <v>0</v>
      </c>
      <c r="R307" s="2" t="inlineStr"/>
    </row>
    <row r="308" ht="15" customHeight="1">
      <c r="A308" t="inlineStr">
        <is>
          <t>A 23693-2022</t>
        </is>
      </c>
      <c r="B308" s="1" t="n">
        <v>44721</v>
      </c>
      <c r="C308" s="1" t="n">
        <v>45764</v>
      </c>
      <c r="D308" t="inlineStr">
        <is>
          <t>VÄSTERNORRLANDS LÄN</t>
        </is>
      </c>
      <c r="E308" t="inlineStr">
        <is>
          <t>TIMRÅ</t>
        </is>
      </c>
      <c r="F308" t="inlineStr">
        <is>
          <t>SCA</t>
        </is>
      </c>
      <c r="G308" t="n">
        <v>5</v>
      </c>
      <c r="H308" t="n">
        <v>0</v>
      </c>
      <c r="I308" t="n">
        <v>0</v>
      </c>
      <c r="J308" t="n">
        <v>0</v>
      </c>
      <c r="K308" t="n">
        <v>0</v>
      </c>
      <c r="L308" t="n">
        <v>0</v>
      </c>
      <c r="M308" t="n">
        <v>0</v>
      </c>
      <c r="N308" t="n">
        <v>0</v>
      </c>
      <c r="O308" t="n">
        <v>0</v>
      </c>
      <c r="P308" t="n">
        <v>0</v>
      </c>
      <c r="Q308" t="n">
        <v>0</v>
      </c>
      <c r="R308" s="2" t="inlineStr"/>
    </row>
    <row r="309" ht="15" customHeight="1">
      <c r="A309" t="inlineStr">
        <is>
          <t>A 23676-2022</t>
        </is>
      </c>
      <c r="B309" s="1" t="n">
        <v>44721</v>
      </c>
      <c r="C309" s="1" t="n">
        <v>45764</v>
      </c>
      <c r="D309" t="inlineStr">
        <is>
          <t>VÄSTERNORRLANDS LÄN</t>
        </is>
      </c>
      <c r="E309" t="inlineStr">
        <is>
          <t>TIMRÅ</t>
        </is>
      </c>
      <c r="F309" t="inlineStr">
        <is>
          <t>SCA</t>
        </is>
      </c>
      <c r="G309" t="n">
        <v>4.1</v>
      </c>
      <c r="H309" t="n">
        <v>0</v>
      </c>
      <c r="I309" t="n">
        <v>0</v>
      </c>
      <c r="J309" t="n">
        <v>0</v>
      </c>
      <c r="K309" t="n">
        <v>0</v>
      </c>
      <c r="L309" t="n">
        <v>0</v>
      </c>
      <c r="M309" t="n">
        <v>0</v>
      </c>
      <c r="N309" t="n">
        <v>0</v>
      </c>
      <c r="O309" t="n">
        <v>0</v>
      </c>
      <c r="P309" t="n">
        <v>0</v>
      </c>
      <c r="Q309" t="n">
        <v>0</v>
      </c>
      <c r="R309" s="2" t="inlineStr"/>
    </row>
    <row r="310" ht="15" customHeight="1">
      <c r="A310" t="inlineStr">
        <is>
          <t>A 24304-2022</t>
        </is>
      </c>
      <c r="B310" s="1" t="n">
        <v>44725</v>
      </c>
      <c r="C310" s="1" t="n">
        <v>45764</v>
      </c>
      <c r="D310" t="inlineStr">
        <is>
          <t>VÄSTERNORRLANDS LÄN</t>
        </is>
      </c>
      <c r="E310" t="inlineStr">
        <is>
          <t>TIMRÅ</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24306-2022</t>
        </is>
      </c>
      <c r="B311" s="1" t="n">
        <v>44726</v>
      </c>
      <c r="C311" s="1" t="n">
        <v>45764</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24305-2022</t>
        </is>
      </c>
      <c r="B312" s="1" t="n">
        <v>44726</v>
      </c>
      <c r="C312" s="1" t="n">
        <v>45764</v>
      </c>
      <c r="D312" t="inlineStr">
        <is>
          <t>VÄSTERNORRLANDS LÄN</t>
        </is>
      </c>
      <c r="E312" t="inlineStr">
        <is>
          <t>TIMRÅ</t>
        </is>
      </c>
      <c r="F312" t="inlineStr">
        <is>
          <t>SCA</t>
        </is>
      </c>
      <c r="G312" t="n">
        <v>0.7</v>
      </c>
      <c r="H312" t="n">
        <v>0</v>
      </c>
      <c r="I312" t="n">
        <v>0</v>
      </c>
      <c r="J312" t="n">
        <v>0</v>
      </c>
      <c r="K312" t="n">
        <v>0</v>
      </c>
      <c r="L312" t="n">
        <v>0</v>
      </c>
      <c r="M312" t="n">
        <v>0</v>
      </c>
      <c r="N312" t="n">
        <v>0</v>
      </c>
      <c r="O312" t="n">
        <v>0</v>
      </c>
      <c r="P312" t="n">
        <v>0</v>
      </c>
      <c r="Q312" t="n">
        <v>0</v>
      </c>
      <c r="R312" s="2" t="inlineStr"/>
    </row>
    <row r="313" ht="15" customHeight="1">
      <c r="A313" t="inlineStr">
        <is>
          <t>A 24988-2022</t>
        </is>
      </c>
      <c r="B313" s="1" t="n">
        <v>44728</v>
      </c>
      <c r="C313" s="1" t="n">
        <v>45764</v>
      </c>
      <c r="D313" t="inlineStr">
        <is>
          <t>VÄSTERNORRLANDS LÄN</t>
        </is>
      </c>
      <c r="E313" t="inlineStr">
        <is>
          <t>TIMRÅ</t>
        </is>
      </c>
      <c r="G313" t="n">
        <v>1.7</v>
      </c>
      <c r="H313" t="n">
        <v>0</v>
      </c>
      <c r="I313" t="n">
        <v>0</v>
      </c>
      <c r="J313" t="n">
        <v>0</v>
      </c>
      <c r="K313" t="n">
        <v>0</v>
      </c>
      <c r="L313" t="n">
        <v>0</v>
      </c>
      <c r="M313" t="n">
        <v>0</v>
      </c>
      <c r="N313" t="n">
        <v>0</v>
      </c>
      <c r="O313" t="n">
        <v>0</v>
      </c>
      <c r="P313" t="n">
        <v>0</v>
      </c>
      <c r="Q313" t="n">
        <v>0</v>
      </c>
      <c r="R313" s="2" t="inlineStr"/>
    </row>
    <row r="314" ht="15" customHeight="1">
      <c r="A314" t="inlineStr">
        <is>
          <t>A 25414-2022</t>
        </is>
      </c>
      <c r="B314" s="1" t="n">
        <v>44732</v>
      </c>
      <c r="C314" s="1" t="n">
        <v>45764</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25644-2022</t>
        </is>
      </c>
      <c r="B315" s="1" t="n">
        <v>44732</v>
      </c>
      <c r="C315" s="1" t="n">
        <v>45764</v>
      </c>
      <c r="D315" t="inlineStr">
        <is>
          <t>VÄSTERNORRLANDS LÄN</t>
        </is>
      </c>
      <c r="E315" t="inlineStr">
        <is>
          <t>TIMRÅ</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29308-2022</t>
        </is>
      </c>
      <c r="B316" s="1" t="n">
        <v>44750</v>
      </c>
      <c r="C316" s="1" t="n">
        <v>45764</v>
      </c>
      <c r="D316" t="inlineStr">
        <is>
          <t>VÄSTERNORRLANDS LÄN</t>
        </is>
      </c>
      <c r="E316" t="inlineStr">
        <is>
          <t>TIMRÅ</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29306-2022</t>
        </is>
      </c>
      <c r="B317" s="1" t="n">
        <v>44751</v>
      </c>
      <c r="C317" s="1" t="n">
        <v>45764</v>
      </c>
      <c r="D317" t="inlineStr">
        <is>
          <t>VÄSTERNORRLANDS LÄN</t>
        </is>
      </c>
      <c r="E317" t="inlineStr">
        <is>
          <t>TIMRÅ</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31489-2022</t>
        </is>
      </c>
      <c r="B318" s="1" t="n">
        <v>44774</v>
      </c>
      <c r="C318" s="1" t="n">
        <v>45764</v>
      </c>
      <c r="D318" t="inlineStr">
        <is>
          <t>VÄSTERNORRLANDS LÄN</t>
        </is>
      </c>
      <c r="E318" t="inlineStr">
        <is>
          <t>TIMRÅ</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31981-2022</t>
        </is>
      </c>
      <c r="B319" s="1" t="n">
        <v>44778</v>
      </c>
      <c r="C319" s="1" t="n">
        <v>45764</v>
      </c>
      <c r="D319" t="inlineStr">
        <is>
          <t>VÄSTERNORRLANDS LÄN</t>
        </is>
      </c>
      <c r="E319" t="inlineStr">
        <is>
          <t>TIMRÅ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32519-2022</t>
        </is>
      </c>
      <c r="B320" s="1" t="n">
        <v>44782</v>
      </c>
      <c r="C320" s="1" t="n">
        <v>45764</v>
      </c>
      <c r="D320" t="inlineStr">
        <is>
          <t>VÄSTERNORRLANDS LÄN</t>
        </is>
      </c>
      <c r="E320" t="inlineStr">
        <is>
          <t>TIMRÅ</t>
        </is>
      </c>
      <c r="G320" t="n">
        <v>1.5</v>
      </c>
      <c r="H320" t="n">
        <v>0</v>
      </c>
      <c r="I320" t="n">
        <v>0</v>
      </c>
      <c r="J320" t="n">
        <v>0</v>
      </c>
      <c r="K320" t="n">
        <v>0</v>
      </c>
      <c r="L320" t="n">
        <v>0</v>
      </c>
      <c r="M320" t="n">
        <v>0</v>
      </c>
      <c r="N320" t="n">
        <v>0</v>
      </c>
      <c r="O320" t="n">
        <v>0</v>
      </c>
      <c r="P320" t="n">
        <v>0</v>
      </c>
      <c r="Q320" t="n">
        <v>0</v>
      </c>
      <c r="R320" s="2" t="inlineStr"/>
    </row>
    <row r="321" ht="15" customHeight="1">
      <c r="A321" t="inlineStr">
        <is>
          <t>A 33719-2022</t>
        </is>
      </c>
      <c r="B321" s="1" t="n">
        <v>44790</v>
      </c>
      <c r="C321" s="1" t="n">
        <v>45764</v>
      </c>
      <c r="D321" t="inlineStr">
        <is>
          <t>VÄSTERNORRLANDS LÄN</t>
        </is>
      </c>
      <c r="E321" t="inlineStr">
        <is>
          <t>TIMRÅ</t>
        </is>
      </c>
      <c r="G321" t="n">
        <v>2.3</v>
      </c>
      <c r="H321" t="n">
        <v>0</v>
      </c>
      <c r="I321" t="n">
        <v>0</v>
      </c>
      <c r="J321" t="n">
        <v>0</v>
      </c>
      <c r="K321" t="n">
        <v>0</v>
      </c>
      <c r="L321" t="n">
        <v>0</v>
      </c>
      <c r="M321" t="n">
        <v>0</v>
      </c>
      <c r="N321" t="n">
        <v>0</v>
      </c>
      <c r="O321" t="n">
        <v>0</v>
      </c>
      <c r="P321" t="n">
        <v>0</v>
      </c>
      <c r="Q321" t="n">
        <v>0</v>
      </c>
      <c r="R321" s="2" t="inlineStr"/>
    </row>
    <row r="322" ht="15" customHeight="1">
      <c r="A322" t="inlineStr">
        <is>
          <t>A 34041-2022</t>
        </is>
      </c>
      <c r="B322" s="1" t="n">
        <v>44790</v>
      </c>
      <c r="C322" s="1" t="n">
        <v>45764</v>
      </c>
      <c r="D322" t="inlineStr">
        <is>
          <t>VÄSTERNORRLANDS LÄN</t>
        </is>
      </c>
      <c r="E322" t="inlineStr">
        <is>
          <t>TIMRÅ</t>
        </is>
      </c>
      <c r="G322" t="n">
        <v>1.8</v>
      </c>
      <c r="H322" t="n">
        <v>0</v>
      </c>
      <c r="I322" t="n">
        <v>0</v>
      </c>
      <c r="J322" t="n">
        <v>0</v>
      </c>
      <c r="K322" t="n">
        <v>0</v>
      </c>
      <c r="L322" t="n">
        <v>0</v>
      </c>
      <c r="M322" t="n">
        <v>0</v>
      </c>
      <c r="N322" t="n">
        <v>0</v>
      </c>
      <c r="O322" t="n">
        <v>0</v>
      </c>
      <c r="P322" t="n">
        <v>0</v>
      </c>
      <c r="Q322" t="n">
        <v>0</v>
      </c>
      <c r="R322" s="2" t="inlineStr"/>
    </row>
    <row r="323" ht="15" customHeight="1">
      <c r="A323" t="inlineStr">
        <is>
          <t>A 34053-2022</t>
        </is>
      </c>
      <c r="B323" s="1" t="n">
        <v>44790</v>
      </c>
      <c r="C323" s="1" t="n">
        <v>45764</v>
      </c>
      <c r="D323" t="inlineStr">
        <is>
          <t>VÄSTERNORRLANDS LÄN</t>
        </is>
      </c>
      <c r="E323" t="inlineStr">
        <is>
          <t>TIMRÅ</t>
        </is>
      </c>
      <c r="G323" t="n">
        <v>1</v>
      </c>
      <c r="H323" t="n">
        <v>0</v>
      </c>
      <c r="I323" t="n">
        <v>0</v>
      </c>
      <c r="J323" t="n">
        <v>0</v>
      </c>
      <c r="K323" t="n">
        <v>0</v>
      </c>
      <c r="L323" t="n">
        <v>0</v>
      </c>
      <c r="M323" t="n">
        <v>0</v>
      </c>
      <c r="N323" t="n">
        <v>0</v>
      </c>
      <c r="O323" t="n">
        <v>0</v>
      </c>
      <c r="P323" t="n">
        <v>0</v>
      </c>
      <c r="Q323" t="n">
        <v>0</v>
      </c>
      <c r="R323" s="2" t="inlineStr"/>
    </row>
    <row r="324" ht="15" customHeight="1">
      <c r="A324" t="inlineStr">
        <is>
          <t>A 34038-2022</t>
        </is>
      </c>
      <c r="B324" s="1" t="n">
        <v>44791</v>
      </c>
      <c r="C324" s="1" t="n">
        <v>45764</v>
      </c>
      <c r="D324" t="inlineStr">
        <is>
          <t>VÄSTERNORRLANDS LÄN</t>
        </is>
      </c>
      <c r="E324" t="inlineStr">
        <is>
          <t>TIMRÅ</t>
        </is>
      </c>
      <c r="G324" t="n">
        <v>2.5</v>
      </c>
      <c r="H324" t="n">
        <v>0</v>
      </c>
      <c r="I324" t="n">
        <v>0</v>
      </c>
      <c r="J324" t="n">
        <v>0</v>
      </c>
      <c r="K324" t="n">
        <v>0</v>
      </c>
      <c r="L324" t="n">
        <v>0</v>
      </c>
      <c r="M324" t="n">
        <v>0</v>
      </c>
      <c r="N324" t="n">
        <v>0</v>
      </c>
      <c r="O324" t="n">
        <v>0</v>
      </c>
      <c r="P324" t="n">
        <v>0</v>
      </c>
      <c r="Q324" t="n">
        <v>0</v>
      </c>
      <c r="R324" s="2" t="inlineStr"/>
    </row>
    <row r="325" ht="15" customHeight="1">
      <c r="A325" t="inlineStr">
        <is>
          <t>A 34099-2022</t>
        </is>
      </c>
      <c r="B325" s="1" t="n">
        <v>44791</v>
      </c>
      <c r="C325" s="1" t="n">
        <v>45764</v>
      </c>
      <c r="D325" t="inlineStr">
        <is>
          <t>VÄSTERNORRLANDS LÄN</t>
        </is>
      </c>
      <c r="E325" t="inlineStr">
        <is>
          <t>TIMRÅ</t>
        </is>
      </c>
      <c r="G325" t="n">
        <v>2.7</v>
      </c>
      <c r="H325" t="n">
        <v>0</v>
      </c>
      <c r="I325" t="n">
        <v>0</v>
      </c>
      <c r="J325" t="n">
        <v>0</v>
      </c>
      <c r="K325" t="n">
        <v>0</v>
      </c>
      <c r="L325" t="n">
        <v>0</v>
      </c>
      <c r="M325" t="n">
        <v>0</v>
      </c>
      <c r="N325" t="n">
        <v>0</v>
      </c>
      <c r="O325" t="n">
        <v>0</v>
      </c>
      <c r="P325" t="n">
        <v>0</v>
      </c>
      <c r="Q325" t="n">
        <v>0</v>
      </c>
      <c r="R325" s="2" t="inlineStr"/>
    </row>
    <row r="326" ht="15" customHeight="1">
      <c r="A326" t="inlineStr">
        <is>
          <t>A 34246-2022</t>
        </is>
      </c>
      <c r="B326" s="1" t="n">
        <v>44791</v>
      </c>
      <c r="C326" s="1" t="n">
        <v>45764</v>
      </c>
      <c r="D326" t="inlineStr">
        <is>
          <t>VÄSTERNORRLANDS LÄN</t>
        </is>
      </c>
      <c r="E326" t="inlineStr">
        <is>
          <t>TIMRÅ</t>
        </is>
      </c>
      <c r="G326" t="n">
        <v>7.7</v>
      </c>
      <c r="H326" t="n">
        <v>0</v>
      </c>
      <c r="I326" t="n">
        <v>0</v>
      </c>
      <c r="J326" t="n">
        <v>0</v>
      </c>
      <c r="K326" t="n">
        <v>0</v>
      </c>
      <c r="L326" t="n">
        <v>0</v>
      </c>
      <c r="M326" t="n">
        <v>0</v>
      </c>
      <c r="N326" t="n">
        <v>0</v>
      </c>
      <c r="O326" t="n">
        <v>0</v>
      </c>
      <c r="P326" t="n">
        <v>0</v>
      </c>
      <c r="Q326" t="n">
        <v>0</v>
      </c>
      <c r="R326" s="2" t="inlineStr"/>
    </row>
    <row r="327" ht="15" customHeight="1">
      <c r="A327" t="inlineStr">
        <is>
          <t>A 35477-2022</t>
        </is>
      </c>
      <c r="B327" s="1" t="n">
        <v>44799</v>
      </c>
      <c r="C327" s="1" t="n">
        <v>45764</v>
      </c>
      <c r="D327" t="inlineStr">
        <is>
          <t>VÄSTERNORRLANDS LÄN</t>
        </is>
      </c>
      <c r="E327" t="inlineStr">
        <is>
          <t>TIMRÅ</t>
        </is>
      </c>
      <c r="G327" t="n">
        <v>1</v>
      </c>
      <c r="H327" t="n">
        <v>0</v>
      </c>
      <c r="I327" t="n">
        <v>0</v>
      </c>
      <c r="J327" t="n">
        <v>0</v>
      </c>
      <c r="K327" t="n">
        <v>0</v>
      </c>
      <c r="L327" t="n">
        <v>0</v>
      </c>
      <c r="M327" t="n">
        <v>0</v>
      </c>
      <c r="N327" t="n">
        <v>0</v>
      </c>
      <c r="O327" t="n">
        <v>0</v>
      </c>
      <c r="P327" t="n">
        <v>0</v>
      </c>
      <c r="Q327" t="n">
        <v>0</v>
      </c>
      <c r="R327" s="2" t="inlineStr"/>
    </row>
    <row r="328" ht="15" customHeight="1">
      <c r="A328" t="inlineStr">
        <is>
          <t>A 35448-2022</t>
        </is>
      </c>
      <c r="B328" s="1" t="n">
        <v>44798</v>
      </c>
      <c r="C328" s="1" t="n">
        <v>45764</v>
      </c>
      <c r="D328" t="inlineStr">
        <is>
          <t>VÄSTERNORRLANDS LÄN</t>
        </is>
      </c>
      <c r="E328" t="inlineStr">
        <is>
          <t>TIMRÅ</t>
        </is>
      </c>
      <c r="G328" t="n">
        <v>2.8</v>
      </c>
      <c r="H328" t="n">
        <v>0</v>
      </c>
      <c r="I328" t="n">
        <v>0</v>
      </c>
      <c r="J328" t="n">
        <v>0</v>
      </c>
      <c r="K328" t="n">
        <v>0</v>
      </c>
      <c r="L328" t="n">
        <v>0</v>
      </c>
      <c r="M328" t="n">
        <v>0</v>
      </c>
      <c r="N328" t="n">
        <v>0</v>
      </c>
      <c r="O328" t="n">
        <v>0</v>
      </c>
      <c r="P328" t="n">
        <v>0</v>
      </c>
      <c r="Q328" t="n">
        <v>0</v>
      </c>
      <c r="R328" s="2" t="inlineStr"/>
    </row>
    <row r="329" ht="15" customHeight="1">
      <c r="A329" t="inlineStr">
        <is>
          <t>A 35758-2022</t>
        </is>
      </c>
      <c r="B329" s="1" t="n">
        <v>44799</v>
      </c>
      <c r="C329" s="1" t="n">
        <v>45764</v>
      </c>
      <c r="D329" t="inlineStr">
        <is>
          <t>VÄSTERNORRLANDS LÄN</t>
        </is>
      </c>
      <c r="E329" t="inlineStr">
        <is>
          <t>TIMRÅ</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36564-2022</t>
        </is>
      </c>
      <c r="B330" s="1" t="n">
        <v>44804</v>
      </c>
      <c r="C330" s="1" t="n">
        <v>45764</v>
      </c>
      <c r="D330" t="inlineStr">
        <is>
          <t>VÄSTERNORRLANDS LÄN</t>
        </is>
      </c>
      <c r="E330" t="inlineStr">
        <is>
          <t>TIMRÅ</t>
        </is>
      </c>
      <c r="G330" t="n">
        <v>16.6</v>
      </c>
      <c r="H330" t="n">
        <v>0</v>
      </c>
      <c r="I330" t="n">
        <v>0</v>
      </c>
      <c r="J330" t="n">
        <v>0</v>
      </c>
      <c r="K330" t="n">
        <v>0</v>
      </c>
      <c r="L330" t="n">
        <v>0</v>
      </c>
      <c r="M330" t="n">
        <v>0</v>
      </c>
      <c r="N330" t="n">
        <v>0</v>
      </c>
      <c r="O330" t="n">
        <v>0</v>
      </c>
      <c r="P330" t="n">
        <v>0</v>
      </c>
      <c r="Q330" t="n">
        <v>0</v>
      </c>
      <c r="R330" s="2" t="inlineStr"/>
    </row>
    <row r="331" ht="15" customHeight="1">
      <c r="A331" t="inlineStr">
        <is>
          <t>A 38445-2022</t>
        </is>
      </c>
      <c r="B331" s="1" t="n">
        <v>44813</v>
      </c>
      <c r="C331" s="1" t="n">
        <v>45764</v>
      </c>
      <c r="D331" t="inlineStr">
        <is>
          <t>VÄSTERNORRLANDS LÄN</t>
        </is>
      </c>
      <c r="E331" t="inlineStr">
        <is>
          <t>TIMRÅ</t>
        </is>
      </c>
      <c r="G331" t="n">
        <v>0.7</v>
      </c>
      <c r="H331" t="n">
        <v>0</v>
      </c>
      <c r="I331" t="n">
        <v>0</v>
      </c>
      <c r="J331" t="n">
        <v>0</v>
      </c>
      <c r="K331" t="n">
        <v>0</v>
      </c>
      <c r="L331" t="n">
        <v>0</v>
      </c>
      <c r="M331" t="n">
        <v>0</v>
      </c>
      <c r="N331" t="n">
        <v>0</v>
      </c>
      <c r="O331" t="n">
        <v>0</v>
      </c>
      <c r="P331" t="n">
        <v>0</v>
      </c>
      <c r="Q331" t="n">
        <v>0</v>
      </c>
      <c r="R331" s="2" t="inlineStr"/>
    </row>
    <row r="332" ht="15" customHeight="1">
      <c r="A332" t="inlineStr">
        <is>
          <t>A 39108-2022</t>
        </is>
      </c>
      <c r="B332" s="1" t="n">
        <v>44817</v>
      </c>
      <c r="C332" s="1" t="n">
        <v>45764</v>
      </c>
      <c r="D332" t="inlineStr">
        <is>
          <t>VÄSTERNORRLANDS LÄN</t>
        </is>
      </c>
      <c r="E332" t="inlineStr">
        <is>
          <t>TIMRÅ</t>
        </is>
      </c>
      <c r="G332" t="n">
        <v>2.5</v>
      </c>
      <c r="H332" t="n">
        <v>0</v>
      </c>
      <c r="I332" t="n">
        <v>0</v>
      </c>
      <c r="J332" t="n">
        <v>0</v>
      </c>
      <c r="K332" t="n">
        <v>0</v>
      </c>
      <c r="L332" t="n">
        <v>0</v>
      </c>
      <c r="M332" t="n">
        <v>0</v>
      </c>
      <c r="N332" t="n">
        <v>0</v>
      </c>
      <c r="O332" t="n">
        <v>0</v>
      </c>
      <c r="P332" t="n">
        <v>0</v>
      </c>
      <c r="Q332" t="n">
        <v>0</v>
      </c>
      <c r="R332" s="2" t="inlineStr"/>
    </row>
    <row r="333" ht="15" customHeight="1">
      <c r="A333" t="inlineStr">
        <is>
          <t>A 39691-2022</t>
        </is>
      </c>
      <c r="B333" s="1" t="n">
        <v>44819</v>
      </c>
      <c r="C333" s="1" t="n">
        <v>45764</v>
      </c>
      <c r="D333" t="inlineStr">
        <is>
          <t>VÄSTERNORRLANDS LÄN</t>
        </is>
      </c>
      <c r="E333" t="inlineStr">
        <is>
          <t>TIMRÅ</t>
        </is>
      </c>
      <c r="G333" t="n">
        <v>1.4</v>
      </c>
      <c r="H333" t="n">
        <v>0</v>
      </c>
      <c r="I333" t="n">
        <v>0</v>
      </c>
      <c r="J333" t="n">
        <v>0</v>
      </c>
      <c r="K333" t="n">
        <v>0</v>
      </c>
      <c r="L333" t="n">
        <v>0</v>
      </c>
      <c r="M333" t="n">
        <v>0</v>
      </c>
      <c r="N333" t="n">
        <v>0</v>
      </c>
      <c r="O333" t="n">
        <v>0</v>
      </c>
      <c r="P333" t="n">
        <v>0</v>
      </c>
      <c r="Q333" t="n">
        <v>0</v>
      </c>
      <c r="R333" s="2" t="inlineStr"/>
    </row>
    <row r="334" ht="15" customHeight="1">
      <c r="A334" t="inlineStr">
        <is>
          <t>A 40270-2022</t>
        </is>
      </c>
      <c r="B334" s="1" t="n">
        <v>44821</v>
      </c>
      <c r="C334" s="1" t="n">
        <v>45764</v>
      </c>
      <c r="D334" t="inlineStr">
        <is>
          <t>VÄSTERNORRLANDS LÄN</t>
        </is>
      </c>
      <c r="E334" t="inlineStr">
        <is>
          <t>TIMRÅ</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41465-2022</t>
        </is>
      </c>
      <c r="B335" s="1" t="n">
        <v>44827</v>
      </c>
      <c r="C335" s="1" t="n">
        <v>45764</v>
      </c>
      <c r="D335" t="inlineStr">
        <is>
          <t>VÄSTERNORRLANDS LÄN</t>
        </is>
      </c>
      <c r="E335" t="inlineStr">
        <is>
          <t>TIMRÅ</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41457-2022</t>
        </is>
      </c>
      <c r="B336" s="1" t="n">
        <v>44826</v>
      </c>
      <c r="C336" s="1" t="n">
        <v>45764</v>
      </c>
      <c r="D336" t="inlineStr">
        <is>
          <t>VÄSTERNORRLANDS LÄN</t>
        </is>
      </c>
      <c r="E336" t="inlineStr">
        <is>
          <t>TIMRÅ</t>
        </is>
      </c>
      <c r="G336" t="n">
        <v>2.9</v>
      </c>
      <c r="H336" t="n">
        <v>0</v>
      </c>
      <c r="I336" t="n">
        <v>0</v>
      </c>
      <c r="J336" t="n">
        <v>0</v>
      </c>
      <c r="K336" t="n">
        <v>0</v>
      </c>
      <c r="L336" t="n">
        <v>0</v>
      </c>
      <c r="M336" t="n">
        <v>0</v>
      </c>
      <c r="N336" t="n">
        <v>0</v>
      </c>
      <c r="O336" t="n">
        <v>0</v>
      </c>
      <c r="P336" t="n">
        <v>0</v>
      </c>
      <c r="Q336" t="n">
        <v>0</v>
      </c>
      <c r="R336" s="2" t="inlineStr"/>
    </row>
    <row r="337" ht="15" customHeight="1">
      <c r="A337" t="inlineStr">
        <is>
          <t>A 42281-2022</t>
        </is>
      </c>
      <c r="B337" s="1" t="n">
        <v>44830</v>
      </c>
      <c r="C337" s="1" t="n">
        <v>45764</v>
      </c>
      <c r="D337" t="inlineStr">
        <is>
          <t>VÄSTERNORRLANDS LÄN</t>
        </is>
      </c>
      <c r="E337" t="inlineStr">
        <is>
          <t>TIMRÅ</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43233-2022</t>
        </is>
      </c>
      <c r="B338" s="1" t="n">
        <v>44833</v>
      </c>
      <c r="C338" s="1" t="n">
        <v>45764</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43135-2022</t>
        </is>
      </c>
      <c r="B339" s="1" t="n">
        <v>44833</v>
      </c>
      <c r="C339" s="1" t="n">
        <v>45764</v>
      </c>
      <c r="D339" t="inlineStr">
        <is>
          <t>VÄSTERNORRLANDS LÄN</t>
        </is>
      </c>
      <c r="E339" t="inlineStr">
        <is>
          <t>TIMRÅ</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43162-2022</t>
        </is>
      </c>
      <c r="B340" s="1" t="n">
        <v>44834</v>
      </c>
      <c r="C340" s="1" t="n">
        <v>45764</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43237-2022</t>
        </is>
      </c>
      <c r="B341" s="1" t="n">
        <v>44833</v>
      </c>
      <c r="C341" s="1" t="n">
        <v>45764</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44432-2022</t>
        </is>
      </c>
      <c r="B342" s="1" t="n">
        <v>44839</v>
      </c>
      <c r="C342" s="1" t="n">
        <v>45764</v>
      </c>
      <c r="D342" t="inlineStr">
        <is>
          <t>VÄSTERNORRLANDS LÄN</t>
        </is>
      </c>
      <c r="E342" t="inlineStr">
        <is>
          <t>TIMRÅ</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44759-2022</t>
        </is>
      </c>
      <c r="B343" s="1" t="n">
        <v>44840</v>
      </c>
      <c r="C343" s="1" t="n">
        <v>45764</v>
      </c>
      <c r="D343" t="inlineStr">
        <is>
          <t>VÄSTERNORRLANDS LÄN</t>
        </is>
      </c>
      <c r="E343" t="inlineStr">
        <is>
          <t>TIMRÅ</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45688-2022</t>
        </is>
      </c>
      <c r="B344" s="1" t="n">
        <v>44845</v>
      </c>
      <c r="C344" s="1" t="n">
        <v>45764</v>
      </c>
      <c r="D344" t="inlineStr">
        <is>
          <t>VÄSTERNORRLANDS LÄN</t>
        </is>
      </c>
      <c r="E344" t="inlineStr">
        <is>
          <t>TIMRÅ</t>
        </is>
      </c>
      <c r="G344" t="n">
        <v>1.1</v>
      </c>
      <c r="H344" t="n">
        <v>0</v>
      </c>
      <c r="I344" t="n">
        <v>0</v>
      </c>
      <c r="J344" t="n">
        <v>0</v>
      </c>
      <c r="K344" t="n">
        <v>0</v>
      </c>
      <c r="L344" t="n">
        <v>0</v>
      </c>
      <c r="M344" t="n">
        <v>0</v>
      </c>
      <c r="N344" t="n">
        <v>0</v>
      </c>
      <c r="O344" t="n">
        <v>0</v>
      </c>
      <c r="P344" t="n">
        <v>0</v>
      </c>
      <c r="Q344" t="n">
        <v>0</v>
      </c>
      <c r="R344" s="2" t="inlineStr"/>
    </row>
    <row r="345" ht="15" customHeight="1">
      <c r="A345" t="inlineStr">
        <is>
          <t>A 45695-2022</t>
        </is>
      </c>
      <c r="B345" s="1" t="n">
        <v>44846</v>
      </c>
      <c r="C345" s="1" t="n">
        <v>45764</v>
      </c>
      <c r="D345" t="inlineStr">
        <is>
          <t>VÄSTERNORRLANDS LÄN</t>
        </is>
      </c>
      <c r="E345" t="inlineStr">
        <is>
          <t>TIMRÅ</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46021-2022</t>
        </is>
      </c>
      <c r="B346" s="1" t="n">
        <v>44846</v>
      </c>
      <c r="C346" s="1" t="n">
        <v>45764</v>
      </c>
      <c r="D346" t="inlineStr">
        <is>
          <t>VÄSTERNORRLANDS LÄN</t>
        </is>
      </c>
      <c r="E346" t="inlineStr">
        <is>
          <t>TIMRÅ</t>
        </is>
      </c>
      <c r="F346" t="inlineStr">
        <is>
          <t>Kyrkan</t>
        </is>
      </c>
      <c r="G346" t="n">
        <v>18</v>
      </c>
      <c r="H346" t="n">
        <v>0</v>
      </c>
      <c r="I346" t="n">
        <v>0</v>
      </c>
      <c r="J346" t="n">
        <v>0</v>
      </c>
      <c r="K346" t="n">
        <v>0</v>
      </c>
      <c r="L346" t="n">
        <v>0</v>
      </c>
      <c r="M346" t="n">
        <v>0</v>
      </c>
      <c r="N346" t="n">
        <v>0</v>
      </c>
      <c r="O346" t="n">
        <v>0</v>
      </c>
      <c r="P346" t="n">
        <v>0</v>
      </c>
      <c r="Q346" t="n">
        <v>0</v>
      </c>
      <c r="R346" s="2" t="inlineStr"/>
    </row>
    <row r="347" ht="15" customHeight="1">
      <c r="A347" t="inlineStr">
        <is>
          <t>A 46028-2022</t>
        </is>
      </c>
      <c r="B347" s="1" t="n">
        <v>44846</v>
      </c>
      <c r="C347" s="1" t="n">
        <v>45764</v>
      </c>
      <c r="D347" t="inlineStr">
        <is>
          <t>VÄSTERNORRLANDS LÄN</t>
        </is>
      </c>
      <c r="E347" t="inlineStr">
        <is>
          <t>TIMRÅ</t>
        </is>
      </c>
      <c r="F347" t="inlineStr">
        <is>
          <t>Kyrkan</t>
        </is>
      </c>
      <c r="G347" t="n">
        <v>7.9</v>
      </c>
      <c r="H347" t="n">
        <v>0</v>
      </c>
      <c r="I347" t="n">
        <v>0</v>
      </c>
      <c r="J347" t="n">
        <v>0</v>
      </c>
      <c r="K347" t="n">
        <v>0</v>
      </c>
      <c r="L347" t="n">
        <v>0</v>
      </c>
      <c r="M347" t="n">
        <v>0</v>
      </c>
      <c r="N347" t="n">
        <v>0</v>
      </c>
      <c r="O347" t="n">
        <v>0</v>
      </c>
      <c r="P347" t="n">
        <v>0</v>
      </c>
      <c r="Q347" t="n">
        <v>0</v>
      </c>
      <c r="R347" s="2" t="inlineStr"/>
    </row>
    <row r="348" ht="15" customHeight="1">
      <c r="A348" t="inlineStr">
        <is>
          <t>A 46650-2022</t>
        </is>
      </c>
      <c r="B348" s="1" t="n">
        <v>44849</v>
      </c>
      <c r="C348" s="1" t="n">
        <v>45764</v>
      </c>
      <c r="D348" t="inlineStr">
        <is>
          <t>VÄSTERNORRLANDS LÄN</t>
        </is>
      </c>
      <c r="E348" t="inlineStr">
        <is>
          <t>TIMRÅ</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46971-2022</t>
        </is>
      </c>
      <c r="B349" s="1" t="n">
        <v>44852</v>
      </c>
      <c r="C349" s="1" t="n">
        <v>45764</v>
      </c>
      <c r="D349" t="inlineStr">
        <is>
          <t>VÄSTERNORRLANDS LÄN</t>
        </is>
      </c>
      <c r="E349" t="inlineStr">
        <is>
          <t>TIMRÅ</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47293-2022</t>
        </is>
      </c>
      <c r="B350" s="1" t="n">
        <v>44853</v>
      </c>
      <c r="C350" s="1" t="n">
        <v>45764</v>
      </c>
      <c r="D350" t="inlineStr">
        <is>
          <t>VÄSTERNORRLANDS LÄN</t>
        </is>
      </c>
      <c r="E350" t="inlineStr">
        <is>
          <t>TIMRÅ</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47347-2022</t>
        </is>
      </c>
      <c r="B351" s="1" t="n">
        <v>44852</v>
      </c>
      <c r="C351" s="1" t="n">
        <v>45764</v>
      </c>
      <c r="D351" t="inlineStr">
        <is>
          <t>VÄSTERNORRLANDS LÄN</t>
        </is>
      </c>
      <c r="E351" t="inlineStr">
        <is>
          <t>TIMRÅ</t>
        </is>
      </c>
      <c r="G351" t="n">
        <v>1.7</v>
      </c>
      <c r="H351" t="n">
        <v>0</v>
      </c>
      <c r="I351" t="n">
        <v>0</v>
      </c>
      <c r="J351" t="n">
        <v>0</v>
      </c>
      <c r="K351" t="n">
        <v>0</v>
      </c>
      <c r="L351" t="n">
        <v>0</v>
      </c>
      <c r="M351" t="n">
        <v>0</v>
      </c>
      <c r="N351" t="n">
        <v>0</v>
      </c>
      <c r="O351" t="n">
        <v>0</v>
      </c>
      <c r="P351" t="n">
        <v>0</v>
      </c>
      <c r="Q351" t="n">
        <v>0</v>
      </c>
      <c r="R351" s="2" t="inlineStr"/>
    </row>
    <row r="352" ht="15" customHeight="1">
      <c r="A352" t="inlineStr">
        <is>
          <t>A 47562-2022</t>
        </is>
      </c>
      <c r="B352" s="1" t="n">
        <v>44853</v>
      </c>
      <c r="C352" s="1" t="n">
        <v>45764</v>
      </c>
      <c r="D352" t="inlineStr">
        <is>
          <t>VÄSTERNORRLANDS LÄN</t>
        </is>
      </c>
      <c r="E352" t="inlineStr">
        <is>
          <t>TIMRÅ</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47588-2022</t>
        </is>
      </c>
      <c r="B353" s="1" t="n">
        <v>44854</v>
      </c>
      <c r="C353" s="1" t="n">
        <v>45764</v>
      </c>
      <c r="D353" t="inlineStr">
        <is>
          <t>VÄSTERNORRLANDS LÄN</t>
        </is>
      </c>
      <c r="E353" t="inlineStr">
        <is>
          <t>TIMRÅ</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47697-2022</t>
        </is>
      </c>
      <c r="B354" s="1" t="n">
        <v>44854</v>
      </c>
      <c r="C354" s="1" t="n">
        <v>45764</v>
      </c>
      <c r="D354" t="inlineStr">
        <is>
          <t>VÄSTERNORRLANDS LÄN</t>
        </is>
      </c>
      <c r="E354" t="inlineStr">
        <is>
          <t>TIMRÅ</t>
        </is>
      </c>
      <c r="G354" t="n">
        <v>3.4</v>
      </c>
      <c r="H354" t="n">
        <v>0</v>
      </c>
      <c r="I354" t="n">
        <v>0</v>
      </c>
      <c r="J354" t="n">
        <v>0</v>
      </c>
      <c r="K354" t="n">
        <v>0</v>
      </c>
      <c r="L354" t="n">
        <v>0</v>
      </c>
      <c r="M354" t="n">
        <v>0</v>
      </c>
      <c r="N354" t="n">
        <v>0</v>
      </c>
      <c r="O354" t="n">
        <v>0</v>
      </c>
      <c r="P354" t="n">
        <v>0</v>
      </c>
      <c r="Q354" t="n">
        <v>0</v>
      </c>
      <c r="R354" s="2" t="inlineStr"/>
    </row>
    <row r="355" ht="15" customHeight="1">
      <c r="A355" t="inlineStr">
        <is>
          <t>A 47815-2022</t>
        </is>
      </c>
      <c r="B355" s="1" t="n">
        <v>44854</v>
      </c>
      <c r="C355" s="1" t="n">
        <v>45764</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48083-2022</t>
        </is>
      </c>
      <c r="B356" s="1" t="n">
        <v>44855</v>
      </c>
      <c r="C356" s="1" t="n">
        <v>45764</v>
      </c>
      <c r="D356" t="inlineStr">
        <is>
          <t>VÄSTERNORRLANDS LÄN</t>
        </is>
      </c>
      <c r="E356" t="inlineStr">
        <is>
          <t>TIMRÅ</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48916-2022</t>
        </is>
      </c>
      <c r="B357" s="1" t="n">
        <v>44860</v>
      </c>
      <c r="C357" s="1" t="n">
        <v>45764</v>
      </c>
      <c r="D357" t="inlineStr">
        <is>
          <t>VÄSTERNORRLANDS LÄN</t>
        </is>
      </c>
      <c r="E357" t="inlineStr">
        <is>
          <t>TIMRÅ</t>
        </is>
      </c>
      <c r="F357" t="inlineStr">
        <is>
          <t>SCA</t>
        </is>
      </c>
      <c r="G357" t="n">
        <v>4.9</v>
      </c>
      <c r="H357" t="n">
        <v>0</v>
      </c>
      <c r="I357" t="n">
        <v>0</v>
      </c>
      <c r="J357" t="n">
        <v>0</v>
      </c>
      <c r="K357" t="n">
        <v>0</v>
      </c>
      <c r="L357" t="n">
        <v>0</v>
      </c>
      <c r="M357" t="n">
        <v>0</v>
      </c>
      <c r="N357" t="n">
        <v>0</v>
      </c>
      <c r="O357" t="n">
        <v>0</v>
      </c>
      <c r="P357" t="n">
        <v>0</v>
      </c>
      <c r="Q357" t="n">
        <v>0</v>
      </c>
      <c r="R357" s="2" t="inlineStr"/>
    </row>
    <row r="358" ht="15" customHeight="1">
      <c r="A358" t="inlineStr">
        <is>
          <t>A 48918-2022</t>
        </is>
      </c>
      <c r="B358" s="1" t="n">
        <v>44859</v>
      </c>
      <c r="C358" s="1" t="n">
        <v>45764</v>
      </c>
      <c r="D358" t="inlineStr">
        <is>
          <t>VÄSTERNORRLANDS LÄN</t>
        </is>
      </c>
      <c r="E358" t="inlineStr">
        <is>
          <t>TIMRÅ</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49203-2022</t>
        </is>
      </c>
      <c r="B359" s="1" t="n">
        <v>44860</v>
      </c>
      <c r="C359" s="1" t="n">
        <v>45764</v>
      </c>
      <c r="D359" t="inlineStr">
        <is>
          <t>VÄSTERNORRLANDS LÄN</t>
        </is>
      </c>
      <c r="E359" t="inlineStr">
        <is>
          <t>TIMRÅ</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50660-2022</t>
        </is>
      </c>
      <c r="B360" s="1" t="n">
        <v>44866</v>
      </c>
      <c r="C360" s="1" t="n">
        <v>45764</v>
      </c>
      <c r="D360" t="inlineStr">
        <is>
          <t>VÄSTERNORRLANDS LÄN</t>
        </is>
      </c>
      <c r="E360" t="inlineStr">
        <is>
          <t>TIMRÅ</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52096-2022</t>
        </is>
      </c>
      <c r="B361" s="1" t="n">
        <v>44868</v>
      </c>
      <c r="C361" s="1" t="n">
        <v>45764</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51564-2022</t>
        </is>
      </c>
      <c r="B362" s="1" t="n">
        <v>44869</v>
      </c>
      <c r="C362" s="1" t="n">
        <v>45764</v>
      </c>
      <c r="D362" t="inlineStr">
        <is>
          <t>VÄSTERNORRLANDS LÄN</t>
        </is>
      </c>
      <c r="E362" t="inlineStr">
        <is>
          <t>TIMRÅ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51546-2022</t>
        </is>
      </c>
      <c r="B363" s="1" t="n">
        <v>44869</v>
      </c>
      <c r="C363" s="1" t="n">
        <v>45764</v>
      </c>
      <c r="D363" t="inlineStr">
        <is>
          <t>VÄSTERNORRLANDS LÄN</t>
        </is>
      </c>
      <c r="E363" t="inlineStr">
        <is>
          <t>TIMRÅ</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52213-2022</t>
        </is>
      </c>
      <c r="B364" s="1" t="n">
        <v>44869</v>
      </c>
      <c r="C364" s="1" t="n">
        <v>45764</v>
      </c>
      <c r="D364" t="inlineStr">
        <is>
          <t>VÄSTERNORRLANDS LÄN</t>
        </is>
      </c>
      <c r="E364" t="inlineStr">
        <is>
          <t>TIMRÅ</t>
        </is>
      </c>
      <c r="G364" t="n">
        <v>11.4</v>
      </c>
      <c r="H364" t="n">
        <v>0</v>
      </c>
      <c r="I364" t="n">
        <v>0</v>
      </c>
      <c r="J364" t="n">
        <v>0</v>
      </c>
      <c r="K364" t="n">
        <v>0</v>
      </c>
      <c r="L364" t="n">
        <v>0</v>
      </c>
      <c r="M364" t="n">
        <v>0</v>
      </c>
      <c r="N364" t="n">
        <v>0</v>
      </c>
      <c r="O364" t="n">
        <v>0</v>
      </c>
      <c r="P364" t="n">
        <v>0</v>
      </c>
      <c r="Q364" t="n">
        <v>0</v>
      </c>
      <c r="R364" s="2" t="inlineStr"/>
    </row>
    <row r="365" ht="15" customHeight="1">
      <c r="A365" t="inlineStr">
        <is>
          <t>A 52232-2022</t>
        </is>
      </c>
      <c r="B365" s="1" t="n">
        <v>44869</v>
      </c>
      <c r="C365" s="1" t="n">
        <v>45764</v>
      </c>
      <c r="D365" t="inlineStr">
        <is>
          <t>VÄSTERNORRLANDS LÄN</t>
        </is>
      </c>
      <c r="E365" t="inlineStr">
        <is>
          <t>TIMRÅ</t>
        </is>
      </c>
      <c r="G365" t="n">
        <v>7.9</v>
      </c>
      <c r="H365" t="n">
        <v>0</v>
      </c>
      <c r="I365" t="n">
        <v>0</v>
      </c>
      <c r="J365" t="n">
        <v>0</v>
      </c>
      <c r="K365" t="n">
        <v>0</v>
      </c>
      <c r="L365" t="n">
        <v>0</v>
      </c>
      <c r="M365" t="n">
        <v>0</v>
      </c>
      <c r="N365" t="n">
        <v>0</v>
      </c>
      <c r="O365" t="n">
        <v>0</v>
      </c>
      <c r="P365" t="n">
        <v>0</v>
      </c>
      <c r="Q365" t="n">
        <v>0</v>
      </c>
      <c r="R365" s="2" t="inlineStr"/>
    </row>
    <row r="366" ht="15" customHeight="1">
      <c r="A366" t="inlineStr">
        <is>
          <t>A 52220-2022</t>
        </is>
      </c>
      <c r="B366" s="1" t="n">
        <v>44869</v>
      </c>
      <c r="C366" s="1" t="n">
        <v>45764</v>
      </c>
      <c r="D366" t="inlineStr">
        <is>
          <t>VÄSTERNORRLANDS LÄN</t>
        </is>
      </c>
      <c r="E366" t="inlineStr">
        <is>
          <t>TIMRÅ</t>
        </is>
      </c>
      <c r="G366" t="n">
        <v>5.5</v>
      </c>
      <c r="H366" t="n">
        <v>0</v>
      </c>
      <c r="I366" t="n">
        <v>0</v>
      </c>
      <c r="J366" t="n">
        <v>0</v>
      </c>
      <c r="K366" t="n">
        <v>0</v>
      </c>
      <c r="L366" t="n">
        <v>0</v>
      </c>
      <c r="M366" t="n">
        <v>0</v>
      </c>
      <c r="N366" t="n">
        <v>0</v>
      </c>
      <c r="O366" t="n">
        <v>0</v>
      </c>
      <c r="P366" t="n">
        <v>0</v>
      </c>
      <c r="Q366" t="n">
        <v>0</v>
      </c>
      <c r="R366" s="2" t="inlineStr"/>
    </row>
    <row r="367" ht="15" customHeight="1">
      <c r="A367" t="inlineStr">
        <is>
          <t>A 51999-2022</t>
        </is>
      </c>
      <c r="B367" s="1" t="n">
        <v>44872</v>
      </c>
      <c r="C367" s="1" t="n">
        <v>45764</v>
      </c>
      <c r="D367" t="inlineStr">
        <is>
          <t>VÄSTERNORRLANDS LÄN</t>
        </is>
      </c>
      <c r="E367" t="inlineStr">
        <is>
          <t>TIMRÅ</t>
        </is>
      </c>
      <c r="G367" t="n">
        <v>4.7</v>
      </c>
      <c r="H367" t="n">
        <v>0</v>
      </c>
      <c r="I367" t="n">
        <v>0</v>
      </c>
      <c r="J367" t="n">
        <v>0</v>
      </c>
      <c r="K367" t="n">
        <v>0</v>
      </c>
      <c r="L367" t="n">
        <v>0</v>
      </c>
      <c r="M367" t="n">
        <v>0</v>
      </c>
      <c r="N367" t="n">
        <v>0</v>
      </c>
      <c r="O367" t="n">
        <v>0</v>
      </c>
      <c r="P367" t="n">
        <v>0</v>
      </c>
      <c r="Q367" t="n">
        <v>0</v>
      </c>
      <c r="R367" s="2" t="inlineStr"/>
    </row>
    <row r="368" ht="15" customHeight="1">
      <c r="A368" t="inlineStr">
        <is>
          <t>A 52010-2022</t>
        </is>
      </c>
      <c r="B368" s="1" t="n">
        <v>44872</v>
      </c>
      <c r="C368" s="1" t="n">
        <v>45764</v>
      </c>
      <c r="D368" t="inlineStr">
        <is>
          <t>VÄSTERNORRLANDS LÄN</t>
        </is>
      </c>
      <c r="E368" t="inlineStr">
        <is>
          <t>TIMRÅ</t>
        </is>
      </c>
      <c r="G368" t="n">
        <v>1.4</v>
      </c>
      <c r="H368" t="n">
        <v>0</v>
      </c>
      <c r="I368" t="n">
        <v>0</v>
      </c>
      <c r="J368" t="n">
        <v>0</v>
      </c>
      <c r="K368" t="n">
        <v>0</v>
      </c>
      <c r="L368" t="n">
        <v>0</v>
      </c>
      <c r="M368" t="n">
        <v>0</v>
      </c>
      <c r="N368" t="n">
        <v>0</v>
      </c>
      <c r="O368" t="n">
        <v>0</v>
      </c>
      <c r="P368" t="n">
        <v>0</v>
      </c>
      <c r="Q368" t="n">
        <v>0</v>
      </c>
      <c r="R368" s="2" t="inlineStr"/>
    </row>
    <row r="369" ht="15" customHeight="1">
      <c r="A369" t="inlineStr">
        <is>
          <t>A 52474-2022</t>
        </is>
      </c>
      <c r="B369" s="1" t="n">
        <v>44874</v>
      </c>
      <c r="C369" s="1" t="n">
        <v>45764</v>
      </c>
      <c r="D369" t="inlineStr">
        <is>
          <t>VÄSTERNORRLANDS LÄN</t>
        </is>
      </c>
      <c r="E369" t="inlineStr">
        <is>
          <t>TIMRÅ</t>
        </is>
      </c>
      <c r="G369" t="n">
        <v>0.7</v>
      </c>
      <c r="H369" t="n">
        <v>0</v>
      </c>
      <c r="I369" t="n">
        <v>0</v>
      </c>
      <c r="J369" t="n">
        <v>0</v>
      </c>
      <c r="K369" t="n">
        <v>0</v>
      </c>
      <c r="L369" t="n">
        <v>0</v>
      </c>
      <c r="M369" t="n">
        <v>0</v>
      </c>
      <c r="N369" t="n">
        <v>0</v>
      </c>
      <c r="O369" t="n">
        <v>0</v>
      </c>
      <c r="P369" t="n">
        <v>0</v>
      </c>
      <c r="Q369" t="n">
        <v>0</v>
      </c>
      <c r="R369" s="2" t="inlineStr"/>
    </row>
    <row r="370" ht="15" customHeight="1">
      <c r="A370" t="inlineStr">
        <is>
          <t>A 52448-2022</t>
        </is>
      </c>
      <c r="B370" s="1" t="n">
        <v>44874</v>
      </c>
      <c r="C370" s="1" t="n">
        <v>45764</v>
      </c>
      <c r="D370" t="inlineStr">
        <is>
          <t>VÄSTERNORRLANDS LÄN</t>
        </is>
      </c>
      <c r="E370" t="inlineStr">
        <is>
          <t>TIMRÅ</t>
        </is>
      </c>
      <c r="G370" t="n">
        <v>2.3</v>
      </c>
      <c r="H370" t="n">
        <v>0</v>
      </c>
      <c r="I370" t="n">
        <v>0</v>
      </c>
      <c r="J370" t="n">
        <v>0</v>
      </c>
      <c r="K370" t="n">
        <v>0</v>
      </c>
      <c r="L370" t="n">
        <v>0</v>
      </c>
      <c r="M370" t="n">
        <v>0</v>
      </c>
      <c r="N370" t="n">
        <v>0</v>
      </c>
      <c r="O370" t="n">
        <v>0</v>
      </c>
      <c r="P370" t="n">
        <v>0</v>
      </c>
      <c r="Q370" t="n">
        <v>0</v>
      </c>
      <c r="R370" s="2" t="inlineStr"/>
    </row>
    <row r="371" ht="15" customHeight="1">
      <c r="A371" t="inlineStr">
        <is>
          <t>A 52705-2022</t>
        </is>
      </c>
      <c r="B371" s="1" t="n">
        <v>44874</v>
      </c>
      <c r="C371" s="1" t="n">
        <v>45764</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53659-2022</t>
        </is>
      </c>
      <c r="B372" s="1" t="n">
        <v>44879</v>
      </c>
      <c r="C372" s="1" t="n">
        <v>45764</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53957-2022</t>
        </is>
      </c>
      <c r="B373" s="1" t="n">
        <v>44880</v>
      </c>
      <c r="C373" s="1" t="n">
        <v>45764</v>
      </c>
      <c r="D373" t="inlineStr">
        <is>
          <t>VÄSTERNORRLANDS LÄN</t>
        </is>
      </c>
      <c r="E373" t="inlineStr">
        <is>
          <t>TIMRÅ</t>
        </is>
      </c>
      <c r="F373" t="inlineStr">
        <is>
          <t>SCA</t>
        </is>
      </c>
      <c r="G373" t="n">
        <v>6.4</v>
      </c>
      <c r="H373" t="n">
        <v>0</v>
      </c>
      <c r="I373" t="n">
        <v>0</v>
      </c>
      <c r="J373" t="n">
        <v>0</v>
      </c>
      <c r="K373" t="n">
        <v>0</v>
      </c>
      <c r="L373" t="n">
        <v>0</v>
      </c>
      <c r="M373" t="n">
        <v>0</v>
      </c>
      <c r="N373" t="n">
        <v>0</v>
      </c>
      <c r="O373" t="n">
        <v>0</v>
      </c>
      <c r="P373" t="n">
        <v>0</v>
      </c>
      <c r="Q373" t="n">
        <v>0</v>
      </c>
      <c r="R373" s="2" t="inlineStr"/>
    </row>
    <row r="374" ht="15" customHeight="1">
      <c r="A374" t="inlineStr">
        <is>
          <t>A 55357-2022</t>
        </is>
      </c>
      <c r="B374" s="1" t="n">
        <v>44882</v>
      </c>
      <c r="C374" s="1" t="n">
        <v>45764</v>
      </c>
      <c r="D374" t="inlineStr">
        <is>
          <t>VÄSTERNORRLANDS LÄN</t>
        </is>
      </c>
      <c r="E374" t="inlineStr">
        <is>
          <t>TIMRÅ</t>
        </is>
      </c>
      <c r="G374" t="n">
        <v>17.3</v>
      </c>
      <c r="H374" t="n">
        <v>0</v>
      </c>
      <c r="I374" t="n">
        <v>0</v>
      </c>
      <c r="J374" t="n">
        <v>0</v>
      </c>
      <c r="K374" t="n">
        <v>0</v>
      </c>
      <c r="L374" t="n">
        <v>0</v>
      </c>
      <c r="M374" t="n">
        <v>0</v>
      </c>
      <c r="N374" t="n">
        <v>0</v>
      </c>
      <c r="O374" t="n">
        <v>0</v>
      </c>
      <c r="P374" t="n">
        <v>0</v>
      </c>
      <c r="Q374" t="n">
        <v>0</v>
      </c>
      <c r="R374" s="2" t="inlineStr"/>
    </row>
    <row r="375" ht="15" customHeight="1">
      <c r="A375" t="inlineStr">
        <is>
          <t>A 54747-2022</t>
        </is>
      </c>
      <c r="B375" s="1" t="n">
        <v>44883</v>
      </c>
      <c r="C375" s="1" t="n">
        <v>45764</v>
      </c>
      <c r="D375" t="inlineStr">
        <is>
          <t>VÄSTERNORRLANDS LÄN</t>
        </is>
      </c>
      <c r="E375" t="inlineStr">
        <is>
          <t>TIMRÅ</t>
        </is>
      </c>
      <c r="G375" t="n">
        <v>0.9</v>
      </c>
      <c r="H375" t="n">
        <v>0</v>
      </c>
      <c r="I375" t="n">
        <v>0</v>
      </c>
      <c r="J375" t="n">
        <v>0</v>
      </c>
      <c r="K375" t="n">
        <v>0</v>
      </c>
      <c r="L375" t="n">
        <v>0</v>
      </c>
      <c r="M375" t="n">
        <v>0</v>
      </c>
      <c r="N375" t="n">
        <v>0</v>
      </c>
      <c r="O375" t="n">
        <v>0</v>
      </c>
      <c r="P375" t="n">
        <v>0</v>
      </c>
      <c r="Q375" t="n">
        <v>0</v>
      </c>
      <c r="R375" s="2" t="inlineStr"/>
    </row>
    <row r="376" ht="15" customHeight="1">
      <c r="A376" t="inlineStr">
        <is>
          <t>A 55179-2022</t>
        </is>
      </c>
      <c r="B376" s="1" t="n">
        <v>44886</v>
      </c>
      <c r="C376" s="1" t="n">
        <v>45764</v>
      </c>
      <c r="D376" t="inlineStr">
        <is>
          <t>VÄSTERNORRLANDS LÄN</t>
        </is>
      </c>
      <c r="E376" t="inlineStr">
        <is>
          <t>TIMRÅ</t>
        </is>
      </c>
      <c r="G376" t="n">
        <v>0.4</v>
      </c>
      <c r="H376" t="n">
        <v>0</v>
      </c>
      <c r="I376" t="n">
        <v>0</v>
      </c>
      <c r="J376" t="n">
        <v>0</v>
      </c>
      <c r="K376" t="n">
        <v>0</v>
      </c>
      <c r="L376" t="n">
        <v>0</v>
      </c>
      <c r="M376" t="n">
        <v>0</v>
      </c>
      <c r="N376" t="n">
        <v>0</v>
      </c>
      <c r="O376" t="n">
        <v>0</v>
      </c>
      <c r="P376" t="n">
        <v>0</v>
      </c>
      <c r="Q376" t="n">
        <v>0</v>
      </c>
      <c r="R376" s="2" t="inlineStr"/>
    </row>
    <row r="377" ht="15" customHeight="1">
      <c r="A377" t="inlineStr">
        <is>
          <t>A 55240-2022</t>
        </is>
      </c>
      <c r="B377" s="1" t="n">
        <v>44887</v>
      </c>
      <c r="C377" s="1" t="n">
        <v>45764</v>
      </c>
      <c r="D377" t="inlineStr">
        <is>
          <t>VÄSTERNORRLANDS LÄN</t>
        </is>
      </c>
      <c r="E377" t="inlineStr">
        <is>
          <t>TIMRÅ</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55521-2022</t>
        </is>
      </c>
      <c r="B378" s="1" t="n">
        <v>44887</v>
      </c>
      <c r="C378" s="1" t="n">
        <v>45764</v>
      </c>
      <c r="D378" t="inlineStr">
        <is>
          <t>VÄSTERNORRLANDS LÄN</t>
        </is>
      </c>
      <c r="E378" t="inlineStr">
        <is>
          <t>TIMRÅ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55511-2022</t>
        </is>
      </c>
      <c r="B379" s="1" t="n">
        <v>44887</v>
      </c>
      <c r="C379" s="1" t="n">
        <v>45764</v>
      </c>
      <c r="D379" t="inlineStr">
        <is>
          <t>VÄSTERNORRLANDS LÄN</t>
        </is>
      </c>
      <c r="E379" t="inlineStr">
        <is>
          <t>TIMRÅ</t>
        </is>
      </c>
      <c r="G379" t="n">
        <v>0.5</v>
      </c>
      <c r="H379" t="n">
        <v>0</v>
      </c>
      <c r="I379" t="n">
        <v>0</v>
      </c>
      <c r="J379" t="n">
        <v>0</v>
      </c>
      <c r="K379" t="n">
        <v>0</v>
      </c>
      <c r="L379" t="n">
        <v>0</v>
      </c>
      <c r="M379" t="n">
        <v>0</v>
      </c>
      <c r="N379" t="n">
        <v>0</v>
      </c>
      <c r="O379" t="n">
        <v>0</v>
      </c>
      <c r="P379" t="n">
        <v>0</v>
      </c>
      <c r="Q379" t="n">
        <v>0</v>
      </c>
      <c r="R379" s="2" t="inlineStr"/>
    </row>
    <row r="380" ht="15" customHeight="1">
      <c r="A380" t="inlineStr">
        <is>
          <t>A 55510-2022</t>
        </is>
      </c>
      <c r="B380" s="1" t="n">
        <v>44887</v>
      </c>
      <c r="C380" s="1" t="n">
        <v>45764</v>
      </c>
      <c r="D380" t="inlineStr">
        <is>
          <t>VÄSTERNORRLANDS LÄN</t>
        </is>
      </c>
      <c r="E380" t="inlineStr">
        <is>
          <t>TIMRÅ</t>
        </is>
      </c>
      <c r="G380" t="n">
        <v>0.8</v>
      </c>
      <c r="H380" t="n">
        <v>0</v>
      </c>
      <c r="I380" t="n">
        <v>0</v>
      </c>
      <c r="J380" t="n">
        <v>0</v>
      </c>
      <c r="K380" t="n">
        <v>0</v>
      </c>
      <c r="L380" t="n">
        <v>0</v>
      </c>
      <c r="M380" t="n">
        <v>0</v>
      </c>
      <c r="N380" t="n">
        <v>0</v>
      </c>
      <c r="O380" t="n">
        <v>0</v>
      </c>
      <c r="P380" t="n">
        <v>0</v>
      </c>
      <c r="Q380" t="n">
        <v>0</v>
      </c>
      <c r="R380" s="2" t="inlineStr"/>
    </row>
    <row r="381" ht="15" customHeight="1">
      <c r="A381" t="inlineStr">
        <is>
          <t>A 55517-2022</t>
        </is>
      </c>
      <c r="B381" s="1" t="n">
        <v>44887</v>
      </c>
      <c r="C381" s="1" t="n">
        <v>45764</v>
      </c>
      <c r="D381" t="inlineStr">
        <is>
          <t>VÄSTERNORRLANDS LÄN</t>
        </is>
      </c>
      <c r="E381" t="inlineStr">
        <is>
          <t>TIMRÅ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55872-2022</t>
        </is>
      </c>
      <c r="B382" s="1" t="n">
        <v>44888</v>
      </c>
      <c r="C382" s="1" t="n">
        <v>45764</v>
      </c>
      <c r="D382" t="inlineStr">
        <is>
          <t>VÄSTERNORRLANDS LÄN</t>
        </is>
      </c>
      <c r="E382" t="inlineStr">
        <is>
          <t>TIMRÅ</t>
        </is>
      </c>
      <c r="G382" t="n">
        <v>4.7</v>
      </c>
      <c r="H382" t="n">
        <v>0</v>
      </c>
      <c r="I382" t="n">
        <v>0</v>
      </c>
      <c r="J382" t="n">
        <v>0</v>
      </c>
      <c r="K382" t="n">
        <v>0</v>
      </c>
      <c r="L382" t="n">
        <v>0</v>
      </c>
      <c r="M382" t="n">
        <v>0</v>
      </c>
      <c r="N382" t="n">
        <v>0</v>
      </c>
      <c r="O382" t="n">
        <v>0</v>
      </c>
      <c r="P382" t="n">
        <v>0</v>
      </c>
      <c r="Q382" t="n">
        <v>0</v>
      </c>
      <c r="R382" s="2" t="inlineStr"/>
    </row>
    <row r="383" ht="15" customHeight="1">
      <c r="A383" t="inlineStr">
        <is>
          <t>A 55886-2022</t>
        </is>
      </c>
      <c r="B383" s="1" t="n">
        <v>44888</v>
      </c>
      <c r="C383" s="1" t="n">
        <v>45764</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56170-2022</t>
        </is>
      </c>
      <c r="B384" s="1" t="n">
        <v>44889</v>
      </c>
      <c r="C384" s="1" t="n">
        <v>45764</v>
      </c>
      <c r="D384" t="inlineStr">
        <is>
          <t>VÄSTERNORRLANDS LÄN</t>
        </is>
      </c>
      <c r="E384" t="inlineStr">
        <is>
          <t>TIMRÅ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57403-2022</t>
        </is>
      </c>
      <c r="B385" s="1" t="n">
        <v>44889</v>
      </c>
      <c r="C385" s="1" t="n">
        <v>45764</v>
      </c>
      <c r="D385" t="inlineStr">
        <is>
          <t>VÄSTERNORRLANDS LÄN</t>
        </is>
      </c>
      <c r="E385" t="inlineStr">
        <is>
          <t>TIMRÅ</t>
        </is>
      </c>
      <c r="G385" t="n">
        <v>9.6</v>
      </c>
      <c r="H385" t="n">
        <v>0</v>
      </c>
      <c r="I385" t="n">
        <v>0</v>
      </c>
      <c r="J385" t="n">
        <v>0</v>
      </c>
      <c r="K385" t="n">
        <v>0</v>
      </c>
      <c r="L385" t="n">
        <v>0</v>
      </c>
      <c r="M385" t="n">
        <v>0</v>
      </c>
      <c r="N385" t="n">
        <v>0</v>
      </c>
      <c r="O385" t="n">
        <v>0</v>
      </c>
      <c r="P385" t="n">
        <v>0</v>
      </c>
      <c r="Q385" t="n">
        <v>0</v>
      </c>
      <c r="R385" s="2" t="inlineStr"/>
    </row>
    <row r="386" ht="15" customHeight="1">
      <c r="A386" t="inlineStr">
        <is>
          <t>A 57380-2022</t>
        </is>
      </c>
      <c r="B386" s="1" t="n">
        <v>44889</v>
      </c>
      <c r="C386" s="1" t="n">
        <v>45764</v>
      </c>
      <c r="D386" t="inlineStr">
        <is>
          <t>VÄSTERNORRLANDS LÄN</t>
        </is>
      </c>
      <c r="E386" t="inlineStr">
        <is>
          <t>TIMRÅ</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56410-2022</t>
        </is>
      </c>
      <c r="B387" s="1" t="n">
        <v>44890</v>
      </c>
      <c r="C387" s="1" t="n">
        <v>45764</v>
      </c>
      <c r="D387" t="inlineStr">
        <is>
          <t>VÄSTERNORRLANDS LÄN</t>
        </is>
      </c>
      <c r="E387" t="inlineStr">
        <is>
          <t>TIMRÅ</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56723-2022</t>
        </is>
      </c>
      <c r="B388" s="1" t="n">
        <v>44893</v>
      </c>
      <c r="C388" s="1" t="n">
        <v>45764</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57268-2022</t>
        </is>
      </c>
      <c r="B389" s="1" t="n">
        <v>44895</v>
      </c>
      <c r="C389" s="1" t="n">
        <v>45764</v>
      </c>
      <c r="D389" t="inlineStr">
        <is>
          <t>VÄSTERNORRLANDS LÄN</t>
        </is>
      </c>
      <c r="E389" t="inlineStr">
        <is>
          <t>TIMRÅ</t>
        </is>
      </c>
      <c r="G389" t="n">
        <v>0.6</v>
      </c>
      <c r="H389" t="n">
        <v>0</v>
      </c>
      <c r="I389" t="n">
        <v>0</v>
      </c>
      <c r="J389" t="n">
        <v>0</v>
      </c>
      <c r="K389" t="n">
        <v>0</v>
      </c>
      <c r="L389" t="n">
        <v>0</v>
      </c>
      <c r="M389" t="n">
        <v>0</v>
      </c>
      <c r="N389" t="n">
        <v>0</v>
      </c>
      <c r="O389" t="n">
        <v>0</v>
      </c>
      <c r="P389" t="n">
        <v>0</v>
      </c>
      <c r="Q389" t="n">
        <v>0</v>
      </c>
      <c r="R389" s="2" t="inlineStr"/>
    </row>
    <row r="390" ht="15" customHeight="1">
      <c r="A390" t="inlineStr">
        <is>
          <t>A 57841-2022</t>
        </is>
      </c>
      <c r="B390" s="1" t="n">
        <v>44897</v>
      </c>
      <c r="C390" s="1" t="n">
        <v>45764</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57840-2022</t>
        </is>
      </c>
      <c r="B391" s="1" t="n">
        <v>44897</v>
      </c>
      <c r="C391" s="1" t="n">
        <v>45764</v>
      </c>
      <c r="D391" t="inlineStr">
        <is>
          <t>VÄSTERNORRLANDS LÄN</t>
        </is>
      </c>
      <c r="E391" t="inlineStr">
        <is>
          <t>TIMRÅ</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58188-2022</t>
        </is>
      </c>
      <c r="B392" s="1" t="n">
        <v>44900</v>
      </c>
      <c r="C392" s="1" t="n">
        <v>45764</v>
      </c>
      <c r="D392" t="inlineStr">
        <is>
          <t>VÄSTERNORRLANDS LÄN</t>
        </is>
      </c>
      <c r="E392" t="inlineStr">
        <is>
          <t>TIMRÅ</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59942-2022</t>
        </is>
      </c>
      <c r="B393" s="1" t="n">
        <v>44901</v>
      </c>
      <c r="C393" s="1" t="n">
        <v>45764</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59128-2022</t>
        </is>
      </c>
      <c r="B394" s="1" t="n">
        <v>44904</v>
      </c>
      <c r="C394" s="1" t="n">
        <v>45764</v>
      </c>
      <c r="D394" t="inlineStr">
        <is>
          <t>VÄSTERNORRLANDS LÄN</t>
        </is>
      </c>
      <c r="E394" t="inlineStr">
        <is>
          <t>TIMRÅ</t>
        </is>
      </c>
      <c r="G394" t="n">
        <v>9</v>
      </c>
      <c r="H394" t="n">
        <v>0</v>
      </c>
      <c r="I394" t="n">
        <v>0</v>
      </c>
      <c r="J394" t="n">
        <v>0</v>
      </c>
      <c r="K394" t="n">
        <v>0</v>
      </c>
      <c r="L394" t="n">
        <v>0</v>
      </c>
      <c r="M394" t="n">
        <v>0</v>
      </c>
      <c r="N394" t="n">
        <v>0</v>
      </c>
      <c r="O394" t="n">
        <v>0</v>
      </c>
      <c r="P394" t="n">
        <v>0</v>
      </c>
      <c r="Q394" t="n">
        <v>0</v>
      </c>
      <c r="R394" s="2" t="inlineStr"/>
    </row>
    <row r="395" ht="15" customHeight="1">
      <c r="A395" t="inlineStr">
        <is>
          <t>A 60166-2022</t>
        </is>
      </c>
      <c r="B395" s="1" t="n">
        <v>44909</v>
      </c>
      <c r="C395" s="1" t="n">
        <v>45764</v>
      </c>
      <c r="D395" t="inlineStr">
        <is>
          <t>VÄSTERNORRLANDS LÄN</t>
        </is>
      </c>
      <c r="E395" t="inlineStr">
        <is>
          <t>TIMRÅ</t>
        </is>
      </c>
      <c r="G395" t="n">
        <v>1.8</v>
      </c>
      <c r="H395" t="n">
        <v>0</v>
      </c>
      <c r="I395" t="n">
        <v>0</v>
      </c>
      <c r="J395" t="n">
        <v>0</v>
      </c>
      <c r="K395" t="n">
        <v>0</v>
      </c>
      <c r="L395" t="n">
        <v>0</v>
      </c>
      <c r="M395" t="n">
        <v>0</v>
      </c>
      <c r="N395" t="n">
        <v>0</v>
      </c>
      <c r="O395" t="n">
        <v>0</v>
      </c>
      <c r="P395" t="n">
        <v>0</v>
      </c>
      <c r="Q395" t="n">
        <v>0</v>
      </c>
      <c r="R395" s="2" t="inlineStr"/>
    </row>
    <row r="396" ht="15" customHeight="1">
      <c r="A396" t="inlineStr">
        <is>
          <t>A 61576-2022</t>
        </is>
      </c>
      <c r="B396" s="1" t="n">
        <v>44910</v>
      </c>
      <c r="C396" s="1" t="n">
        <v>45764</v>
      </c>
      <c r="D396" t="inlineStr">
        <is>
          <t>VÄSTERNORRLANDS LÄN</t>
        </is>
      </c>
      <c r="E396" t="inlineStr">
        <is>
          <t>TIMRÅ</t>
        </is>
      </c>
      <c r="G396" t="n">
        <v>4</v>
      </c>
      <c r="H396" t="n">
        <v>0</v>
      </c>
      <c r="I396" t="n">
        <v>0</v>
      </c>
      <c r="J396" t="n">
        <v>0</v>
      </c>
      <c r="K396" t="n">
        <v>0</v>
      </c>
      <c r="L396" t="n">
        <v>0</v>
      </c>
      <c r="M396" t="n">
        <v>0</v>
      </c>
      <c r="N396" t="n">
        <v>0</v>
      </c>
      <c r="O396" t="n">
        <v>0</v>
      </c>
      <c r="P396" t="n">
        <v>0</v>
      </c>
      <c r="Q396" t="n">
        <v>0</v>
      </c>
      <c r="R396" s="2" t="inlineStr"/>
    </row>
    <row r="397" ht="15" customHeight="1">
      <c r="A397" t="inlineStr">
        <is>
          <t>A 61373-2022</t>
        </is>
      </c>
      <c r="B397" s="1" t="n">
        <v>44915</v>
      </c>
      <c r="C397" s="1" t="n">
        <v>45764</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62113-2022</t>
        </is>
      </c>
      <c r="B398" s="1" t="n">
        <v>44921</v>
      </c>
      <c r="C398" s="1" t="n">
        <v>45764</v>
      </c>
      <c r="D398" t="inlineStr">
        <is>
          <t>VÄSTERNORRLANDS LÄN</t>
        </is>
      </c>
      <c r="E398" t="inlineStr">
        <is>
          <t>TIMRÅ</t>
        </is>
      </c>
      <c r="G398" t="n">
        <v>1</v>
      </c>
      <c r="H398" t="n">
        <v>0</v>
      </c>
      <c r="I398" t="n">
        <v>0</v>
      </c>
      <c r="J398" t="n">
        <v>0</v>
      </c>
      <c r="K398" t="n">
        <v>0</v>
      </c>
      <c r="L398" t="n">
        <v>0</v>
      </c>
      <c r="M398" t="n">
        <v>0</v>
      </c>
      <c r="N398" t="n">
        <v>0</v>
      </c>
      <c r="O398" t="n">
        <v>0</v>
      </c>
      <c r="P398" t="n">
        <v>0</v>
      </c>
      <c r="Q398" t="n">
        <v>0</v>
      </c>
      <c r="R398" s="2" t="inlineStr"/>
    </row>
    <row r="399" ht="15" customHeight="1">
      <c r="A399" t="inlineStr">
        <is>
          <t>A 528-2023</t>
        </is>
      </c>
      <c r="B399" s="1" t="n">
        <v>44924</v>
      </c>
      <c r="C399" s="1" t="n">
        <v>45764</v>
      </c>
      <c r="D399" t="inlineStr">
        <is>
          <t>VÄSTERNORRLANDS LÄN</t>
        </is>
      </c>
      <c r="E399" t="inlineStr">
        <is>
          <t>TIMRÅ</t>
        </is>
      </c>
      <c r="G399" t="n">
        <v>0.9</v>
      </c>
      <c r="H399" t="n">
        <v>0</v>
      </c>
      <c r="I399" t="n">
        <v>0</v>
      </c>
      <c r="J399" t="n">
        <v>0</v>
      </c>
      <c r="K399" t="n">
        <v>0</v>
      </c>
      <c r="L399" t="n">
        <v>0</v>
      </c>
      <c r="M399" t="n">
        <v>0</v>
      </c>
      <c r="N399" t="n">
        <v>0</v>
      </c>
      <c r="O399" t="n">
        <v>0</v>
      </c>
      <c r="P399" t="n">
        <v>0</v>
      </c>
      <c r="Q399" t="n">
        <v>0</v>
      </c>
      <c r="R399" s="2" t="inlineStr"/>
    </row>
    <row r="400" ht="15" customHeight="1">
      <c r="A400" t="inlineStr">
        <is>
          <t>A 524-2023</t>
        </is>
      </c>
      <c r="B400" s="1" t="n">
        <v>44924</v>
      </c>
      <c r="C400" s="1" t="n">
        <v>45764</v>
      </c>
      <c r="D400" t="inlineStr">
        <is>
          <t>VÄSTERNORRLANDS LÄN</t>
        </is>
      </c>
      <c r="E400" t="inlineStr">
        <is>
          <t>TIMRÅ</t>
        </is>
      </c>
      <c r="G400" t="n">
        <v>3</v>
      </c>
      <c r="H400" t="n">
        <v>0</v>
      </c>
      <c r="I400" t="n">
        <v>0</v>
      </c>
      <c r="J400" t="n">
        <v>0</v>
      </c>
      <c r="K400" t="n">
        <v>0</v>
      </c>
      <c r="L400" t="n">
        <v>0</v>
      </c>
      <c r="M400" t="n">
        <v>0</v>
      </c>
      <c r="N400" t="n">
        <v>0</v>
      </c>
      <c r="O400" t="n">
        <v>0</v>
      </c>
      <c r="P400" t="n">
        <v>0</v>
      </c>
      <c r="Q400" t="n">
        <v>0</v>
      </c>
      <c r="R400" s="2" t="inlineStr"/>
    </row>
    <row r="401" ht="15" customHeight="1">
      <c r="A401" t="inlineStr">
        <is>
          <t>A 704-2023</t>
        </is>
      </c>
      <c r="B401" s="1" t="n">
        <v>44930</v>
      </c>
      <c r="C401" s="1" t="n">
        <v>45764</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1416-2023</t>
        </is>
      </c>
      <c r="B402" s="1" t="n">
        <v>44936</v>
      </c>
      <c r="C402" s="1" t="n">
        <v>45764</v>
      </c>
      <c r="D402" t="inlineStr">
        <is>
          <t>VÄSTERNORRLANDS LÄN</t>
        </is>
      </c>
      <c r="E402" t="inlineStr">
        <is>
          <t>TIMRÅ</t>
        </is>
      </c>
      <c r="G402" t="n">
        <v>0.6</v>
      </c>
      <c r="H402" t="n">
        <v>0</v>
      </c>
      <c r="I402" t="n">
        <v>0</v>
      </c>
      <c r="J402" t="n">
        <v>0</v>
      </c>
      <c r="K402" t="n">
        <v>0</v>
      </c>
      <c r="L402" t="n">
        <v>0</v>
      </c>
      <c r="M402" t="n">
        <v>0</v>
      </c>
      <c r="N402" t="n">
        <v>0</v>
      </c>
      <c r="O402" t="n">
        <v>0</v>
      </c>
      <c r="P402" t="n">
        <v>0</v>
      </c>
      <c r="Q402" t="n">
        <v>0</v>
      </c>
      <c r="R402" s="2" t="inlineStr"/>
    </row>
    <row r="403" ht="15" customHeight="1">
      <c r="A403" t="inlineStr">
        <is>
          <t>A 1415-2023</t>
        </is>
      </c>
      <c r="B403" s="1" t="n">
        <v>44936</v>
      </c>
      <c r="C403" s="1" t="n">
        <v>45764</v>
      </c>
      <c r="D403" t="inlineStr">
        <is>
          <t>VÄSTERNORRLANDS LÄN</t>
        </is>
      </c>
      <c r="E403" t="inlineStr">
        <is>
          <t>TIMRÅ</t>
        </is>
      </c>
      <c r="G403" t="n">
        <v>1.4</v>
      </c>
      <c r="H403" t="n">
        <v>0</v>
      </c>
      <c r="I403" t="n">
        <v>0</v>
      </c>
      <c r="J403" t="n">
        <v>0</v>
      </c>
      <c r="K403" t="n">
        <v>0</v>
      </c>
      <c r="L403" t="n">
        <v>0</v>
      </c>
      <c r="M403" t="n">
        <v>0</v>
      </c>
      <c r="N403" t="n">
        <v>0</v>
      </c>
      <c r="O403" t="n">
        <v>0</v>
      </c>
      <c r="P403" t="n">
        <v>0</v>
      </c>
      <c r="Q403" t="n">
        <v>0</v>
      </c>
      <c r="R403" s="2" t="inlineStr"/>
    </row>
    <row r="404" ht="15" customHeight="1">
      <c r="A404" t="inlineStr">
        <is>
          <t>A 1896-2023</t>
        </is>
      </c>
      <c r="B404" s="1" t="n">
        <v>44939</v>
      </c>
      <c r="C404" s="1" t="n">
        <v>45764</v>
      </c>
      <c r="D404" t="inlineStr">
        <is>
          <t>VÄSTERNORRLANDS LÄN</t>
        </is>
      </c>
      <c r="E404" t="inlineStr">
        <is>
          <t>TIMRÅ</t>
        </is>
      </c>
      <c r="G404" t="n">
        <v>7.6</v>
      </c>
      <c r="H404" t="n">
        <v>0</v>
      </c>
      <c r="I404" t="n">
        <v>0</v>
      </c>
      <c r="J404" t="n">
        <v>0</v>
      </c>
      <c r="K404" t="n">
        <v>0</v>
      </c>
      <c r="L404" t="n">
        <v>0</v>
      </c>
      <c r="M404" t="n">
        <v>0</v>
      </c>
      <c r="N404" t="n">
        <v>0</v>
      </c>
      <c r="O404" t="n">
        <v>0</v>
      </c>
      <c r="P404" t="n">
        <v>0</v>
      </c>
      <c r="Q404" t="n">
        <v>0</v>
      </c>
      <c r="R404" s="2" t="inlineStr"/>
    </row>
    <row r="405" ht="15" customHeight="1">
      <c r="A405" t="inlineStr">
        <is>
          <t>A 1935-2023</t>
        </is>
      </c>
      <c r="B405" s="1" t="n">
        <v>44939</v>
      </c>
      <c r="C405" s="1" t="n">
        <v>45764</v>
      </c>
      <c r="D405" t="inlineStr">
        <is>
          <t>VÄSTERNORRLANDS LÄN</t>
        </is>
      </c>
      <c r="E405" t="inlineStr">
        <is>
          <t>TIMRÅ</t>
        </is>
      </c>
      <c r="G405" t="n">
        <v>5</v>
      </c>
      <c r="H405" t="n">
        <v>0</v>
      </c>
      <c r="I405" t="n">
        <v>0</v>
      </c>
      <c r="J405" t="n">
        <v>0</v>
      </c>
      <c r="K405" t="n">
        <v>0</v>
      </c>
      <c r="L405" t="n">
        <v>0</v>
      </c>
      <c r="M405" t="n">
        <v>0</v>
      </c>
      <c r="N405" t="n">
        <v>0</v>
      </c>
      <c r="O405" t="n">
        <v>0</v>
      </c>
      <c r="P405" t="n">
        <v>0</v>
      </c>
      <c r="Q405" t="n">
        <v>0</v>
      </c>
      <c r="R405" s="2" t="inlineStr"/>
    </row>
    <row r="406" ht="15" customHeight="1">
      <c r="A406" t="inlineStr">
        <is>
          <t>A 2434-2023</t>
        </is>
      </c>
      <c r="B406" s="1" t="n">
        <v>44943</v>
      </c>
      <c r="C406" s="1" t="n">
        <v>45764</v>
      </c>
      <c r="D406" t="inlineStr">
        <is>
          <t>VÄSTERNORRLANDS LÄN</t>
        </is>
      </c>
      <c r="E406" t="inlineStr">
        <is>
          <t>TIMRÅ</t>
        </is>
      </c>
      <c r="G406" t="n">
        <v>6.6</v>
      </c>
      <c r="H406" t="n">
        <v>0</v>
      </c>
      <c r="I406" t="n">
        <v>0</v>
      </c>
      <c r="J406" t="n">
        <v>0</v>
      </c>
      <c r="K406" t="n">
        <v>0</v>
      </c>
      <c r="L406" t="n">
        <v>0</v>
      </c>
      <c r="M406" t="n">
        <v>0</v>
      </c>
      <c r="N406" t="n">
        <v>0</v>
      </c>
      <c r="O406" t="n">
        <v>0</v>
      </c>
      <c r="P406" t="n">
        <v>0</v>
      </c>
      <c r="Q406" t="n">
        <v>0</v>
      </c>
      <c r="R406" s="2" t="inlineStr"/>
    </row>
    <row r="407" ht="15" customHeight="1">
      <c r="A407" t="inlineStr">
        <is>
          <t>A 4124-2023</t>
        </is>
      </c>
      <c r="B407" s="1" t="n">
        <v>44952</v>
      </c>
      <c r="C407" s="1" t="n">
        <v>45764</v>
      </c>
      <c r="D407" t="inlineStr">
        <is>
          <t>VÄSTERNORRLANDS LÄN</t>
        </is>
      </c>
      <c r="E407" t="inlineStr">
        <is>
          <t>TIMRÅ</t>
        </is>
      </c>
      <c r="G407" t="n">
        <v>4.4</v>
      </c>
      <c r="H407" t="n">
        <v>0</v>
      </c>
      <c r="I407" t="n">
        <v>0</v>
      </c>
      <c r="J407" t="n">
        <v>0</v>
      </c>
      <c r="K407" t="n">
        <v>0</v>
      </c>
      <c r="L407" t="n">
        <v>0</v>
      </c>
      <c r="M407" t="n">
        <v>0</v>
      </c>
      <c r="N407" t="n">
        <v>0</v>
      </c>
      <c r="O407" t="n">
        <v>0</v>
      </c>
      <c r="P407" t="n">
        <v>0</v>
      </c>
      <c r="Q407" t="n">
        <v>0</v>
      </c>
      <c r="R407" s="2" t="inlineStr"/>
    </row>
    <row r="408" ht="15" customHeight="1">
      <c r="A408" t="inlineStr">
        <is>
          <t>A 4123-2023</t>
        </is>
      </c>
      <c r="B408" s="1" t="n">
        <v>44952</v>
      </c>
      <c r="C408" s="1" t="n">
        <v>45764</v>
      </c>
      <c r="D408" t="inlineStr">
        <is>
          <t>VÄSTERNORRLANDS LÄN</t>
        </is>
      </c>
      <c r="E408" t="inlineStr">
        <is>
          <t>TIMRÅ</t>
        </is>
      </c>
      <c r="G408" t="n">
        <v>9.5</v>
      </c>
      <c r="H408" t="n">
        <v>0</v>
      </c>
      <c r="I408" t="n">
        <v>0</v>
      </c>
      <c r="J408" t="n">
        <v>0</v>
      </c>
      <c r="K408" t="n">
        <v>0</v>
      </c>
      <c r="L408" t="n">
        <v>0</v>
      </c>
      <c r="M408" t="n">
        <v>0</v>
      </c>
      <c r="N408" t="n">
        <v>0</v>
      </c>
      <c r="O408" t="n">
        <v>0</v>
      </c>
      <c r="P408" t="n">
        <v>0</v>
      </c>
      <c r="Q408" t="n">
        <v>0</v>
      </c>
      <c r="R408" s="2" t="inlineStr"/>
    </row>
    <row r="409" ht="15" customHeight="1">
      <c r="A409" t="inlineStr">
        <is>
          <t>A 4126-2023</t>
        </is>
      </c>
      <c r="B409" s="1" t="n">
        <v>44952</v>
      </c>
      <c r="C409" s="1" t="n">
        <v>45764</v>
      </c>
      <c r="D409" t="inlineStr">
        <is>
          <t>VÄSTERNORRLANDS LÄN</t>
        </is>
      </c>
      <c r="E409" t="inlineStr">
        <is>
          <t>TIMRÅ</t>
        </is>
      </c>
      <c r="G409" t="n">
        <v>1.7</v>
      </c>
      <c r="H409" t="n">
        <v>0</v>
      </c>
      <c r="I409" t="n">
        <v>0</v>
      </c>
      <c r="J409" t="n">
        <v>0</v>
      </c>
      <c r="K409" t="n">
        <v>0</v>
      </c>
      <c r="L409" t="n">
        <v>0</v>
      </c>
      <c r="M409" t="n">
        <v>0</v>
      </c>
      <c r="N409" t="n">
        <v>0</v>
      </c>
      <c r="O409" t="n">
        <v>0</v>
      </c>
      <c r="P409" t="n">
        <v>0</v>
      </c>
      <c r="Q409" t="n">
        <v>0</v>
      </c>
      <c r="R409" s="2" t="inlineStr"/>
    </row>
    <row r="410" ht="15" customHeight="1">
      <c r="A410" t="inlineStr">
        <is>
          <t>A 4125-2023</t>
        </is>
      </c>
      <c r="B410" s="1" t="n">
        <v>44952</v>
      </c>
      <c r="C410" s="1" t="n">
        <v>45764</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4129-2023</t>
        </is>
      </c>
      <c r="B411" s="1" t="n">
        <v>44952</v>
      </c>
      <c r="C411" s="1" t="n">
        <v>45764</v>
      </c>
      <c r="D411" t="inlineStr">
        <is>
          <t>VÄSTERNORRLANDS LÄN</t>
        </is>
      </c>
      <c r="E411" t="inlineStr">
        <is>
          <t>TIMRÅ</t>
        </is>
      </c>
      <c r="G411" t="n">
        <v>13.3</v>
      </c>
      <c r="H411" t="n">
        <v>0</v>
      </c>
      <c r="I411" t="n">
        <v>0</v>
      </c>
      <c r="J411" t="n">
        <v>0</v>
      </c>
      <c r="K411" t="n">
        <v>0</v>
      </c>
      <c r="L411" t="n">
        <v>0</v>
      </c>
      <c r="M411" t="n">
        <v>0</v>
      </c>
      <c r="N411" t="n">
        <v>0</v>
      </c>
      <c r="O411" t="n">
        <v>0</v>
      </c>
      <c r="P411" t="n">
        <v>0</v>
      </c>
      <c r="Q411" t="n">
        <v>0</v>
      </c>
      <c r="R411" s="2" t="inlineStr"/>
    </row>
    <row r="412" ht="15" customHeight="1">
      <c r="A412" t="inlineStr">
        <is>
          <t>A 6772-2023</t>
        </is>
      </c>
      <c r="B412" s="1" t="n">
        <v>44966</v>
      </c>
      <c r="C412" s="1" t="n">
        <v>45764</v>
      </c>
      <c r="D412" t="inlineStr">
        <is>
          <t>VÄSTERNORRLANDS LÄN</t>
        </is>
      </c>
      <c r="E412" t="inlineStr">
        <is>
          <t>TIMRÅ</t>
        </is>
      </c>
      <c r="G412" t="n">
        <v>1.9</v>
      </c>
      <c r="H412" t="n">
        <v>0</v>
      </c>
      <c r="I412" t="n">
        <v>0</v>
      </c>
      <c r="J412" t="n">
        <v>0</v>
      </c>
      <c r="K412" t="n">
        <v>0</v>
      </c>
      <c r="L412" t="n">
        <v>0</v>
      </c>
      <c r="M412" t="n">
        <v>0</v>
      </c>
      <c r="N412" t="n">
        <v>0</v>
      </c>
      <c r="O412" t="n">
        <v>0</v>
      </c>
      <c r="P412" t="n">
        <v>0</v>
      </c>
      <c r="Q412" t="n">
        <v>0</v>
      </c>
      <c r="R412" s="2" t="inlineStr"/>
    </row>
    <row r="413" ht="15" customHeight="1">
      <c r="A413" t="inlineStr">
        <is>
          <t>A 6770-2023</t>
        </is>
      </c>
      <c r="B413" s="1" t="n">
        <v>44966</v>
      </c>
      <c r="C413" s="1" t="n">
        <v>45764</v>
      </c>
      <c r="D413" t="inlineStr">
        <is>
          <t>VÄSTERNORRLANDS LÄN</t>
        </is>
      </c>
      <c r="E413" t="inlineStr">
        <is>
          <t>TIMRÅ</t>
        </is>
      </c>
      <c r="G413" t="n">
        <v>3.3</v>
      </c>
      <c r="H413" t="n">
        <v>0</v>
      </c>
      <c r="I413" t="n">
        <v>0</v>
      </c>
      <c r="J413" t="n">
        <v>0</v>
      </c>
      <c r="K413" t="n">
        <v>0</v>
      </c>
      <c r="L413" t="n">
        <v>0</v>
      </c>
      <c r="M413" t="n">
        <v>0</v>
      </c>
      <c r="N413" t="n">
        <v>0</v>
      </c>
      <c r="O413" t="n">
        <v>0</v>
      </c>
      <c r="P413" t="n">
        <v>0</v>
      </c>
      <c r="Q413" t="n">
        <v>0</v>
      </c>
      <c r="R413" s="2" t="inlineStr"/>
    </row>
    <row r="414" ht="15" customHeight="1">
      <c r="A414" t="inlineStr">
        <is>
          <t>A 6771-2023</t>
        </is>
      </c>
      <c r="B414" s="1" t="n">
        <v>44966</v>
      </c>
      <c r="C414" s="1" t="n">
        <v>45764</v>
      </c>
      <c r="D414" t="inlineStr">
        <is>
          <t>VÄSTERNORRLANDS LÄN</t>
        </is>
      </c>
      <c r="E414" t="inlineStr">
        <is>
          <t>TIMRÅ</t>
        </is>
      </c>
      <c r="G414" t="n">
        <v>3</v>
      </c>
      <c r="H414" t="n">
        <v>0</v>
      </c>
      <c r="I414" t="n">
        <v>0</v>
      </c>
      <c r="J414" t="n">
        <v>0</v>
      </c>
      <c r="K414" t="n">
        <v>0</v>
      </c>
      <c r="L414" t="n">
        <v>0</v>
      </c>
      <c r="M414" t="n">
        <v>0</v>
      </c>
      <c r="N414" t="n">
        <v>0</v>
      </c>
      <c r="O414" t="n">
        <v>0</v>
      </c>
      <c r="P414" t="n">
        <v>0</v>
      </c>
      <c r="Q414" t="n">
        <v>0</v>
      </c>
      <c r="R414" s="2" t="inlineStr"/>
    </row>
    <row r="415" ht="15" customHeight="1">
      <c r="A415" t="inlineStr">
        <is>
          <t>A 8632-2023</t>
        </is>
      </c>
      <c r="B415" s="1" t="n">
        <v>44977</v>
      </c>
      <c r="C415" s="1" t="n">
        <v>45764</v>
      </c>
      <c r="D415" t="inlineStr">
        <is>
          <t>VÄSTERNORRLANDS LÄN</t>
        </is>
      </c>
      <c r="E415" t="inlineStr">
        <is>
          <t>TIMRÅ</t>
        </is>
      </c>
      <c r="G415" t="n">
        <v>0.8</v>
      </c>
      <c r="H415" t="n">
        <v>0</v>
      </c>
      <c r="I415" t="n">
        <v>0</v>
      </c>
      <c r="J415" t="n">
        <v>0</v>
      </c>
      <c r="K415" t="n">
        <v>0</v>
      </c>
      <c r="L415" t="n">
        <v>0</v>
      </c>
      <c r="M415" t="n">
        <v>0</v>
      </c>
      <c r="N415" t="n">
        <v>0</v>
      </c>
      <c r="O415" t="n">
        <v>0</v>
      </c>
      <c r="P415" t="n">
        <v>0</v>
      </c>
      <c r="Q415" t="n">
        <v>0</v>
      </c>
      <c r="R415" s="2" t="inlineStr"/>
    </row>
    <row r="416" ht="15" customHeight="1">
      <c r="A416" t="inlineStr">
        <is>
          <t>A 9612-2023</t>
        </is>
      </c>
      <c r="B416" s="1" t="n">
        <v>44983</v>
      </c>
      <c r="C416" s="1" t="n">
        <v>45764</v>
      </c>
      <c r="D416" t="inlineStr">
        <is>
          <t>VÄSTERNORRLANDS LÄN</t>
        </is>
      </c>
      <c r="E416" t="inlineStr">
        <is>
          <t>TIMRÅ</t>
        </is>
      </c>
      <c r="F416" t="inlineStr">
        <is>
          <t>SCA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9880-2023</t>
        </is>
      </c>
      <c r="B417" s="1" t="n">
        <v>44984</v>
      </c>
      <c r="C417" s="1" t="n">
        <v>45764</v>
      </c>
      <c r="D417" t="inlineStr">
        <is>
          <t>VÄSTERNORRLANDS LÄN</t>
        </is>
      </c>
      <c r="E417" t="inlineStr">
        <is>
          <t>TIMRÅ</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10103-2023</t>
        </is>
      </c>
      <c r="B418" s="1" t="n">
        <v>44985</v>
      </c>
      <c r="C418" s="1" t="n">
        <v>45764</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10104-2023</t>
        </is>
      </c>
      <c r="B419" s="1" t="n">
        <v>44985</v>
      </c>
      <c r="C419" s="1" t="n">
        <v>45764</v>
      </c>
      <c r="D419" t="inlineStr">
        <is>
          <t>VÄSTERNORRLANDS LÄN</t>
        </is>
      </c>
      <c r="E419" t="inlineStr">
        <is>
          <t>TIMRÅ</t>
        </is>
      </c>
      <c r="F419" t="inlineStr">
        <is>
          <t>SCA</t>
        </is>
      </c>
      <c r="G419" t="n">
        <v>10.5</v>
      </c>
      <c r="H419" t="n">
        <v>0</v>
      </c>
      <c r="I419" t="n">
        <v>0</v>
      </c>
      <c r="J419" t="n">
        <v>0</v>
      </c>
      <c r="K419" t="n">
        <v>0</v>
      </c>
      <c r="L419" t="n">
        <v>0</v>
      </c>
      <c r="M419" t="n">
        <v>0</v>
      </c>
      <c r="N419" t="n">
        <v>0</v>
      </c>
      <c r="O419" t="n">
        <v>0</v>
      </c>
      <c r="P419" t="n">
        <v>0</v>
      </c>
      <c r="Q419" t="n">
        <v>0</v>
      </c>
      <c r="R419" s="2" t="inlineStr"/>
    </row>
    <row r="420" ht="15" customHeight="1">
      <c r="A420" t="inlineStr">
        <is>
          <t>A 10312-2023</t>
        </is>
      </c>
      <c r="B420" s="1" t="n">
        <v>44986</v>
      </c>
      <c r="C420" s="1" t="n">
        <v>45764</v>
      </c>
      <c r="D420" t="inlineStr">
        <is>
          <t>VÄSTERNORRLANDS LÄN</t>
        </is>
      </c>
      <c r="E420" t="inlineStr">
        <is>
          <t>TIMRÅ</t>
        </is>
      </c>
      <c r="F420" t="inlineStr">
        <is>
          <t>SCA</t>
        </is>
      </c>
      <c r="G420" t="n">
        <v>38.4</v>
      </c>
      <c r="H420" t="n">
        <v>0</v>
      </c>
      <c r="I420" t="n">
        <v>0</v>
      </c>
      <c r="J420" t="n">
        <v>0</v>
      </c>
      <c r="K420" t="n">
        <v>0</v>
      </c>
      <c r="L420" t="n">
        <v>0</v>
      </c>
      <c r="M420" t="n">
        <v>0</v>
      </c>
      <c r="N420" t="n">
        <v>0</v>
      </c>
      <c r="O420" t="n">
        <v>0</v>
      </c>
      <c r="P420" t="n">
        <v>0</v>
      </c>
      <c r="Q420" t="n">
        <v>0</v>
      </c>
      <c r="R420" s="2" t="inlineStr"/>
    </row>
    <row r="421" ht="15" customHeight="1">
      <c r="A421" t="inlineStr">
        <is>
          <t>A 10556-2023</t>
        </is>
      </c>
      <c r="B421" s="1" t="n">
        <v>44987</v>
      </c>
      <c r="C421" s="1" t="n">
        <v>45764</v>
      </c>
      <c r="D421" t="inlineStr">
        <is>
          <t>VÄSTERNORRLANDS LÄN</t>
        </is>
      </c>
      <c r="E421" t="inlineStr">
        <is>
          <t>TIMRÅ</t>
        </is>
      </c>
      <c r="F421" t="inlineStr">
        <is>
          <t>SCA</t>
        </is>
      </c>
      <c r="G421" t="n">
        <v>9.5</v>
      </c>
      <c r="H421" t="n">
        <v>0</v>
      </c>
      <c r="I421" t="n">
        <v>0</v>
      </c>
      <c r="J421" t="n">
        <v>0</v>
      </c>
      <c r="K421" t="n">
        <v>0</v>
      </c>
      <c r="L421" t="n">
        <v>0</v>
      </c>
      <c r="M421" t="n">
        <v>0</v>
      </c>
      <c r="N421" t="n">
        <v>0</v>
      </c>
      <c r="O421" t="n">
        <v>0</v>
      </c>
      <c r="P421" t="n">
        <v>0</v>
      </c>
      <c r="Q421" t="n">
        <v>0</v>
      </c>
      <c r="R421" s="2" t="inlineStr"/>
    </row>
    <row r="422" ht="15" customHeight="1">
      <c r="A422" t="inlineStr">
        <is>
          <t>A 10773-2023</t>
        </is>
      </c>
      <c r="B422" s="1" t="n">
        <v>44988</v>
      </c>
      <c r="C422" s="1" t="n">
        <v>45764</v>
      </c>
      <c r="D422" t="inlineStr">
        <is>
          <t>VÄSTERNORRLANDS LÄN</t>
        </is>
      </c>
      <c r="E422" t="inlineStr">
        <is>
          <t>TIMRÅ</t>
        </is>
      </c>
      <c r="F422" t="inlineStr">
        <is>
          <t>SCA</t>
        </is>
      </c>
      <c r="G422" t="n">
        <v>17.3</v>
      </c>
      <c r="H422" t="n">
        <v>0</v>
      </c>
      <c r="I422" t="n">
        <v>0</v>
      </c>
      <c r="J422" t="n">
        <v>0</v>
      </c>
      <c r="K422" t="n">
        <v>0</v>
      </c>
      <c r="L422" t="n">
        <v>0</v>
      </c>
      <c r="M422" t="n">
        <v>0</v>
      </c>
      <c r="N422" t="n">
        <v>0</v>
      </c>
      <c r="O422" t="n">
        <v>0</v>
      </c>
      <c r="P422" t="n">
        <v>0</v>
      </c>
      <c r="Q422" t="n">
        <v>0</v>
      </c>
      <c r="R422" s="2" t="inlineStr"/>
    </row>
    <row r="423" ht="15" customHeight="1">
      <c r="A423" t="inlineStr">
        <is>
          <t>A 13256-2023</t>
        </is>
      </c>
      <c r="B423" s="1" t="n">
        <v>45002</v>
      </c>
      <c r="C423" s="1" t="n">
        <v>45764</v>
      </c>
      <c r="D423" t="inlineStr">
        <is>
          <t>VÄSTERNORRLANDS LÄN</t>
        </is>
      </c>
      <c r="E423" t="inlineStr">
        <is>
          <t>TIMRÅ</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13254-2023</t>
        </is>
      </c>
      <c r="B424" s="1" t="n">
        <v>45002</v>
      </c>
      <c r="C424" s="1" t="n">
        <v>45764</v>
      </c>
      <c r="D424" t="inlineStr">
        <is>
          <t>VÄSTERNORRLANDS LÄN</t>
        </is>
      </c>
      <c r="E424" t="inlineStr">
        <is>
          <t>TIMRÅ</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13255-2023</t>
        </is>
      </c>
      <c r="B425" s="1" t="n">
        <v>45002</v>
      </c>
      <c r="C425" s="1" t="n">
        <v>45764</v>
      </c>
      <c r="D425" t="inlineStr">
        <is>
          <t>VÄSTERNORRLANDS LÄN</t>
        </is>
      </c>
      <c r="E425" t="inlineStr">
        <is>
          <t>TIMRÅ</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13253-2023</t>
        </is>
      </c>
      <c r="B426" s="1" t="n">
        <v>45002</v>
      </c>
      <c r="C426" s="1" t="n">
        <v>45764</v>
      </c>
      <c r="D426" t="inlineStr">
        <is>
          <t>VÄSTERNORRLANDS LÄN</t>
        </is>
      </c>
      <c r="E426" t="inlineStr">
        <is>
          <t>TIMRÅ</t>
        </is>
      </c>
      <c r="F426" t="inlineStr">
        <is>
          <t>SCA</t>
        </is>
      </c>
      <c r="G426" t="n">
        <v>10.1</v>
      </c>
      <c r="H426" t="n">
        <v>0</v>
      </c>
      <c r="I426" t="n">
        <v>0</v>
      </c>
      <c r="J426" t="n">
        <v>0</v>
      </c>
      <c r="K426" t="n">
        <v>0</v>
      </c>
      <c r="L426" t="n">
        <v>0</v>
      </c>
      <c r="M426" t="n">
        <v>0</v>
      </c>
      <c r="N426" t="n">
        <v>0</v>
      </c>
      <c r="O426" t="n">
        <v>0</v>
      </c>
      <c r="P426" t="n">
        <v>0</v>
      </c>
      <c r="Q426" t="n">
        <v>0</v>
      </c>
      <c r="R426" s="2" t="inlineStr"/>
    </row>
    <row r="427" ht="15" customHeight="1">
      <c r="A427" t="inlineStr">
        <is>
          <t>A 13446-2023</t>
        </is>
      </c>
      <c r="B427" s="1" t="n">
        <v>45005</v>
      </c>
      <c r="C427" s="1" t="n">
        <v>45764</v>
      </c>
      <c r="D427" t="inlineStr">
        <is>
          <t>VÄSTERNORRLANDS LÄN</t>
        </is>
      </c>
      <c r="E427" t="inlineStr">
        <is>
          <t>TIMRÅ</t>
        </is>
      </c>
      <c r="G427" t="n">
        <v>1.6</v>
      </c>
      <c r="H427" t="n">
        <v>0</v>
      </c>
      <c r="I427" t="n">
        <v>0</v>
      </c>
      <c r="J427" t="n">
        <v>0</v>
      </c>
      <c r="K427" t="n">
        <v>0</v>
      </c>
      <c r="L427" t="n">
        <v>0</v>
      </c>
      <c r="M427" t="n">
        <v>0</v>
      </c>
      <c r="N427" t="n">
        <v>0</v>
      </c>
      <c r="O427" t="n">
        <v>0</v>
      </c>
      <c r="P427" t="n">
        <v>0</v>
      </c>
      <c r="Q427" t="n">
        <v>0</v>
      </c>
      <c r="R427" s="2" t="inlineStr"/>
    </row>
    <row r="428" ht="15" customHeight="1">
      <c r="A428" t="inlineStr">
        <is>
          <t>A 14865-2023</t>
        </is>
      </c>
      <c r="B428" s="1" t="n">
        <v>45015</v>
      </c>
      <c r="C428" s="1" t="n">
        <v>45764</v>
      </c>
      <c r="D428" t="inlineStr">
        <is>
          <t>VÄSTERNORRLANDS LÄN</t>
        </is>
      </c>
      <c r="E428" t="inlineStr">
        <is>
          <t>TIMRÅ</t>
        </is>
      </c>
      <c r="F428" t="inlineStr">
        <is>
          <t>SCA</t>
        </is>
      </c>
      <c r="G428" t="n">
        <v>20.1</v>
      </c>
      <c r="H428" t="n">
        <v>0</v>
      </c>
      <c r="I428" t="n">
        <v>0</v>
      </c>
      <c r="J428" t="n">
        <v>0</v>
      </c>
      <c r="K428" t="n">
        <v>0</v>
      </c>
      <c r="L428" t="n">
        <v>0</v>
      </c>
      <c r="M428" t="n">
        <v>0</v>
      </c>
      <c r="N428" t="n">
        <v>0</v>
      </c>
      <c r="O428" t="n">
        <v>0</v>
      </c>
      <c r="P428" t="n">
        <v>0</v>
      </c>
      <c r="Q428" t="n">
        <v>0</v>
      </c>
      <c r="R428" s="2" t="inlineStr"/>
    </row>
    <row r="429" ht="15" customHeight="1">
      <c r="A429" t="inlineStr">
        <is>
          <t>A 14863-2023</t>
        </is>
      </c>
      <c r="B429" s="1" t="n">
        <v>45015</v>
      </c>
      <c r="C429" s="1" t="n">
        <v>45764</v>
      </c>
      <c r="D429" t="inlineStr">
        <is>
          <t>VÄSTERNORRLANDS LÄN</t>
        </is>
      </c>
      <c r="E429" t="inlineStr">
        <is>
          <t>TIMRÅ</t>
        </is>
      </c>
      <c r="F429" t="inlineStr">
        <is>
          <t>SCA</t>
        </is>
      </c>
      <c r="G429" t="n">
        <v>19.8</v>
      </c>
      <c r="H429" t="n">
        <v>0</v>
      </c>
      <c r="I429" t="n">
        <v>0</v>
      </c>
      <c r="J429" t="n">
        <v>0</v>
      </c>
      <c r="K429" t="n">
        <v>0</v>
      </c>
      <c r="L429" t="n">
        <v>0</v>
      </c>
      <c r="M429" t="n">
        <v>0</v>
      </c>
      <c r="N429" t="n">
        <v>0</v>
      </c>
      <c r="O429" t="n">
        <v>0</v>
      </c>
      <c r="P429" t="n">
        <v>0</v>
      </c>
      <c r="Q429" t="n">
        <v>0</v>
      </c>
      <c r="R429" s="2" t="inlineStr"/>
    </row>
    <row r="430" ht="15" customHeight="1">
      <c r="A430" t="inlineStr">
        <is>
          <t>A 14864-2023</t>
        </is>
      </c>
      <c r="B430" s="1" t="n">
        <v>45015</v>
      </c>
      <c r="C430" s="1" t="n">
        <v>45764</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15815-2023</t>
        </is>
      </c>
      <c r="B431" s="1" t="n">
        <v>45022</v>
      </c>
      <c r="C431" s="1" t="n">
        <v>45764</v>
      </c>
      <c r="D431" t="inlineStr">
        <is>
          <t>VÄSTERNORRLANDS LÄN</t>
        </is>
      </c>
      <c r="E431" t="inlineStr">
        <is>
          <t>TIMRÅ</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15820-2023</t>
        </is>
      </c>
      <c r="B432" s="1" t="n">
        <v>45022</v>
      </c>
      <c r="C432" s="1" t="n">
        <v>45764</v>
      </c>
      <c r="D432" t="inlineStr">
        <is>
          <t>VÄSTERNORRLANDS LÄN</t>
        </is>
      </c>
      <c r="E432" t="inlineStr">
        <is>
          <t>TIMRÅ</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15816-2023</t>
        </is>
      </c>
      <c r="B433" s="1" t="n">
        <v>45021</v>
      </c>
      <c r="C433" s="1" t="n">
        <v>45764</v>
      </c>
      <c r="D433" t="inlineStr">
        <is>
          <t>VÄSTERNORRLANDS LÄN</t>
        </is>
      </c>
      <c r="E433" t="inlineStr">
        <is>
          <t>TIMRÅ</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15821-2023</t>
        </is>
      </c>
      <c r="B434" s="1" t="n">
        <v>45022</v>
      </c>
      <c r="C434" s="1" t="n">
        <v>45764</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15823-2023</t>
        </is>
      </c>
      <c r="B435" s="1" t="n">
        <v>45021</v>
      </c>
      <c r="C435" s="1" t="n">
        <v>45764</v>
      </c>
      <c r="D435" t="inlineStr">
        <is>
          <t>VÄSTERNORRLANDS LÄN</t>
        </is>
      </c>
      <c r="E435" t="inlineStr">
        <is>
          <t>TIMRÅ</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16554-2023</t>
        </is>
      </c>
      <c r="B436" s="1" t="n">
        <v>45029</v>
      </c>
      <c r="C436" s="1" t="n">
        <v>45764</v>
      </c>
      <c r="D436" t="inlineStr">
        <is>
          <t>VÄSTERNORRLANDS LÄN</t>
        </is>
      </c>
      <c r="E436" t="inlineStr">
        <is>
          <t>TIMRÅ</t>
        </is>
      </c>
      <c r="G436" t="n">
        <v>3.8</v>
      </c>
      <c r="H436" t="n">
        <v>0</v>
      </c>
      <c r="I436" t="n">
        <v>0</v>
      </c>
      <c r="J436" t="n">
        <v>0</v>
      </c>
      <c r="K436" t="n">
        <v>0</v>
      </c>
      <c r="L436" t="n">
        <v>0</v>
      </c>
      <c r="M436" t="n">
        <v>0</v>
      </c>
      <c r="N436" t="n">
        <v>0</v>
      </c>
      <c r="O436" t="n">
        <v>0</v>
      </c>
      <c r="P436" t="n">
        <v>0</v>
      </c>
      <c r="Q436" t="n">
        <v>0</v>
      </c>
      <c r="R436" s="2" t="inlineStr"/>
    </row>
    <row r="437" ht="15" customHeight="1">
      <c r="A437" t="inlineStr">
        <is>
          <t>A 16555-2023</t>
        </is>
      </c>
      <c r="B437" s="1" t="n">
        <v>45029</v>
      </c>
      <c r="C437" s="1" t="n">
        <v>45764</v>
      </c>
      <c r="D437" t="inlineStr">
        <is>
          <t>VÄSTERNORRLANDS LÄN</t>
        </is>
      </c>
      <c r="E437" t="inlineStr">
        <is>
          <t>TIMRÅ</t>
        </is>
      </c>
      <c r="G437" t="n">
        <v>0.7</v>
      </c>
      <c r="H437" t="n">
        <v>0</v>
      </c>
      <c r="I437" t="n">
        <v>0</v>
      </c>
      <c r="J437" t="n">
        <v>0</v>
      </c>
      <c r="K437" t="n">
        <v>0</v>
      </c>
      <c r="L437" t="n">
        <v>0</v>
      </c>
      <c r="M437" t="n">
        <v>0</v>
      </c>
      <c r="N437" t="n">
        <v>0</v>
      </c>
      <c r="O437" t="n">
        <v>0</v>
      </c>
      <c r="P437" t="n">
        <v>0</v>
      </c>
      <c r="Q437" t="n">
        <v>0</v>
      </c>
      <c r="R437" s="2" t="inlineStr"/>
    </row>
    <row r="438" ht="15" customHeight="1">
      <c r="A438" t="inlineStr">
        <is>
          <t>A 16786-2023</t>
        </is>
      </c>
      <c r="B438" s="1" t="n">
        <v>45032</v>
      </c>
      <c r="C438" s="1" t="n">
        <v>45764</v>
      </c>
      <c r="D438" t="inlineStr">
        <is>
          <t>VÄSTERNORRLANDS LÄN</t>
        </is>
      </c>
      <c r="E438" t="inlineStr">
        <is>
          <t>TIMRÅ</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17002-2023</t>
        </is>
      </c>
      <c r="B439" s="1" t="n">
        <v>45033</v>
      </c>
      <c r="C439" s="1" t="n">
        <v>45764</v>
      </c>
      <c r="D439" t="inlineStr">
        <is>
          <t>VÄSTERNORRLANDS LÄN</t>
        </is>
      </c>
      <c r="E439" t="inlineStr">
        <is>
          <t>TIMRÅ</t>
        </is>
      </c>
      <c r="F439" t="inlineStr">
        <is>
          <t>SCA</t>
        </is>
      </c>
      <c r="G439" t="n">
        <v>12.7</v>
      </c>
      <c r="H439" t="n">
        <v>0</v>
      </c>
      <c r="I439" t="n">
        <v>0</v>
      </c>
      <c r="J439" t="n">
        <v>0</v>
      </c>
      <c r="K439" t="n">
        <v>0</v>
      </c>
      <c r="L439" t="n">
        <v>0</v>
      </c>
      <c r="M439" t="n">
        <v>0</v>
      </c>
      <c r="N439" t="n">
        <v>0</v>
      </c>
      <c r="O439" t="n">
        <v>0</v>
      </c>
      <c r="P439" t="n">
        <v>0</v>
      </c>
      <c r="Q439" t="n">
        <v>0</v>
      </c>
      <c r="R439" s="2" t="inlineStr"/>
    </row>
    <row r="440" ht="15" customHeight="1">
      <c r="A440" t="inlineStr">
        <is>
          <t>A 17441-2023</t>
        </is>
      </c>
      <c r="B440" s="1" t="n">
        <v>45036</v>
      </c>
      <c r="C440" s="1" t="n">
        <v>45764</v>
      </c>
      <c r="D440" t="inlineStr">
        <is>
          <t>VÄSTERNORRLANDS LÄN</t>
        </is>
      </c>
      <c r="E440" t="inlineStr">
        <is>
          <t>TIMRÅ</t>
        </is>
      </c>
      <c r="F440" t="inlineStr">
        <is>
          <t>SCA</t>
        </is>
      </c>
      <c r="G440" t="n">
        <v>7.4</v>
      </c>
      <c r="H440" t="n">
        <v>0</v>
      </c>
      <c r="I440" t="n">
        <v>0</v>
      </c>
      <c r="J440" t="n">
        <v>0</v>
      </c>
      <c r="K440" t="n">
        <v>0</v>
      </c>
      <c r="L440" t="n">
        <v>0</v>
      </c>
      <c r="M440" t="n">
        <v>0</v>
      </c>
      <c r="N440" t="n">
        <v>0</v>
      </c>
      <c r="O440" t="n">
        <v>0</v>
      </c>
      <c r="P440" t="n">
        <v>0</v>
      </c>
      <c r="Q440" t="n">
        <v>0</v>
      </c>
      <c r="R440" s="2" t="inlineStr"/>
    </row>
    <row r="441" ht="15" customHeight="1">
      <c r="A441" t="inlineStr">
        <is>
          <t>A 17865-2023</t>
        </is>
      </c>
      <c r="B441" s="1" t="n">
        <v>45038</v>
      </c>
      <c r="C441" s="1" t="n">
        <v>45764</v>
      </c>
      <c r="D441" t="inlineStr">
        <is>
          <t>VÄSTERNORRLANDS LÄN</t>
        </is>
      </c>
      <c r="E441" t="inlineStr">
        <is>
          <t>TIMRÅ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17936-2023</t>
        </is>
      </c>
      <c r="B442" s="1" t="n">
        <v>45040</v>
      </c>
      <c r="C442" s="1" t="n">
        <v>45764</v>
      </c>
      <c r="D442" t="inlineStr">
        <is>
          <t>VÄSTERNORRLANDS LÄN</t>
        </is>
      </c>
      <c r="E442" t="inlineStr">
        <is>
          <t>TIMRÅ</t>
        </is>
      </c>
      <c r="G442" t="n">
        <v>4.8</v>
      </c>
      <c r="H442" t="n">
        <v>0</v>
      </c>
      <c r="I442" t="n">
        <v>0</v>
      </c>
      <c r="J442" t="n">
        <v>0</v>
      </c>
      <c r="K442" t="n">
        <v>0</v>
      </c>
      <c r="L442" t="n">
        <v>0</v>
      </c>
      <c r="M442" t="n">
        <v>0</v>
      </c>
      <c r="N442" t="n">
        <v>0</v>
      </c>
      <c r="O442" t="n">
        <v>0</v>
      </c>
      <c r="P442" t="n">
        <v>0</v>
      </c>
      <c r="Q442" t="n">
        <v>0</v>
      </c>
      <c r="R442" s="2" t="inlineStr"/>
    </row>
    <row r="443" ht="15" customHeight="1">
      <c r="A443" t="inlineStr">
        <is>
          <t>A 18289-2023</t>
        </is>
      </c>
      <c r="B443" s="1" t="n">
        <v>45040</v>
      </c>
      <c r="C443" s="1" t="n">
        <v>45764</v>
      </c>
      <c r="D443" t="inlineStr">
        <is>
          <t>VÄSTERNORRLANDS LÄN</t>
        </is>
      </c>
      <c r="E443" t="inlineStr">
        <is>
          <t>TIMRÅ</t>
        </is>
      </c>
      <c r="G443" t="n">
        <v>4.5</v>
      </c>
      <c r="H443" t="n">
        <v>0</v>
      </c>
      <c r="I443" t="n">
        <v>0</v>
      </c>
      <c r="J443" t="n">
        <v>0</v>
      </c>
      <c r="K443" t="n">
        <v>0</v>
      </c>
      <c r="L443" t="n">
        <v>0</v>
      </c>
      <c r="M443" t="n">
        <v>0</v>
      </c>
      <c r="N443" t="n">
        <v>0</v>
      </c>
      <c r="O443" t="n">
        <v>0</v>
      </c>
      <c r="P443" t="n">
        <v>0</v>
      </c>
      <c r="Q443" t="n">
        <v>0</v>
      </c>
      <c r="R443" s="2" t="inlineStr"/>
    </row>
    <row r="444" ht="15" customHeight="1">
      <c r="A444" t="inlineStr">
        <is>
          <t>A 18684-2023</t>
        </is>
      </c>
      <c r="B444" s="1" t="n">
        <v>45042</v>
      </c>
      <c r="C444" s="1" t="n">
        <v>45764</v>
      </c>
      <c r="D444" t="inlineStr">
        <is>
          <t>VÄSTERNORRLANDS LÄN</t>
        </is>
      </c>
      <c r="E444" t="inlineStr">
        <is>
          <t>TIMRÅ</t>
        </is>
      </c>
      <c r="G444" t="n">
        <v>5.7</v>
      </c>
      <c r="H444" t="n">
        <v>0</v>
      </c>
      <c r="I444" t="n">
        <v>0</v>
      </c>
      <c r="J444" t="n">
        <v>0</v>
      </c>
      <c r="K444" t="n">
        <v>0</v>
      </c>
      <c r="L444" t="n">
        <v>0</v>
      </c>
      <c r="M444" t="n">
        <v>0</v>
      </c>
      <c r="N444" t="n">
        <v>0</v>
      </c>
      <c r="O444" t="n">
        <v>0</v>
      </c>
      <c r="P444" t="n">
        <v>0</v>
      </c>
      <c r="Q444" t="n">
        <v>0</v>
      </c>
      <c r="R444" s="2" t="inlineStr"/>
    </row>
    <row r="445" ht="15" customHeight="1">
      <c r="A445" t="inlineStr">
        <is>
          <t>A 18778-2023</t>
        </is>
      </c>
      <c r="B445" s="1" t="n">
        <v>45043</v>
      </c>
      <c r="C445" s="1" t="n">
        <v>45764</v>
      </c>
      <c r="D445" t="inlineStr">
        <is>
          <t>VÄSTERNORRLANDS LÄN</t>
        </is>
      </c>
      <c r="E445" t="inlineStr">
        <is>
          <t>TIMRÅ</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19244-2023</t>
        </is>
      </c>
      <c r="B446" s="1" t="n">
        <v>45048</v>
      </c>
      <c r="C446" s="1" t="n">
        <v>45764</v>
      </c>
      <c r="D446" t="inlineStr">
        <is>
          <t>VÄSTERNORRLANDS LÄN</t>
        </is>
      </c>
      <c r="E446" t="inlineStr">
        <is>
          <t>TIMRÅ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19440-2023</t>
        </is>
      </c>
      <c r="B447" s="1" t="n">
        <v>45049</v>
      </c>
      <c r="C447" s="1" t="n">
        <v>45764</v>
      </c>
      <c r="D447" t="inlineStr">
        <is>
          <t>VÄSTERNORRLANDS LÄN</t>
        </is>
      </c>
      <c r="E447" t="inlineStr">
        <is>
          <t>TIMRÅ</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20097-2023</t>
        </is>
      </c>
      <c r="B448" s="1" t="n">
        <v>45055</v>
      </c>
      <c r="C448" s="1" t="n">
        <v>45764</v>
      </c>
      <c r="D448" t="inlineStr">
        <is>
          <t>VÄSTERNORRLANDS LÄN</t>
        </is>
      </c>
      <c r="E448" t="inlineStr">
        <is>
          <t>TIMRÅ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20835-2023</t>
        </is>
      </c>
      <c r="B449" s="1" t="n">
        <v>45058</v>
      </c>
      <c r="C449" s="1" t="n">
        <v>45764</v>
      </c>
      <c r="D449" t="inlineStr">
        <is>
          <t>VÄSTERNORRLANDS LÄN</t>
        </is>
      </c>
      <c r="E449" t="inlineStr">
        <is>
          <t>TIMRÅ</t>
        </is>
      </c>
      <c r="G449" t="n">
        <v>4.4</v>
      </c>
      <c r="H449" t="n">
        <v>0</v>
      </c>
      <c r="I449" t="n">
        <v>0</v>
      </c>
      <c r="J449" t="n">
        <v>0</v>
      </c>
      <c r="K449" t="n">
        <v>0</v>
      </c>
      <c r="L449" t="n">
        <v>0</v>
      </c>
      <c r="M449" t="n">
        <v>0</v>
      </c>
      <c r="N449" t="n">
        <v>0</v>
      </c>
      <c r="O449" t="n">
        <v>0</v>
      </c>
      <c r="P449" t="n">
        <v>0</v>
      </c>
      <c r="Q449" t="n">
        <v>0</v>
      </c>
      <c r="R449" s="2" t="inlineStr"/>
    </row>
    <row r="450" ht="15" customHeight="1">
      <c r="A450" t="inlineStr">
        <is>
          <t>A 20839-2023</t>
        </is>
      </c>
      <c r="B450" s="1" t="n">
        <v>45058</v>
      </c>
      <c r="C450" s="1" t="n">
        <v>45764</v>
      </c>
      <c r="D450" t="inlineStr">
        <is>
          <t>VÄSTERNORRLANDS LÄN</t>
        </is>
      </c>
      <c r="E450" t="inlineStr">
        <is>
          <t>TIMRÅ</t>
        </is>
      </c>
      <c r="G450" t="n">
        <v>7.2</v>
      </c>
      <c r="H450" t="n">
        <v>0</v>
      </c>
      <c r="I450" t="n">
        <v>0</v>
      </c>
      <c r="J450" t="n">
        <v>0</v>
      </c>
      <c r="K450" t="n">
        <v>0</v>
      </c>
      <c r="L450" t="n">
        <v>0</v>
      </c>
      <c r="M450" t="n">
        <v>0</v>
      </c>
      <c r="N450" t="n">
        <v>0</v>
      </c>
      <c r="O450" t="n">
        <v>0</v>
      </c>
      <c r="P450" t="n">
        <v>0</v>
      </c>
      <c r="Q450" t="n">
        <v>0</v>
      </c>
      <c r="R450" s="2" t="inlineStr"/>
    </row>
    <row r="451" ht="15" customHeight="1">
      <c r="A451" t="inlineStr">
        <is>
          <t>A 20837-2023</t>
        </is>
      </c>
      <c r="B451" s="1" t="n">
        <v>45058</v>
      </c>
      <c r="C451" s="1" t="n">
        <v>45764</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20841-2023</t>
        </is>
      </c>
      <c r="B452" s="1" t="n">
        <v>45058</v>
      </c>
      <c r="C452" s="1" t="n">
        <v>45764</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20834-2023</t>
        </is>
      </c>
      <c r="B453" s="1" t="n">
        <v>45058</v>
      </c>
      <c r="C453" s="1" t="n">
        <v>45764</v>
      </c>
      <c r="D453" t="inlineStr">
        <is>
          <t>VÄSTERNORRLANDS LÄN</t>
        </is>
      </c>
      <c r="E453" t="inlineStr">
        <is>
          <t>TIMRÅ</t>
        </is>
      </c>
      <c r="G453" t="n">
        <v>5</v>
      </c>
      <c r="H453" t="n">
        <v>0</v>
      </c>
      <c r="I453" t="n">
        <v>0</v>
      </c>
      <c r="J453" t="n">
        <v>0</v>
      </c>
      <c r="K453" t="n">
        <v>0</v>
      </c>
      <c r="L453" t="n">
        <v>0</v>
      </c>
      <c r="M453" t="n">
        <v>0</v>
      </c>
      <c r="N453" t="n">
        <v>0</v>
      </c>
      <c r="O453" t="n">
        <v>0</v>
      </c>
      <c r="P453" t="n">
        <v>0</v>
      </c>
      <c r="Q453" t="n">
        <v>0</v>
      </c>
      <c r="R453" s="2" t="inlineStr"/>
    </row>
    <row r="454" ht="15" customHeight="1">
      <c r="A454" t="inlineStr">
        <is>
          <t>A 20843-2023</t>
        </is>
      </c>
      <c r="B454" s="1" t="n">
        <v>45058</v>
      </c>
      <c r="C454" s="1" t="n">
        <v>45764</v>
      </c>
      <c r="D454" t="inlineStr">
        <is>
          <t>VÄSTERNORRLANDS LÄN</t>
        </is>
      </c>
      <c r="E454" t="inlineStr">
        <is>
          <t>TIMRÅ</t>
        </is>
      </c>
      <c r="G454" t="n">
        <v>1.6</v>
      </c>
      <c r="H454" t="n">
        <v>0</v>
      </c>
      <c r="I454" t="n">
        <v>0</v>
      </c>
      <c r="J454" t="n">
        <v>0</v>
      </c>
      <c r="K454" t="n">
        <v>0</v>
      </c>
      <c r="L454" t="n">
        <v>0</v>
      </c>
      <c r="M454" t="n">
        <v>0</v>
      </c>
      <c r="N454" t="n">
        <v>0</v>
      </c>
      <c r="O454" t="n">
        <v>0</v>
      </c>
      <c r="P454" t="n">
        <v>0</v>
      </c>
      <c r="Q454" t="n">
        <v>0</v>
      </c>
      <c r="R454" s="2" t="inlineStr"/>
    </row>
    <row r="455" ht="15" customHeight="1">
      <c r="A455" t="inlineStr">
        <is>
          <t>A 20840-2023</t>
        </is>
      </c>
      <c r="B455" s="1" t="n">
        <v>45058</v>
      </c>
      <c r="C455" s="1" t="n">
        <v>45764</v>
      </c>
      <c r="D455" t="inlineStr">
        <is>
          <t>VÄSTERNORRLANDS LÄN</t>
        </is>
      </c>
      <c r="E455" t="inlineStr">
        <is>
          <t>TIMRÅ</t>
        </is>
      </c>
      <c r="G455" t="n">
        <v>3.1</v>
      </c>
      <c r="H455" t="n">
        <v>0</v>
      </c>
      <c r="I455" t="n">
        <v>0</v>
      </c>
      <c r="J455" t="n">
        <v>0</v>
      </c>
      <c r="K455" t="n">
        <v>0</v>
      </c>
      <c r="L455" t="n">
        <v>0</v>
      </c>
      <c r="M455" t="n">
        <v>0</v>
      </c>
      <c r="N455" t="n">
        <v>0</v>
      </c>
      <c r="O455" t="n">
        <v>0</v>
      </c>
      <c r="P455" t="n">
        <v>0</v>
      </c>
      <c r="Q455" t="n">
        <v>0</v>
      </c>
      <c r="R455" s="2" t="inlineStr"/>
    </row>
    <row r="456" ht="15" customHeight="1">
      <c r="A456" t="inlineStr">
        <is>
          <t>A 20844-2023</t>
        </is>
      </c>
      <c r="B456" s="1" t="n">
        <v>45058</v>
      </c>
      <c r="C456" s="1" t="n">
        <v>45764</v>
      </c>
      <c r="D456" t="inlineStr">
        <is>
          <t>VÄSTERNORRLANDS LÄN</t>
        </is>
      </c>
      <c r="E456" t="inlineStr">
        <is>
          <t>TIMRÅ</t>
        </is>
      </c>
      <c r="G456" t="n">
        <v>1.8</v>
      </c>
      <c r="H456" t="n">
        <v>0</v>
      </c>
      <c r="I456" t="n">
        <v>0</v>
      </c>
      <c r="J456" t="n">
        <v>0</v>
      </c>
      <c r="K456" t="n">
        <v>0</v>
      </c>
      <c r="L456" t="n">
        <v>0</v>
      </c>
      <c r="M456" t="n">
        <v>0</v>
      </c>
      <c r="N456" t="n">
        <v>0</v>
      </c>
      <c r="O456" t="n">
        <v>0</v>
      </c>
      <c r="P456" t="n">
        <v>0</v>
      </c>
      <c r="Q456" t="n">
        <v>0</v>
      </c>
      <c r="R456" s="2" t="inlineStr"/>
    </row>
    <row r="457" ht="15" customHeight="1">
      <c r="A457" t="inlineStr">
        <is>
          <t>A 21356-2023</t>
        </is>
      </c>
      <c r="B457" s="1" t="n">
        <v>45063</v>
      </c>
      <c r="C457" s="1" t="n">
        <v>45764</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24305-2023</t>
        </is>
      </c>
      <c r="B458" s="1" t="n">
        <v>45080</v>
      </c>
      <c r="C458" s="1" t="n">
        <v>45764</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24304-2023</t>
        </is>
      </c>
      <c r="B459" s="1" t="n">
        <v>45079</v>
      </c>
      <c r="C459" s="1" t="n">
        <v>45764</v>
      </c>
      <c r="D459" t="inlineStr">
        <is>
          <t>VÄSTERNORRLANDS LÄN</t>
        </is>
      </c>
      <c r="E459" t="inlineStr">
        <is>
          <t>TIMRÅ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25301-2023</t>
        </is>
      </c>
      <c r="B460" s="1" t="n">
        <v>45086</v>
      </c>
      <c r="C460" s="1" t="n">
        <v>45764</v>
      </c>
      <c r="D460" t="inlineStr">
        <is>
          <t>VÄSTERNORRLANDS LÄN</t>
        </is>
      </c>
      <c r="E460" t="inlineStr">
        <is>
          <t>TIMRÅ</t>
        </is>
      </c>
      <c r="G460" t="n">
        <v>1.7</v>
      </c>
      <c r="H460" t="n">
        <v>0</v>
      </c>
      <c r="I460" t="n">
        <v>0</v>
      </c>
      <c r="J460" t="n">
        <v>0</v>
      </c>
      <c r="K460" t="n">
        <v>0</v>
      </c>
      <c r="L460" t="n">
        <v>0</v>
      </c>
      <c r="M460" t="n">
        <v>0</v>
      </c>
      <c r="N460" t="n">
        <v>0</v>
      </c>
      <c r="O460" t="n">
        <v>0</v>
      </c>
      <c r="P460" t="n">
        <v>0</v>
      </c>
      <c r="Q460" t="n">
        <v>0</v>
      </c>
      <c r="R460" s="2" t="inlineStr"/>
    </row>
    <row r="461" ht="15" customHeight="1">
      <c r="A461" t="inlineStr">
        <is>
          <t>A 27495-2023</t>
        </is>
      </c>
      <c r="B461" s="1" t="n">
        <v>45092</v>
      </c>
      <c r="C461" s="1" t="n">
        <v>45764</v>
      </c>
      <c r="D461" t="inlineStr">
        <is>
          <t>VÄSTERNORRLANDS LÄN</t>
        </is>
      </c>
      <c r="E461" t="inlineStr">
        <is>
          <t>TIMRÅ</t>
        </is>
      </c>
      <c r="G461" t="n">
        <v>2.6</v>
      </c>
      <c r="H461" t="n">
        <v>0</v>
      </c>
      <c r="I461" t="n">
        <v>0</v>
      </c>
      <c r="J461" t="n">
        <v>0</v>
      </c>
      <c r="K461" t="n">
        <v>0</v>
      </c>
      <c r="L461" t="n">
        <v>0</v>
      </c>
      <c r="M461" t="n">
        <v>0</v>
      </c>
      <c r="N461" t="n">
        <v>0</v>
      </c>
      <c r="O461" t="n">
        <v>0</v>
      </c>
      <c r="P461" t="n">
        <v>0</v>
      </c>
      <c r="Q461" t="n">
        <v>0</v>
      </c>
      <c r="R461" s="2" t="inlineStr"/>
    </row>
    <row r="462" ht="15" customHeight="1">
      <c r="A462" t="inlineStr">
        <is>
          <t>A 27489-2023</t>
        </is>
      </c>
      <c r="B462" s="1" t="n">
        <v>45092</v>
      </c>
      <c r="C462" s="1" t="n">
        <v>45764</v>
      </c>
      <c r="D462" t="inlineStr">
        <is>
          <t>VÄSTERNORRLANDS LÄN</t>
        </is>
      </c>
      <c r="E462" t="inlineStr">
        <is>
          <t>TIMRÅ</t>
        </is>
      </c>
      <c r="G462" t="n">
        <v>1.1</v>
      </c>
      <c r="H462" t="n">
        <v>0</v>
      </c>
      <c r="I462" t="n">
        <v>0</v>
      </c>
      <c r="J462" t="n">
        <v>0</v>
      </c>
      <c r="K462" t="n">
        <v>0</v>
      </c>
      <c r="L462" t="n">
        <v>0</v>
      </c>
      <c r="M462" t="n">
        <v>0</v>
      </c>
      <c r="N462" t="n">
        <v>0</v>
      </c>
      <c r="O462" t="n">
        <v>0</v>
      </c>
      <c r="P462" t="n">
        <v>0</v>
      </c>
      <c r="Q462" t="n">
        <v>0</v>
      </c>
      <c r="R462" s="2" t="inlineStr"/>
    </row>
    <row r="463" ht="15" customHeight="1">
      <c r="A463" t="inlineStr">
        <is>
          <t>A 26996-2023</t>
        </is>
      </c>
      <c r="B463" s="1" t="n">
        <v>45093</v>
      </c>
      <c r="C463" s="1" t="n">
        <v>45764</v>
      </c>
      <c r="D463" t="inlineStr">
        <is>
          <t>VÄSTERNORRLANDS LÄN</t>
        </is>
      </c>
      <c r="E463" t="inlineStr">
        <is>
          <t>TIMRÅ</t>
        </is>
      </c>
      <c r="G463" t="n">
        <v>8.4</v>
      </c>
      <c r="H463" t="n">
        <v>0</v>
      </c>
      <c r="I463" t="n">
        <v>0</v>
      </c>
      <c r="J463" t="n">
        <v>0</v>
      </c>
      <c r="K463" t="n">
        <v>0</v>
      </c>
      <c r="L463" t="n">
        <v>0</v>
      </c>
      <c r="M463" t="n">
        <v>0</v>
      </c>
      <c r="N463" t="n">
        <v>0</v>
      </c>
      <c r="O463" t="n">
        <v>0</v>
      </c>
      <c r="P463" t="n">
        <v>0</v>
      </c>
      <c r="Q463" t="n">
        <v>0</v>
      </c>
      <c r="R463" s="2" t="inlineStr"/>
    </row>
    <row r="464" ht="15" customHeight="1">
      <c r="A464" t="inlineStr">
        <is>
          <t>A 28007-2023</t>
        </is>
      </c>
      <c r="B464" s="1" t="n">
        <v>45098</v>
      </c>
      <c r="C464" s="1" t="n">
        <v>45764</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28373-2023</t>
        </is>
      </c>
      <c r="B465" s="1" t="n">
        <v>45100</v>
      </c>
      <c r="C465" s="1" t="n">
        <v>45764</v>
      </c>
      <c r="D465" t="inlineStr">
        <is>
          <t>VÄSTERNORRLANDS LÄN</t>
        </is>
      </c>
      <c r="E465" t="inlineStr">
        <is>
          <t>TIMRÅ</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28372-2023</t>
        </is>
      </c>
      <c r="B466" s="1" t="n">
        <v>45100</v>
      </c>
      <c r="C466" s="1" t="n">
        <v>45764</v>
      </c>
      <c r="D466" t="inlineStr">
        <is>
          <t>VÄSTERNORRLANDS LÄN</t>
        </is>
      </c>
      <c r="E466" t="inlineStr">
        <is>
          <t>TIMRÅ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28370-2023</t>
        </is>
      </c>
      <c r="B467" s="1" t="n">
        <v>45100</v>
      </c>
      <c r="C467" s="1" t="n">
        <v>45764</v>
      </c>
      <c r="D467" t="inlineStr">
        <is>
          <t>VÄSTERNORRLANDS LÄN</t>
        </is>
      </c>
      <c r="E467" t="inlineStr">
        <is>
          <t>TIMRÅ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28381-2023</t>
        </is>
      </c>
      <c r="B468" s="1" t="n">
        <v>45099</v>
      </c>
      <c r="C468" s="1" t="n">
        <v>45764</v>
      </c>
      <c r="D468" t="inlineStr">
        <is>
          <t>VÄSTERNORRLANDS LÄN</t>
        </is>
      </c>
      <c r="E468" t="inlineStr">
        <is>
          <t>TIMRÅ</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28369-2023</t>
        </is>
      </c>
      <c r="B469" s="1" t="n">
        <v>45099</v>
      </c>
      <c r="C469" s="1" t="n">
        <v>45764</v>
      </c>
      <c r="D469" t="inlineStr">
        <is>
          <t>VÄSTERNORRLANDS LÄN</t>
        </is>
      </c>
      <c r="E469" t="inlineStr">
        <is>
          <t>TIMRÅ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28371-2023</t>
        </is>
      </c>
      <c r="B470" s="1" t="n">
        <v>45100</v>
      </c>
      <c r="C470" s="1" t="n">
        <v>45764</v>
      </c>
      <c r="D470" t="inlineStr">
        <is>
          <t>VÄSTERNORRLANDS LÄN</t>
        </is>
      </c>
      <c r="E470" t="inlineStr">
        <is>
          <t>TIMRÅ</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28734-2023</t>
        </is>
      </c>
      <c r="B471" s="1" t="n">
        <v>45104</v>
      </c>
      <c r="C471" s="1" t="n">
        <v>45764</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28750-2023</t>
        </is>
      </c>
      <c r="B472" s="1" t="n">
        <v>45104</v>
      </c>
      <c r="C472" s="1" t="n">
        <v>45764</v>
      </c>
      <c r="D472" t="inlineStr">
        <is>
          <t>VÄSTERNORRLANDS LÄN</t>
        </is>
      </c>
      <c r="E472" t="inlineStr">
        <is>
          <t>TIMRÅ</t>
        </is>
      </c>
      <c r="F472" t="inlineStr">
        <is>
          <t>SCA</t>
        </is>
      </c>
      <c r="G472" t="n">
        <v>8.5</v>
      </c>
      <c r="H472" t="n">
        <v>0</v>
      </c>
      <c r="I472" t="n">
        <v>0</v>
      </c>
      <c r="J472" t="n">
        <v>0</v>
      </c>
      <c r="K472" t="n">
        <v>0</v>
      </c>
      <c r="L472" t="n">
        <v>0</v>
      </c>
      <c r="M472" t="n">
        <v>0</v>
      </c>
      <c r="N472" t="n">
        <v>0</v>
      </c>
      <c r="O472" t="n">
        <v>0</v>
      </c>
      <c r="P472" t="n">
        <v>0</v>
      </c>
      <c r="Q472" t="n">
        <v>0</v>
      </c>
      <c r="R472" s="2" t="inlineStr"/>
    </row>
    <row r="473" ht="15" customHeight="1">
      <c r="A473" t="inlineStr">
        <is>
          <t>A 31148-2023</t>
        </is>
      </c>
      <c r="B473" s="1" t="n">
        <v>45103</v>
      </c>
      <c r="C473" s="1" t="n">
        <v>45764</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31150-2023</t>
        </is>
      </c>
      <c r="B474" s="1" t="n">
        <v>45103</v>
      </c>
      <c r="C474" s="1" t="n">
        <v>45764</v>
      </c>
      <c r="D474" t="inlineStr">
        <is>
          <t>VÄSTERNORRLANDS LÄN</t>
        </is>
      </c>
      <c r="E474" t="inlineStr">
        <is>
          <t>TIMRÅ</t>
        </is>
      </c>
      <c r="G474" t="n">
        <v>0.3</v>
      </c>
      <c r="H474" t="n">
        <v>0</v>
      </c>
      <c r="I474" t="n">
        <v>0</v>
      </c>
      <c r="J474" t="n">
        <v>0</v>
      </c>
      <c r="K474" t="n">
        <v>0</v>
      </c>
      <c r="L474" t="n">
        <v>0</v>
      </c>
      <c r="M474" t="n">
        <v>0</v>
      </c>
      <c r="N474" t="n">
        <v>0</v>
      </c>
      <c r="O474" t="n">
        <v>0</v>
      </c>
      <c r="P474" t="n">
        <v>0</v>
      </c>
      <c r="Q474" t="n">
        <v>0</v>
      </c>
      <c r="R474" s="2" t="inlineStr"/>
    </row>
    <row r="475" ht="15" customHeight="1">
      <c r="A475" t="inlineStr">
        <is>
          <t>A 31154-2023</t>
        </is>
      </c>
      <c r="B475" s="1" t="n">
        <v>45103</v>
      </c>
      <c r="C475" s="1" t="n">
        <v>45764</v>
      </c>
      <c r="D475" t="inlineStr">
        <is>
          <t>VÄSTERNORRLANDS LÄN</t>
        </is>
      </c>
      <c r="E475" t="inlineStr">
        <is>
          <t>TIMRÅ</t>
        </is>
      </c>
      <c r="G475" t="n">
        <v>0.6</v>
      </c>
      <c r="H475" t="n">
        <v>0</v>
      </c>
      <c r="I475" t="n">
        <v>0</v>
      </c>
      <c r="J475" t="n">
        <v>0</v>
      </c>
      <c r="K475" t="n">
        <v>0</v>
      </c>
      <c r="L475" t="n">
        <v>0</v>
      </c>
      <c r="M475" t="n">
        <v>0</v>
      </c>
      <c r="N475" t="n">
        <v>0</v>
      </c>
      <c r="O475" t="n">
        <v>0</v>
      </c>
      <c r="P475" t="n">
        <v>0</v>
      </c>
      <c r="Q475" t="n">
        <v>0</v>
      </c>
      <c r="R475" s="2" t="inlineStr"/>
    </row>
    <row r="476" ht="15" customHeight="1">
      <c r="A476" t="inlineStr">
        <is>
          <t>A 31381-2023</t>
        </is>
      </c>
      <c r="B476" s="1" t="n">
        <v>45104</v>
      </c>
      <c r="C476" s="1" t="n">
        <v>45764</v>
      </c>
      <c r="D476" t="inlineStr">
        <is>
          <t>VÄSTERNORRLANDS LÄN</t>
        </is>
      </c>
      <c r="E476" t="inlineStr">
        <is>
          <t>TIMRÅ</t>
        </is>
      </c>
      <c r="G476" t="n">
        <v>5.6</v>
      </c>
      <c r="H476" t="n">
        <v>0</v>
      </c>
      <c r="I476" t="n">
        <v>0</v>
      </c>
      <c r="J476" t="n">
        <v>0</v>
      </c>
      <c r="K476" t="n">
        <v>0</v>
      </c>
      <c r="L476" t="n">
        <v>0</v>
      </c>
      <c r="M476" t="n">
        <v>0</v>
      </c>
      <c r="N476" t="n">
        <v>0</v>
      </c>
      <c r="O476" t="n">
        <v>0</v>
      </c>
      <c r="P476" t="n">
        <v>0</v>
      </c>
      <c r="Q476" t="n">
        <v>0</v>
      </c>
      <c r="R476" s="2" t="inlineStr"/>
    </row>
    <row r="477" ht="15" customHeight="1">
      <c r="A477" t="inlineStr">
        <is>
          <t>A 31474-2023</t>
        </is>
      </c>
      <c r="B477" s="1" t="n">
        <v>45104</v>
      </c>
      <c r="C477" s="1" t="n">
        <v>45764</v>
      </c>
      <c r="D477" t="inlineStr">
        <is>
          <t>VÄSTERNORRLANDS LÄN</t>
        </is>
      </c>
      <c r="E477" t="inlineStr">
        <is>
          <t>TIMRÅ</t>
        </is>
      </c>
      <c r="G477" t="n">
        <v>1.3</v>
      </c>
      <c r="H477" t="n">
        <v>0</v>
      </c>
      <c r="I477" t="n">
        <v>0</v>
      </c>
      <c r="J477" t="n">
        <v>0</v>
      </c>
      <c r="K477" t="n">
        <v>0</v>
      </c>
      <c r="L477" t="n">
        <v>0</v>
      </c>
      <c r="M477" t="n">
        <v>0</v>
      </c>
      <c r="N477" t="n">
        <v>0</v>
      </c>
      <c r="O477" t="n">
        <v>0</v>
      </c>
      <c r="P477" t="n">
        <v>0</v>
      </c>
      <c r="Q477" t="n">
        <v>0</v>
      </c>
      <c r="R477" s="2" t="inlineStr"/>
    </row>
    <row r="478" ht="15" customHeight="1">
      <c r="A478" t="inlineStr">
        <is>
          <t>A 31378-2023</t>
        </is>
      </c>
      <c r="B478" s="1" t="n">
        <v>45104</v>
      </c>
      <c r="C478" s="1" t="n">
        <v>45764</v>
      </c>
      <c r="D478" t="inlineStr">
        <is>
          <t>VÄSTERNORRLANDS LÄN</t>
        </is>
      </c>
      <c r="E478" t="inlineStr">
        <is>
          <t>TIMRÅ</t>
        </is>
      </c>
      <c r="G478" t="n">
        <v>2.8</v>
      </c>
      <c r="H478" t="n">
        <v>0</v>
      </c>
      <c r="I478" t="n">
        <v>0</v>
      </c>
      <c r="J478" t="n">
        <v>0</v>
      </c>
      <c r="K478" t="n">
        <v>0</v>
      </c>
      <c r="L478" t="n">
        <v>0</v>
      </c>
      <c r="M478" t="n">
        <v>0</v>
      </c>
      <c r="N478" t="n">
        <v>0</v>
      </c>
      <c r="O478" t="n">
        <v>0</v>
      </c>
      <c r="P478" t="n">
        <v>0</v>
      </c>
      <c r="Q478" t="n">
        <v>0</v>
      </c>
      <c r="R478" s="2" t="inlineStr"/>
    </row>
    <row r="479" ht="15" customHeight="1">
      <c r="A479" t="inlineStr">
        <is>
          <t>A 31343-2023</t>
        </is>
      </c>
      <c r="B479" s="1" t="n">
        <v>45104</v>
      </c>
      <c r="C479" s="1" t="n">
        <v>45764</v>
      </c>
      <c r="D479" t="inlineStr">
        <is>
          <t>VÄSTERNORRLANDS LÄN</t>
        </is>
      </c>
      <c r="E479" t="inlineStr">
        <is>
          <t>TIMRÅ</t>
        </is>
      </c>
      <c r="G479" t="n">
        <v>7.1</v>
      </c>
      <c r="H479" t="n">
        <v>0</v>
      </c>
      <c r="I479" t="n">
        <v>0</v>
      </c>
      <c r="J479" t="n">
        <v>0</v>
      </c>
      <c r="K479" t="n">
        <v>0</v>
      </c>
      <c r="L479" t="n">
        <v>0</v>
      </c>
      <c r="M479" t="n">
        <v>0</v>
      </c>
      <c r="N479" t="n">
        <v>0</v>
      </c>
      <c r="O479" t="n">
        <v>0</v>
      </c>
      <c r="P479" t="n">
        <v>0</v>
      </c>
      <c r="Q479" t="n">
        <v>0</v>
      </c>
      <c r="R479" s="2" t="inlineStr"/>
    </row>
    <row r="480" ht="15" customHeight="1">
      <c r="A480" t="inlineStr">
        <is>
          <t>A 31472-2023</t>
        </is>
      </c>
      <c r="B480" s="1" t="n">
        <v>45104</v>
      </c>
      <c r="C480" s="1" t="n">
        <v>45764</v>
      </c>
      <c r="D480" t="inlineStr">
        <is>
          <t>VÄSTERNORRLANDS LÄN</t>
        </is>
      </c>
      <c r="E480" t="inlineStr">
        <is>
          <t>TIMRÅ</t>
        </is>
      </c>
      <c r="G480" t="n">
        <v>2.1</v>
      </c>
      <c r="H480" t="n">
        <v>0</v>
      </c>
      <c r="I480" t="n">
        <v>0</v>
      </c>
      <c r="J480" t="n">
        <v>0</v>
      </c>
      <c r="K480" t="n">
        <v>0</v>
      </c>
      <c r="L480" t="n">
        <v>0</v>
      </c>
      <c r="M480" t="n">
        <v>0</v>
      </c>
      <c r="N480" t="n">
        <v>0</v>
      </c>
      <c r="O480" t="n">
        <v>0</v>
      </c>
      <c r="P480" t="n">
        <v>0</v>
      </c>
      <c r="Q480" t="n">
        <v>0</v>
      </c>
      <c r="R480" s="2" t="inlineStr"/>
    </row>
    <row r="481" ht="15" customHeight="1">
      <c r="A481" t="inlineStr">
        <is>
          <t>A 29599-2023</t>
        </is>
      </c>
      <c r="B481" s="1" t="n">
        <v>45106</v>
      </c>
      <c r="C481" s="1" t="n">
        <v>45764</v>
      </c>
      <c r="D481" t="inlineStr">
        <is>
          <t>VÄSTERNORRLANDS LÄN</t>
        </is>
      </c>
      <c r="E481" t="inlineStr">
        <is>
          <t>TIMRÅ</t>
        </is>
      </c>
      <c r="F481" t="inlineStr">
        <is>
          <t>Kyrkan</t>
        </is>
      </c>
      <c r="G481" t="n">
        <v>2.1</v>
      </c>
      <c r="H481" t="n">
        <v>0</v>
      </c>
      <c r="I481" t="n">
        <v>0</v>
      </c>
      <c r="J481" t="n">
        <v>0</v>
      </c>
      <c r="K481" t="n">
        <v>0</v>
      </c>
      <c r="L481" t="n">
        <v>0</v>
      </c>
      <c r="M481" t="n">
        <v>0</v>
      </c>
      <c r="N481" t="n">
        <v>0</v>
      </c>
      <c r="O481" t="n">
        <v>0</v>
      </c>
      <c r="P481" t="n">
        <v>0</v>
      </c>
      <c r="Q481" t="n">
        <v>0</v>
      </c>
      <c r="R481" s="2" t="inlineStr"/>
    </row>
    <row r="482" ht="15" customHeight="1">
      <c r="A482" t="inlineStr">
        <is>
          <t>A 29948-2023</t>
        </is>
      </c>
      <c r="B482" s="1" t="n">
        <v>45107</v>
      </c>
      <c r="C482" s="1" t="n">
        <v>45764</v>
      </c>
      <c r="D482" t="inlineStr">
        <is>
          <t>VÄSTERNORRLANDS LÄN</t>
        </is>
      </c>
      <c r="E482" t="inlineStr">
        <is>
          <t>TIMRÅ</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32070-2023</t>
        </is>
      </c>
      <c r="B483" s="1" t="n">
        <v>45107</v>
      </c>
      <c r="C483" s="1" t="n">
        <v>45764</v>
      </c>
      <c r="D483" t="inlineStr">
        <is>
          <t>VÄSTERNORRLANDS LÄN</t>
        </is>
      </c>
      <c r="E483" t="inlineStr">
        <is>
          <t>TIMRÅ</t>
        </is>
      </c>
      <c r="G483" t="n">
        <v>1.5</v>
      </c>
      <c r="H483" t="n">
        <v>0</v>
      </c>
      <c r="I483" t="n">
        <v>0</v>
      </c>
      <c r="J483" t="n">
        <v>0</v>
      </c>
      <c r="K483" t="n">
        <v>0</v>
      </c>
      <c r="L483" t="n">
        <v>0</v>
      </c>
      <c r="M483" t="n">
        <v>0</v>
      </c>
      <c r="N483" t="n">
        <v>0</v>
      </c>
      <c r="O483" t="n">
        <v>0</v>
      </c>
      <c r="P483" t="n">
        <v>0</v>
      </c>
      <c r="Q483" t="n">
        <v>0</v>
      </c>
      <c r="R483" s="2" t="inlineStr"/>
    </row>
    <row r="484" ht="15" customHeight="1">
      <c r="A484" t="inlineStr">
        <is>
          <t>A 30315-2023</t>
        </is>
      </c>
      <c r="B484" s="1" t="n">
        <v>45110</v>
      </c>
      <c r="C484" s="1" t="n">
        <v>45764</v>
      </c>
      <c r="D484" t="inlineStr">
        <is>
          <t>VÄSTERNORRLANDS LÄN</t>
        </is>
      </c>
      <c r="E484" t="inlineStr">
        <is>
          <t>TIMRÅ</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30298-2023</t>
        </is>
      </c>
      <c r="B485" s="1" t="n">
        <v>45110</v>
      </c>
      <c r="C485" s="1" t="n">
        <v>45764</v>
      </c>
      <c r="D485" t="inlineStr">
        <is>
          <t>VÄSTERNORRLANDS LÄN</t>
        </is>
      </c>
      <c r="E485" t="inlineStr">
        <is>
          <t>TIMRÅ</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30835-2023</t>
        </is>
      </c>
      <c r="B486" s="1" t="n">
        <v>45113</v>
      </c>
      <c r="C486" s="1" t="n">
        <v>45764</v>
      </c>
      <c r="D486" t="inlineStr">
        <is>
          <t>VÄSTERNORRLANDS LÄN</t>
        </is>
      </c>
      <c r="E486" t="inlineStr">
        <is>
          <t>TIMRÅ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31562-2023</t>
        </is>
      </c>
      <c r="B487" s="1" t="n">
        <v>45117</v>
      </c>
      <c r="C487" s="1" t="n">
        <v>45764</v>
      </c>
      <c r="D487" t="inlineStr">
        <is>
          <t>VÄSTERNORRLANDS LÄN</t>
        </is>
      </c>
      <c r="E487" t="inlineStr">
        <is>
          <t>TIMRÅ</t>
        </is>
      </c>
      <c r="G487" t="n">
        <v>3.7</v>
      </c>
      <c r="H487" t="n">
        <v>0</v>
      </c>
      <c r="I487" t="n">
        <v>0</v>
      </c>
      <c r="J487" t="n">
        <v>0</v>
      </c>
      <c r="K487" t="n">
        <v>0</v>
      </c>
      <c r="L487" t="n">
        <v>0</v>
      </c>
      <c r="M487" t="n">
        <v>0</v>
      </c>
      <c r="N487" t="n">
        <v>0</v>
      </c>
      <c r="O487" t="n">
        <v>0</v>
      </c>
      <c r="P487" t="n">
        <v>0</v>
      </c>
      <c r="Q487" t="n">
        <v>0</v>
      </c>
      <c r="R487" s="2" t="inlineStr"/>
    </row>
    <row r="488" ht="15" customHeight="1">
      <c r="A488" t="inlineStr">
        <is>
          <t>A 31736-2023</t>
        </is>
      </c>
      <c r="B488" s="1" t="n">
        <v>45117</v>
      </c>
      <c r="C488" s="1" t="n">
        <v>45764</v>
      </c>
      <c r="D488" t="inlineStr">
        <is>
          <t>VÄSTERNORRLANDS LÄN</t>
        </is>
      </c>
      <c r="E488" t="inlineStr">
        <is>
          <t>TIMRÅ</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31741-2023</t>
        </is>
      </c>
      <c r="B489" s="1" t="n">
        <v>45117</v>
      </c>
      <c r="C489" s="1" t="n">
        <v>45764</v>
      </c>
      <c r="D489" t="inlineStr">
        <is>
          <t>VÄSTERNORRLANDS LÄN</t>
        </is>
      </c>
      <c r="E489" t="inlineStr">
        <is>
          <t>TIMRÅ</t>
        </is>
      </c>
      <c r="F489" t="inlineStr">
        <is>
          <t>SCA</t>
        </is>
      </c>
      <c r="G489" t="n">
        <v>4.5</v>
      </c>
      <c r="H489" t="n">
        <v>0</v>
      </c>
      <c r="I489" t="n">
        <v>0</v>
      </c>
      <c r="J489" t="n">
        <v>0</v>
      </c>
      <c r="K489" t="n">
        <v>0</v>
      </c>
      <c r="L489" t="n">
        <v>0</v>
      </c>
      <c r="M489" t="n">
        <v>0</v>
      </c>
      <c r="N489" t="n">
        <v>0</v>
      </c>
      <c r="O489" t="n">
        <v>0</v>
      </c>
      <c r="P489" t="n">
        <v>0</v>
      </c>
      <c r="Q489" t="n">
        <v>0</v>
      </c>
      <c r="R489" s="2" t="inlineStr"/>
    </row>
    <row r="490" ht="15" customHeight="1">
      <c r="A490" t="inlineStr">
        <is>
          <t>A 32224-2023</t>
        </is>
      </c>
      <c r="B490" s="1" t="n">
        <v>45119</v>
      </c>
      <c r="C490" s="1" t="n">
        <v>45764</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32225-2023</t>
        </is>
      </c>
      <c r="B491" s="1" t="n">
        <v>45119</v>
      </c>
      <c r="C491" s="1" t="n">
        <v>45764</v>
      </c>
      <c r="D491" t="inlineStr">
        <is>
          <t>VÄSTERNORRLANDS LÄN</t>
        </is>
      </c>
      <c r="E491" t="inlineStr">
        <is>
          <t>TIMRÅ</t>
        </is>
      </c>
      <c r="F491" t="inlineStr">
        <is>
          <t>SCA</t>
        </is>
      </c>
      <c r="G491" t="n">
        <v>7.1</v>
      </c>
      <c r="H491" t="n">
        <v>0</v>
      </c>
      <c r="I491" t="n">
        <v>0</v>
      </c>
      <c r="J491" t="n">
        <v>0</v>
      </c>
      <c r="K491" t="n">
        <v>0</v>
      </c>
      <c r="L491" t="n">
        <v>0</v>
      </c>
      <c r="M491" t="n">
        <v>0</v>
      </c>
      <c r="N491" t="n">
        <v>0</v>
      </c>
      <c r="O491" t="n">
        <v>0</v>
      </c>
      <c r="P491" t="n">
        <v>0</v>
      </c>
      <c r="Q491" t="n">
        <v>0</v>
      </c>
      <c r="R491" s="2" t="inlineStr"/>
    </row>
    <row r="492" ht="15" customHeight="1">
      <c r="A492" t="inlineStr">
        <is>
          <t>A 32223-2023</t>
        </is>
      </c>
      <c r="B492" s="1" t="n">
        <v>45119</v>
      </c>
      <c r="C492" s="1" t="n">
        <v>45764</v>
      </c>
      <c r="D492" t="inlineStr">
        <is>
          <t>VÄSTERNORRLANDS LÄN</t>
        </is>
      </c>
      <c r="E492" t="inlineStr">
        <is>
          <t>TIMRÅ</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32226-2023</t>
        </is>
      </c>
      <c r="B493" s="1" t="n">
        <v>45119</v>
      </c>
      <c r="C493" s="1" t="n">
        <v>45764</v>
      </c>
      <c r="D493" t="inlineStr">
        <is>
          <t>VÄSTERNORRLANDS LÄN</t>
        </is>
      </c>
      <c r="E493" t="inlineStr">
        <is>
          <t>TIMRÅ</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32230-2023</t>
        </is>
      </c>
      <c r="B494" s="1" t="n">
        <v>45120</v>
      </c>
      <c r="C494" s="1" t="n">
        <v>45764</v>
      </c>
      <c r="D494" t="inlineStr">
        <is>
          <t>VÄSTERNORRLANDS LÄN</t>
        </is>
      </c>
      <c r="E494" t="inlineStr">
        <is>
          <t>TIMRÅ</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33667-2023</t>
        </is>
      </c>
      <c r="B495" s="1" t="n">
        <v>45119</v>
      </c>
      <c r="C495" s="1" t="n">
        <v>45764</v>
      </c>
      <c r="D495" t="inlineStr">
        <is>
          <t>VÄSTERNORRLANDS LÄN</t>
        </is>
      </c>
      <c r="E495" t="inlineStr">
        <is>
          <t>TIMRÅ</t>
        </is>
      </c>
      <c r="G495" t="n">
        <v>4.8</v>
      </c>
      <c r="H495" t="n">
        <v>0</v>
      </c>
      <c r="I495" t="n">
        <v>0</v>
      </c>
      <c r="J495" t="n">
        <v>0</v>
      </c>
      <c r="K495" t="n">
        <v>0</v>
      </c>
      <c r="L495" t="n">
        <v>0</v>
      </c>
      <c r="M495" t="n">
        <v>0</v>
      </c>
      <c r="N495" t="n">
        <v>0</v>
      </c>
      <c r="O495" t="n">
        <v>0</v>
      </c>
      <c r="P495" t="n">
        <v>0</v>
      </c>
      <c r="Q495" t="n">
        <v>0</v>
      </c>
      <c r="R495" s="2" t="inlineStr"/>
    </row>
    <row r="496" ht="15" customHeight="1">
      <c r="A496" t="inlineStr">
        <is>
          <t>A 33756-2023</t>
        </is>
      </c>
      <c r="B496" s="1" t="n">
        <v>45120</v>
      </c>
      <c r="C496" s="1" t="n">
        <v>45764</v>
      </c>
      <c r="D496" t="inlineStr">
        <is>
          <t>VÄSTERNORRLANDS LÄN</t>
        </is>
      </c>
      <c r="E496" t="inlineStr">
        <is>
          <t>TIMRÅ</t>
        </is>
      </c>
      <c r="G496" t="n">
        <v>10.5</v>
      </c>
      <c r="H496" t="n">
        <v>0</v>
      </c>
      <c r="I496" t="n">
        <v>0</v>
      </c>
      <c r="J496" t="n">
        <v>0</v>
      </c>
      <c r="K496" t="n">
        <v>0</v>
      </c>
      <c r="L496" t="n">
        <v>0</v>
      </c>
      <c r="M496" t="n">
        <v>0</v>
      </c>
      <c r="N496" t="n">
        <v>0</v>
      </c>
      <c r="O496" t="n">
        <v>0</v>
      </c>
      <c r="P496" t="n">
        <v>0</v>
      </c>
      <c r="Q496" t="n">
        <v>0</v>
      </c>
      <c r="R496" s="2" t="inlineStr"/>
    </row>
    <row r="497" ht="15" customHeight="1">
      <c r="A497" t="inlineStr">
        <is>
          <t>A 33043-2023</t>
        </is>
      </c>
      <c r="B497" s="1" t="n">
        <v>45125</v>
      </c>
      <c r="C497" s="1" t="n">
        <v>45764</v>
      </c>
      <c r="D497" t="inlineStr">
        <is>
          <t>VÄSTERNORRLANDS LÄN</t>
        </is>
      </c>
      <c r="E497" t="inlineStr">
        <is>
          <t>TIMRÅ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34172-2023</t>
        </is>
      </c>
      <c r="B498" s="1" t="n">
        <v>45126</v>
      </c>
      <c r="C498" s="1" t="n">
        <v>45764</v>
      </c>
      <c r="D498" t="inlineStr">
        <is>
          <t>VÄSTERNORRLANDS LÄN</t>
        </is>
      </c>
      <c r="E498" t="inlineStr">
        <is>
          <t>TIMRÅ</t>
        </is>
      </c>
      <c r="G498" t="n">
        <v>4</v>
      </c>
      <c r="H498" t="n">
        <v>0</v>
      </c>
      <c r="I498" t="n">
        <v>0</v>
      </c>
      <c r="J498" t="n">
        <v>0</v>
      </c>
      <c r="K498" t="n">
        <v>0</v>
      </c>
      <c r="L498" t="n">
        <v>0</v>
      </c>
      <c r="M498" t="n">
        <v>0</v>
      </c>
      <c r="N498" t="n">
        <v>0</v>
      </c>
      <c r="O498" t="n">
        <v>0</v>
      </c>
      <c r="P498" t="n">
        <v>0</v>
      </c>
      <c r="Q498" t="n">
        <v>0</v>
      </c>
      <c r="R498" s="2" t="inlineStr"/>
    </row>
    <row r="499" ht="15" customHeight="1">
      <c r="A499" t="inlineStr">
        <is>
          <t>A 35342-2023</t>
        </is>
      </c>
      <c r="B499" s="1" t="n">
        <v>45145</v>
      </c>
      <c r="C499" s="1" t="n">
        <v>45764</v>
      </c>
      <c r="D499" t="inlineStr">
        <is>
          <t>VÄSTERNORRLANDS LÄN</t>
        </is>
      </c>
      <c r="E499" t="inlineStr">
        <is>
          <t>TIMRÅ</t>
        </is>
      </c>
      <c r="G499" t="n">
        <v>3.2</v>
      </c>
      <c r="H499" t="n">
        <v>0</v>
      </c>
      <c r="I499" t="n">
        <v>0</v>
      </c>
      <c r="J499" t="n">
        <v>0</v>
      </c>
      <c r="K499" t="n">
        <v>0</v>
      </c>
      <c r="L499" t="n">
        <v>0</v>
      </c>
      <c r="M499" t="n">
        <v>0</v>
      </c>
      <c r="N499" t="n">
        <v>0</v>
      </c>
      <c r="O499" t="n">
        <v>0</v>
      </c>
      <c r="P499" t="n">
        <v>0</v>
      </c>
      <c r="Q499" t="n">
        <v>0</v>
      </c>
      <c r="R499" s="2" t="inlineStr"/>
    </row>
    <row r="500" ht="15" customHeight="1">
      <c r="A500" t="inlineStr">
        <is>
          <t>A 35568-2023</t>
        </is>
      </c>
      <c r="B500" s="1" t="n">
        <v>45146</v>
      </c>
      <c r="C500" s="1" t="n">
        <v>45764</v>
      </c>
      <c r="D500" t="inlineStr">
        <is>
          <t>VÄSTERNORRLANDS LÄN</t>
        </is>
      </c>
      <c r="E500" t="inlineStr">
        <is>
          <t>TIMRÅ</t>
        </is>
      </c>
      <c r="G500" t="n">
        <v>3.2</v>
      </c>
      <c r="H500" t="n">
        <v>0</v>
      </c>
      <c r="I500" t="n">
        <v>0</v>
      </c>
      <c r="J500" t="n">
        <v>0</v>
      </c>
      <c r="K500" t="n">
        <v>0</v>
      </c>
      <c r="L500" t="n">
        <v>0</v>
      </c>
      <c r="M500" t="n">
        <v>0</v>
      </c>
      <c r="N500" t="n">
        <v>0</v>
      </c>
      <c r="O500" t="n">
        <v>0</v>
      </c>
      <c r="P500" t="n">
        <v>0</v>
      </c>
      <c r="Q500" t="n">
        <v>0</v>
      </c>
      <c r="R500" s="2" t="inlineStr"/>
    </row>
    <row r="501" ht="15" customHeight="1">
      <c r="A501" t="inlineStr">
        <is>
          <t>A 35763-2023</t>
        </is>
      </c>
      <c r="B501" s="1" t="n">
        <v>45147</v>
      </c>
      <c r="C501" s="1" t="n">
        <v>45764</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35939-2023</t>
        </is>
      </c>
      <c r="B502" s="1" t="n">
        <v>45148</v>
      </c>
      <c r="C502" s="1" t="n">
        <v>45764</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36228-2023</t>
        </is>
      </c>
      <c r="B503" s="1" t="n">
        <v>45149</v>
      </c>
      <c r="C503" s="1" t="n">
        <v>45764</v>
      </c>
      <c r="D503" t="inlineStr">
        <is>
          <t>VÄSTERNORRLANDS LÄN</t>
        </is>
      </c>
      <c r="E503" t="inlineStr">
        <is>
          <t>TIMRÅ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36992-2023</t>
        </is>
      </c>
      <c r="B504" s="1" t="n">
        <v>45154</v>
      </c>
      <c r="C504" s="1" t="n">
        <v>45764</v>
      </c>
      <c r="D504" t="inlineStr">
        <is>
          <t>VÄSTERNORRLANDS LÄN</t>
        </is>
      </c>
      <c r="E504" t="inlineStr">
        <is>
          <t>TIMRÅ</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36997-2023</t>
        </is>
      </c>
      <c r="B505" s="1" t="n">
        <v>45154</v>
      </c>
      <c r="C505" s="1" t="n">
        <v>45764</v>
      </c>
      <c r="D505" t="inlineStr">
        <is>
          <t>VÄSTERNORRLANDS LÄN</t>
        </is>
      </c>
      <c r="E505" t="inlineStr">
        <is>
          <t>TIMRÅ</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37259-2023</t>
        </is>
      </c>
      <c r="B506" s="1" t="n">
        <v>45156</v>
      </c>
      <c r="C506" s="1" t="n">
        <v>45764</v>
      </c>
      <c r="D506" t="inlineStr">
        <is>
          <t>VÄSTERNORRLANDS LÄN</t>
        </is>
      </c>
      <c r="E506" t="inlineStr">
        <is>
          <t>TIMRÅ</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37808-2023</t>
        </is>
      </c>
      <c r="B507" s="1" t="n">
        <v>45160</v>
      </c>
      <c r="C507" s="1" t="n">
        <v>45764</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38423-2023</t>
        </is>
      </c>
      <c r="B508" s="1" t="n">
        <v>45160</v>
      </c>
      <c r="C508" s="1" t="n">
        <v>45764</v>
      </c>
      <c r="D508" t="inlineStr">
        <is>
          <t>VÄSTERNORRLANDS LÄN</t>
        </is>
      </c>
      <c r="E508" t="inlineStr">
        <is>
          <t>TIMRÅ</t>
        </is>
      </c>
      <c r="G508" t="n">
        <v>6.4</v>
      </c>
      <c r="H508" t="n">
        <v>0</v>
      </c>
      <c r="I508" t="n">
        <v>0</v>
      </c>
      <c r="J508" t="n">
        <v>0</v>
      </c>
      <c r="K508" t="n">
        <v>0</v>
      </c>
      <c r="L508" t="n">
        <v>0</v>
      </c>
      <c r="M508" t="n">
        <v>0</v>
      </c>
      <c r="N508" t="n">
        <v>0</v>
      </c>
      <c r="O508" t="n">
        <v>0</v>
      </c>
      <c r="P508" t="n">
        <v>0</v>
      </c>
      <c r="Q508" t="n">
        <v>0</v>
      </c>
      <c r="R508" s="2" t="inlineStr"/>
    </row>
    <row r="509" ht="15" customHeight="1">
      <c r="A509" t="inlineStr">
        <is>
          <t>A 38360-2023</t>
        </is>
      </c>
      <c r="B509" s="1" t="n">
        <v>45162</v>
      </c>
      <c r="C509" s="1" t="n">
        <v>45764</v>
      </c>
      <c r="D509" t="inlineStr">
        <is>
          <t>VÄSTERNORRLANDS LÄN</t>
        </is>
      </c>
      <c r="E509" t="inlineStr">
        <is>
          <t>TIMRÅ</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39073-2023</t>
        </is>
      </c>
      <c r="B510" s="1" t="n">
        <v>45163</v>
      </c>
      <c r="C510" s="1" t="n">
        <v>45764</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39081-2023</t>
        </is>
      </c>
      <c r="B511" s="1" t="n">
        <v>45163</v>
      </c>
      <c r="C511" s="1" t="n">
        <v>45764</v>
      </c>
      <c r="D511" t="inlineStr">
        <is>
          <t>VÄSTERNORRLANDS LÄN</t>
        </is>
      </c>
      <c r="E511" t="inlineStr">
        <is>
          <t>TIMRÅ</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39046-2023</t>
        </is>
      </c>
      <c r="B512" s="1" t="n">
        <v>45163</v>
      </c>
      <c r="C512" s="1" t="n">
        <v>45764</v>
      </c>
      <c r="D512" t="inlineStr">
        <is>
          <t>VÄSTERNORRLANDS LÄN</t>
        </is>
      </c>
      <c r="E512" t="inlineStr">
        <is>
          <t>TIMRÅ</t>
        </is>
      </c>
      <c r="G512" t="n">
        <v>1.8</v>
      </c>
      <c r="H512" t="n">
        <v>0</v>
      </c>
      <c r="I512" t="n">
        <v>0</v>
      </c>
      <c r="J512" t="n">
        <v>0</v>
      </c>
      <c r="K512" t="n">
        <v>0</v>
      </c>
      <c r="L512" t="n">
        <v>0</v>
      </c>
      <c r="M512" t="n">
        <v>0</v>
      </c>
      <c r="N512" t="n">
        <v>0</v>
      </c>
      <c r="O512" t="n">
        <v>0</v>
      </c>
      <c r="P512" t="n">
        <v>0</v>
      </c>
      <c r="Q512" t="n">
        <v>0</v>
      </c>
      <c r="R512" s="2" t="inlineStr"/>
    </row>
    <row r="513" ht="15" customHeight="1">
      <c r="A513" t="inlineStr">
        <is>
          <t>A 39048-2023</t>
        </is>
      </c>
      <c r="B513" s="1" t="n">
        <v>45164</v>
      </c>
      <c r="C513" s="1" t="n">
        <v>45764</v>
      </c>
      <c r="D513" t="inlineStr">
        <is>
          <t>VÄSTERNORRLANDS LÄN</t>
        </is>
      </c>
      <c r="E513" t="inlineStr">
        <is>
          <t>TIMRÅ</t>
        </is>
      </c>
      <c r="G513" t="n">
        <v>5.1</v>
      </c>
      <c r="H513" t="n">
        <v>0</v>
      </c>
      <c r="I513" t="n">
        <v>0</v>
      </c>
      <c r="J513" t="n">
        <v>0</v>
      </c>
      <c r="K513" t="n">
        <v>0</v>
      </c>
      <c r="L513" t="n">
        <v>0</v>
      </c>
      <c r="M513" t="n">
        <v>0</v>
      </c>
      <c r="N513" t="n">
        <v>0</v>
      </c>
      <c r="O513" t="n">
        <v>0</v>
      </c>
      <c r="P513" t="n">
        <v>0</v>
      </c>
      <c r="Q513" t="n">
        <v>0</v>
      </c>
      <c r="R513" s="2" t="inlineStr"/>
    </row>
    <row r="514" ht="15" customHeight="1">
      <c r="A514" t="inlineStr">
        <is>
          <t>A 39072-2023</t>
        </is>
      </c>
      <c r="B514" s="1" t="n">
        <v>45163</v>
      </c>
      <c r="C514" s="1" t="n">
        <v>45764</v>
      </c>
      <c r="D514" t="inlineStr">
        <is>
          <t>VÄSTERNORRLANDS LÄN</t>
        </is>
      </c>
      <c r="E514" t="inlineStr">
        <is>
          <t>TIMRÅ</t>
        </is>
      </c>
      <c r="F514" t="inlineStr">
        <is>
          <t>SCA</t>
        </is>
      </c>
      <c r="G514" t="n">
        <v>10.1</v>
      </c>
      <c r="H514" t="n">
        <v>0</v>
      </c>
      <c r="I514" t="n">
        <v>0</v>
      </c>
      <c r="J514" t="n">
        <v>0</v>
      </c>
      <c r="K514" t="n">
        <v>0</v>
      </c>
      <c r="L514" t="n">
        <v>0</v>
      </c>
      <c r="M514" t="n">
        <v>0</v>
      </c>
      <c r="N514" t="n">
        <v>0</v>
      </c>
      <c r="O514" t="n">
        <v>0</v>
      </c>
      <c r="P514" t="n">
        <v>0</v>
      </c>
      <c r="Q514" t="n">
        <v>0</v>
      </c>
      <c r="R514" s="2" t="inlineStr"/>
    </row>
    <row r="515" ht="15" customHeight="1">
      <c r="A515" t="inlineStr">
        <is>
          <t>A 39143-2023</t>
        </is>
      </c>
      <c r="B515" s="1" t="n">
        <v>45165</v>
      </c>
      <c r="C515" s="1" t="n">
        <v>45764</v>
      </c>
      <c r="D515" t="inlineStr">
        <is>
          <t>VÄSTERNORRLANDS LÄN</t>
        </is>
      </c>
      <c r="E515" t="inlineStr">
        <is>
          <t>TIMRÅ</t>
        </is>
      </c>
      <c r="F515" t="inlineStr">
        <is>
          <t>SCA</t>
        </is>
      </c>
      <c r="G515" t="n">
        <v>8</v>
      </c>
      <c r="H515" t="n">
        <v>0</v>
      </c>
      <c r="I515" t="n">
        <v>0</v>
      </c>
      <c r="J515" t="n">
        <v>0</v>
      </c>
      <c r="K515" t="n">
        <v>0</v>
      </c>
      <c r="L515" t="n">
        <v>0</v>
      </c>
      <c r="M515" t="n">
        <v>0</v>
      </c>
      <c r="N515" t="n">
        <v>0</v>
      </c>
      <c r="O515" t="n">
        <v>0</v>
      </c>
      <c r="P515" t="n">
        <v>0</v>
      </c>
      <c r="Q515" t="n">
        <v>0</v>
      </c>
      <c r="R515" s="2" t="inlineStr"/>
    </row>
    <row r="516" ht="15" customHeight="1">
      <c r="A516" t="inlineStr">
        <is>
          <t>A 39142-2023</t>
        </is>
      </c>
      <c r="B516" s="1" t="n">
        <v>45165</v>
      </c>
      <c r="C516" s="1" t="n">
        <v>45764</v>
      </c>
      <c r="D516" t="inlineStr">
        <is>
          <t>VÄSTERNORRLANDS LÄN</t>
        </is>
      </c>
      <c r="E516" t="inlineStr">
        <is>
          <t>TIMRÅ</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39693-2023</t>
        </is>
      </c>
      <c r="B517" s="1" t="n">
        <v>45166</v>
      </c>
      <c r="C517" s="1" t="n">
        <v>45764</v>
      </c>
      <c r="D517" t="inlineStr">
        <is>
          <t>VÄSTERNORRLANDS LÄN</t>
        </is>
      </c>
      <c r="E517" t="inlineStr">
        <is>
          <t>TIMRÅ</t>
        </is>
      </c>
      <c r="G517" t="n">
        <v>5.8</v>
      </c>
      <c r="H517" t="n">
        <v>0</v>
      </c>
      <c r="I517" t="n">
        <v>0</v>
      </c>
      <c r="J517" t="n">
        <v>0</v>
      </c>
      <c r="K517" t="n">
        <v>0</v>
      </c>
      <c r="L517" t="n">
        <v>0</v>
      </c>
      <c r="M517" t="n">
        <v>0</v>
      </c>
      <c r="N517" t="n">
        <v>0</v>
      </c>
      <c r="O517" t="n">
        <v>0</v>
      </c>
      <c r="P517" t="n">
        <v>0</v>
      </c>
      <c r="Q517" t="n">
        <v>0</v>
      </c>
      <c r="R517" s="2" t="inlineStr"/>
    </row>
    <row r="518" ht="15" customHeight="1">
      <c r="A518" t="inlineStr">
        <is>
          <t>A 39819-2023</t>
        </is>
      </c>
      <c r="B518" s="1" t="n">
        <v>45167</v>
      </c>
      <c r="C518" s="1" t="n">
        <v>45764</v>
      </c>
      <c r="D518" t="inlineStr">
        <is>
          <t>VÄSTERNORRLANDS LÄN</t>
        </is>
      </c>
      <c r="E518" t="inlineStr">
        <is>
          <t>TIMRÅ</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40112-2023</t>
        </is>
      </c>
      <c r="B519" s="1" t="n">
        <v>45168</v>
      </c>
      <c r="C519" s="1" t="n">
        <v>45764</v>
      </c>
      <c r="D519" t="inlineStr">
        <is>
          <t>VÄSTERNORRLANDS LÄN</t>
        </is>
      </c>
      <c r="E519" t="inlineStr">
        <is>
          <t>TIMRÅ</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40769-2023</t>
        </is>
      </c>
      <c r="B520" s="1" t="n">
        <v>45170</v>
      </c>
      <c r="C520" s="1" t="n">
        <v>45764</v>
      </c>
      <c r="D520" t="inlineStr">
        <is>
          <t>VÄSTERNORRLANDS LÄN</t>
        </is>
      </c>
      <c r="E520" t="inlineStr">
        <is>
          <t>TIMRÅ</t>
        </is>
      </c>
      <c r="F520" t="inlineStr">
        <is>
          <t>SCA</t>
        </is>
      </c>
      <c r="G520" t="n">
        <v>10.9</v>
      </c>
      <c r="H520" t="n">
        <v>0</v>
      </c>
      <c r="I520" t="n">
        <v>0</v>
      </c>
      <c r="J520" t="n">
        <v>0</v>
      </c>
      <c r="K520" t="n">
        <v>0</v>
      </c>
      <c r="L520" t="n">
        <v>0</v>
      </c>
      <c r="M520" t="n">
        <v>0</v>
      </c>
      <c r="N520" t="n">
        <v>0</v>
      </c>
      <c r="O520" t="n">
        <v>0</v>
      </c>
      <c r="P520" t="n">
        <v>0</v>
      </c>
      <c r="Q520" t="n">
        <v>0</v>
      </c>
      <c r="R520" s="2" t="inlineStr"/>
    </row>
    <row r="521" ht="15" customHeight="1">
      <c r="A521" t="inlineStr">
        <is>
          <t>A 40773-2023</t>
        </is>
      </c>
      <c r="B521" s="1" t="n">
        <v>45171</v>
      </c>
      <c r="C521" s="1" t="n">
        <v>45764</v>
      </c>
      <c r="D521" t="inlineStr">
        <is>
          <t>VÄSTERNORRLANDS LÄN</t>
        </is>
      </c>
      <c r="E521" t="inlineStr">
        <is>
          <t>TIMRÅ</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40774-2023</t>
        </is>
      </c>
      <c r="B522" s="1" t="n">
        <v>45171</v>
      </c>
      <c r="C522" s="1" t="n">
        <v>45764</v>
      </c>
      <c r="D522" t="inlineStr">
        <is>
          <t>VÄSTERNORRLANDS LÄN</t>
        </is>
      </c>
      <c r="E522" t="inlineStr">
        <is>
          <t>TIMRÅ</t>
        </is>
      </c>
      <c r="F522" t="inlineStr">
        <is>
          <t>SCA</t>
        </is>
      </c>
      <c r="G522" t="n">
        <v>12.6</v>
      </c>
      <c r="H522" t="n">
        <v>0</v>
      </c>
      <c r="I522" t="n">
        <v>0</v>
      </c>
      <c r="J522" t="n">
        <v>0</v>
      </c>
      <c r="K522" t="n">
        <v>0</v>
      </c>
      <c r="L522" t="n">
        <v>0</v>
      </c>
      <c r="M522" t="n">
        <v>0</v>
      </c>
      <c r="N522" t="n">
        <v>0</v>
      </c>
      <c r="O522" t="n">
        <v>0</v>
      </c>
      <c r="P522" t="n">
        <v>0</v>
      </c>
      <c r="Q522" t="n">
        <v>0</v>
      </c>
      <c r="R522" s="2" t="inlineStr"/>
    </row>
    <row r="523" ht="15" customHeight="1">
      <c r="A523" t="inlineStr">
        <is>
          <t>A 40767-2023</t>
        </is>
      </c>
      <c r="B523" s="1" t="n">
        <v>45171</v>
      </c>
      <c r="C523" s="1" t="n">
        <v>45764</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40768-2023</t>
        </is>
      </c>
      <c r="B524" s="1" t="n">
        <v>45171</v>
      </c>
      <c r="C524" s="1" t="n">
        <v>45764</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41605-2023</t>
        </is>
      </c>
      <c r="B525" s="1" t="n">
        <v>45175</v>
      </c>
      <c r="C525" s="1" t="n">
        <v>45764</v>
      </c>
      <c r="D525" t="inlineStr">
        <is>
          <t>VÄSTERNORRLANDS LÄN</t>
        </is>
      </c>
      <c r="E525" t="inlineStr">
        <is>
          <t>TIMRÅ</t>
        </is>
      </c>
      <c r="G525" t="n">
        <v>1.6</v>
      </c>
      <c r="H525" t="n">
        <v>0</v>
      </c>
      <c r="I525" t="n">
        <v>0</v>
      </c>
      <c r="J525" t="n">
        <v>0</v>
      </c>
      <c r="K525" t="n">
        <v>0</v>
      </c>
      <c r="L525" t="n">
        <v>0</v>
      </c>
      <c r="M525" t="n">
        <v>0</v>
      </c>
      <c r="N525" t="n">
        <v>0</v>
      </c>
      <c r="O525" t="n">
        <v>0</v>
      </c>
      <c r="P525" t="n">
        <v>0</v>
      </c>
      <c r="Q525" t="n">
        <v>0</v>
      </c>
      <c r="R525" s="2" t="inlineStr"/>
    </row>
    <row r="526" ht="15" customHeight="1">
      <c r="A526" t="inlineStr">
        <is>
          <t>A 42161-2023</t>
        </is>
      </c>
      <c r="B526" s="1" t="n">
        <v>45178</v>
      </c>
      <c r="C526" s="1" t="n">
        <v>45764</v>
      </c>
      <c r="D526" t="inlineStr">
        <is>
          <t>VÄSTERNORRLANDS LÄN</t>
        </is>
      </c>
      <c r="E526" t="inlineStr">
        <is>
          <t>TIMRÅ</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42513-2023</t>
        </is>
      </c>
      <c r="B527" s="1" t="n">
        <v>45180</v>
      </c>
      <c r="C527" s="1" t="n">
        <v>45764</v>
      </c>
      <c r="D527" t="inlineStr">
        <is>
          <t>VÄSTERNORRLANDS LÄN</t>
        </is>
      </c>
      <c r="E527" t="inlineStr">
        <is>
          <t>TIMRÅ</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42516-2023</t>
        </is>
      </c>
      <c r="B528" s="1" t="n">
        <v>45180</v>
      </c>
      <c r="C528" s="1" t="n">
        <v>45764</v>
      </c>
      <c r="D528" t="inlineStr">
        <is>
          <t>VÄSTERNORRLANDS LÄN</t>
        </is>
      </c>
      <c r="E528" t="inlineStr">
        <is>
          <t>TIMRÅ</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43124-2023</t>
        </is>
      </c>
      <c r="B529" s="1" t="n">
        <v>45182</v>
      </c>
      <c r="C529" s="1" t="n">
        <v>45764</v>
      </c>
      <c r="D529" t="inlineStr">
        <is>
          <t>VÄSTERNORRLANDS LÄN</t>
        </is>
      </c>
      <c r="E529" t="inlineStr">
        <is>
          <t>TIMRÅ</t>
        </is>
      </c>
      <c r="F529" t="inlineStr">
        <is>
          <t>SCA</t>
        </is>
      </c>
      <c r="G529" t="n">
        <v>6.8</v>
      </c>
      <c r="H529" t="n">
        <v>0</v>
      </c>
      <c r="I529" t="n">
        <v>0</v>
      </c>
      <c r="J529" t="n">
        <v>0</v>
      </c>
      <c r="K529" t="n">
        <v>0</v>
      </c>
      <c r="L529" t="n">
        <v>0</v>
      </c>
      <c r="M529" t="n">
        <v>0</v>
      </c>
      <c r="N529" t="n">
        <v>0</v>
      </c>
      <c r="O529" t="n">
        <v>0</v>
      </c>
      <c r="P529" t="n">
        <v>0</v>
      </c>
      <c r="Q529" t="n">
        <v>0</v>
      </c>
      <c r="R529" s="2" t="inlineStr"/>
    </row>
    <row r="530" ht="15" customHeight="1">
      <c r="A530" t="inlineStr">
        <is>
          <t>A 43130-2023</t>
        </is>
      </c>
      <c r="B530" s="1" t="n">
        <v>45183</v>
      </c>
      <c r="C530" s="1" t="n">
        <v>45764</v>
      </c>
      <c r="D530" t="inlineStr">
        <is>
          <t>VÄSTERNORRLANDS LÄN</t>
        </is>
      </c>
      <c r="E530" t="inlineStr">
        <is>
          <t>TIMRÅ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43128-2023</t>
        </is>
      </c>
      <c r="B531" s="1" t="n">
        <v>45182</v>
      </c>
      <c r="C531" s="1" t="n">
        <v>45764</v>
      </c>
      <c r="D531" t="inlineStr">
        <is>
          <t>VÄSTERNORRLANDS LÄN</t>
        </is>
      </c>
      <c r="E531" t="inlineStr">
        <is>
          <t>TIMRÅ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43113-2023</t>
        </is>
      </c>
      <c r="B532" s="1" t="n">
        <v>45182</v>
      </c>
      <c r="C532" s="1" t="n">
        <v>45764</v>
      </c>
      <c r="D532" t="inlineStr">
        <is>
          <t>VÄSTERNORRLANDS LÄN</t>
        </is>
      </c>
      <c r="E532" t="inlineStr">
        <is>
          <t>TIMRÅ</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43129-2023</t>
        </is>
      </c>
      <c r="B533" s="1" t="n">
        <v>45182</v>
      </c>
      <c r="C533" s="1" t="n">
        <v>45764</v>
      </c>
      <c r="D533" t="inlineStr">
        <is>
          <t>VÄSTERNORRLANDS LÄN</t>
        </is>
      </c>
      <c r="E533" t="inlineStr">
        <is>
          <t>TIMRÅ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43411-2023</t>
        </is>
      </c>
      <c r="B534" s="1" t="n">
        <v>45183</v>
      </c>
      <c r="C534" s="1" t="n">
        <v>45764</v>
      </c>
      <c r="D534" t="inlineStr">
        <is>
          <t>VÄSTERNORRLANDS LÄN</t>
        </is>
      </c>
      <c r="E534" t="inlineStr">
        <is>
          <t>TIMRÅ</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43412-2023</t>
        </is>
      </c>
      <c r="B535" s="1" t="n">
        <v>45184</v>
      </c>
      <c r="C535" s="1" t="n">
        <v>45764</v>
      </c>
      <c r="D535" t="inlineStr">
        <is>
          <t>VÄSTERNORRLANDS LÄN</t>
        </is>
      </c>
      <c r="E535" t="inlineStr">
        <is>
          <t>TIMRÅ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43959-2023</t>
        </is>
      </c>
      <c r="B536" s="1" t="n">
        <v>45188</v>
      </c>
      <c r="C536" s="1" t="n">
        <v>45764</v>
      </c>
      <c r="D536" t="inlineStr">
        <is>
          <t>VÄSTERNORRLANDS LÄN</t>
        </is>
      </c>
      <c r="E536" t="inlineStr">
        <is>
          <t>TIMRÅ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43964-2023</t>
        </is>
      </c>
      <c r="B537" s="1" t="n">
        <v>45187</v>
      </c>
      <c r="C537" s="1" t="n">
        <v>45764</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43983-2023</t>
        </is>
      </c>
      <c r="B538" s="1" t="n">
        <v>45188</v>
      </c>
      <c r="C538" s="1" t="n">
        <v>45764</v>
      </c>
      <c r="D538" t="inlineStr">
        <is>
          <t>VÄSTERNORRLANDS LÄN</t>
        </is>
      </c>
      <c r="E538" t="inlineStr">
        <is>
          <t>TIMRÅ</t>
        </is>
      </c>
      <c r="F538" t="inlineStr">
        <is>
          <t>SCA</t>
        </is>
      </c>
      <c r="G538" t="n">
        <v>6.7</v>
      </c>
      <c r="H538" t="n">
        <v>0</v>
      </c>
      <c r="I538" t="n">
        <v>0</v>
      </c>
      <c r="J538" t="n">
        <v>0</v>
      </c>
      <c r="K538" t="n">
        <v>0</v>
      </c>
      <c r="L538" t="n">
        <v>0</v>
      </c>
      <c r="M538" t="n">
        <v>0</v>
      </c>
      <c r="N538" t="n">
        <v>0</v>
      </c>
      <c r="O538" t="n">
        <v>0</v>
      </c>
      <c r="P538" t="n">
        <v>0</v>
      </c>
      <c r="Q538" t="n">
        <v>0</v>
      </c>
      <c r="R538" s="2" t="inlineStr"/>
    </row>
    <row r="539" ht="15" customHeight="1">
      <c r="A539" t="inlineStr">
        <is>
          <t>A 43962-2023</t>
        </is>
      </c>
      <c r="B539" s="1" t="n">
        <v>45187</v>
      </c>
      <c r="C539" s="1" t="n">
        <v>45764</v>
      </c>
      <c r="D539" t="inlineStr">
        <is>
          <t>VÄSTERNORRLANDS LÄN</t>
        </is>
      </c>
      <c r="E539" t="inlineStr">
        <is>
          <t>TIMRÅ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43994-2023</t>
        </is>
      </c>
      <c r="B540" s="1" t="n">
        <v>45187</v>
      </c>
      <c r="C540" s="1" t="n">
        <v>45764</v>
      </c>
      <c r="D540" t="inlineStr">
        <is>
          <t>VÄSTERNORRLANDS LÄN</t>
        </is>
      </c>
      <c r="E540" t="inlineStr">
        <is>
          <t>TIMRÅ</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44405-2023</t>
        </is>
      </c>
      <c r="B541" s="1" t="n">
        <v>45188</v>
      </c>
      <c r="C541" s="1" t="n">
        <v>45764</v>
      </c>
      <c r="D541" t="inlineStr">
        <is>
          <t>VÄSTERNORRLANDS LÄN</t>
        </is>
      </c>
      <c r="E541" t="inlineStr">
        <is>
          <t>TIMRÅ</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44404-2023</t>
        </is>
      </c>
      <c r="B542" s="1" t="n">
        <v>45188</v>
      </c>
      <c r="C542" s="1" t="n">
        <v>45764</v>
      </c>
      <c r="D542" t="inlineStr">
        <is>
          <t>VÄSTERNORRLANDS LÄN</t>
        </is>
      </c>
      <c r="E542" t="inlineStr">
        <is>
          <t>TIMRÅ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44379-2023</t>
        </is>
      </c>
      <c r="B543" s="1" t="n">
        <v>45188</v>
      </c>
      <c r="C543" s="1" t="n">
        <v>45764</v>
      </c>
      <c r="D543" t="inlineStr">
        <is>
          <t>VÄSTERNORRLANDS LÄN</t>
        </is>
      </c>
      <c r="E543" t="inlineStr">
        <is>
          <t>TIMRÅ</t>
        </is>
      </c>
      <c r="G543" t="n">
        <v>0.6</v>
      </c>
      <c r="H543" t="n">
        <v>0</v>
      </c>
      <c r="I543" t="n">
        <v>0</v>
      </c>
      <c r="J543" t="n">
        <v>0</v>
      </c>
      <c r="K543" t="n">
        <v>0</v>
      </c>
      <c r="L543" t="n">
        <v>0</v>
      </c>
      <c r="M543" t="n">
        <v>0</v>
      </c>
      <c r="N543" t="n">
        <v>0</v>
      </c>
      <c r="O543" t="n">
        <v>0</v>
      </c>
      <c r="P543" t="n">
        <v>0</v>
      </c>
      <c r="Q543" t="n">
        <v>0</v>
      </c>
      <c r="R543" s="2" t="inlineStr"/>
    </row>
    <row r="544" ht="15" customHeight="1">
      <c r="A544" t="inlineStr">
        <is>
          <t>A 44378-2023</t>
        </is>
      </c>
      <c r="B544" s="1" t="n">
        <v>45189</v>
      </c>
      <c r="C544" s="1" t="n">
        <v>45764</v>
      </c>
      <c r="D544" t="inlineStr">
        <is>
          <t>VÄSTERNORRLANDS LÄN</t>
        </is>
      </c>
      <c r="E544" t="inlineStr">
        <is>
          <t>TIMRÅ</t>
        </is>
      </c>
      <c r="G544" t="n">
        <v>0.6</v>
      </c>
      <c r="H544" t="n">
        <v>0</v>
      </c>
      <c r="I544" t="n">
        <v>0</v>
      </c>
      <c r="J544" t="n">
        <v>0</v>
      </c>
      <c r="K544" t="n">
        <v>0</v>
      </c>
      <c r="L544" t="n">
        <v>0</v>
      </c>
      <c r="M544" t="n">
        <v>0</v>
      </c>
      <c r="N544" t="n">
        <v>0</v>
      </c>
      <c r="O544" t="n">
        <v>0</v>
      </c>
      <c r="P544" t="n">
        <v>0</v>
      </c>
      <c r="Q544" t="n">
        <v>0</v>
      </c>
      <c r="R544" s="2" t="inlineStr"/>
    </row>
    <row r="545" ht="15" customHeight="1">
      <c r="A545" t="inlineStr">
        <is>
          <t>A 45774-2023</t>
        </is>
      </c>
      <c r="B545" s="1" t="n">
        <v>45189</v>
      </c>
      <c r="C545" s="1" t="n">
        <v>45764</v>
      </c>
      <c r="D545" t="inlineStr">
        <is>
          <t>VÄSTERNORRLANDS LÄN</t>
        </is>
      </c>
      <c r="E545" t="inlineStr">
        <is>
          <t>TIMRÅ</t>
        </is>
      </c>
      <c r="G545" t="n">
        <v>2.8</v>
      </c>
      <c r="H545" t="n">
        <v>0</v>
      </c>
      <c r="I545" t="n">
        <v>0</v>
      </c>
      <c r="J545" t="n">
        <v>0</v>
      </c>
      <c r="K545" t="n">
        <v>0</v>
      </c>
      <c r="L545" t="n">
        <v>0</v>
      </c>
      <c r="M545" t="n">
        <v>0</v>
      </c>
      <c r="N545" t="n">
        <v>0</v>
      </c>
      <c r="O545" t="n">
        <v>0</v>
      </c>
      <c r="P545" t="n">
        <v>0</v>
      </c>
      <c r="Q545" t="n">
        <v>0</v>
      </c>
      <c r="R545" s="2" t="inlineStr"/>
    </row>
    <row r="546" ht="15" customHeight="1">
      <c r="A546" t="inlineStr">
        <is>
          <t>A 44991-2023</t>
        </is>
      </c>
      <c r="B546" s="1" t="n">
        <v>45190</v>
      </c>
      <c r="C546" s="1" t="n">
        <v>45764</v>
      </c>
      <c r="D546" t="inlineStr">
        <is>
          <t>VÄSTERNORRLANDS LÄN</t>
        </is>
      </c>
      <c r="E546" t="inlineStr">
        <is>
          <t>TIMRÅ</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44990-2023</t>
        </is>
      </c>
      <c r="B547" s="1" t="n">
        <v>45190</v>
      </c>
      <c r="C547" s="1" t="n">
        <v>45764</v>
      </c>
      <c r="D547" t="inlineStr">
        <is>
          <t>VÄSTERNORRLANDS LÄN</t>
        </is>
      </c>
      <c r="E547" t="inlineStr">
        <is>
          <t>TIMRÅ</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45723-2023</t>
        </is>
      </c>
      <c r="B548" s="1" t="n">
        <v>45195</v>
      </c>
      <c r="C548" s="1" t="n">
        <v>45764</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45739-2023</t>
        </is>
      </c>
      <c r="B549" s="1" t="n">
        <v>45195</v>
      </c>
      <c r="C549" s="1" t="n">
        <v>45764</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47147-2023</t>
        </is>
      </c>
      <c r="B550" s="1" t="n">
        <v>45201</v>
      </c>
      <c r="C550" s="1" t="n">
        <v>45764</v>
      </c>
      <c r="D550" t="inlineStr">
        <is>
          <t>VÄSTERNORRLANDS LÄN</t>
        </is>
      </c>
      <c r="E550" t="inlineStr">
        <is>
          <t>TIMRÅ</t>
        </is>
      </c>
      <c r="G550" t="n">
        <v>1.1</v>
      </c>
      <c r="H550" t="n">
        <v>0</v>
      </c>
      <c r="I550" t="n">
        <v>0</v>
      </c>
      <c r="J550" t="n">
        <v>0</v>
      </c>
      <c r="K550" t="n">
        <v>0</v>
      </c>
      <c r="L550" t="n">
        <v>0</v>
      </c>
      <c r="M550" t="n">
        <v>0</v>
      </c>
      <c r="N550" t="n">
        <v>0</v>
      </c>
      <c r="O550" t="n">
        <v>0</v>
      </c>
      <c r="P550" t="n">
        <v>0</v>
      </c>
      <c r="Q550" t="n">
        <v>0</v>
      </c>
      <c r="R550" s="2" t="inlineStr"/>
    </row>
    <row r="551" ht="15" customHeight="1">
      <c r="A551" t="inlineStr">
        <is>
          <t>A 47150-2023</t>
        </is>
      </c>
      <c r="B551" s="1" t="n">
        <v>45201</v>
      </c>
      <c r="C551" s="1" t="n">
        <v>45764</v>
      </c>
      <c r="D551" t="inlineStr">
        <is>
          <t>VÄSTERNORRLANDS LÄN</t>
        </is>
      </c>
      <c r="E551" t="inlineStr">
        <is>
          <t>TIMRÅ</t>
        </is>
      </c>
      <c r="G551" t="n">
        <v>1.1</v>
      </c>
      <c r="H551" t="n">
        <v>0</v>
      </c>
      <c r="I551" t="n">
        <v>0</v>
      </c>
      <c r="J551" t="n">
        <v>0</v>
      </c>
      <c r="K551" t="n">
        <v>0</v>
      </c>
      <c r="L551" t="n">
        <v>0</v>
      </c>
      <c r="M551" t="n">
        <v>0</v>
      </c>
      <c r="N551" t="n">
        <v>0</v>
      </c>
      <c r="O551" t="n">
        <v>0</v>
      </c>
      <c r="P551" t="n">
        <v>0</v>
      </c>
      <c r="Q551" t="n">
        <v>0</v>
      </c>
      <c r="R551" s="2" t="inlineStr"/>
    </row>
    <row r="552" ht="15" customHeight="1">
      <c r="A552" t="inlineStr">
        <is>
          <t>A 48769-2023</t>
        </is>
      </c>
      <c r="B552" s="1" t="n">
        <v>45208</v>
      </c>
      <c r="C552" s="1" t="n">
        <v>45764</v>
      </c>
      <c r="D552" t="inlineStr">
        <is>
          <t>VÄSTERNORRLANDS LÄN</t>
        </is>
      </c>
      <c r="E552" t="inlineStr">
        <is>
          <t>TIMRÅ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48786-2023</t>
        </is>
      </c>
      <c r="B553" s="1" t="n">
        <v>45208</v>
      </c>
      <c r="C553" s="1" t="n">
        <v>45764</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48768-2023</t>
        </is>
      </c>
      <c r="B554" s="1" t="n">
        <v>45208</v>
      </c>
      <c r="C554" s="1" t="n">
        <v>45764</v>
      </c>
      <c r="D554" t="inlineStr">
        <is>
          <t>VÄSTERNORRLANDS LÄN</t>
        </is>
      </c>
      <c r="E554" t="inlineStr">
        <is>
          <t>TIMRÅ</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48785-2023</t>
        </is>
      </c>
      <c r="B555" s="1" t="n">
        <v>45208</v>
      </c>
      <c r="C555" s="1" t="n">
        <v>45764</v>
      </c>
      <c r="D555" t="inlineStr">
        <is>
          <t>VÄSTERNORRLANDS LÄN</t>
        </is>
      </c>
      <c r="E555" t="inlineStr">
        <is>
          <t>TIMRÅ</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48784-2023</t>
        </is>
      </c>
      <c r="B556" s="1" t="n">
        <v>45208</v>
      </c>
      <c r="C556" s="1" t="n">
        <v>45764</v>
      </c>
      <c r="D556" t="inlineStr">
        <is>
          <t>VÄSTERNORRLANDS LÄN</t>
        </is>
      </c>
      <c r="E556" t="inlineStr">
        <is>
          <t>TIMRÅ</t>
        </is>
      </c>
      <c r="F556" t="inlineStr">
        <is>
          <t>SCA</t>
        </is>
      </c>
      <c r="G556" t="n">
        <v>7.2</v>
      </c>
      <c r="H556" t="n">
        <v>0</v>
      </c>
      <c r="I556" t="n">
        <v>0</v>
      </c>
      <c r="J556" t="n">
        <v>0</v>
      </c>
      <c r="K556" t="n">
        <v>0</v>
      </c>
      <c r="L556" t="n">
        <v>0</v>
      </c>
      <c r="M556" t="n">
        <v>0</v>
      </c>
      <c r="N556" t="n">
        <v>0</v>
      </c>
      <c r="O556" t="n">
        <v>0</v>
      </c>
      <c r="P556" t="n">
        <v>0</v>
      </c>
      <c r="Q556" t="n">
        <v>0</v>
      </c>
      <c r="R556" s="2" t="inlineStr"/>
    </row>
    <row r="557" ht="15" customHeight="1">
      <c r="A557" t="inlineStr">
        <is>
          <t>A 50355-2023</t>
        </is>
      </c>
      <c r="B557" s="1" t="n">
        <v>45209</v>
      </c>
      <c r="C557" s="1" t="n">
        <v>45764</v>
      </c>
      <c r="D557" t="inlineStr">
        <is>
          <t>VÄSTERNORRLANDS LÄN</t>
        </is>
      </c>
      <c r="E557" t="inlineStr">
        <is>
          <t>TIMRÅ</t>
        </is>
      </c>
      <c r="G557" t="n">
        <v>1</v>
      </c>
      <c r="H557" t="n">
        <v>0</v>
      </c>
      <c r="I557" t="n">
        <v>0</v>
      </c>
      <c r="J557" t="n">
        <v>0</v>
      </c>
      <c r="K557" t="n">
        <v>0</v>
      </c>
      <c r="L557" t="n">
        <v>0</v>
      </c>
      <c r="M557" t="n">
        <v>0</v>
      </c>
      <c r="N557" t="n">
        <v>0</v>
      </c>
      <c r="O557" t="n">
        <v>0</v>
      </c>
      <c r="P557" t="n">
        <v>0</v>
      </c>
      <c r="Q557" t="n">
        <v>0</v>
      </c>
      <c r="R557" s="2" t="inlineStr"/>
    </row>
    <row r="558" ht="15" customHeight="1">
      <c r="A558" t="inlineStr">
        <is>
          <t>A 50638-2023</t>
        </is>
      </c>
      <c r="B558" s="1" t="n">
        <v>45210</v>
      </c>
      <c r="C558" s="1" t="n">
        <v>45764</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50230-2023</t>
        </is>
      </c>
      <c r="B559" s="1" t="n">
        <v>45215</v>
      </c>
      <c r="C559" s="1" t="n">
        <v>45764</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51735-2023</t>
        </is>
      </c>
      <c r="B560" s="1" t="n">
        <v>45215</v>
      </c>
      <c r="C560" s="1" t="n">
        <v>45764</v>
      </c>
      <c r="D560" t="inlineStr">
        <is>
          <t>VÄSTERNORRLANDS LÄN</t>
        </is>
      </c>
      <c r="E560" t="inlineStr">
        <is>
          <t>TIMRÅ</t>
        </is>
      </c>
      <c r="G560" t="n">
        <v>8.5</v>
      </c>
      <c r="H560" t="n">
        <v>0</v>
      </c>
      <c r="I560" t="n">
        <v>0</v>
      </c>
      <c r="J560" t="n">
        <v>0</v>
      </c>
      <c r="K560" t="n">
        <v>0</v>
      </c>
      <c r="L560" t="n">
        <v>0</v>
      </c>
      <c r="M560" t="n">
        <v>0</v>
      </c>
      <c r="N560" t="n">
        <v>0</v>
      </c>
      <c r="O560" t="n">
        <v>0</v>
      </c>
      <c r="P560" t="n">
        <v>0</v>
      </c>
      <c r="Q560" t="n">
        <v>0</v>
      </c>
      <c r="R560" s="2" t="inlineStr"/>
    </row>
    <row r="561" ht="15" customHeight="1">
      <c r="A561" t="inlineStr">
        <is>
          <t>A 51871-2023</t>
        </is>
      </c>
      <c r="B561" s="1" t="n">
        <v>45215</v>
      </c>
      <c r="C561" s="1" t="n">
        <v>45764</v>
      </c>
      <c r="D561" t="inlineStr">
        <is>
          <t>VÄSTERNORRLANDS LÄN</t>
        </is>
      </c>
      <c r="E561" t="inlineStr">
        <is>
          <t>TIMRÅ</t>
        </is>
      </c>
      <c r="G561" t="n">
        <v>7.3</v>
      </c>
      <c r="H561" t="n">
        <v>0</v>
      </c>
      <c r="I561" t="n">
        <v>0</v>
      </c>
      <c r="J561" t="n">
        <v>0</v>
      </c>
      <c r="K561" t="n">
        <v>0</v>
      </c>
      <c r="L561" t="n">
        <v>0</v>
      </c>
      <c r="M561" t="n">
        <v>0</v>
      </c>
      <c r="N561" t="n">
        <v>0</v>
      </c>
      <c r="O561" t="n">
        <v>0</v>
      </c>
      <c r="P561" t="n">
        <v>0</v>
      </c>
      <c r="Q561" t="n">
        <v>0</v>
      </c>
      <c r="R561" s="2" t="inlineStr"/>
    </row>
    <row r="562" ht="15" customHeight="1">
      <c r="A562" t="inlineStr">
        <is>
          <t>A 51113-2023</t>
        </is>
      </c>
      <c r="B562" s="1" t="n">
        <v>45218</v>
      </c>
      <c r="C562" s="1" t="n">
        <v>45764</v>
      </c>
      <c r="D562" t="inlineStr">
        <is>
          <t>VÄSTERNORRLANDS LÄN</t>
        </is>
      </c>
      <c r="E562" t="inlineStr">
        <is>
          <t>TIMRÅ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53033-2023</t>
        </is>
      </c>
      <c r="B563" s="1" t="n">
        <v>45227</v>
      </c>
      <c r="C563" s="1" t="n">
        <v>45764</v>
      </c>
      <c r="D563" t="inlineStr">
        <is>
          <t>VÄSTERNORRLANDS LÄN</t>
        </is>
      </c>
      <c r="E563" t="inlineStr">
        <is>
          <t>TIMRÅ</t>
        </is>
      </c>
      <c r="G563" t="n">
        <v>3.4</v>
      </c>
      <c r="H563" t="n">
        <v>0</v>
      </c>
      <c r="I563" t="n">
        <v>0</v>
      </c>
      <c r="J563" t="n">
        <v>0</v>
      </c>
      <c r="K563" t="n">
        <v>0</v>
      </c>
      <c r="L563" t="n">
        <v>0</v>
      </c>
      <c r="M563" t="n">
        <v>0</v>
      </c>
      <c r="N563" t="n">
        <v>0</v>
      </c>
      <c r="O563" t="n">
        <v>0</v>
      </c>
      <c r="P563" t="n">
        <v>0</v>
      </c>
      <c r="Q563" t="n">
        <v>0</v>
      </c>
      <c r="R563" s="2" t="inlineStr"/>
    </row>
    <row r="564" ht="15" customHeight="1">
      <c r="A564" t="inlineStr">
        <is>
          <t>A 53448-2023</t>
        </is>
      </c>
      <c r="B564" s="1" t="n">
        <v>45230</v>
      </c>
      <c r="C564" s="1" t="n">
        <v>45764</v>
      </c>
      <c r="D564" t="inlineStr">
        <is>
          <t>VÄSTERNORRLANDS LÄN</t>
        </is>
      </c>
      <c r="E564" t="inlineStr">
        <is>
          <t>TIMRÅ</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53430-2023</t>
        </is>
      </c>
      <c r="B565" s="1" t="n">
        <v>45229</v>
      </c>
      <c r="C565" s="1" t="n">
        <v>45764</v>
      </c>
      <c r="D565" t="inlineStr">
        <is>
          <t>VÄSTERNORRLANDS LÄN</t>
        </is>
      </c>
      <c r="E565" t="inlineStr">
        <is>
          <t>TIMRÅ</t>
        </is>
      </c>
      <c r="G565" t="n">
        <v>2.6</v>
      </c>
      <c r="H565" t="n">
        <v>0</v>
      </c>
      <c r="I565" t="n">
        <v>0</v>
      </c>
      <c r="J565" t="n">
        <v>0</v>
      </c>
      <c r="K565" t="n">
        <v>0</v>
      </c>
      <c r="L565" t="n">
        <v>0</v>
      </c>
      <c r="M565" t="n">
        <v>0</v>
      </c>
      <c r="N565" t="n">
        <v>0</v>
      </c>
      <c r="O565" t="n">
        <v>0</v>
      </c>
      <c r="P565" t="n">
        <v>0</v>
      </c>
      <c r="Q565" t="n">
        <v>0</v>
      </c>
      <c r="R565" s="2" t="inlineStr"/>
    </row>
    <row r="566" ht="15" customHeight="1">
      <c r="A566" t="inlineStr">
        <is>
          <t>A 53755-2023</t>
        </is>
      </c>
      <c r="B566" s="1" t="n">
        <v>45230</v>
      </c>
      <c r="C566" s="1" t="n">
        <v>45764</v>
      </c>
      <c r="D566" t="inlineStr">
        <is>
          <t>VÄSTERNORRLANDS LÄN</t>
        </is>
      </c>
      <c r="E566" t="inlineStr">
        <is>
          <t>TIMRÅ</t>
        </is>
      </c>
      <c r="G566" t="n">
        <v>6.5</v>
      </c>
      <c r="H566" t="n">
        <v>0</v>
      </c>
      <c r="I566" t="n">
        <v>0</v>
      </c>
      <c r="J566" t="n">
        <v>0</v>
      </c>
      <c r="K566" t="n">
        <v>0</v>
      </c>
      <c r="L566" t="n">
        <v>0</v>
      </c>
      <c r="M566" t="n">
        <v>0</v>
      </c>
      <c r="N566" t="n">
        <v>0</v>
      </c>
      <c r="O566" t="n">
        <v>0</v>
      </c>
      <c r="P566" t="n">
        <v>0</v>
      </c>
      <c r="Q566" t="n">
        <v>0</v>
      </c>
      <c r="R566" s="2" t="inlineStr"/>
    </row>
    <row r="567" ht="15" customHeight="1">
      <c r="A567" t="inlineStr">
        <is>
          <t>A 54040-2023</t>
        </is>
      </c>
      <c r="B567" s="1" t="n">
        <v>45231</v>
      </c>
      <c r="C567" s="1" t="n">
        <v>45764</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54041-2023</t>
        </is>
      </c>
      <c r="B568" s="1" t="n">
        <v>45231</v>
      </c>
      <c r="C568" s="1" t="n">
        <v>45764</v>
      </c>
      <c r="D568" t="inlineStr">
        <is>
          <t>VÄSTERNORRLANDS LÄN</t>
        </is>
      </c>
      <c r="E568" t="inlineStr">
        <is>
          <t>TIMRÅ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55441-2023</t>
        </is>
      </c>
      <c r="B569" s="1" t="n">
        <v>45231</v>
      </c>
      <c r="C569" s="1" t="n">
        <v>45764</v>
      </c>
      <c r="D569" t="inlineStr">
        <is>
          <t>VÄSTERNORRLANDS LÄN</t>
        </is>
      </c>
      <c r="E569" t="inlineStr">
        <is>
          <t>TIMRÅ</t>
        </is>
      </c>
      <c r="G569" t="n">
        <v>1</v>
      </c>
      <c r="H569" t="n">
        <v>0</v>
      </c>
      <c r="I569" t="n">
        <v>0</v>
      </c>
      <c r="J569" t="n">
        <v>0</v>
      </c>
      <c r="K569" t="n">
        <v>0</v>
      </c>
      <c r="L569" t="n">
        <v>0</v>
      </c>
      <c r="M569" t="n">
        <v>0</v>
      </c>
      <c r="N569" t="n">
        <v>0</v>
      </c>
      <c r="O569" t="n">
        <v>0</v>
      </c>
      <c r="P569" t="n">
        <v>0</v>
      </c>
      <c r="Q569" t="n">
        <v>0</v>
      </c>
      <c r="R569" s="2" t="inlineStr"/>
    </row>
    <row r="570" ht="15" customHeight="1">
      <c r="A570" t="inlineStr">
        <is>
          <t>A 54610-2023</t>
        </is>
      </c>
      <c r="B570" s="1" t="n">
        <v>45233</v>
      </c>
      <c r="C570" s="1" t="n">
        <v>45764</v>
      </c>
      <c r="D570" t="inlineStr">
        <is>
          <t>VÄSTERNORRLANDS LÄN</t>
        </is>
      </c>
      <c r="E570" t="inlineStr">
        <is>
          <t>TIMRÅ</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55673-2023</t>
        </is>
      </c>
      <c r="B571" s="1" t="n">
        <v>45238</v>
      </c>
      <c r="C571" s="1" t="n">
        <v>45764</v>
      </c>
      <c r="D571" t="inlineStr">
        <is>
          <t>VÄSTERNORRLANDS LÄN</t>
        </is>
      </c>
      <c r="E571" t="inlineStr">
        <is>
          <t>TIMRÅ</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55930-2023</t>
        </is>
      </c>
      <c r="B572" s="1" t="n">
        <v>45240</v>
      </c>
      <c r="C572" s="1" t="n">
        <v>45764</v>
      </c>
      <c r="D572" t="inlineStr">
        <is>
          <t>VÄSTERNORRLANDS LÄN</t>
        </is>
      </c>
      <c r="E572" t="inlineStr">
        <is>
          <t>TIMRÅ</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56237-2023</t>
        </is>
      </c>
      <c r="B573" s="1" t="n">
        <v>45240</v>
      </c>
      <c r="C573" s="1" t="n">
        <v>45764</v>
      </c>
      <c r="D573" t="inlineStr">
        <is>
          <t>VÄSTERNORRLANDS LÄN</t>
        </is>
      </c>
      <c r="E573" t="inlineStr">
        <is>
          <t>TIMRÅ</t>
        </is>
      </c>
      <c r="G573" t="n">
        <v>0.7</v>
      </c>
      <c r="H573" t="n">
        <v>0</v>
      </c>
      <c r="I573" t="n">
        <v>0</v>
      </c>
      <c r="J573" t="n">
        <v>0</v>
      </c>
      <c r="K573" t="n">
        <v>0</v>
      </c>
      <c r="L573" t="n">
        <v>0</v>
      </c>
      <c r="M573" t="n">
        <v>0</v>
      </c>
      <c r="N573" t="n">
        <v>0</v>
      </c>
      <c r="O573" t="n">
        <v>0</v>
      </c>
      <c r="P573" t="n">
        <v>0</v>
      </c>
      <c r="Q573" t="n">
        <v>0</v>
      </c>
      <c r="R573" s="2" t="inlineStr"/>
    </row>
    <row r="574" ht="15" customHeight="1">
      <c r="A574" t="inlineStr">
        <is>
          <t>A 56701-2023</t>
        </is>
      </c>
      <c r="B574" s="1" t="n">
        <v>45243</v>
      </c>
      <c r="C574" s="1" t="n">
        <v>45764</v>
      </c>
      <c r="D574" t="inlineStr">
        <is>
          <t>VÄSTERNORRLANDS LÄN</t>
        </is>
      </c>
      <c r="E574" t="inlineStr">
        <is>
          <t>TIMRÅ</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56692-2023</t>
        </is>
      </c>
      <c r="B575" s="1" t="n">
        <v>45243</v>
      </c>
      <c r="C575" s="1" t="n">
        <v>45764</v>
      </c>
      <c r="D575" t="inlineStr">
        <is>
          <t>VÄSTERNORRLANDS LÄN</t>
        </is>
      </c>
      <c r="E575" t="inlineStr">
        <is>
          <t>TIMRÅ</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56765-2023</t>
        </is>
      </c>
      <c r="B576" s="1" t="n">
        <v>45244</v>
      </c>
      <c r="C576" s="1" t="n">
        <v>45764</v>
      </c>
      <c r="D576" t="inlineStr">
        <is>
          <t>VÄSTERNORRLANDS LÄN</t>
        </is>
      </c>
      <c r="E576" t="inlineStr">
        <is>
          <t>TIMRÅ</t>
        </is>
      </c>
      <c r="G576" t="n">
        <v>2</v>
      </c>
      <c r="H576" t="n">
        <v>0</v>
      </c>
      <c r="I576" t="n">
        <v>0</v>
      </c>
      <c r="J576" t="n">
        <v>0</v>
      </c>
      <c r="K576" t="n">
        <v>0</v>
      </c>
      <c r="L576" t="n">
        <v>0</v>
      </c>
      <c r="M576" t="n">
        <v>0</v>
      </c>
      <c r="N576" t="n">
        <v>0</v>
      </c>
      <c r="O576" t="n">
        <v>0</v>
      </c>
      <c r="P576" t="n">
        <v>0</v>
      </c>
      <c r="Q576" t="n">
        <v>0</v>
      </c>
      <c r="R576" s="2" t="inlineStr"/>
    </row>
    <row r="577" ht="15" customHeight="1">
      <c r="A577" t="inlineStr">
        <is>
          <t>A 57072-2023</t>
        </is>
      </c>
      <c r="B577" s="1" t="n">
        <v>45245</v>
      </c>
      <c r="C577" s="1" t="n">
        <v>45764</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57762-2023</t>
        </is>
      </c>
      <c r="B578" s="1" t="n">
        <v>45246</v>
      </c>
      <c r="C578" s="1" t="n">
        <v>45764</v>
      </c>
      <c r="D578" t="inlineStr">
        <is>
          <t>VÄSTERNORRLANDS LÄN</t>
        </is>
      </c>
      <c r="E578" t="inlineStr">
        <is>
          <t>TIMRÅ</t>
        </is>
      </c>
      <c r="G578" t="n">
        <v>2.5</v>
      </c>
      <c r="H578" t="n">
        <v>0</v>
      </c>
      <c r="I578" t="n">
        <v>0</v>
      </c>
      <c r="J578" t="n">
        <v>0</v>
      </c>
      <c r="K578" t="n">
        <v>0</v>
      </c>
      <c r="L578" t="n">
        <v>0</v>
      </c>
      <c r="M578" t="n">
        <v>0</v>
      </c>
      <c r="N578" t="n">
        <v>0</v>
      </c>
      <c r="O578" t="n">
        <v>0</v>
      </c>
      <c r="P578" t="n">
        <v>0</v>
      </c>
      <c r="Q578" t="n">
        <v>0</v>
      </c>
      <c r="R578" s="2" t="inlineStr"/>
    </row>
    <row r="579" ht="15" customHeight="1">
      <c r="A579" t="inlineStr">
        <is>
          <t>A 58062-2023</t>
        </is>
      </c>
      <c r="B579" s="1" t="n">
        <v>45247</v>
      </c>
      <c r="C579" s="1" t="n">
        <v>45764</v>
      </c>
      <c r="D579" t="inlineStr">
        <is>
          <t>VÄSTERNORRLANDS LÄN</t>
        </is>
      </c>
      <c r="E579" t="inlineStr">
        <is>
          <t>TIMRÅ</t>
        </is>
      </c>
      <c r="G579" t="n">
        <v>1.5</v>
      </c>
      <c r="H579" t="n">
        <v>0</v>
      </c>
      <c r="I579" t="n">
        <v>0</v>
      </c>
      <c r="J579" t="n">
        <v>0</v>
      </c>
      <c r="K579" t="n">
        <v>0</v>
      </c>
      <c r="L579" t="n">
        <v>0</v>
      </c>
      <c r="M579" t="n">
        <v>0</v>
      </c>
      <c r="N579" t="n">
        <v>0</v>
      </c>
      <c r="O579" t="n">
        <v>0</v>
      </c>
      <c r="P579" t="n">
        <v>0</v>
      </c>
      <c r="Q579" t="n">
        <v>0</v>
      </c>
      <c r="R579" s="2" t="inlineStr"/>
    </row>
    <row r="580" ht="15" customHeight="1">
      <c r="A580" t="inlineStr">
        <is>
          <t>A 58081-2023</t>
        </is>
      </c>
      <c r="B580" s="1" t="n">
        <v>45247</v>
      </c>
      <c r="C580" s="1" t="n">
        <v>45764</v>
      </c>
      <c r="D580" t="inlineStr">
        <is>
          <t>VÄSTERNORRLANDS LÄN</t>
        </is>
      </c>
      <c r="E580" t="inlineStr">
        <is>
          <t>TIMRÅ</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58087-2023</t>
        </is>
      </c>
      <c r="B581" s="1" t="n">
        <v>45248</v>
      </c>
      <c r="C581" s="1" t="n">
        <v>45764</v>
      </c>
      <c r="D581" t="inlineStr">
        <is>
          <t>VÄSTERNORRLANDS LÄN</t>
        </is>
      </c>
      <c r="E581" t="inlineStr">
        <is>
          <t>TIMRÅ</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58998-2023</t>
        </is>
      </c>
      <c r="B582" s="1" t="n">
        <v>45250</v>
      </c>
      <c r="C582" s="1" t="n">
        <v>45764</v>
      </c>
      <c r="D582" t="inlineStr">
        <is>
          <t>VÄSTERNORRLANDS LÄN</t>
        </is>
      </c>
      <c r="E582" t="inlineStr">
        <is>
          <t>TIMRÅ</t>
        </is>
      </c>
      <c r="G582" t="n">
        <v>1.3</v>
      </c>
      <c r="H582" t="n">
        <v>0</v>
      </c>
      <c r="I582" t="n">
        <v>0</v>
      </c>
      <c r="J582" t="n">
        <v>0</v>
      </c>
      <c r="K582" t="n">
        <v>0</v>
      </c>
      <c r="L582" t="n">
        <v>0</v>
      </c>
      <c r="M582" t="n">
        <v>0</v>
      </c>
      <c r="N582" t="n">
        <v>0</v>
      </c>
      <c r="O582" t="n">
        <v>0</v>
      </c>
      <c r="P582" t="n">
        <v>0</v>
      </c>
      <c r="Q582" t="n">
        <v>0</v>
      </c>
      <c r="R582" s="2" t="inlineStr"/>
    </row>
    <row r="583" ht="15" customHeight="1">
      <c r="A583" t="inlineStr">
        <is>
          <t>A 58766-2023</t>
        </is>
      </c>
      <c r="B583" s="1" t="n">
        <v>45252</v>
      </c>
      <c r="C583" s="1" t="n">
        <v>45764</v>
      </c>
      <c r="D583" t="inlineStr">
        <is>
          <t>VÄSTERNORRLANDS LÄN</t>
        </is>
      </c>
      <c r="E583" t="inlineStr">
        <is>
          <t>TIMRÅ</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58895-2023</t>
        </is>
      </c>
      <c r="B584" s="1" t="n">
        <v>45252</v>
      </c>
      <c r="C584" s="1" t="n">
        <v>45764</v>
      </c>
      <c r="D584" t="inlineStr">
        <is>
          <t>VÄSTERNORRLANDS LÄN</t>
        </is>
      </c>
      <c r="E584" t="inlineStr">
        <is>
          <t>TIMRÅ</t>
        </is>
      </c>
      <c r="G584" t="n">
        <v>3.7</v>
      </c>
      <c r="H584" t="n">
        <v>0</v>
      </c>
      <c r="I584" t="n">
        <v>0</v>
      </c>
      <c r="J584" t="n">
        <v>0</v>
      </c>
      <c r="K584" t="n">
        <v>0</v>
      </c>
      <c r="L584" t="n">
        <v>0</v>
      </c>
      <c r="M584" t="n">
        <v>0</v>
      </c>
      <c r="N584" t="n">
        <v>0</v>
      </c>
      <c r="O584" t="n">
        <v>0</v>
      </c>
      <c r="P584" t="n">
        <v>0</v>
      </c>
      <c r="Q584" t="n">
        <v>0</v>
      </c>
      <c r="R584" s="2" t="inlineStr"/>
    </row>
    <row r="585" ht="15" customHeight="1">
      <c r="A585" t="inlineStr">
        <is>
          <t>A 59401-2023</t>
        </is>
      </c>
      <c r="B585" s="1" t="n">
        <v>45253</v>
      </c>
      <c r="C585" s="1" t="n">
        <v>45764</v>
      </c>
      <c r="D585" t="inlineStr">
        <is>
          <t>VÄSTERNORRLANDS LÄN</t>
        </is>
      </c>
      <c r="E585" t="inlineStr">
        <is>
          <t>TIMRÅ</t>
        </is>
      </c>
      <c r="G585" t="n">
        <v>11.2</v>
      </c>
      <c r="H585" t="n">
        <v>0</v>
      </c>
      <c r="I585" t="n">
        <v>0</v>
      </c>
      <c r="J585" t="n">
        <v>0</v>
      </c>
      <c r="K585" t="n">
        <v>0</v>
      </c>
      <c r="L585" t="n">
        <v>0</v>
      </c>
      <c r="M585" t="n">
        <v>0</v>
      </c>
      <c r="N585" t="n">
        <v>0</v>
      </c>
      <c r="O585" t="n">
        <v>0</v>
      </c>
      <c r="P585" t="n">
        <v>0</v>
      </c>
      <c r="Q585" t="n">
        <v>0</v>
      </c>
      <c r="R585" s="2" t="inlineStr"/>
    </row>
    <row r="586" ht="15" customHeight="1">
      <c r="A586" t="inlineStr">
        <is>
          <t>A 60011-2023</t>
        </is>
      </c>
      <c r="B586" s="1" t="n">
        <v>45257</v>
      </c>
      <c r="C586" s="1" t="n">
        <v>45764</v>
      </c>
      <c r="D586" t="inlineStr">
        <is>
          <t>VÄSTERNORRLANDS LÄN</t>
        </is>
      </c>
      <c r="E586" t="inlineStr">
        <is>
          <t>TIMRÅ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60074-2023</t>
        </is>
      </c>
      <c r="B587" s="1" t="n">
        <v>45258</v>
      </c>
      <c r="C587" s="1" t="n">
        <v>45764</v>
      </c>
      <c r="D587" t="inlineStr">
        <is>
          <t>VÄSTERNORRLANDS LÄN</t>
        </is>
      </c>
      <c r="E587" t="inlineStr">
        <is>
          <t>TIMRÅ</t>
        </is>
      </c>
      <c r="G587" t="n">
        <v>5</v>
      </c>
      <c r="H587" t="n">
        <v>0</v>
      </c>
      <c r="I587" t="n">
        <v>0</v>
      </c>
      <c r="J587" t="n">
        <v>0</v>
      </c>
      <c r="K587" t="n">
        <v>0</v>
      </c>
      <c r="L587" t="n">
        <v>0</v>
      </c>
      <c r="M587" t="n">
        <v>0</v>
      </c>
      <c r="N587" t="n">
        <v>0</v>
      </c>
      <c r="O587" t="n">
        <v>0</v>
      </c>
      <c r="P587" t="n">
        <v>0</v>
      </c>
      <c r="Q587" t="n">
        <v>0</v>
      </c>
      <c r="R587" s="2" t="inlineStr"/>
    </row>
    <row r="588" ht="15" customHeight="1">
      <c r="A588" t="inlineStr">
        <is>
          <t>A 61613-2023</t>
        </is>
      </c>
      <c r="B588" s="1" t="n">
        <v>45261</v>
      </c>
      <c r="C588" s="1" t="n">
        <v>45764</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61606-2023</t>
        </is>
      </c>
      <c r="B589" s="1" t="n">
        <v>45261</v>
      </c>
      <c r="C589" s="1" t="n">
        <v>45764</v>
      </c>
      <c r="D589" t="inlineStr">
        <is>
          <t>VÄSTERNORRLANDS LÄN</t>
        </is>
      </c>
      <c r="E589" t="inlineStr">
        <is>
          <t>TIMRÅ</t>
        </is>
      </c>
      <c r="G589" t="n">
        <v>0.3</v>
      </c>
      <c r="H589" t="n">
        <v>0</v>
      </c>
      <c r="I589" t="n">
        <v>0</v>
      </c>
      <c r="J589" t="n">
        <v>0</v>
      </c>
      <c r="K589" t="n">
        <v>0</v>
      </c>
      <c r="L589" t="n">
        <v>0</v>
      </c>
      <c r="M589" t="n">
        <v>0</v>
      </c>
      <c r="N589" t="n">
        <v>0</v>
      </c>
      <c r="O589" t="n">
        <v>0</v>
      </c>
      <c r="P589" t="n">
        <v>0</v>
      </c>
      <c r="Q589" t="n">
        <v>0</v>
      </c>
      <c r="R589" s="2" t="inlineStr"/>
    </row>
    <row r="590" ht="15" customHeight="1">
      <c r="A590" t="inlineStr">
        <is>
          <t>A 61463-2023</t>
        </is>
      </c>
      <c r="B590" s="1" t="n">
        <v>45264</v>
      </c>
      <c r="C590" s="1" t="n">
        <v>45764</v>
      </c>
      <c r="D590" t="inlineStr">
        <is>
          <t>VÄSTERNORRLANDS LÄN</t>
        </is>
      </c>
      <c r="E590" t="inlineStr">
        <is>
          <t>TIMRÅ</t>
        </is>
      </c>
      <c r="G590" t="n">
        <v>2.1</v>
      </c>
      <c r="H590" t="n">
        <v>0</v>
      </c>
      <c r="I590" t="n">
        <v>0</v>
      </c>
      <c r="J590" t="n">
        <v>0</v>
      </c>
      <c r="K590" t="n">
        <v>0</v>
      </c>
      <c r="L590" t="n">
        <v>0</v>
      </c>
      <c r="M590" t="n">
        <v>0</v>
      </c>
      <c r="N590" t="n">
        <v>0</v>
      </c>
      <c r="O590" t="n">
        <v>0</v>
      </c>
      <c r="P590" t="n">
        <v>0</v>
      </c>
      <c r="Q590" t="n">
        <v>0</v>
      </c>
      <c r="R590" s="2" t="inlineStr"/>
    </row>
    <row r="591" ht="15" customHeight="1">
      <c r="A591" t="inlineStr">
        <is>
          <t>A 61484-2023</t>
        </is>
      </c>
      <c r="B591" s="1" t="n">
        <v>45264</v>
      </c>
      <c r="C591" s="1" t="n">
        <v>45764</v>
      </c>
      <c r="D591" t="inlineStr">
        <is>
          <t>VÄSTERNORRLANDS LÄN</t>
        </is>
      </c>
      <c r="E591" t="inlineStr">
        <is>
          <t>TIMRÅ</t>
        </is>
      </c>
      <c r="G591" t="n">
        <v>0.9</v>
      </c>
      <c r="H591" t="n">
        <v>0</v>
      </c>
      <c r="I591" t="n">
        <v>0</v>
      </c>
      <c r="J591" t="n">
        <v>0</v>
      </c>
      <c r="K591" t="n">
        <v>0</v>
      </c>
      <c r="L591" t="n">
        <v>0</v>
      </c>
      <c r="M591" t="n">
        <v>0</v>
      </c>
      <c r="N591" t="n">
        <v>0</v>
      </c>
      <c r="O591" t="n">
        <v>0</v>
      </c>
      <c r="P591" t="n">
        <v>0</v>
      </c>
      <c r="Q591" t="n">
        <v>0</v>
      </c>
      <c r="R591" s="2" t="inlineStr"/>
    </row>
    <row r="592" ht="15" customHeight="1">
      <c r="A592" t="inlineStr">
        <is>
          <t>A 61785-2023</t>
        </is>
      </c>
      <c r="B592" s="1" t="n">
        <v>45265</v>
      </c>
      <c r="C592" s="1" t="n">
        <v>45764</v>
      </c>
      <c r="D592" t="inlineStr">
        <is>
          <t>VÄSTERNORRLANDS LÄN</t>
        </is>
      </c>
      <c r="E592" t="inlineStr">
        <is>
          <t>TIMRÅ</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62474-2023</t>
        </is>
      </c>
      <c r="B593" s="1" t="n">
        <v>45267</v>
      </c>
      <c r="C593" s="1" t="n">
        <v>45764</v>
      </c>
      <c r="D593" t="inlineStr">
        <is>
          <t>VÄSTERNORRLANDS LÄN</t>
        </is>
      </c>
      <c r="E593" t="inlineStr">
        <is>
          <t>TIMRÅ</t>
        </is>
      </c>
      <c r="G593" t="n">
        <v>4</v>
      </c>
      <c r="H593" t="n">
        <v>0</v>
      </c>
      <c r="I593" t="n">
        <v>0</v>
      </c>
      <c r="J593" t="n">
        <v>0</v>
      </c>
      <c r="K593" t="n">
        <v>0</v>
      </c>
      <c r="L593" t="n">
        <v>0</v>
      </c>
      <c r="M593" t="n">
        <v>0</v>
      </c>
      <c r="N593" t="n">
        <v>0</v>
      </c>
      <c r="O593" t="n">
        <v>0</v>
      </c>
      <c r="P593" t="n">
        <v>0</v>
      </c>
      <c r="Q593" t="n">
        <v>0</v>
      </c>
      <c r="R593" s="2" t="inlineStr"/>
    </row>
    <row r="594" ht="15" customHeight="1">
      <c r="A594" t="inlineStr">
        <is>
          <t>A 63294-2023</t>
        </is>
      </c>
      <c r="B594" s="1" t="n">
        <v>45273</v>
      </c>
      <c r="C594" s="1" t="n">
        <v>45764</v>
      </c>
      <c r="D594" t="inlineStr">
        <is>
          <t>VÄSTERNORRLANDS LÄN</t>
        </is>
      </c>
      <c r="E594" t="inlineStr">
        <is>
          <t>TIMRÅ</t>
        </is>
      </c>
      <c r="F594" t="inlineStr">
        <is>
          <t>SCA</t>
        </is>
      </c>
      <c r="G594" t="n">
        <v>12.9</v>
      </c>
      <c r="H594" t="n">
        <v>0</v>
      </c>
      <c r="I594" t="n">
        <v>0</v>
      </c>
      <c r="J594" t="n">
        <v>0</v>
      </c>
      <c r="K594" t="n">
        <v>0</v>
      </c>
      <c r="L594" t="n">
        <v>0</v>
      </c>
      <c r="M594" t="n">
        <v>0</v>
      </c>
      <c r="N594" t="n">
        <v>0</v>
      </c>
      <c r="O594" t="n">
        <v>0</v>
      </c>
      <c r="P594" t="n">
        <v>0</v>
      </c>
      <c r="Q594" t="n">
        <v>0</v>
      </c>
      <c r="R594" s="2" t="inlineStr"/>
    </row>
    <row r="595" ht="15" customHeight="1">
      <c r="A595" t="inlineStr">
        <is>
          <t>A 64031-2023</t>
        </is>
      </c>
      <c r="B595" s="1" t="n">
        <v>45278</v>
      </c>
      <c r="C595" s="1" t="n">
        <v>45764</v>
      </c>
      <c r="D595" t="inlineStr">
        <is>
          <t>VÄSTERNORRLANDS LÄN</t>
        </is>
      </c>
      <c r="E595" t="inlineStr">
        <is>
          <t>TIMRÅ</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64732-2023</t>
        </is>
      </c>
      <c r="B596" s="1" t="n">
        <v>45281</v>
      </c>
      <c r="C596" s="1" t="n">
        <v>45764</v>
      </c>
      <c r="D596" t="inlineStr">
        <is>
          <t>VÄSTERNORRLANDS LÄN</t>
        </is>
      </c>
      <c r="E596" t="inlineStr">
        <is>
          <t>TIMRÅ</t>
        </is>
      </c>
      <c r="G596" t="n">
        <v>2.3</v>
      </c>
      <c r="H596" t="n">
        <v>0</v>
      </c>
      <c r="I596" t="n">
        <v>0</v>
      </c>
      <c r="J596" t="n">
        <v>0</v>
      </c>
      <c r="K596" t="n">
        <v>0</v>
      </c>
      <c r="L596" t="n">
        <v>0</v>
      </c>
      <c r="M596" t="n">
        <v>0</v>
      </c>
      <c r="N596" t="n">
        <v>0</v>
      </c>
      <c r="O596" t="n">
        <v>0</v>
      </c>
      <c r="P596" t="n">
        <v>0</v>
      </c>
      <c r="Q596" t="n">
        <v>0</v>
      </c>
      <c r="R596" s="2" t="inlineStr"/>
    </row>
    <row r="597" ht="15" customHeight="1">
      <c r="A597" t="inlineStr">
        <is>
          <t>A 64756-2023</t>
        </is>
      </c>
      <c r="B597" s="1" t="n">
        <v>45281</v>
      </c>
      <c r="C597" s="1" t="n">
        <v>45764</v>
      </c>
      <c r="D597" t="inlineStr">
        <is>
          <t>VÄSTERNORRLANDS LÄN</t>
        </is>
      </c>
      <c r="E597" t="inlineStr">
        <is>
          <t>TIMRÅ</t>
        </is>
      </c>
      <c r="F597" t="inlineStr">
        <is>
          <t>SCA</t>
        </is>
      </c>
      <c r="G597" t="n">
        <v>5.9</v>
      </c>
      <c r="H597" t="n">
        <v>0</v>
      </c>
      <c r="I597" t="n">
        <v>0</v>
      </c>
      <c r="J597" t="n">
        <v>0</v>
      </c>
      <c r="K597" t="n">
        <v>0</v>
      </c>
      <c r="L597" t="n">
        <v>0</v>
      </c>
      <c r="M597" t="n">
        <v>0</v>
      </c>
      <c r="N597" t="n">
        <v>0</v>
      </c>
      <c r="O597" t="n">
        <v>0</v>
      </c>
      <c r="P597" t="n">
        <v>0</v>
      </c>
      <c r="Q597" t="n">
        <v>0</v>
      </c>
      <c r="R597" s="2" t="inlineStr"/>
    </row>
    <row r="598" ht="15" customHeight="1">
      <c r="A598" t="inlineStr">
        <is>
          <t>A 64755-2023</t>
        </is>
      </c>
      <c r="B598" s="1" t="n">
        <v>45281</v>
      </c>
      <c r="C598" s="1" t="n">
        <v>45764</v>
      </c>
      <c r="D598" t="inlineStr">
        <is>
          <t>VÄSTERNORRLANDS LÄN</t>
        </is>
      </c>
      <c r="E598" t="inlineStr">
        <is>
          <t>TIMRÅ</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252-2024</t>
        </is>
      </c>
      <c r="B599" s="1" t="n">
        <v>45295</v>
      </c>
      <c r="C599" s="1" t="n">
        <v>45764</v>
      </c>
      <c r="D599" t="inlineStr">
        <is>
          <t>VÄSTERNORRLANDS LÄN</t>
        </is>
      </c>
      <c r="E599" t="inlineStr">
        <is>
          <t>TIMRÅ</t>
        </is>
      </c>
      <c r="F599" t="inlineStr">
        <is>
          <t>SCA</t>
        </is>
      </c>
      <c r="G599" t="n">
        <v>12.7</v>
      </c>
      <c r="H599" t="n">
        <v>0</v>
      </c>
      <c r="I599" t="n">
        <v>0</v>
      </c>
      <c r="J599" t="n">
        <v>0</v>
      </c>
      <c r="K599" t="n">
        <v>0</v>
      </c>
      <c r="L599" t="n">
        <v>0</v>
      </c>
      <c r="M599" t="n">
        <v>0</v>
      </c>
      <c r="N599" t="n">
        <v>0</v>
      </c>
      <c r="O599" t="n">
        <v>0</v>
      </c>
      <c r="P599" t="n">
        <v>0</v>
      </c>
      <c r="Q599" t="n">
        <v>0</v>
      </c>
      <c r="R599" s="2" t="inlineStr"/>
    </row>
    <row r="600" ht="15" customHeight="1">
      <c r="A600" t="inlineStr">
        <is>
          <t>A 290-2024</t>
        </is>
      </c>
      <c r="B600" s="1" t="n">
        <v>45295</v>
      </c>
      <c r="C600" s="1" t="n">
        <v>45764</v>
      </c>
      <c r="D600" t="inlineStr">
        <is>
          <t>VÄSTERNORRLANDS LÄN</t>
        </is>
      </c>
      <c r="E600" t="inlineStr">
        <is>
          <t>TIMRÅ</t>
        </is>
      </c>
      <c r="G600" t="n">
        <v>10.5</v>
      </c>
      <c r="H600" t="n">
        <v>0</v>
      </c>
      <c r="I600" t="n">
        <v>0</v>
      </c>
      <c r="J600" t="n">
        <v>0</v>
      </c>
      <c r="K600" t="n">
        <v>0</v>
      </c>
      <c r="L600" t="n">
        <v>0</v>
      </c>
      <c r="M600" t="n">
        <v>0</v>
      </c>
      <c r="N600" t="n">
        <v>0</v>
      </c>
      <c r="O600" t="n">
        <v>0</v>
      </c>
      <c r="P600" t="n">
        <v>0</v>
      </c>
      <c r="Q600" t="n">
        <v>0</v>
      </c>
      <c r="R600" s="2" t="inlineStr"/>
    </row>
    <row r="601" ht="15" customHeight="1">
      <c r="A601" t="inlineStr">
        <is>
          <t>A 661-2024</t>
        </is>
      </c>
      <c r="B601" s="1" t="n">
        <v>45300</v>
      </c>
      <c r="C601" s="1" t="n">
        <v>45764</v>
      </c>
      <c r="D601" t="inlineStr">
        <is>
          <t>VÄSTERNORRLANDS LÄN</t>
        </is>
      </c>
      <c r="E601" t="inlineStr">
        <is>
          <t>TIMRÅ</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1273-2024</t>
        </is>
      </c>
      <c r="B602" s="1" t="n">
        <v>45302</v>
      </c>
      <c r="C602" s="1" t="n">
        <v>45764</v>
      </c>
      <c r="D602" t="inlineStr">
        <is>
          <t>VÄSTERNORRLANDS LÄN</t>
        </is>
      </c>
      <c r="E602" t="inlineStr">
        <is>
          <t>TIMRÅ</t>
        </is>
      </c>
      <c r="G602" t="n">
        <v>2.1</v>
      </c>
      <c r="H602" t="n">
        <v>0</v>
      </c>
      <c r="I602" t="n">
        <v>0</v>
      </c>
      <c r="J602" t="n">
        <v>0</v>
      </c>
      <c r="K602" t="n">
        <v>0</v>
      </c>
      <c r="L602" t="n">
        <v>0</v>
      </c>
      <c r="M602" t="n">
        <v>0</v>
      </c>
      <c r="N602" t="n">
        <v>0</v>
      </c>
      <c r="O602" t="n">
        <v>0</v>
      </c>
      <c r="P602" t="n">
        <v>0</v>
      </c>
      <c r="Q602" t="n">
        <v>0</v>
      </c>
      <c r="R602" s="2" t="inlineStr"/>
    </row>
    <row r="603" ht="15" customHeight="1">
      <c r="A603" t="inlineStr">
        <is>
          <t>A 1185-2024</t>
        </is>
      </c>
      <c r="B603" s="1" t="n">
        <v>45302</v>
      </c>
      <c r="C603" s="1" t="n">
        <v>45764</v>
      </c>
      <c r="D603" t="inlineStr">
        <is>
          <t>VÄSTERNORRLANDS LÄN</t>
        </is>
      </c>
      <c r="E603" t="inlineStr">
        <is>
          <t>TIMRÅ</t>
        </is>
      </c>
      <c r="G603" t="n">
        <v>4.4</v>
      </c>
      <c r="H603" t="n">
        <v>0</v>
      </c>
      <c r="I603" t="n">
        <v>0</v>
      </c>
      <c r="J603" t="n">
        <v>0</v>
      </c>
      <c r="K603" t="n">
        <v>0</v>
      </c>
      <c r="L603" t="n">
        <v>0</v>
      </c>
      <c r="M603" t="n">
        <v>0</v>
      </c>
      <c r="N603" t="n">
        <v>0</v>
      </c>
      <c r="O603" t="n">
        <v>0</v>
      </c>
      <c r="P603" t="n">
        <v>0</v>
      </c>
      <c r="Q603" t="n">
        <v>0</v>
      </c>
      <c r="R603" s="2" t="inlineStr"/>
    </row>
    <row r="604" ht="15" customHeight="1">
      <c r="A604" t="inlineStr">
        <is>
          <t>A 1272-2024</t>
        </is>
      </c>
      <c r="B604" s="1" t="n">
        <v>45302</v>
      </c>
      <c r="C604" s="1" t="n">
        <v>45764</v>
      </c>
      <c r="D604" t="inlineStr">
        <is>
          <t>VÄSTERNORRLANDS LÄN</t>
        </is>
      </c>
      <c r="E604" t="inlineStr">
        <is>
          <t>TIMRÅ</t>
        </is>
      </c>
      <c r="G604" t="n">
        <v>4.3</v>
      </c>
      <c r="H604" t="n">
        <v>0</v>
      </c>
      <c r="I604" t="n">
        <v>0</v>
      </c>
      <c r="J604" t="n">
        <v>0</v>
      </c>
      <c r="K604" t="n">
        <v>0</v>
      </c>
      <c r="L604" t="n">
        <v>0</v>
      </c>
      <c r="M604" t="n">
        <v>0</v>
      </c>
      <c r="N604" t="n">
        <v>0</v>
      </c>
      <c r="O604" t="n">
        <v>0</v>
      </c>
      <c r="P604" t="n">
        <v>0</v>
      </c>
      <c r="Q604" t="n">
        <v>0</v>
      </c>
      <c r="R604" s="2" t="inlineStr"/>
    </row>
    <row r="605" ht="15" customHeight="1">
      <c r="A605" t="inlineStr">
        <is>
          <t>A 1467-2024</t>
        </is>
      </c>
      <c r="B605" s="1" t="n">
        <v>45303</v>
      </c>
      <c r="C605" s="1" t="n">
        <v>45764</v>
      </c>
      <c r="D605" t="inlineStr">
        <is>
          <t>VÄSTERNORRLANDS LÄN</t>
        </is>
      </c>
      <c r="E605" t="inlineStr">
        <is>
          <t>TIMRÅ</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1675-2024</t>
        </is>
      </c>
      <c r="B606" s="1" t="n">
        <v>45306</v>
      </c>
      <c r="C606" s="1" t="n">
        <v>45764</v>
      </c>
      <c r="D606" t="inlineStr">
        <is>
          <t>VÄSTERNORRLANDS LÄN</t>
        </is>
      </c>
      <c r="E606" t="inlineStr">
        <is>
          <t>TIMRÅ</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1683-2024</t>
        </is>
      </c>
      <c r="B607" s="1" t="n">
        <v>45307</v>
      </c>
      <c r="C607" s="1" t="n">
        <v>45764</v>
      </c>
      <c r="D607" t="inlineStr">
        <is>
          <t>VÄSTERNORRLANDS LÄN</t>
        </is>
      </c>
      <c r="E607" t="inlineStr">
        <is>
          <t>TIMRÅ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2062-2024</t>
        </is>
      </c>
      <c r="B608" s="1" t="n">
        <v>45308</v>
      </c>
      <c r="C608" s="1" t="n">
        <v>45764</v>
      </c>
      <c r="D608" t="inlineStr">
        <is>
          <t>VÄSTERNORRLANDS LÄN</t>
        </is>
      </c>
      <c r="E608" t="inlineStr">
        <is>
          <t>TIMRÅ</t>
        </is>
      </c>
      <c r="F608" t="inlineStr">
        <is>
          <t>SCA</t>
        </is>
      </c>
      <c r="G608" t="n">
        <v>8.1</v>
      </c>
      <c r="H608" t="n">
        <v>0</v>
      </c>
      <c r="I608" t="n">
        <v>0</v>
      </c>
      <c r="J608" t="n">
        <v>0</v>
      </c>
      <c r="K608" t="n">
        <v>0</v>
      </c>
      <c r="L608" t="n">
        <v>0</v>
      </c>
      <c r="M608" t="n">
        <v>0</v>
      </c>
      <c r="N608" t="n">
        <v>0</v>
      </c>
      <c r="O608" t="n">
        <v>0</v>
      </c>
      <c r="P608" t="n">
        <v>0</v>
      </c>
      <c r="Q608" t="n">
        <v>0</v>
      </c>
      <c r="R608" s="2" t="inlineStr"/>
    </row>
    <row r="609" ht="15" customHeight="1">
      <c r="A609" t="inlineStr">
        <is>
          <t>A 2949-2024</t>
        </is>
      </c>
      <c r="B609" s="1" t="n">
        <v>45315</v>
      </c>
      <c r="C609" s="1" t="n">
        <v>45764</v>
      </c>
      <c r="D609" t="inlineStr">
        <is>
          <t>VÄSTERNORRLANDS LÄN</t>
        </is>
      </c>
      <c r="E609" t="inlineStr">
        <is>
          <t>TIMRÅ</t>
        </is>
      </c>
      <c r="G609" t="n">
        <v>7</v>
      </c>
      <c r="H609" t="n">
        <v>0</v>
      </c>
      <c r="I609" t="n">
        <v>0</v>
      </c>
      <c r="J609" t="n">
        <v>0</v>
      </c>
      <c r="K609" t="n">
        <v>0</v>
      </c>
      <c r="L609" t="n">
        <v>0</v>
      </c>
      <c r="M609" t="n">
        <v>0</v>
      </c>
      <c r="N609" t="n">
        <v>0</v>
      </c>
      <c r="O609" t="n">
        <v>0</v>
      </c>
      <c r="P609" t="n">
        <v>0</v>
      </c>
      <c r="Q609" t="n">
        <v>0</v>
      </c>
      <c r="R609" s="2" t="inlineStr"/>
    </row>
    <row r="610" ht="15" customHeight="1">
      <c r="A610" t="inlineStr">
        <is>
          <t>A 3229-2024</t>
        </is>
      </c>
      <c r="B610" s="1" t="n">
        <v>45316</v>
      </c>
      <c r="C610" s="1" t="n">
        <v>45764</v>
      </c>
      <c r="D610" t="inlineStr">
        <is>
          <t>VÄSTERNORRLANDS LÄN</t>
        </is>
      </c>
      <c r="E610" t="inlineStr">
        <is>
          <t>TIMRÅ</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3444-2024</t>
        </is>
      </c>
      <c r="B611" s="1" t="n">
        <v>45317</v>
      </c>
      <c r="C611" s="1" t="n">
        <v>45764</v>
      </c>
      <c r="D611" t="inlineStr">
        <is>
          <t>VÄSTERNORRLANDS LÄN</t>
        </is>
      </c>
      <c r="E611" t="inlineStr">
        <is>
          <t>TIMRÅ</t>
        </is>
      </c>
      <c r="G611" t="n">
        <v>10.5</v>
      </c>
      <c r="H611" t="n">
        <v>0</v>
      </c>
      <c r="I611" t="n">
        <v>0</v>
      </c>
      <c r="J611" t="n">
        <v>0</v>
      </c>
      <c r="K611" t="n">
        <v>0</v>
      </c>
      <c r="L611" t="n">
        <v>0</v>
      </c>
      <c r="M611" t="n">
        <v>0</v>
      </c>
      <c r="N611" t="n">
        <v>0</v>
      </c>
      <c r="O611" t="n">
        <v>0</v>
      </c>
      <c r="P611" t="n">
        <v>0</v>
      </c>
      <c r="Q611" t="n">
        <v>0</v>
      </c>
      <c r="R611" s="2" t="inlineStr"/>
    </row>
    <row r="612" ht="15" customHeight="1">
      <c r="A612" t="inlineStr">
        <is>
          <t>A 3804-2024</t>
        </is>
      </c>
      <c r="B612" s="1" t="n">
        <v>45321</v>
      </c>
      <c r="C612" s="1" t="n">
        <v>45764</v>
      </c>
      <c r="D612" t="inlineStr">
        <is>
          <t>VÄSTERNORRLANDS LÄN</t>
        </is>
      </c>
      <c r="E612" t="inlineStr">
        <is>
          <t>TIMRÅ</t>
        </is>
      </c>
      <c r="G612" t="n">
        <v>2</v>
      </c>
      <c r="H612" t="n">
        <v>0</v>
      </c>
      <c r="I612" t="n">
        <v>0</v>
      </c>
      <c r="J612" t="n">
        <v>0</v>
      </c>
      <c r="K612" t="n">
        <v>0</v>
      </c>
      <c r="L612" t="n">
        <v>0</v>
      </c>
      <c r="M612" t="n">
        <v>0</v>
      </c>
      <c r="N612" t="n">
        <v>0</v>
      </c>
      <c r="O612" t="n">
        <v>0</v>
      </c>
      <c r="P612" t="n">
        <v>0</v>
      </c>
      <c r="Q612" t="n">
        <v>0</v>
      </c>
      <c r="R612" s="2" t="inlineStr"/>
    </row>
    <row r="613" ht="15" customHeight="1">
      <c r="A613" t="inlineStr">
        <is>
          <t>A 3989-2024</t>
        </is>
      </c>
      <c r="B613" s="1" t="n">
        <v>45322</v>
      </c>
      <c r="C613" s="1" t="n">
        <v>45764</v>
      </c>
      <c r="D613" t="inlineStr">
        <is>
          <t>VÄSTERNORRLANDS LÄN</t>
        </is>
      </c>
      <c r="E613" t="inlineStr">
        <is>
          <t>TIMRÅ</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4596-2024</t>
        </is>
      </c>
      <c r="B614" s="1" t="n">
        <v>45327</v>
      </c>
      <c r="C614" s="1" t="n">
        <v>45764</v>
      </c>
      <c r="D614" t="inlineStr">
        <is>
          <t>VÄSTERNORRLANDS LÄN</t>
        </is>
      </c>
      <c r="E614" t="inlineStr">
        <is>
          <t>TIMRÅ</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4821-2024</t>
        </is>
      </c>
      <c r="B615" s="1" t="n">
        <v>45328</v>
      </c>
      <c r="C615" s="1" t="n">
        <v>45764</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5271-2024</t>
        </is>
      </c>
      <c r="B616" s="1" t="n">
        <v>45330</v>
      </c>
      <c r="C616" s="1" t="n">
        <v>45764</v>
      </c>
      <c r="D616" t="inlineStr">
        <is>
          <t>VÄSTERNORRLANDS LÄN</t>
        </is>
      </c>
      <c r="E616" t="inlineStr">
        <is>
          <t>TIMRÅ</t>
        </is>
      </c>
      <c r="F616" t="inlineStr">
        <is>
          <t>SCA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5265-2024</t>
        </is>
      </c>
      <c r="B617" s="1" t="n">
        <v>45330</v>
      </c>
      <c r="C617" s="1" t="n">
        <v>45764</v>
      </c>
      <c r="D617" t="inlineStr">
        <is>
          <t>VÄSTERNORRLANDS LÄN</t>
        </is>
      </c>
      <c r="E617" t="inlineStr">
        <is>
          <t>TIMRÅ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5722-2024</t>
        </is>
      </c>
      <c r="B618" s="1" t="n">
        <v>45334</v>
      </c>
      <c r="C618" s="1" t="n">
        <v>45764</v>
      </c>
      <c r="D618" t="inlineStr">
        <is>
          <t>VÄSTERNORRLANDS LÄN</t>
        </is>
      </c>
      <c r="E618" t="inlineStr">
        <is>
          <t>TIMRÅ</t>
        </is>
      </c>
      <c r="G618" t="n">
        <v>2.2</v>
      </c>
      <c r="H618" t="n">
        <v>0</v>
      </c>
      <c r="I618" t="n">
        <v>0</v>
      </c>
      <c r="J618" t="n">
        <v>0</v>
      </c>
      <c r="K618" t="n">
        <v>0</v>
      </c>
      <c r="L618" t="n">
        <v>0</v>
      </c>
      <c r="M618" t="n">
        <v>0</v>
      </c>
      <c r="N618" t="n">
        <v>0</v>
      </c>
      <c r="O618" t="n">
        <v>0</v>
      </c>
      <c r="P618" t="n">
        <v>0</v>
      </c>
      <c r="Q618" t="n">
        <v>0</v>
      </c>
      <c r="R618" s="2" t="inlineStr"/>
    </row>
    <row r="619" ht="15" customHeight="1">
      <c r="A619" t="inlineStr">
        <is>
          <t>A 5921-2024</t>
        </is>
      </c>
      <c r="B619" s="1" t="n">
        <v>45335</v>
      </c>
      <c r="C619" s="1" t="n">
        <v>45764</v>
      </c>
      <c r="D619" t="inlineStr">
        <is>
          <t>VÄSTERNORRLANDS LÄN</t>
        </is>
      </c>
      <c r="E619" t="inlineStr">
        <is>
          <t>TIMRÅ</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6088-2024</t>
        </is>
      </c>
      <c r="B620" s="1" t="n">
        <v>45336</v>
      </c>
      <c r="C620" s="1" t="n">
        <v>45764</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6893-2024</t>
        </is>
      </c>
      <c r="B621" s="1" t="n">
        <v>45342</v>
      </c>
      <c r="C621" s="1" t="n">
        <v>45764</v>
      </c>
      <c r="D621" t="inlineStr">
        <is>
          <t>VÄSTERNORRLANDS LÄN</t>
        </is>
      </c>
      <c r="E621" t="inlineStr">
        <is>
          <t>TIMRÅ</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7151-2024</t>
        </is>
      </c>
      <c r="B622" s="1" t="n">
        <v>45344</v>
      </c>
      <c r="C622" s="1" t="n">
        <v>45764</v>
      </c>
      <c r="D622" t="inlineStr">
        <is>
          <t>VÄSTERNORRLANDS LÄN</t>
        </is>
      </c>
      <c r="E622" t="inlineStr">
        <is>
          <t>TIMRÅ</t>
        </is>
      </c>
      <c r="G622" t="n">
        <v>2.9</v>
      </c>
      <c r="H622" t="n">
        <v>0</v>
      </c>
      <c r="I622" t="n">
        <v>0</v>
      </c>
      <c r="J622" t="n">
        <v>0</v>
      </c>
      <c r="K622" t="n">
        <v>0</v>
      </c>
      <c r="L622" t="n">
        <v>0</v>
      </c>
      <c r="M622" t="n">
        <v>0</v>
      </c>
      <c r="N622" t="n">
        <v>0</v>
      </c>
      <c r="O622" t="n">
        <v>0</v>
      </c>
      <c r="P622" t="n">
        <v>0</v>
      </c>
      <c r="Q622" t="n">
        <v>0</v>
      </c>
      <c r="R622" s="2" t="inlineStr"/>
    </row>
    <row r="623" ht="15" customHeight="1">
      <c r="A623" t="inlineStr">
        <is>
          <t>A 7291-2024</t>
        </is>
      </c>
      <c r="B623" s="1" t="n">
        <v>45344</v>
      </c>
      <c r="C623" s="1" t="n">
        <v>45764</v>
      </c>
      <c r="D623" t="inlineStr">
        <is>
          <t>VÄSTERNORRLANDS LÄN</t>
        </is>
      </c>
      <c r="E623" t="inlineStr">
        <is>
          <t>TIMRÅ</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7299-2024</t>
        </is>
      </c>
      <c r="B624" s="1" t="n">
        <v>45344</v>
      </c>
      <c r="C624" s="1" t="n">
        <v>45764</v>
      </c>
      <c r="D624" t="inlineStr">
        <is>
          <t>VÄSTERNORRLANDS LÄN</t>
        </is>
      </c>
      <c r="E624" t="inlineStr">
        <is>
          <t>TIMRÅ</t>
        </is>
      </c>
      <c r="F624" t="inlineStr">
        <is>
          <t>SCA</t>
        </is>
      </c>
      <c r="G624" t="n">
        <v>16.3</v>
      </c>
      <c r="H624" t="n">
        <v>0</v>
      </c>
      <c r="I624" t="n">
        <v>0</v>
      </c>
      <c r="J624" t="n">
        <v>0</v>
      </c>
      <c r="K624" t="n">
        <v>0</v>
      </c>
      <c r="L624" t="n">
        <v>0</v>
      </c>
      <c r="M624" t="n">
        <v>0</v>
      </c>
      <c r="N624" t="n">
        <v>0</v>
      </c>
      <c r="O624" t="n">
        <v>0</v>
      </c>
      <c r="P624" t="n">
        <v>0</v>
      </c>
      <c r="Q624" t="n">
        <v>0</v>
      </c>
      <c r="R624" s="2" t="inlineStr"/>
    </row>
    <row r="625" ht="15" customHeight="1">
      <c r="A625" t="inlineStr">
        <is>
          <t>A 7292-2024</t>
        </is>
      </c>
      <c r="B625" s="1" t="n">
        <v>45344</v>
      </c>
      <c r="C625" s="1" t="n">
        <v>45764</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7478-2024</t>
        </is>
      </c>
      <c r="B626" s="1" t="n">
        <v>45345</v>
      </c>
      <c r="C626" s="1" t="n">
        <v>45764</v>
      </c>
      <c r="D626" t="inlineStr">
        <is>
          <t>VÄSTERNORRLANDS LÄN</t>
        </is>
      </c>
      <c r="E626" t="inlineStr">
        <is>
          <t>TIMRÅ</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7476-2024</t>
        </is>
      </c>
      <c r="B627" s="1" t="n">
        <v>45345</v>
      </c>
      <c r="C627" s="1" t="n">
        <v>45764</v>
      </c>
      <c r="D627" t="inlineStr">
        <is>
          <t>VÄSTERNORRLANDS LÄN</t>
        </is>
      </c>
      <c r="E627" t="inlineStr">
        <is>
          <t>TIMRÅ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7477-2024</t>
        </is>
      </c>
      <c r="B628" s="1" t="n">
        <v>45345</v>
      </c>
      <c r="C628" s="1" t="n">
        <v>45764</v>
      </c>
      <c r="D628" t="inlineStr">
        <is>
          <t>VÄSTERNORRLANDS LÄN</t>
        </is>
      </c>
      <c r="E628" t="inlineStr">
        <is>
          <t>TIMRÅ</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7507-2024</t>
        </is>
      </c>
      <c r="B629" s="1" t="n">
        <v>45347</v>
      </c>
      <c r="C629" s="1" t="n">
        <v>45764</v>
      </c>
      <c r="D629" t="inlineStr">
        <is>
          <t>VÄSTERNORRLANDS LÄN</t>
        </is>
      </c>
      <c r="E629" t="inlineStr">
        <is>
          <t>TIMRÅ</t>
        </is>
      </c>
      <c r="F629" t="inlineStr">
        <is>
          <t>SCA</t>
        </is>
      </c>
      <c r="G629" t="n">
        <v>15.5</v>
      </c>
      <c r="H629" t="n">
        <v>0</v>
      </c>
      <c r="I629" t="n">
        <v>0</v>
      </c>
      <c r="J629" t="n">
        <v>0</v>
      </c>
      <c r="K629" t="n">
        <v>0</v>
      </c>
      <c r="L629" t="n">
        <v>0</v>
      </c>
      <c r="M629" t="n">
        <v>0</v>
      </c>
      <c r="N629" t="n">
        <v>0</v>
      </c>
      <c r="O629" t="n">
        <v>0</v>
      </c>
      <c r="P629" t="n">
        <v>0</v>
      </c>
      <c r="Q629" t="n">
        <v>0</v>
      </c>
      <c r="R629" s="2" t="inlineStr"/>
    </row>
    <row r="630" ht="15" customHeight="1">
      <c r="A630" t="inlineStr">
        <is>
          <t>A 7859-2024</t>
        </is>
      </c>
      <c r="B630" s="1" t="n">
        <v>45350</v>
      </c>
      <c r="C630" s="1" t="n">
        <v>45764</v>
      </c>
      <c r="D630" t="inlineStr">
        <is>
          <t>VÄSTERNORRLANDS LÄN</t>
        </is>
      </c>
      <c r="E630" t="inlineStr">
        <is>
          <t>TIMRÅ</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8240-2024</t>
        </is>
      </c>
      <c r="B631" s="1" t="n">
        <v>45351</v>
      </c>
      <c r="C631" s="1" t="n">
        <v>45764</v>
      </c>
      <c r="D631" t="inlineStr">
        <is>
          <t>VÄSTERNORRLANDS LÄN</t>
        </is>
      </c>
      <c r="E631" t="inlineStr">
        <is>
          <t>TIMRÅ</t>
        </is>
      </c>
      <c r="F631" t="inlineStr">
        <is>
          <t>SCA</t>
        </is>
      </c>
      <c r="G631" t="n">
        <v>17.4</v>
      </c>
      <c r="H631" t="n">
        <v>0</v>
      </c>
      <c r="I631" t="n">
        <v>0</v>
      </c>
      <c r="J631" t="n">
        <v>0</v>
      </c>
      <c r="K631" t="n">
        <v>0</v>
      </c>
      <c r="L631" t="n">
        <v>0</v>
      </c>
      <c r="M631" t="n">
        <v>0</v>
      </c>
      <c r="N631" t="n">
        <v>0</v>
      </c>
      <c r="O631" t="n">
        <v>0</v>
      </c>
      <c r="P631" t="n">
        <v>0</v>
      </c>
      <c r="Q631" t="n">
        <v>0</v>
      </c>
      <c r="R631" s="2" t="inlineStr"/>
      <c r="U631">
        <f>HYPERLINK("https://klasma.github.io/Logging_2262/knärot/A 8240-2024 karta knärot.png", "A 8240-2024")</f>
        <v/>
      </c>
      <c r="V631">
        <f>HYPERLINK("https://klasma.github.io/Logging_2262/klagomål/A 8240-2024 FSC-klagomål.docx", "A 8240-2024")</f>
        <v/>
      </c>
      <c r="W631">
        <f>HYPERLINK("https://klasma.github.io/Logging_2262/klagomålsmail/A 8240-2024 FSC-klagomål mail.docx", "A 8240-2024")</f>
        <v/>
      </c>
      <c r="X631">
        <f>HYPERLINK("https://klasma.github.io/Logging_2262/tillsyn/A 8240-2024 tillsynsbegäran.docx", "A 8240-2024")</f>
        <v/>
      </c>
      <c r="Y631">
        <f>HYPERLINK("https://klasma.github.io/Logging_2262/tillsynsmail/A 8240-2024 tillsynsbegäran mail.docx", "A 8240-2024")</f>
        <v/>
      </c>
    </row>
    <row r="632" ht="15" customHeight="1">
      <c r="A632" t="inlineStr">
        <is>
          <t>A 8237-2024</t>
        </is>
      </c>
      <c r="B632" s="1" t="n">
        <v>45351</v>
      </c>
      <c r="C632" s="1" t="n">
        <v>45764</v>
      </c>
      <c r="D632" t="inlineStr">
        <is>
          <t>VÄSTERNORRLANDS LÄN</t>
        </is>
      </c>
      <c r="E632" t="inlineStr">
        <is>
          <t>TIMRÅ</t>
        </is>
      </c>
      <c r="F632" t="inlineStr">
        <is>
          <t>SCA</t>
        </is>
      </c>
      <c r="G632" t="n">
        <v>14.2</v>
      </c>
      <c r="H632" t="n">
        <v>0</v>
      </c>
      <c r="I632" t="n">
        <v>0</v>
      </c>
      <c r="J632" t="n">
        <v>0</v>
      </c>
      <c r="K632" t="n">
        <v>0</v>
      </c>
      <c r="L632" t="n">
        <v>0</v>
      </c>
      <c r="M632" t="n">
        <v>0</v>
      </c>
      <c r="N632" t="n">
        <v>0</v>
      </c>
      <c r="O632" t="n">
        <v>0</v>
      </c>
      <c r="P632" t="n">
        <v>0</v>
      </c>
      <c r="Q632" t="n">
        <v>0</v>
      </c>
      <c r="R632" s="2" t="inlineStr"/>
    </row>
    <row r="633" ht="15" customHeight="1">
      <c r="A633" t="inlineStr">
        <is>
          <t>A 8526-2024</t>
        </is>
      </c>
      <c r="B633" s="1" t="n">
        <v>45351</v>
      </c>
      <c r="C633" s="1" t="n">
        <v>45764</v>
      </c>
      <c r="D633" t="inlineStr">
        <is>
          <t>VÄSTERNORRLANDS LÄN</t>
        </is>
      </c>
      <c r="E633" t="inlineStr">
        <is>
          <t>TIMRÅ</t>
        </is>
      </c>
      <c r="G633" t="n">
        <v>0.7</v>
      </c>
      <c r="H633" t="n">
        <v>0</v>
      </c>
      <c r="I633" t="n">
        <v>0</v>
      </c>
      <c r="J633" t="n">
        <v>0</v>
      </c>
      <c r="K633" t="n">
        <v>0</v>
      </c>
      <c r="L633" t="n">
        <v>0</v>
      </c>
      <c r="M633" t="n">
        <v>0</v>
      </c>
      <c r="N633" t="n">
        <v>0</v>
      </c>
      <c r="O633" t="n">
        <v>0</v>
      </c>
      <c r="P633" t="n">
        <v>0</v>
      </c>
      <c r="Q633" t="n">
        <v>0</v>
      </c>
      <c r="R633" s="2" t="inlineStr"/>
    </row>
    <row r="634" ht="15" customHeight="1">
      <c r="A634" t="inlineStr">
        <is>
          <t>A 8506-2024</t>
        </is>
      </c>
      <c r="B634" s="1" t="n">
        <v>45351</v>
      </c>
      <c r="C634" s="1" t="n">
        <v>45764</v>
      </c>
      <c r="D634" t="inlineStr">
        <is>
          <t>VÄSTERNORRLANDS LÄN</t>
        </is>
      </c>
      <c r="E634" t="inlineStr">
        <is>
          <t>TIMRÅ</t>
        </is>
      </c>
      <c r="G634" t="n">
        <v>3.6</v>
      </c>
      <c r="H634" t="n">
        <v>0</v>
      </c>
      <c r="I634" t="n">
        <v>0</v>
      </c>
      <c r="J634" t="n">
        <v>0</v>
      </c>
      <c r="K634" t="n">
        <v>0</v>
      </c>
      <c r="L634" t="n">
        <v>0</v>
      </c>
      <c r="M634" t="n">
        <v>0</v>
      </c>
      <c r="N634" t="n">
        <v>0</v>
      </c>
      <c r="O634" t="n">
        <v>0</v>
      </c>
      <c r="P634" t="n">
        <v>0</v>
      </c>
      <c r="Q634" t="n">
        <v>0</v>
      </c>
      <c r="R634" s="2" t="inlineStr"/>
    </row>
    <row r="635" ht="15" customHeight="1">
      <c r="A635" t="inlineStr">
        <is>
          <t>A 8640-2024</t>
        </is>
      </c>
      <c r="B635" s="1" t="n">
        <v>45356</v>
      </c>
      <c r="C635" s="1" t="n">
        <v>45764</v>
      </c>
      <c r="D635" t="inlineStr">
        <is>
          <t>VÄSTERNORRLANDS LÄN</t>
        </is>
      </c>
      <c r="E635" t="inlineStr">
        <is>
          <t>TIMRÅ</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8877-2024</t>
        </is>
      </c>
      <c r="B636" s="1" t="n">
        <v>45356</v>
      </c>
      <c r="C636" s="1" t="n">
        <v>45764</v>
      </c>
      <c r="D636" t="inlineStr">
        <is>
          <t>VÄSTERNORRLANDS LÄN</t>
        </is>
      </c>
      <c r="E636" t="inlineStr">
        <is>
          <t>TIMRÅ</t>
        </is>
      </c>
      <c r="G636" t="n">
        <v>1.9</v>
      </c>
      <c r="H636" t="n">
        <v>0</v>
      </c>
      <c r="I636" t="n">
        <v>0</v>
      </c>
      <c r="J636" t="n">
        <v>0</v>
      </c>
      <c r="K636" t="n">
        <v>0</v>
      </c>
      <c r="L636" t="n">
        <v>0</v>
      </c>
      <c r="M636" t="n">
        <v>0</v>
      </c>
      <c r="N636" t="n">
        <v>0</v>
      </c>
      <c r="O636" t="n">
        <v>0</v>
      </c>
      <c r="P636" t="n">
        <v>0</v>
      </c>
      <c r="Q636" t="n">
        <v>0</v>
      </c>
      <c r="R636" s="2" t="inlineStr"/>
    </row>
    <row r="637" ht="15" customHeight="1">
      <c r="A637" t="inlineStr">
        <is>
          <t>A 9327-2024</t>
        </is>
      </c>
      <c r="B637" s="1" t="n">
        <v>45359</v>
      </c>
      <c r="C637" s="1" t="n">
        <v>45764</v>
      </c>
      <c r="D637" t="inlineStr">
        <is>
          <t>VÄSTERNORRLANDS LÄN</t>
        </is>
      </c>
      <c r="E637" t="inlineStr">
        <is>
          <t>TIMRÅ</t>
        </is>
      </c>
      <c r="F637" t="inlineStr">
        <is>
          <t>SCA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9331-2024</t>
        </is>
      </c>
      <c r="B638" s="1" t="n">
        <v>45359</v>
      </c>
      <c r="C638" s="1" t="n">
        <v>45764</v>
      </c>
      <c r="D638" t="inlineStr">
        <is>
          <t>VÄSTERNORRLANDS LÄN</t>
        </is>
      </c>
      <c r="E638" t="inlineStr">
        <is>
          <t>TIMRÅ</t>
        </is>
      </c>
      <c r="F638" t="inlineStr">
        <is>
          <t>SCA</t>
        </is>
      </c>
      <c r="G638" t="n">
        <v>9.6</v>
      </c>
      <c r="H638" t="n">
        <v>0</v>
      </c>
      <c r="I638" t="n">
        <v>0</v>
      </c>
      <c r="J638" t="n">
        <v>0</v>
      </c>
      <c r="K638" t="n">
        <v>0</v>
      </c>
      <c r="L638" t="n">
        <v>0</v>
      </c>
      <c r="M638" t="n">
        <v>0</v>
      </c>
      <c r="N638" t="n">
        <v>0</v>
      </c>
      <c r="O638" t="n">
        <v>0</v>
      </c>
      <c r="P638" t="n">
        <v>0</v>
      </c>
      <c r="Q638" t="n">
        <v>0</v>
      </c>
      <c r="R638" s="2" t="inlineStr"/>
    </row>
    <row r="639" ht="15" customHeight="1">
      <c r="A639" t="inlineStr">
        <is>
          <t>A 9338-2024</t>
        </is>
      </c>
      <c r="B639" s="1" t="n">
        <v>45358</v>
      </c>
      <c r="C639" s="1" t="n">
        <v>45764</v>
      </c>
      <c r="D639" t="inlineStr">
        <is>
          <t>VÄSTERNORRLANDS LÄN</t>
        </is>
      </c>
      <c r="E639" t="inlineStr">
        <is>
          <t>TIMRÅ</t>
        </is>
      </c>
      <c r="F639" t="inlineStr">
        <is>
          <t>SCA</t>
        </is>
      </c>
      <c r="G639" t="n">
        <v>10.3</v>
      </c>
      <c r="H639" t="n">
        <v>0</v>
      </c>
      <c r="I639" t="n">
        <v>0</v>
      </c>
      <c r="J639" t="n">
        <v>0</v>
      </c>
      <c r="K639" t="n">
        <v>0</v>
      </c>
      <c r="L639" t="n">
        <v>0</v>
      </c>
      <c r="M639" t="n">
        <v>0</v>
      </c>
      <c r="N639" t="n">
        <v>0</v>
      </c>
      <c r="O639" t="n">
        <v>0</v>
      </c>
      <c r="P639" t="n">
        <v>0</v>
      </c>
      <c r="Q639" t="n">
        <v>0</v>
      </c>
      <c r="R639" s="2" t="inlineStr"/>
    </row>
    <row r="640" ht="15" customHeight="1">
      <c r="A640" t="inlineStr">
        <is>
          <t>A 9823-2024</t>
        </is>
      </c>
      <c r="B640" s="1" t="n">
        <v>45363</v>
      </c>
      <c r="C640" s="1" t="n">
        <v>45764</v>
      </c>
      <c r="D640" t="inlineStr">
        <is>
          <t>VÄSTERNORRLANDS LÄN</t>
        </is>
      </c>
      <c r="E640" t="inlineStr">
        <is>
          <t>TIMRÅ</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10745-2024</t>
        </is>
      </c>
      <c r="B641" s="1" t="n">
        <v>45369</v>
      </c>
      <c r="C641" s="1" t="n">
        <v>45764</v>
      </c>
      <c r="D641" t="inlineStr">
        <is>
          <t>VÄSTERNORRLANDS LÄN</t>
        </is>
      </c>
      <c r="E641" t="inlineStr">
        <is>
          <t>TIMRÅ</t>
        </is>
      </c>
      <c r="G641" t="n">
        <v>1.5</v>
      </c>
      <c r="H641" t="n">
        <v>0</v>
      </c>
      <c r="I641" t="n">
        <v>0</v>
      </c>
      <c r="J641" t="n">
        <v>0</v>
      </c>
      <c r="K641" t="n">
        <v>0</v>
      </c>
      <c r="L641" t="n">
        <v>0</v>
      </c>
      <c r="M641" t="n">
        <v>0</v>
      </c>
      <c r="N641" t="n">
        <v>0</v>
      </c>
      <c r="O641" t="n">
        <v>0</v>
      </c>
      <c r="P641" t="n">
        <v>0</v>
      </c>
      <c r="Q641" t="n">
        <v>0</v>
      </c>
      <c r="R641" s="2" t="inlineStr"/>
    </row>
    <row r="642" ht="15" customHeight="1">
      <c r="A642" t="inlineStr">
        <is>
          <t>A 10852-2024</t>
        </is>
      </c>
      <c r="B642" s="1" t="n">
        <v>45370</v>
      </c>
      <c r="C642" s="1" t="n">
        <v>45764</v>
      </c>
      <c r="D642" t="inlineStr">
        <is>
          <t>VÄSTERNORRLANDS LÄN</t>
        </is>
      </c>
      <c r="E642" t="inlineStr">
        <is>
          <t>TIMRÅ</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11556-2024</t>
        </is>
      </c>
      <c r="B643" s="1" t="n">
        <v>45373</v>
      </c>
      <c r="C643" s="1" t="n">
        <v>45764</v>
      </c>
      <c r="D643" t="inlineStr">
        <is>
          <t>VÄSTERNORRLANDS LÄN</t>
        </is>
      </c>
      <c r="E643" t="inlineStr">
        <is>
          <t>TIMRÅ</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12182-2024</t>
        </is>
      </c>
      <c r="B644" s="1" t="n">
        <v>45377</v>
      </c>
      <c r="C644" s="1" t="n">
        <v>45764</v>
      </c>
      <c r="D644" t="inlineStr">
        <is>
          <t>VÄSTERNORRLANDS LÄN</t>
        </is>
      </c>
      <c r="E644" t="inlineStr">
        <is>
          <t>TIMRÅ</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12873-2024</t>
        </is>
      </c>
      <c r="B645" s="1" t="n">
        <v>45384</v>
      </c>
      <c r="C645" s="1" t="n">
        <v>45764</v>
      </c>
      <c r="D645" t="inlineStr">
        <is>
          <t>VÄSTERNORRLANDS LÄN</t>
        </is>
      </c>
      <c r="E645" t="inlineStr">
        <is>
          <t>TIMRÅ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13341-2024</t>
        </is>
      </c>
      <c r="B646" s="1" t="n">
        <v>45387</v>
      </c>
      <c r="C646" s="1" t="n">
        <v>45764</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13343-2024</t>
        </is>
      </c>
      <c r="B647" s="1" t="n">
        <v>45387</v>
      </c>
      <c r="C647" s="1" t="n">
        <v>45764</v>
      </c>
      <c r="D647" t="inlineStr">
        <is>
          <t>VÄSTERNORRLANDS LÄN</t>
        </is>
      </c>
      <c r="E647" t="inlineStr">
        <is>
          <t>TIMRÅ</t>
        </is>
      </c>
      <c r="F647" t="inlineStr">
        <is>
          <t>SCA</t>
        </is>
      </c>
      <c r="G647" t="n">
        <v>6.8</v>
      </c>
      <c r="H647" t="n">
        <v>0</v>
      </c>
      <c r="I647" t="n">
        <v>0</v>
      </c>
      <c r="J647" t="n">
        <v>0</v>
      </c>
      <c r="K647" t="n">
        <v>0</v>
      </c>
      <c r="L647" t="n">
        <v>0</v>
      </c>
      <c r="M647" t="n">
        <v>0</v>
      </c>
      <c r="N647" t="n">
        <v>0</v>
      </c>
      <c r="O647" t="n">
        <v>0</v>
      </c>
      <c r="P647" t="n">
        <v>0</v>
      </c>
      <c r="Q647" t="n">
        <v>0</v>
      </c>
      <c r="R647" s="2" t="inlineStr"/>
    </row>
    <row r="648" ht="15" customHeight="1">
      <c r="A648" t="inlineStr">
        <is>
          <t>A 13763-2024</t>
        </is>
      </c>
      <c r="B648" s="1" t="n">
        <v>45390</v>
      </c>
      <c r="C648" s="1" t="n">
        <v>45764</v>
      </c>
      <c r="D648" t="inlineStr">
        <is>
          <t>VÄSTERNORRLANDS LÄN</t>
        </is>
      </c>
      <c r="E648" t="inlineStr">
        <is>
          <t>TIMRÅ</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13770-2024</t>
        </is>
      </c>
      <c r="B649" s="1" t="n">
        <v>45390</v>
      </c>
      <c r="C649" s="1" t="n">
        <v>45764</v>
      </c>
      <c r="D649" t="inlineStr">
        <is>
          <t>VÄSTERNORRLANDS LÄN</t>
        </is>
      </c>
      <c r="E649" t="inlineStr">
        <is>
          <t>TIMRÅ</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14375-2024</t>
        </is>
      </c>
      <c r="B650" s="1" t="n">
        <v>45394</v>
      </c>
      <c r="C650" s="1" t="n">
        <v>45764</v>
      </c>
      <c r="D650" t="inlineStr">
        <is>
          <t>VÄSTERNORRLANDS LÄN</t>
        </is>
      </c>
      <c r="E650" t="inlineStr">
        <is>
          <t>TIMRÅ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14578-2024</t>
        </is>
      </c>
      <c r="B651" s="1" t="n">
        <v>45395</v>
      </c>
      <c r="C651" s="1" t="n">
        <v>45764</v>
      </c>
      <c r="D651" t="inlineStr">
        <is>
          <t>VÄSTERNORRLANDS LÄN</t>
        </is>
      </c>
      <c r="E651" t="inlineStr">
        <is>
          <t>TIMRÅ</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14572-2024</t>
        </is>
      </c>
      <c r="B652" s="1" t="n">
        <v>45395</v>
      </c>
      <c r="C652" s="1" t="n">
        <v>45764</v>
      </c>
      <c r="D652" t="inlineStr">
        <is>
          <t>VÄSTERNORRLANDS LÄN</t>
        </is>
      </c>
      <c r="E652" t="inlineStr">
        <is>
          <t>TIMRÅ</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14573-2024</t>
        </is>
      </c>
      <c r="B653" s="1" t="n">
        <v>45395</v>
      </c>
      <c r="C653" s="1" t="n">
        <v>45764</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14806-2024</t>
        </is>
      </c>
      <c r="B654" s="1" t="n">
        <v>45398</v>
      </c>
      <c r="C654" s="1" t="n">
        <v>45764</v>
      </c>
      <c r="D654" t="inlineStr">
        <is>
          <t>VÄSTERNORRLANDS LÄN</t>
        </is>
      </c>
      <c r="E654" t="inlineStr">
        <is>
          <t>TIMRÅ</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14818-2024</t>
        </is>
      </c>
      <c r="B655" s="1" t="n">
        <v>45397</v>
      </c>
      <c r="C655" s="1" t="n">
        <v>45764</v>
      </c>
      <c r="D655" t="inlineStr">
        <is>
          <t>VÄSTERNORRLANDS LÄN</t>
        </is>
      </c>
      <c r="E655" t="inlineStr">
        <is>
          <t>TIMRÅ</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15150-2024</t>
        </is>
      </c>
      <c r="B656" s="1" t="n">
        <v>45400</v>
      </c>
      <c r="C656" s="1" t="n">
        <v>45764</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16055-2024</t>
        </is>
      </c>
      <c r="B657" s="1" t="n">
        <v>45406</v>
      </c>
      <c r="C657" s="1" t="n">
        <v>45764</v>
      </c>
      <c r="D657" t="inlineStr">
        <is>
          <t>VÄSTERNORRLANDS LÄN</t>
        </is>
      </c>
      <c r="E657" t="inlineStr">
        <is>
          <t>TIMRÅ</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16067-2024</t>
        </is>
      </c>
      <c r="B658" s="1" t="n">
        <v>45406</v>
      </c>
      <c r="C658" s="1" t="n">
        <v>45764</v>
      </c>
      <c r="D658" t="inlineStr">
        <is>
          <t>VÄSTERNORRLANDS LÄN</t>
        </is>
      </c>
      <c r="E658" t="inlineStr">
        <is>
          <t>TIMRÅ</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16315-2024</t>
        </is>
      </c>
      <c r="B659" s="1" t="n">
        <v>45407</v>
      </c>
      <c r="C659" s="1" t="n">
        <v>45764</v>
      </c>
      <c r="D659" t="inlineStr">
        <is>
          <t>VÄSTERNORRLANDS LÄN</t>
        </is>
      </c>
      <c r="E659" t="inlineStr">
        <is>
          <t>TIMRÅ</t>
        </is>
      </c>
      <c r="F659" t="inlineStr">
        <is>
          <t>Kommuner</t>
        </is>
      </c>
      <c r="G659" t="n">
        <v>0.5</v>
      </c>
      <c r="H659" t="n">
        <v>0</v>
      </c>
      <c r="I659" t="n">
        <v>0</v>
      </c>
      <c r="J659" t="n">
        <v>0</v>
      </c>
      <c r="K659" t="n">
        <v>0</v>
      </c>
      <c r="L659" t="n">
        <v>0</v>
      </c>
      <c r="M659" t="n">
        <v>0</v>
      </c>
      <c r="N659" t="n">
        <v>0</v>
      </c>
      <c r="O659" t="n">
        <v>0</v>
      </c>
      <c r="P659" t="n">
        <v>0</v>
      </c>
      <c r="Q659" t="n">
        <v>0</v>
      </c>
      <c r="R659" s="2" t="inlineStr"/>
    </row>
    <row r="660" ht="15" customHeight="1">
      <c r="A660" t="inlineStr">
        <is>
          <t>A 16863-2024</t>
        </is>
      </c>
      <c r="B660" s="1" t="n">
        <v>45411</v>
      </c>
      <c r="C660" s="1" t="n">
        <v>45764</v>
      </c>
      <c r="D660" t="inlineStr">
        <is>
          <t>VÄSTERNORRLANDS LÄN</t>
        </is>
      </c>
      <c r="E660" t="inlineStr">
        <is>
          <t>TIMRÅ</t>
        </is>
      </c>
      <c r="G660" t="n">
        <v>3.6</v>
      </c>
      <c r="H660" t="n">
        <v>0</v>
      </c>
      <c r="I660" t="n">
        <v>0</v>
      </c>
      <c r="J660" t="n">
        <v>0</v>
      </c>
      <c r="K660" t="n">
        <v>0</v>
      </c>
      <c r="L660" t="n">
        <v>0</v>
      </c>
      <c r="M660" t="n">
        <v>0</v>
      </c>
      <c r="N660" t="n">
        <v>0</v>
      </c>
      <c r="O660" t="n">
        <v>0</v>
      </c>
      <c r="P660" t="n">
        <v>0</v>
      </c>
      <c r="Q660" t="n">
        <v>0</v>
      </c>
      <c r="R660" s="2" t="inlineStr"/>
    </row>
    <row r="661" ht="15" customHeight="1">
      <c r="A661" t="inlineStr">
        <is>
          <t>A 16980-2024</t>
        </is>
      </c>
      <c r="B661" s="1" t="n">
        <v>45412</v>
      </c>
      <c r="C661" s="1" t="n">
        <v>45764</v>
      </c>
      <c r="D661" t="inlineStr">
        <is>
          <t>VÄSTERNORRLANDS LÄN</t>
        </is>
      </c>
      <c r="E661" t="inlineStr">
        <is>
          <t>TIMRÅ</t>
        </is>
      </c>
      <c r="F661" t="inlineStr">
        <is>
          <t>SCA</t>
        </is>
      </c>
      <c r="G661" t="n">
        <v>7.7</v>
      </c>
      <c r="H661" t="n">
        <v>0</v>
      </c>
      <c r="I661" t="n">
        <v>0</v>
      </c>
      <c r="J661" t="n">
        <v>0</v>
      </c>
      <c r="K661" t="n">
        <v>0</v>
      </c>
      <c r="L661" t="n">
        <v>0</v>
      </c>
      <c r="M661" t="n">
        <v>0</v>
      </c>
      <c r="N661" t="n">
        <v>0</v>
      </c>
      <c r="O661" t="n">
        <v>0</v>
      </c>
      <c r="P661" t="n">
        <v>0</v>
      </c>
      <c r="Q661" t="n">
        <v>0</v>
      </c>
      <c r="R661" s="2" t="inlineStr"/>
    </row>
    <row r="662" ht="15" customHeight="1">
      <c r="A662" t="inlineStr">
        <is>
          <t>A 18110-2024</t>
        </is>
      </c>
      <c r="B662" s="1" t="n">
        <v>45420</v>
      </c>
      <c r="C662" s="1" t="n">
        <v>45764</v>
      </c>
      <c r="D662" t="inlineStr">
        <is>
          <t>VÄSTERNORRLANDS LÄN</t>
        </is>
      </c>
      <c r="E662" t="inlineStr">
        <is>
          <t>TIMRÅ</t>
        </is>
      </c>
      <c r="G662" t="n">
        <v>1.4</v>
      </c>
      <c r="H662" t="n">
        <v>0</v>
      </c>
      <c r="I662" t="n">
        <v>0</v>
      </c>
      <c r="J662" t="n">
        <v>0</v>
      </c>
      <c r="K662" t="n">
        <v>0</v>
      </c>
      <c r="L662" t="n">
        <v>0</v>
      </c>
      <c r="M662" t="n">
        <v>0</v>
      </c>
      <c r="N662" t="n">
        <v>0</v>
      </c>
      <c r="O662" t="n">
        <v>0</v>
      </c>
      <c r="P662" t="n">
        <v>0</v>
      </c>
      <c r="Q662" t="n">
        <v>0</v>
      </c>
      <c r="R662" s="2" t="inlineStr"/>
    </row>
    <row r="663" ht="15" customHeight="1">
      <c r="A663" t="inlineStr">
        <is>
          <t>A 18653-2024</t>
        </is>
      </c>
      <c r="B663" s="1" t="n">
        <v>45425</v>
      </c>
      <c r="C663" s="1" t="n">
        <v>45764</v>
      </c>
      <c r="D663" t="inlineStr">
        <is>
          <t>VÄSTERNORRLANDS LÄN</t>
        </is>
      </c>
      <c r="E663" t="inlineStr">
        <is>
          <t>TIMRÅ</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18663-2024</t>
        </is>
      </c>
      <c r="B664" s="1" t="n">
        <v>45425</v>
      </c>
      <c r="C664" s="1" t="n">
        <v>45764</v>
      </c>
      <c r="D664" t="inlineStr">
        <is>
          <t>VÄSTERNORRLANDS LÄN</t>
        </is>
      </c>
      <c r="E664" t="inlineStr">
        <is>
          <t>TIMRÅ</t>
        </is>
      </c>
      <c r="G664" t="n">
        <v>9.5</v>
      </c>
      <c r="H664" t="n">
        <v>0</v>
      </c>
      <c r="I664" t="n">
        <v>0</v>
      </c>
      <c r="J664" t="n">
        <v>0</v>
      </c>
      <c r="K664" t="n">
        <v>0</v>
      </c>
      <c r="L664" t="n">
        <v>0</v>
      </c>
      <c r="M664" t="n">
        <v>0</v>
      </c>
      <c r="N664" t="n">
        <v>0</v>
      </c>
      <c r="O664" t="n">
        <v>0</v>
      </c>
      <c r="P664" t="n">
        <v>0</v>
      </c>
      <c r="Q664" t="n">
        <v>0</v>
      </c>
      <c r="R664" s="2" t="inlineStr"/>
    </row>
    <row r="665" ht="15" customHeight="1">
      <c r="A665" t="inlineStr">
        <is>
          <t>A 18634-2024</t>
        </is>
      </c>
      <c r="B665" s="1" t="n">
        <v>45425</v>
      </c>
      <c r="C665" s="1" t="n">
        <v>45764</v>
      </c>
      <c r="D665" t="inlineStr">
        <is>
          <t>VÄSTERNORRLANDS LÄN</t>
        </is>
      </c>
      <c r="E665" t="inlineStr">
        <is>
          <t>TIMRÅ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19455-2024</t>
        </is>
      </c>
      <c r="B666" s="1" t="n">
        <v>45429</v>
      </c>
      <c r="C666" s="1" t="n">
        <v>45764</v>
      </c>
      <c r="D666" t="inlineStr">
        <is>
          <t>VÄSTERNORRLANDS LÄN</t>
        </is>
      </c>
      <c r="E666" t="inlineStr">
        <is>
          <t>TIMRÅ</t>
        </is>
      </c>
      <c r="G666" t="n">
        <v>1.3</v>
      </c>
      <c r="H666" t="n">
        <v>0</v>
      </c>
      <c r="I666" t="n">
        <v>0</v>
      </c>
      <c r="J666" t="n">
        <v>0</v>
      </c>
      <c r="K666" t="n">
        <v>0</v>
      </c>
      <c r="L666" t="n">
        <v>0</v>
      </c>
      <c r="M666" t="n">
        <v>0</v>
      </c>
      <c r="N666" t="n">
        <v>0</v>
      </c>
      <c r="O666" t="n">
        <v>0</v>
      </c>
      <c r="P666" t="n">
        <v>0</v>
      </c>
      <c r="Q666" t="n">
        <v>0</v>
      </c>
      <c r="R666" s="2" t="inlineStr"/>
    </row>
    <row r="667" ht="15" customHeight="1">
      <c r="A667" t="inlineStr">
        <is>
          <t>A 19558-2024</t>
        </is>
      </c>
      <c r="B667" s="1" t="n">
        <v>45429</v>
      </c>
      <c r="C667" s="1" t="n">
        <v>45764</v>
      </c>
      <c r="D667" t="inlineStr">
        <is>
          <t>VÄSTERNORRLANDS LÄN</t>
        </is>
      </c>
      <c r="E667" t="inlineStr">
        <is>
          <t>TIMRÅ</t>
        </is>
      </c>
      <c r="G667" t="n">
        <v>4.6</v>
      </c>
      <c r="H667" t="n">
        <v>0</v>
      </c>
      <c r="I667" t="n">
        <v>0</v>
      </c>
      <c r="J667" t="n">
        <v>0</v>
      </c>
      <c r="K667" t="n">
        <v>0</v>
      </c>
      <c r="L667" t="n">
        <v>0</v>
      </c>
      <c r="M667" t="n">
        <v>0</v>
      </c>
      <c r="N667" t="n">
        <v>0</v>
      </c>
      <c r="O667" t="n">
        <v>0</v>
      </c>
      <c r="P667" t="n">
        <v>0</v>
      </c>
      <c r="Q667" t="n">
        <v>0</v>
      </c>
      <c r="R667" s="2" t="inlineStr"/>
    </row>
    <row r="668" ht="15" customHeight="1">
      <c r="A668" t="inlineStr">
        <is>
          <t>A 20089-2024</t>
        </is>
      </c>
      <c r="B668" s="1" t="n">
        <v>45434</v>
      </c>
      <c r="C668" s="1" t="n">
        <v>45764</v>
      </c>
      <c r="D668" t="inlineStr">
        <is>
          <t>VÄSTERNORRLANDS LÄN</t>
        </is>
      </c>
      <c r="E668" t="inlineStr">
        <is>
          <t>TIMRÅ</t>
        </is>
      </c>
      <c r="G668" t="n">
        <v>1</v>
      </c>
      <c r="H668" t="n">
        <v>0</v>
      </c>
      <c r="I668" t="n">
        <v>0</v>
      </c>
      <c r="J668" t="n">
        <v>0</v>
      </c>
      <c r="K668" t="n">
        <v>0</v>
      </c>
      <c r="L668" t="n">
        <v>0</v>
      </c>
      <c r="M668" t="n">
        <v>0</v>
      </c>
      <c r="N668" t="n">
        <v>0</v>
      </c>
      <c r="O668" t="n">
        <v>0</v>
      </c>
      <c r="P668" t="n">
        <v>0</v>
      </c>
      <c r="Q668" t="n">
        <v>0</v>
      </c>
      <c r="R668" s="2" t="inlineStr"/>
    </row>
    <row r="669" ht="15" customHeight="1">
      <c r="A669" t="inlineStr">
        <is>
          <t>A 20226-2024</t>
        </is>
      </c>
      <c r="B669" s="1" t="n">
        <v>45434</v>
      </c>
      <c r="C669" s="1" t="n">
        <v>45764</v>
      </c>
      <c r="D669" t="inlineStr">
        <is>
          <t>VÄSTERNORRLANDS LÄN</t>
        </is>
      </c>
      <c r="E669" t="inlineStr">
        <is>
          <t>TIMRÅ</t>
        </is>
      </c>
      <c r="G669" t="n">
        <v>0.6</v>
      </c>
      <c r="H669" t="n">
        <v>0</v>
      </c>
      <c r="I669" t="n">
        <v>0</v>
      </c>
      <c r="J669" t="n">
        <v>0</v>
      </c>
      <c r="K669" t="n">
        <v>0</v>
      </c>
      <c r="L669" t="n">
        <v>0</v>
      </c>
      <c r="M669" t="n">
        <v>0</v>
      </c>
      <c r="N669" t="n">
        <v>0</v>
      </c>
      <c r="O669" t="n">
        <v>0</v>
      </c>
      <c r="P669" t="n">
        <v>0</v>
      </c>
      <c r="Q669" t="n">
        <v>0</v>
      </c>
      <c r="R669" s="2" t="inlineStr"/>
    </row>
    <row r="670" ht="15" customHeight="1">
      <c r="A670" t="inlineStr">
        <is>
          <t>A 20230-2024</t>
        </is>
      </c>
      <c r="B670" s="1" t="n">
        <v>45434</v>
      </c>
      <c r="C670" s="1" t="n">
        <v>45764</v>
      </c>
      <c r="D670" t="inlineStr">
        <is>
          <t>VÄSTERNORRLANDS LÄN</t>
        </is>
      </c>
      <c r="E670" t="inlineStr">
        <is>
          <t>TIMRÅ</t>
        </is>
      </c>
      <c r="G670" t="n">
        <v>0.8</v>
      </c>
      <c r="H670" t="n">
        <v>0</v>
      </c>
      <c r="I670" t="n">
        <v>0</v>
      </c>
      <c r="J670" t="n">
        <v>0</v>
      </c>
      <c r="K670" t="n">
        <v>0</v>
      </c>
      <c r="L670" t="n">
        <v>0</v>
      </c>
      <c r="M670" t="n">
        <v>0</v>
      </c>
      <c r="N670" t="n">
        <v>0</v>
      </c>
      <c r="O670" t="n">
        <v>0</v>
      </c>
      <c r="P670" t="n">
        <v>0</v>
      </c>
      <c r="Q670" t="n">
        <v>0</v>
      </c>
      <c r="R670" s="2" t="inlineStr"/>
    </row>
    <row r="671" ht="15" customHeight="1">
      <c r="A671" t="inlineStr">
        <is>
          <t>A 20313-2024</t>
        </is>
      </c>
      <c r="B671" s="1" t="n">
        <v>45434</v>
      </c>
      <c r="C671" s="1" t="n">
        <v>45764</v>
      </c>
      <c r="D671" t="inlineStr">
        <is>
          <t>VÄSTERNORRLANDS LÄN</t>
        </is>
      </c>
      <c r="E671" t="inlineStr">
        <is>
          <t>TIMRÅ</t>
        </is>
      </c>
      <c r="G671" t="n">
        <v>1.6</v>
      </c>
      <c r="H671" t="n">
        <v>0</v>
      </c>
      <c r="I671" t="n">
        <v>0</v>
      </c>
      <c r="J671" t="n">
        <v>0</v>
      </c>
      <c r="K671" t="n">
        <v>0</v>
      </c>
      <c r="L671" t="n">
        <v>0</v>
      </c>
      <c r="M671" t="n">
        <v>0</v>
      </c>
      <c r="N671" t="n">
        <v>0</v>
      </c>
      <c r="O671" t="n">
        <v>0</v>
      </c>
      <c r="P671" t="n">
        <v>0</v>
      </c>
      <c r="Q671" t="n">
        <v>0</v>
      </c>
      <c r="R671" s="2" t="inlineStr"/>
    </row>
    <row r="672" ht="15" customHeight="1">
      <c r="A672" t="inlineStr">
        <is>
          <t>A 20341-2024</t>
        </is>
      </c>
      <c r="B672" s="1" t="n">
        <v>45435</v>
      </c>
      <c r="C672" s="1" t="n">
        <v>45764</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20346-2024</t>
        </is>
      </c>
      <c r="B673" s="1" t="n">
        <v>45435</v>
      </c>
      <c r="C673" s="1" t="n">
        <v>45764</v>
      </c>
      <c r="D673" t="inlineStr">
        <is>
          <t>VÄSTERNORRLANDS LÄN</t>
        </is>
      </c>
      <c r="E673" t="inlineStr">
        <is>
          <t>TIMRÅ</t>
        </is>
      </c>
      <c r="G673" t="n">
        <v>2.5</v>
      </c>
      <c r="H673" t="n">
        <v>0</v>
      </c>
      <c r="I673" t="n">
        <v>0</v>
      </c>
      <c r="J673" t="n">
        <v>0</v>
      </c>
      <c r="K673" t="n">
        <v>0</v>
      </c>
      <c r="L673" t="n">
        <v>0</v>
      </c>
      <c r="M673" t="n">
        <v>0</v>
      </c>
      <c r="N673" t="n">
        <v>0</v>
      </c>
      <c r="O673" t="n">
        <v>0</v>
      </c>
      <c r="P673" t="n">
        <v>0</v>
      </c>
      <c r="Q673" t="n">
        <v>0</v>
      </c>
      <c r="R673" s="2" t="inlineStr"/>
    </row>
    <row r="674" ht="15" customHeight="1">
      <c r="A674" t="inlineStr">
        <is>
          <t>A 20527-2024</t>
        </is>
      </c>
      <c r="B674" s="1" t="n">
        <v>45436</v>
      </c>
      <c r="C674" s="1" t="n">
        <v>45764</v>
      </c>
      <c r="D674" t="inlineStr">
        <is>
          <t>VÄSTERNORRLANDS LÄN</t>
        </is>
      </c>
      <c r="E674" t="inlineStr">
        <is>
          <t>TIMRÅ</t>
        </is>
      </c>
      <c r="F674" t="inlineStr">
        <is>
          <t>SCA</t>
        </is>
      </c>
      <c r="G674" t="n">
        <v>10.6</v>
      </c>
      <c r="H674" t="n">
        <v>0</v>
      </c>
      <c r="I674" t="n">
        <v>0</v>
      </c>
      <c r="J674" t="n">
        <v>0</v>
      </c>
      <c r="K674" t="n">
        <v>0</v>
      </c>
      <c r="L674" t="n">
        <v>0</v>
      </c>
      <c r="M674" t="n">
        <v>0</v>
      </c>
      <c r="N674" t="n">
        <v>0</v>
      </c>
      <c r="O674" t="n">
        <v>0</v>
      </c>
      <c r="P674" t="n">
        <v>0</v>
      </c>
      <c r="Q674" t="n">
        <v>0</v>
      </c>
      <c r="R674" s="2" t="inlineStr"/>
    </row>
    <row r="675" ht="15" customHeight="1">
      <c r="A675" t="inlineStr">
        <is>
          <t>A 20526-2024</t>
        </is>
      </c>
      <c r="B675" s="1" t="n">
        <v>45435</v>
      </c>
      <c r="C675" s="1" t="n">
        <v>45764</v>
      </c>
      <c r="D675" t="inlineStr">
        <is>
          <t>VÄSTERNORRLANDS LÄN</t>
        </is>
      </c>
      <c r="E675" t="inlineStr">
        <is>
          <t>TIMRÅ</t>
        </is>
      </c>
      <c r="F675" t="inlineStr">
        <is>
          <t>SCA</t>
        </is>
      </c>
      <c r="G675" t="n">
        <v>11.3</v>
      </c>
      <c r="H675" t="n">
        <v>0</v>
      </c>
      <c r="I675" t="n">
        <v>0</v>
      </c>
      <c r="J675" t="n">
        <v>0</v>
      </c>
      <c r="K675" t="n">
        <v>0</v>
      </c>
      <c r="L675" t="n">
        <v>0</v>
      </c>
      <c r="M675" t="n">
        <v>0</v>
      </c>
      <c r="N675" t="n">
        <v>0</v>
      </c>
      <c r="O675" t="n">
        <v>0</v>
      </c>
      <c r="P675" t="n">
        <v>0</v>
      </c>
      <c r="Q675" t="n">
        <v>0</v>
      </c>
      <c r="R675" s="2" t="inlineStr"/>
    </row>
    <row r="676" ht="15" customHeight="1">
      <c r="A676" t="inlineStr">
        <is>
          <t>A 20786-2024</t>
        </is>
      </c>
      <c r="B676" s="1" t="n">
        <v>45437</v>
      </c>
      <c r="C676" s="1" t="n">
        <v>45764</v>
      </c>
      <c r="D676" t="inlineStr">
        <is>
          <t>VÄSTERNORRLANDS LÄN</t>
        </is>
      </c>
      <c r="E676" t="inlineStr">
        <is>
          <t>TIMRÅ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20899-2024</t>
        </is>
      </c>
      <c r="B677" s="1" t="n">
        <v>45439</v>
      </c>
      <c r="C677" s="1" t="n">
        <v>45764</v>
      </c>
      <c r="D677" t="inlineStr">
        <is>
          <t>VÄSTERNORRLANDS LÄN</t>
        </is>
      </c>
      <c r="E677" t="inlineStr">
        <is>
          <t>TIMRÅ</t>
        </is>
      </c>
      <c r="G677" t="n">
        <v>2.1</v>
      </c>
      <c r="H677" t="n">
        <v>0</v>
      </c>
      <c r="I677" t="n">
        <v>0</v>
      </c>
      <c r="J677" t="n">
        <v>0</v>
      </c>
      <c r="K677" t="n">
        <v>0</v>
      </c>
      <c r="L677" t="n">
        <v>0</v>
      </c>
      <c r="M677" t="n">
        <v>0</v>
      </c>
      <c r="N677" t="n">
        <v>0</v>
      </c>
      <c r="O677" t="n">
        <v>0</v>
      </c>
      <c r="P677" t="n">
        <v>0</v>
      </c>
      <c r="Q677" t="n">
        <v>0</v>
      </c>
      <c r="R677" s="2" t="inlineStr"/>
    </row>
    <row r="678" ht="15" customHeight="1">
      <c r="A678" t="inlineStr">
        <is>
          <t>A 20936-2024</t>
        </is>
      </c>
      <c r="B678" s="1" t="n">
        <v>45439</v>
      </c>
      <c r="C678" s="1" t="n">
        <v>45764</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20938-2024</t>
        </is>
      </c>
      <c r="B679" s="1" t="n">
        <v>45439</v>
      </c>
      <c r="C679" s="1" t="n">
        <v>45764</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21362-2024</t>
        </is>
      </c>
      <c r="B680" s="1" t="n">
        <v>45440</v>
      </c>
      <c r="C680" s="1" t="n">
        <v>45764</v>
      </c>
      <c r="D680" t="inlineStr">
        <is>
          <t>VÄSTERNORRLANDS LÄN</t>
        </is>
      </c>
      <c r="E680" t="inlineStr">
        <is>
          <t>TIMRÅ</t>
        </is>
      </c>
      <c r="F680" t="inlineStr">
        <is>
          <t>SCA</t>
        </is>
      </c>
      <c r="G680" t="n">
        <v>15.2</v>
      </c>
      <c r="H680" t="n">
        <v>0</v>
      </c>
      <c r="I680" t="n">
        <v>0</v>
      </c>
      <c r="J680" t="n">
        <v>0</v>
      </c>
      <c r="K680" t="n">
        <v>0</v>
      </c>
      <c r="L680" t="n">
        <v>0</v>
      </c>
      <c r="M680" t="n">
        <v>0</v>
      </c>
      <c r="N680" t="n">
        <v>0</v>
      </c>
      <c r="O680" t="n">
        <v>0</v>
      </c>
      <c r="P680" t="n">
        <v>0</v>
      </c>
      <c r="Q680" t="n">
        <v>0</v>
      </c>
      <c r="R680" s="2" t="inlineStr"/>
    </row>
    <row r="681" ht="15" customHeight="1">
      <c r="A681" t="inlineStr">
        <is>
          <t>A 21131-2024</t>
        </is>
      </c>
      <c r="B681" s="1" t="n">
        <v>45440</v>
      </c>
      <c r="C681" s="1" t="n">
        <v>45764</v>
      </c>
      <c r="D681" t="inlineStr">
        <is>
          <t>VÄSTERNORRLANDS LÄN</t>
        </is>
      </c>
      <c r="E681" t="inlineStr">
        <is>
          <t>TIMRÅ</t>
        </is>
      </c>
      <c r="G681" t="n">
        <v>10.8</v>
      </c>
      <c r="H681" t="n">
        <v>0</v>
      </c>
      <c r="I681" t="n">
        <v>0</v>
      </c>
      <c r="J681" t="n">
        <v>0</v>
      </c>
      <c r="K681" t="n">
        <v>0</v>
      </c>
      <c r="L681" t="n">
        <v>0</v>
      </c>
      <c r="M681" t="n">
        <v>0</v>
      </c>
      <c r="N681" t="n">
        <v>0</v>
      </c>
      <c r="O681" t="n">
        <v>0</v>
      </c>
      <c r="P681" t="n">
        <v>0</v>
      </c>
      <c r="Q681" t="n">
        <v>0</v>
      </c>
      <c r="R681" s="2" t="inlineStr"/>
    </row>
    <row r="682" ht="15" customHeight="1">
      <c r="A682" t="inlineStr">
        <is>
          <t>A 21607-2024</t>
        </is>
      </c>
      <c r="B682" s="1" t="n">
        <v>45441</v>
      </c>
      <c r="C682" s="1" t="n">
        <v>45764</v>
      </c>
      <c r="D682" t="inlineStr">
        <is>
          <t>VÄSTERNORRLANDS LÄN</t>
        </is>
      </c>
      <c r="E682" t="inlineStr">
        <is>
          <t>TIMRÅ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21443-2024</t>
        </is>
      </c>
      <c r="B683" s="1" t="n">
        <v>45441</v>
      </c>
      <c r="C683" s="1" t="n">
        <v>45764</v>
      </c>
      <c r="D683" t="inlineStr">
        <is>
          <t>VÄSTERNORRLANDS LÄN</t>
        </is>
      </c>
      <c r="E683" t="inlineStr">
        <is>
          <t>TIMRÅ</t>
        </is>
      </c>
      <c r="G683" t="n">
        <v>0.5</v>
      </c>
      <c r="H683" t="n">
        <v>0</v>
      </c>
      <c r="I683" t="n">
        <v>0</v>
      </c>
      <c r="J683" t="n">
        <v>0</v>
      </c>
      <c r="K683" t="n">
        <v>0</v>
      </c>
      <c r="L683" t="n">
        <v>0</v>
      </c>
      <c r="M683" t="n">
        <v>0</v>
      </c>
      <c r="N683" t="n">
        <v>0</v>
      </c>
      <c r="O683" t="n">
        <v>0</v>
      </c>
      <c r="P683" t="n">
        <v>0</v>
      </c>
      <c r="Q683" t="n">
        <v>0</v>
      </c>
      <c r="R683" s="2" t="inlineStr"/>
    </row>
    <row r="684" ht="15" customHeight="1">
      <c r="A684" t="inlineStr">
        <is>
          <t>A 21447-2024</t>
        </is>
      </c>
      <c r="B684" s="1" t="n">
        <v>45441</v>
      </c>
      <c r="C684" s="1" t="n">
        <v>45764</v>
      </c>
      <c r="D684" t="inlineStr">
        <is>
          <t>VÄSTERNORRLANDS LÄN</t>
        </is>
      </c>
      <c r="E684" t="inlineStr">
        <is>
          <t>TIMRÅ</t>
        </is>
      </c>
      <c r="G684" t="n">
        <v>1.3</v>
      </c>
      <c r="H684" t="n">
        <v>0</v>
      </c>
      <c r="I684" t="n">
        <v>0</v>
      </c>
      <c r="J684" t="n">
        <v>0</v>
      </c>
      <c r="K684" t="n">
        <v>0</v>
      </c>
      <c r="L684" t="n">
        <v>0</v>
      </c>
      <c r="M684" t="n">
        <v>0</v>
      </c>
      <c r="N684" t="n">
        <v>0</v>
      </c>
      <c r="O684" t="n">
        <v>0</v>
      </c>
      <c r="P684" t="n">
        <v>0</v>
      </c>
      <c r="Q684" t="n">
        <v>0</v>
      </c>
      <c r="R684" s="2" t="inlineStr"/>
    </row>
    <row r="685" ht="15" customHeight="1">
      <c r="A685" t="inlineStr">
        <is>
          <t>A 22368-2024</t>
        </is>
      </c>
      <c r="B685" s="1" t="n">
        <v>45446</v>
      </c>
      <c r="C685" s="1" t="n">
        <v>45764</v>
      </c>
      <c r="D685" t="inlineStr">
        <is>
          <t>VÄSTERNORRLANDS LÄN</t>
        </is>
      </c>
      <c r="E685" t="inlineStr">
        <is>
          <t>TIMRÅ</t>
        </is>
      </c>
      <c r="G685" t="n">
        <v>1.2</v>
      </c>
      <c r="H685" t="n">
        <v>0</v>
      </c>
      <c r="I685" t="n">
        <v>0</v>
      </c>
      <c r="J685" t="n">
        <v>0</v>
      </c>
      <c r="K685" t="n">
        <v>0</v>
      </c>
      <c r="L685" t="n">
        <v>0</v>
      </c>
      <c r="M685" t="n">
        <v>0</v>
      </c>
      <c r="N685" t="n">
        <v>0</v>
      </c>
      <c r="O685" t="n">
        <v>0</v>
      </c>
      <c r="P685" t="n">
        <v>0</v>
      </c>
      <c r="Q685" t="n">
        <v>0</v>
      </c>
      <c r="R685" s="2" t="inlineStr"/>
    </row>
    <row r="686" ht="15" customHeight="1">
      <c r="A686" t="inlineStr">
        <is>
          <t>A 22486-2024</t>
        </is>
      </c>
      <c r="B686" s="1" t="n">
        <v>45446</v>
      </c>
      <c r="C686" s="1" t="n">
        <v>45764</v>
      </c>
      <c r="D686" t="inlineStr">
        <is>
          <t>VÄSTERNORRLANDS LÄN</t>
        </is>
      </c>
      <c r="E686" t="inlineStr">
        <is>
          <t>TIMRÅ</t>
        </is>
      </c>
      <c r="G686" t="n">
        <v>6.8</v>
      </c>
      <c r="H686" t="n">
        <v>0</v>
      </c>
      <c r="I686" t="n">
        <v>0</v>
      </c>
      <c r="J686" t="n">
        <v>0</v>
      </c>
      <c r="K686" t="n">
        <v>0</v>
      </c>
      <c r="L686" t="n">
        <v>0</v>
      </c>
      <c r="M686" t="n">
        <v>0</v>
      </c>
      <c r="N686" t="n">
        <v>0</v>
      </c>
      <c r="O686" t="n">
        <v>0</v>
      </c>
      <c r="P686" t="n">
        <v>0</v>
      </c>
      <c r="Q686" t="n">
        <v>0</v>
      </c>
      <c r="R686" s="2" t="inlineStr"/>
    </row>
    <row r="687" ht="15" customHeight="1">
      <c r="A687" t="inlineStr">
        <is>
          <t>A 22416-2024</t>
        </is>
      </c>
      <c r="B687" s="1" t="n">
        <v>45446</v>
      </c>
      <c r="C687" s="1" t="n">
        <v>45764</v>
      </c>
      <c r="D687" t="inlineStr">
        <is>
          <t>VÄSTERNORRLANDS LÄN</t>
        </is>
      </c>
      <c r="E687" t="inlineStr">
        <is>
          <t>TIMRÅ</t>
        </is>
      </c>
      <c r="G687" t="n">
        <v>2.3</v>
      </c>
      <c r="H687" t="n">
        <v>0</v>
      </c>
      <c r="I687" t="n">
        <v>0</v>
      </c>
      <c r="J687" t="n">
        <v>0</v>
      </c>
      <c r="K687" t="n">
        <v>0</v>
      </c>
      <c r="L687" t="n">
        <v>0</v>
      </c>
      <c r="M687" t="n">
        <v>0</v>
      </c>
      <c r="N687" t="n">
        <v>0</v>
      </c>
      <c r="O687" t="n">
        <v>0</v>
      </c>
      <c r="P687" t="n">
        <v>0</v>
      </c>
      <c r="Q687" t="n">
        <v>0</v>
      </c>
      <c r="R687" s="2" t="inlineStr"/>
    </row>
    <row r="688" ht="15" customHeight="1">
      <c r="A688" t="inlineStr">
        <is>
          <t>A 22669-2024</t>
        </is>
      </c>
      <c r="B688" s="1" t="n">
        <v>45447</v>
      </c>
      <c r="C688" s="1" t="n">
        <v>45764</v>
      </c>
      <c r="D688" t="inlineStr">
        <is>
          <t>VÄSTERNORRLANDS LÄN</t>
        </is>
      </c>
      <c r="E688" t="inlineStr">
        <is>
          <t>TIMRÅ</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23049-2024</t>
        </is>
      </c>
      <c r="B689" s="1" t="n">
        <v>45450</v>
      </c>
      <c r="C689" s="1" t="n">
        <v>45764</v>
      </c>
      <c r="D689" t="inlineStr">
        <is>
          <t>VÄSTERNORRLANDS LÄN</t>
        </is>
      </c>
      <c r="E689" t="inlineStr">
        <is>
          <t>TIMRÅ</t>
        </is>
      </c>
      <c r="G689" t="n">
        <v>8.4</v>
      </c>
      <c r="H689" t="n">
        <v>0</v>
      </c>
      <c r="I689" t="n">
        <v>0</v>
      </c>
      <c r="J689" t="n">
        <v>0</v>
      </c>
      <c r="K689" t="n">
        <v>0</v>
      </c>
      <c r="L689" t="n">
        <v>0</v>
      </c>
      <c r="M689" t="n">
        <v>0</v>
      </c>
      <c r="N689" t="n">
        <v>0</v>
      </c>
      <c r="O689" t="n">
        <v>0</v>
      </c>
      <c r="P689" t="n">
        <v>0</v>
      </c>
      <c r="Q689" t="n">
        <v>0</v>
      </c>
      <c r="R689" s="2" t="inlineStr"/>
    </row>
    <row r="690" ht="15" customHeight="1">
      <c r="A690" t="inlineStr">
        <is>
          <t>A 23556-2024</t>
        </is>
      </c>
      <c r="B690" s="1" t="n">
        <v>45453</v>
      </c>
      <c r="C690" s="1" t="n">
        <v>45764</v>
      </c>
      <c r="D690" t="inlineStr">
        <is>
          <t>VÄSTERNORRLANDS LÄN</t>
        </is>
      </c>
      <c r="E690" t="inlineStr">
        <is>
          <t>TIMRÅ</t>
        </is>
      </c>
      <c r="F690" t="inlineStr">
        <is>
          <t>SCA</t>
        </is>
      </c>
      <c r="G690" t="n">
        <v>6.5</v>
      </c>
      <c r="H690" t="n">
        <v>0</v>
      </c>
      <c r="I690" t="n">
        <v>0</v>
      </c>
      <c r="J690" t="n">
        <v>0</v>
      </c>
      <c r="K690" t="n">
        <v>0</v>
      </c>
      <c r="L690" t="n">
        <v>0</v>
      </c>
      <c r="M690" t="n">
        <v>0</v>
      </c>
      <c r="N690" t="n">
        <v>0</v>
      </c>
      <c r="O690" t="n">
        <v>0</v>
      </c>
      <c r="P690" t="n">
        <v>0</v>
      </c>
      <c r="Q690" t="n">
        <v>0</v>
      </c>
      <c r="R690" s="2" t="inlineStr"/>
    </row>
    <row r="691" ht="15" customHeight="1">
      <c r="A691" t="inlineStr">
        <is>
          <t>A 23725-2024</t>
        </is>
      </c>
      <c r="B691" s="1" t="n">
        <v>45455</v>
      </c>
      <c r="C691" s="1" t="n">
        <v>45764</v>
      </c>
      <c r="D691" t="inlineStr">
        <is>
          <t>VÄSTERNORRLANDS LÄN</t>
        </is>
      </c>
      <c r="E691" t="inlineStr">
        <is>
          <t>TIMRÅ</t>
        </is>
      </c>
      <c r="G691" t="n">
        <v>2.6</v>
      </c>
      <c r="H691" t="n">
        <v>0</v>
      </c>
      <c r="I691" t="n">
        <v>0</v>
      </c>
      <c r="J691" t="n">
        <v>0</v>
      </c>
      <c r="K691" t="n">
        <v>0</v>
      </c>
      <c r="L691" t="n">
        <v>0</v>
      </c>
      <c r="M691" t="n">
        <v>0</v>
      </c>
      <c r="N691" t="n">
        <v>0</v>
      </c>
      <c r="O691" t="n">
        <v>0</v>
      </c>
      <c r="P691" t="n">
        <v>0</v>
      </c>
      <c r="Q691" t="n">
        <v>0</v>
      </c>
      <c r="R691" s="2" t="inlineStr"/>
    </row>
    <row r="692" ht="15" customHeight="1">
      <c r="A692" t="inlineStr">
        <is>
          <t>A 23878-2024</t>
        </is>
      </c>
      <c r="B692" s="1" t="n">
        <v>45455</v>
      </c>
      <c r="C692" s="1" t="n">
        <v>45764</v>
      </c>
      <c r="D692" t="inlineStr">
        <is>
          <t>VÄSTERNORRLANDS LÄN</t>
        </is>
      </c>
      <c r="E692" t="inlineStr">
        <is>
          <t>TIMRÅ</t>
        </is>
      </c>
      <c r="G692" t="n">
        <v>2.1</v>
      </c>
      <c r="H692" t="n">
        <v>0</v>
      </c>
      <c r="I692" t="n">
        <v>0</v>
      </c>
      <c r="J692" t="n">
        <v>0</v>
      </c>
      <c r="K692" t="n">
        <v>0</v>
      </c>
      <c r="L692" t="n">
        <v>0</v>
      </c>
      <c r="M692" t="n">
        <v>0</v>
      </c>
      <c r="N692" t="n">
        <v>0</v>
      </c>
      <c r="O692" t="n">
        <v>0</v>
      </c>
      <c r="P692" t="n">
        <v>0</v>
      </c>
      <c r="Q692" t="n">
        <v>0</v>
      </c>
      <c r="R692" s="2" t="inlineStr"/>
    </row>
    <row r="693" ht="15" customHeight="1">
      <c r="A693" t="inlineStr">
        <is>
          <t>A 23851-2024</t>
        </is>
      </c>
      <c r="B693" s="1" t="n">
        <v>45455</v>
      </c>
      <c r="C693" s="1" t="n">
        <v>45764</v>
      </c>
      <c r="D693" t="inlineStr">
        <is>
          <t>VÄSTERNORRLANDS LÄN</t>
        </is>
      </c>
      <c r="E693" t="inlineStr">
        <is>
          <t>TIMRÅ</t>
        </is>
      </c>
      <c r="G693" t="n">
        <v>3.5</v>
      </c>
      <c r="H693" t="n">
        <v>0</v>
      </c>
      <c r="I693" t="n">
        <v>0</v>
      </c>
      <c r="J693" t="n">
        <v>0</v>
      </c>
      <c r="K693" t="n">
        <v>0</v>
      </c>
      <c r="L693" t="n">
        <v>0</v>
      </c>
      <c r="M693" t="n">
        <v>0</v>
      </c>
      <c r="N693" t="n">
        <v>0</v>
      </c>
      <c r="O693" t="n">
        <v>0</v>
      </c>
      <c r="P693" t="n">
        <v>0</v>
      </c>
      <c r="Q693" t="n">
        <v>0</v>
      </c>
      <c r="R693" s="2" t="inlineStr"/>
    </row>
    <row r="694" ht="15" customHeight="1">
      <c r="A694" t="inlineStr">
        <is>
          <t>A 24739-2024</t>
        </is>
      </c>
      <c r="B694" s="1" t="n">
        <v>45460</v>
      </c>
      <c r="C694" s="1" t="n">
        <v>45764</v>
      </c>
      <c r="D694" t="inlineStr">
        <is>
          <t>VÄSTERNORRLANDS LÄN</t>
        </is>
      </c>
      <c r="E694" t="inlineStr">
        <is>
          <t>TIMRÅ</t>
        </is>
      </c>
      <c r="G694" t="n">
        <v>0.9</v>
      </c>
      <c r="H694" t="n">
        <v>0</v>
      </c>
      <c r="I694" t="n">
        <v>0</v>
      </c>
      <c r="J694" t="n">
        <v>0</v>
      </c>
      <c r="K694" t="n">
        <v>0</v>
      </c>
      <c r="L694" t="n">
        <v>0</v>
      </c>
      <c r="M694" t="n">
        <v>0</v>
      </c>
      <c r="N694" t="n">
        <v>0</v>
      </c>
      <c r="O694" t="n">
        <v>0</v>
      </c>
      <c r="P694" t="n">
        <v>0</v>
      </c>
      <c r="Q694" t="n">
        <v>0</v>
      </c>
      <c r="R694" s="2" t="inlineStr"/>
    </row>
    <row r="695" ht="15" customHeight="1">
      <c r="A695" t="inlineStr">
        <is>
          <t>A 26662-2024</t>
        </is>
      </c>
      <c r="B695" s="1" t="n">
        <v>45469</v>
      </c>
      <c r="C695" s="1" t="n">
        <v>45764</v>
      </c>
      <c r="D695" t="inlineStr">
        <is>
          <t>VÄSTERNORRLANDS LÄN</t>
        </is>
      </c>
      <c r="E695" t="inlineStr">
        <is>
          <t>TIMRÅ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27623-2024</t>
        </is>
      </c>
      <c r="B696" s="1" t="n">
        <v>45474</v>
      </c>
      <c r="C696" s="1" t="n">
        <v>45764</v>
      </c>
      <c r="D696" t="inlineStr">
        <is>
          <t>VÄSTERNORRLANDS LÄN</t>
        </is>
      </c>
      <c r="E696" t="inlineStr">
        <is>
          <t>TIMRÅ</t>
        </is>
      </c>
      <c r="G696" t="n">
        <v>3.4</v>
      </c>
      <c r="H696" t="n">
        <v>0</v>
      </c>
      <c r="I696" t="n">
        <v>0</v>
      </c>
      <c r="J696" t="n">
        <v>0</v>
      </c>
      <c r="K696" t="n">
        <v>0</v>
      </c>
      <c r="L696" t="n">
        <v>0</v>
      </c>
      <c r="M696" t="n">
        <v>0</v>
      </c>
      <c r="N696" t="n">
        <v>0</v>
      </c>
      <c r="O696" t="n">
        <v>0</v>
      </c>
      <c r="P696" t="n">
        <v>0</v>
      </c>
      <c r="Q696" t="n">
        <v>0</v>
      </c>
      <c r="R696" s="2" t="inlineStr"/>
    </row>
    <row r="697" ht="15" customHeight="1">
      <c r="A697" t="inlineStr">
        <is>
          <t>A 28160-2024</t>
        </is>
      </c>
      <c r="B697" s="1" t="n">
        <v>45476</v>
      </c>
      <c r="C697" s="1" t="n">
        <v>45764</v>
      </c>
      <c r="D697" t="inlineStr">
        <is>
          <t>VÄSTERNORRLANDS LÄN</t>
        </is>
      </c>
      <c r="E697" t="inlineStr">
        <is>
          <t>TIMRÅ</t>
        </is>
      </c>
      <c r="F697" t="inlineStr">
        <is>
          <t>SCA</t>
        </is>
      </c>
      <c r="G697" t="n">
        <v>16.1</v>
      </c>
      <c r="H697" t="n">
        <v>0</v>
      </c>
      <c r="I697" t="n">
        <v>0</v>
      </c>
      <c r="J697" t="n">
        <v>0</v>
      </c>
      <c r="K697" t="n">
        <v>0</v>
      </c>
      <c r="L697" t="n">
        <v>0</v>
      </c>
      <c r="M697" t="n">
        <v>0</v>
      </c>
      <c r="N697" t="n">
        <v>0</v>
      </c>
      <c r="O697" t="n">
        <v>0</v>
      </c>
      <c r="P697" t="n">
        <v>0</v>
      </c>
      <c r="Q697" t="n">
        <v>0</v>
      </c>
      <c r="R697" s="2" t="inlineStr"/>
    </row>
    <row r="698" ht="15" customHeight="1">
      <c r="A698" t="inlineStr">
        <is>
          <t>A 28503-2024</t>
        </is>
      </c>
      <c r="B698" s="1" t="n">
        <v>45477</v>
      </c>
      <c r="C698" s="1" t="n">
        <v>45764</v>
      </c>
      <c r="D698" t="inlineStr">
        <is>
          <t>VÄSTERNORRLANDS LÄN</t>
        </is>
      </c>
      <c r="E698" t="inlineStr">
        <is>
          <t>TIMRÅ</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28256-2024</t>
        </is>
      </c>
      <c r="B699" s="1" t="n">
        <v>45477</v>
      </c>
      <c r="C699" s="1" t="n">
        <v>45764</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29267-2024</t>
        </is>
      </c>
      <c r="B700" s="1" t="n">
        <v>45482</v>
      </c>
      <c r="C700" s="1" t="n">
        <v>45764</v>
      </c>
      <c r="D700" t="inlineStr">
        <is>
          <t>VÄSTERNORRLANDS LÄN</t>
        </is>
      </c>
      <c r="E700" t="inlineStr">
        <is>
          <t>TIMRÅ</t>
        </is>
      </c>
      <c r="G700" t="n">
        <v>4.2</v>
      </c>
      <c r="H700" t="n">
        <v>0</v>
      </c>
      <c r="I700" t="n">
        <v>0</v>
      </c>
      <c r="J700" t="n">
        <v>0</v>
      </c>
      <c r="K700" t="n">
        <v>0</v>
      </c>
      <c r="L700" t="n">
        <v>0</v>
      </c>
      <c r="M700" t="n">
        <v>0</v>
      </c>
      <c r="N700" t="n">
        <v>0</v>
      </c>
      <c r="O700" t="n">
        <v>0</v>
      </c>
      <c r="P700" t="n">
        <v>0</v>
      </c>
      <c r="Q700" t="n">
        <v>0</v>
      </c>
      <c r="R700" s="2" t="inlineStr"/>
    </row>
    <row r="701" ht="15" customHeight="1">
      <c r="A701" t="inlineStr">
        <is>
          <t>A 30612-2024</t>
        </is>
      </c>
      <c r="B701" s="1" t="n">
        <v>45495</v>
      </c>
      <c r="C701" s="1" t="n">
        <v>45764</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30680-2024</t>
        </is>
      </c>
      <c r="B702" s="1" t="n">
        <v>45495</v>
      </c>
      <c r="C702" s="1" t="n">
        <v>45764</v>
      </c>
      <c r="D702" t="inlineStr">
        <is>
          <t>VÄSTERNORRLANDS LÄN</t>
        </is>
      </c>
      <c r="E702" t="inlineStr">
        <is>
          <t>TIMRÅ</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30907-2024</t>
        </is>
      </c>
      <c r="B703" s="1" t="n">
        <v>45498</v>
      </c>
      <c r="C703" s="1" t="n">
        <v>45764</v>
      </c>
      <c r="D703" t="inlineStr">
        <is>
          <t>VÄSTERNORRLANDS LÄN</t>
        </is>
      </c>
      <c r="E703" t="inlineStr">
        <is>
          <t>TIMRÅ</t>
        </is>
      </c>
      <c r="G703" t="n">
        <v>6.6</v>
      </c>
      <c r="H703" t="n">
        <v>0</v>
      </c>
      <c r="I703" t="n">
        <v>0</v>
      </c>
      <c r="J703" t="n">
        <v>0</v>
      </c>
      <c r="K703" t="n">
        <v>0</v>
      </c>
      <c r="L703" t="n">
        <v>0</v>
      </c>
      <c r="M703" t="n">
        <v>0</v>
      </c>
      <c r="N703" t="n">
        <v>0</v>
      </c>
      <c r="O703" t="n">
        <v>0</v>
      </c>
      <c r="P703" t="n">
        <v>0</v>
      </c>
      <c r="Q703" t="n">
        <v>0</v>
      </c>
      <c r="R703" s="2" t="inlineStr"/>
    </row>
    <row r="704" ht="15" customHeight="1">
      <c r="A704" t="inlineStr">
        <is>
          <t>A 31711-2024</t>
        </is>
      </c>
      <c r="B704" s="1" t="n">
        <v>45508</v>
      </c>
      <c r="C704" s="1" t="n">
        <v>45764</v>
      </c>
      <c r="D704" t="inlineStr">
        <is>
          <t>VÄSTERNORRLANDS LÄN</t>
        </is>
      </c>
      <c r="E704" t="inlineStr">
        <is>
          <t>TIMRÅ</t>
        </is>
      </c>
      <c r="F704" t="inlineStr">
        <is>
          <t>Kommuner</t>
        </is>
      </c>
      <c r="G704" t="n">
        <v>1.5</v>
      </c>
      <c r="H704" t="n">
        <v>0</v>
      </c>
      <c r="I704" t="n">
        <v>0</v>
      </c>
      <c r="J704" t="n">
        <v>0</v>
      </c>
      <c r="K704" t="n">
        <v>0</v>
      </c>
      <c r="L704" t="n">
        <v>0</v>
      </c>
      <c r="M704" t="n">
        <v>0</v>
      </c>
      <c r="N704" t="n">
        <v>0</v>
      </c>
      <c r="O704" t="n">
        <v>0</v>
      </c>
      <c r="P704" t="n">
        <v>0</v>
      </c>
      <c r="Q704" t="n">
        <v>0</v>
      </c>
      <c r="R704" s="2" t="inlineStr"/>
    </row>
    <row r="705" ht="15" customHeight="1">
      <c r="A705" t="inlineStr">
        <is>
          <t>A 32048-2024</t>
        </is>
      </c>
      <c r="B705" s="1" t="n">
        <v>45510</v>
      </c>
      <c r="C705" s="1" t="n">
        <v>45764</v>
      </c>
      <c r="D705" t="inlineStr">
        <is>
          <t>VÄSTERNORRLANDS LÄN</t>
        </is>
      </c>
      <c r="E705" t="inlineStr">
        <is>
          <t>TIMRÅ</t>
        </is>
      </c>
      <c r="G705" t="n">
        <v>2.7</v>
      </c>
      <c r="H705" t="n">
        <v>0</v>
      </c>
      <c r="I705" t="n">
        <v>0</v>
      </c>
      <c r="J705" t="n">
        <v>0</v>
      </c>
      <c r="K705" t="n">
        <v>0</v>
      </c>
      <c r="L705" t="n">
        <v>0</v>
      </c>
      <c r="M705" t="n">
        <v>0</v>
      </c>
      <c r="N705" t="n">
        <v>0</v>
      </c>
      <c r="O705" t="n">
        <v>0</v>
      </c>
      <c r="P705" t="n">
        <v>0</v>
      </c>
      <c r="Q705" t="n">
        <v>0</v>
      </c>
      <c r="R705" s="2" t="inlineStr"/>
    </row>
    <row r="706" ht="15" customHeight="1">
      <c r="A706" t="inlineStr">
        <is>
          <t>A 32112-2024</t>
        </is>
      </c>
      <c r="B706" s="1" t="n">
        <v>45511</v>
      </c>
      <c r="C706" s="1" t="n">
        <v>45764</v>
      </c>
      <c r="D706" t="inlineStr">
        <is>
          <t>VÄSTERNORRLANDS LÄN</t>
        </is>
      </c>
      <c r="E706" t="inlineStr">
        <is>
          <t>TIMRÅ</t>
        </is>
      </c>
      <c r="G706" t="n">
        <v>2.7</v>
      </c>
      <c r="H706" t="n">
        <v>0</v>
      </c>
      <c r="I706" t="n">
        <v>0</v>
      </c>
      <c r="J706" t="n">
        <v>0</v>
      </c>
      <c r="K706" t="n">
        <v>0</v>
      </c>
      <c r="L706" t="n">
        <v>0</v>
      </c>
      <c r="M706" t="n">
        <v>0</v>
      </c>
      <c r="N706" t="n">
        <v>0</v>
      </c>
      <c r="O706" t="n">
        <v>0</v>
      </c>
      <c r="P706" t="n">
        <v>0</v>
      </c>
      <c r="Q706" t="n">
        <v>0</v>
      </c>
      <c r="R706" s="2" t="inlineStr"/>
    </row>
    <row r="707" ht="15" customHeight="1">
      <c r="A707" t="inlineStr">
        <is>
          <t>A 32105-2024</t>
        </is>
      </c>
      <c r="B707" s="1" t="n">
        <v>45511</v>
      </c>
      <c r="C707" s="1" t="n">
        <v>45764</v>
      </c>
      <c r="D707" t="inlineStr">
        <is>
          <t>VÄSTERNORRLANDS LÄN</t>
        </is>
      </c>
      <c r="E707" t="inlineStr">
        <is>
          <t>TIMRÅ</t>
        </is>
      </c>
      <c r="G707" t="n">
        <v>6.4</v>
      </c>
      <c r="H707" t="n">
        <v>0</v>
      </c>
      <c r="I707" t="n">
        <v>0</v>
      </c>
      <c r="J707" t="n">
        <v>0</v>
      </c>
      <c r="K707" t="n">
        <v>0</v>
      </c>
      <c r="L707" t="n">
        <v>0</v>
      </c>
      <c r="M707" t="n">
        <v>0</v>
      </c>
      <c r="N707" t="n">
        <v>0</v>
      </c>
      <c r="O707" t="n">
        <v>0</v>
      </c>
      <c r="P707" t="n">
        <v>0</v>
      </c>
      <c r="Q707" t="n">
        <v>0</v>
      </c>
      <c r="R707" s="2" t="inlineStr"/>
    </row>
    <row r="708" ht="15" customHeight="1">
      <c r="A708" t="inlineStr">
        <is>
          <t>A 32454-2024</t>
        </is>
      </c>
      <c r="B708" s="1" t="n">
        <v>45512</v>
      </c>
      <c r="C708" s="1" t="n">
        <v>45764</v>
      </c>
      <c r="D708" t="inlineStr">
        <is>
          <t>VÄSTERNORRLANDS LÄN</t>
        </is>
      </c>
      <c r="E708" t="inlineStr">
        <is>
          <t>TIMRÅ</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32445-2024</t>
        </is>
      </c>
      <c r="B709" s="1" t="n">
        <v>45512</v>
      </c>
      <c r="C709" s="1" t="n">
        <v>45764</v>
      </c>
      <c r="D709" t="inlineStr">
        <is>
          <t>VÄSTERNORRLANDS LÄN</t>
        </is>
      </c>
      <c r="E709" t="inlineStr">
        <is>
          <t>TIMRÅ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33287-2024</t>
        </is>
      </c>
      <c r="B710" s="1" t="n">
        <v>45518</v>
      </c>
      <c r="C710" s="1" t="n">
        <v>45764</v>
      </c>
      <c r="D710" t="inlineStr">
        <is>
          <t>VÄSTERNORRLANDS LÄN</t>
        </is>
      </c>
      <c r="E710" t="inlineStr">
        <is>
          <t>TIMRÅ</t>
        </is>
      </c>
      <c r="G710" t="n">
        <v>1.4</v>
      </c>
      <c r="H710" t="n">
        <v>0</v>
      </c>
      <c r="I710" t="n">
        <v>0</v>
      </c>
      <c r="J710" t="n">
        <v>0</v>
      </c>
      <c r="K710" t="n">
        <v>0</v>
      </c>
      <c r="L710" t="n">
        <v>0</v>
      </c>
      <c r="M710" t="n">
        <v>0</v>
      </c>
      <c r="N710" t="n">
        <v>0</v>
      </c>
      <c r="O710" t="n">
        <v>0</v>
      </c>
      <c r="P710" t="n">
        <v>0</v>
      </c>
      <c r="Q710" t="n">
        <v>0</v>
      </c>
      <c r="R710" s="2" t="inlineStr"/>
    </row>
    <row r="711" ht="15" customHeight="1">
      <c r="A711" t="inlineStr">
        <is>
          <t>A 33567-2024</t>
        </is>
      </c>
      <c r="B711" s="1" t="n">
        <v>45520</v>
      </c>
      <c r="C711" s="1" t="n">
        <v>45764</v>
      </c>
      <c r="D711" t="inlineStr">
        <is>
          <t>VÄSTERNORRLANDS LÄN</t>
        </is>
      </c>
      <c r="E711" t="inlineStr">
        <is>
          <t>TIMRÅ</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33749-2024</t>
        </is>
      </c>
      <c r="B712" s="1" t="n">
        <v>45520</v>
      </c>
      <c r="C712" s="1" t="n">
        <v>45764</v>
      </c>
      <c r="D712" t="inlineStr">
        <is>
          <t>VÄSTERNORRLANDS LÄN</t>
        </is>
      </c>
      <c r="E712" t="inlineStr">
        <is>
          <t>TIMRÅ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37676-2024</t>
        </is>
      </c>
      <c r="B713" s="1" t="n">
        <v>45541</v>
      </c>
      <c r="C713" s="1" t="n">
        <v>45764</v>
      </c>
      <c r="D713" t="inlineStr">
        <is>
          <t>VÄSTERNORRLANDS LÄN</t>
        </is>
      </c>
      <c r="E713" t="inlineStr">
        <is>
          <t>TIMRÅ</t>
        </is>
      </c>
      <c r="G713" t="n">
        <v>15</v>
      </c>
      <c r="H713" t="n">
        <v>0</v>
      </c>
      <c r="I713" t="n">
        <v>0</v>
      </c>
      <c r="J713" t="n">
        <v>0</v>
      </c>
      <c r="K713" t="n">
        <v>0</v>
      </c>
      <c r="L713" t="n">
        <v>0</v>
      </c>
      <c r="M713" t="n">
        <v>0</v>
      </c>
      <c r="N713" t="n">
        <v>0</v>
      </c>
      <c r="O713" t="n">
        <v>0</v>
      </c>
      <c r="P713" t="n">
        <v>0</v>
      </c>
      <c r="Q713" t="n">
        <v>0</v>
      </c>
      <c r="R713" s="2" t="inlineStr"/>
    </row>
    <row r="714" ht="15" customHeight="1">
      <c r="A714" t="inlineStr">
        <is>
          <t>A 37841-2024</t>
        </is>
      </c>
      <c r="B714" s="1" t="n">
        <v>45544</v>
      </c>
      <c r="C714" s="1" t="n">
        <v>45764</v>
      </c>
      <c r="D714" t="inlineStr">
        <is>
          <t>VÄSTERNORRLANDS LÄN</t>
        </is>
      </c>
      <c r="E714" t="inlineStr">
        <is>
          <t>TIMRÅ</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37861-2024</t>
        </is>
      </c>
      <c r="B715" s="1" t="n">
        <v>45544</v>
      </c>
      <c r="C715" s="1" t="n">
        <v>45764</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37862-2024</t>
        </is>
      </c>
      <c r="B716" s="1" t="n">
        <v>45544</v>
      </c>
      <c r="C716" s="1" t="n">
        <v>45764</v>
      </c>
      <c r="D716" t="inlineStr">
        <is>
          <t>VÄSTERNORRLANDS LÄN</t>
        </is>
      </c>
      <c r="E716" t="inlineStr">
        <is>
          <t>TIMRÅ</t>
        </is>
      </c>
      <c r="G716" t="n">
        <v>0.9</v>
      </c>
      <c r="H716" t="n">
        <v>0</v>
      </c>
      <c r="I716" t="n">
        <v>0</v>
      </c>
      <c r="J716" t="n">
        <v>0</v>
      </c>
      <c r="K716" t="n">
        <v>0</v>
      </c>
      <c r="L716" t="n">
        <v>0</v>
      </c>
      <c r="M716" t="n">
        <v>0</v>
      </c>
      <c r="N716" t="n">
        <v>0</v>
      </c>
      <c r="O716" t="n">
        <v>0</v>
      </c>
      <c r="P716" t="n">
        <v>0</v>
      </c>
      <c r="Q716" t="n">
        <v>0</v>
      </c>
      <c r="R716" s="2" t="inlineStr"/>
    </row>
    <row r="717" ht="15" customHeight="1">
      <c r="A717" t="inlineStr">
        <is>
          <t>A 38286-2024</t>
        </is>
      </c>
      <c r="B717" s="1" t="n">
        <v>45545</v>
      </c>
      <c r="C717" s="1" t="n">
        <v>45764</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38288-2024</t>
        </is>
      </c>
      <c r="B718" s="1" t="n">
        <v>45545</v>
      </c>
      <c r="C718" s="1" t="n">
        <v>45764</v>
      </c>
      <c r="D718" t="inlineStr">
        <is>
          <t>VÄSTERNORRLANDS LÄN</t>
        </is>
      </c>
      <c r="E718" t="inlineStr">
        <is>
          <t>TIMRÅ</t>
        </is>
      </c>
      <c r="G718" t="n">
        <v>1.6</v>
      </c>
      <c r="H718" t="n">
        <v>0</v>
      </c>
      <c r="I718" t="n">
        <v>0</v>
      </c>
      <c r="J718" t="n">
        <v>0</v>
      </c>
      <c r="K718" t="n">
        <v>0</v>
      </c>
      <c r="L718" t="n">
        <v>0</v>
      </c>
      <c r="M718" t="n">
        <v>0</v>
      </c>
      <c r="N718" t="n">
        <v>0</v>
      </c>
      <c r="O718" t="n">
        <v>0</v>
      </c>
      <c r="P718" t="n">
        <v>0</v>
      </c>
      <c r="Q718" t="n">
        <v>0</v>
      </c>
      <c r="R718" s="2" t="inlineStr"/>
    </row>
    <row r="719" ht="15" customHeight="1">
      <c r="A719" t="inlineStr">
        <is>
          <t>A 38684-2024</t>
        </is>
      </c>
      <c r="B719" s="1" t="n">
        <v>45547</v>
      </c>
      <c r="C719" s="1" t="n">
        <v>45764</v>
      </c>
      <c r="D719" t="inlineStr">
        <is>
          <t>VÄSTERNORRLANDS LÄN</t>
        </is>
      </c>
      <c r="E719" t="inlineStr">
        <is>
          <t>TIMRÅ</t>
        </is>
      </c>
      <c r="G719" t="n">
        <v>1</v>
      </c>
      <c r="H719" t="n">
        <v>0</v>
      </c>
      <c r="I719" t="n">
        <v>0</v>
      </c>
      <c r="J719" t="n">
        <v>0</v>
      </c>
      <c r="K719" t="n">
        <v>0</v>
      </c>
      <c r="L719" t="n">
        <v>0</v>
      </c>
      <c r="M719" t="n">
        <v>0</v>
      </c>
      <c r="N719" t="n">
        <v>0</v>
      </c>
      <c r="O719" t="n">
        <v>0</v>
      </c>
      <c r="P719" t="n">
        <v>0</v>
      </c>
      <c r="Q719" t="n">
        <v>0</v>
      </c>
      <c r="R719" s="2" t="inlineStr"/>
    </row>
    <row r="720" ht="15" customHeight="1">
      <c r="A720" t="inlineStr">
        <is>
          <t>A 39094-2024</t>
        </is>
      </c>
      <c r="B720" s="1" t="n">
        <v>45548</v>
      </c>
      <c r="C720" s="1" t="n">
        <v>45764</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39110-2024</t>
        </is>
      </c>
      <c r="B721" s="1" t="n">
        <v>45548</v>
      </c>
      <c r="C721" s="1" t="n">
        <v>45764</v>
      </c>
      <c r="D721" t="inlineStr">
        <is>
          <t>VÄSTERNORRLANDS LÄN</t>
        </is>
      </c>
      <c r="E721" t="inlineStr">
        <is>
          <t>TIMRÅ</t>
        </is>
      </c>
      <c r="G721" t="n">
        <v>1.1</v>
      </c>
      <c r="H721" t="n">
        <v>0</v>
      </c>
      <c r="I721" t="n">
        <v>0</v>
      </c>
      <c r="J721" t="n">
        <v>0</v>
      </c>
      <c r="K721" t="n">
        <v>0</v>
      </c>
      <c r="L721" t="n">
        <v>0</v>
      </c>
      <c r="M721" t="n">
        <v>0</v>
      </c>
      <c r="N721" t="n">
        <v>0</v>
      </c>
      <c r="O721" t="n">
        <v>0</v>
      </c>
      <c r="P721" t="n">
        <v>0</v>
      </c>
      <c r="Q721" t="n">
        <v>0</v>
      </c>
      <c r="R721" s="2" t="inlineStr"/>
    </row>
    <row r="722" ht="15" customHeight="1">
      <c r="A722" t="inlineStr">
        <is>
          <t>A 38992-2024</t>
        </is>
      </c>
      <c r="B722" s="1" t="n">
        <v>45548</v>
      </c>
      <c r="C722" s="1" t="n">
        <v>45764</v>
      </c>
      <c r="D722" t="inlineStr">
        <is>
          <t>VÄSTERNORRLANDS LÄN</t>
        </is>
      </c>
      <c r="E722" t="inlineStr">
        <is>
          <t>TIMRÅ</t>
        </is>
      </c>
      <c r="G722" t="n">
        <v>1.4</v>
      </c>
      <c r="H722" t="n">
        <v>0</v>
      </c>
      <c r="I722" t="n">
        <v>0</v>
      </c>
      <c r="J722" t="n">
        <v>0</v>
      </c>
      <c r="K722" t="n">
        <v>0</v>
      </c>
      <c r="L722" t="n">
        <v>0</v>
      </c>
      <c r="M722" t="n">
        <v>0</v>
      </c>
      <c r="N722" t="n">
        <v>0</v>
      </c>
      <c r="O722" t="n">
        <v>0</v>
      </c>
      <c r="P722" t="n">
        <v>0</v>
      </c>
      <c r="Q722" t="n">
        <v>0</v>
      </c>
      <c r="R722" s="2" t="inlineStr"/>
    </row>
    <row r="723" ht="15" customHeight="1">
      <c r="A723" t="inlineStr">
        <is>
          <t>A 38996-2024</t>
        </is>
      </c>
      <c r="B723" s="1" t="n">
        <v>45548</v>
      </c>
      <c r="C723" s="1" t="n">
        <v>45764</v>
      </c>
      <c r="D723" t="inlineStr">
        <is>
          <t>VÄSTERNORRLANDS LÄN</t>
        </is>
      </c>
      <c r="E723" t="inlineStr">
        <is>
          <t>TIMRÅ</t>
        </is>
      </c>
      <c r="G723" t="n">
        <v>8.5</v>
      </c>
      <c r="H723" t="n">
        <v>0</v>
      </c>
      <c r="I723" t="n">
        <v>0</v>
      </c>
      <c r="J723" t="n">
        <v>0</v>
      </c>
      <c r="K723" t="n">
        <v>0</v>
      </c>
      <c r="L723" t="n">
        <v>0</v>
      </c>
      <c r="M723" t="n">
        <v>0</v>
      </c>
      <c r="N723" t="n">
        <v>0</v>
      </c>
      <c r="O723" t="n">
        <v>0</v>
      </c>
      <c r="P723" t="n">
        <v>0</v>
      </c>
      <c r="Q723" t="n">
        <v>0</v>
      </c>
      <c r="R723" s="2" t="inlineStr"/>
    </row>
    <row r="724" ht="15" customHeight="1">
      <c r="A724" t="inlineStr">
        <is>
          <t>A 39127-2024</t>
        </is>
      </c>
      <c r="B724" s="1" t="n">
        <v>45548</v>
      </c>
      <c r="C724" s="1" t="n">
        <v>45764</v>
      </c>
      <c r="D724" t="inlineStr">
        <is>
          <t>VÄSTERNORRLANDS LÄN</t>
        </is>
      </c>
      <c r="E724" t="inlineStr">
        <is>
          <t>TIMRÅ</t>
        </is>
      </c>
      <c r="G724" t="n">
        <v>5.1</v>
      </c>
      <c r="H724" t="n">
        <v>0</v>
      </c>
      <c r="I724" t="n">
        <v>0</v>
      </c>
      <c r="J724" t="n">
        <v>0</v>
      </c>
      <c r="K724" t="n">
        <v>0</v>
      </c>
      <c r="L724" t="n">
        <v>0</v>
      </c>
      <c r="M724" t="n">
        <v>0</v>
      </c>
      <c r="N724" t="n">
        <v>0</v>
      </c>
      <c r="O724" t="n">
        <v>0</v>
      </c>
      <c r="P724" t="n">
        <v>0</v>
      </c>
      <c r="Q724" t="n">
        <v>0</v>
      </c>
      <c r="R724" s="2" t="inlineStr"/>
    </row>
    <row r="725" ht="15" customHeight="1">
      <c r="A725" t="inlineStr">
        <is>
          <t>A 40014-2024</t>
        </is>
      </c>
      <c r="B725" s="1" t="n">
        <v>45553</v>
      </c>
      <c r="C725" s="1" t="n">
        <v>45764</v>
      </c>
      <c r="D725" t="inlineStr">
        <is>
          <t>VÄSTERNORRLANDS LÄN</t>
        </is>
      </c>
      <c r="E725" t="inlineStr">
        <is>
          <t>TIMRÅ</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40593-2024</t>
        </is>
      </c>
      <c r="B726" s="1" t="n">
        <v>45555</v>
      </c>
      <c r="C726" s="1" t="n">
        <v>45764</v>
      </c>
      <c r="D726" t="inlineStr">
        <is>
          <t>VÄSTERNORRLANDS LÄN</t>
        </is>
      </c>
      <c r="E726" t="inlineStr">
        <is>
          <t>TIMRÅ</t>
        </is>
      </c>
      <c r="G726" t="n">
        <v>3.6</v>
      </c>
      <c r="H726" t="n">
        <v>0</v>
      </c>
      <c r="I726" t="n">
        <v>0</v>
      </c>
      <c r="J726" t="n">
        <v>0</v>
      </c>
      <c r="K726" t="n">
        <v>0</v>
      </c>
      <c r="L726" t="n">
        <v>0</v>
      </c>
      <c r="M726" t="n">
        <v>0</v>
      </c>
      <c r="N726" t="n">
        <v>0</v>
      </c>
      <c r="O726" t="n">
        <v>0</v>
      </c>
      <c r="P726" t="n">
        <v>0</v>
      </c>
      <c r="Q726" t="n">
        <v>0</v>
      </c>
      <c r="R726" s="2" t="inlineStr"/>
    </row>
    <row r="727" ht="15" customHeight="1">
      <c r="A727" t="inlineStr">
        <is>
          <t>A 40664-2024</t>
        </is>
      </c>
      <c r="B727" s="1" t="n">
        <v>45558</v>
      </c>
      <c r="C727" s="1" t="n">
        <v>45764</v>
      </c>
      <c r="D727" t="inlineStr">
        <is>
          <t>VÄSTERNORRLANDS LÄN</t>
        </is>
      </c>
      <c r="E727" t="inlineStr">
        <is>
          <t>TIMRÅ</t>
        </is>
      </c>
      <c r="G727" t="n">
        <v>1.6</v>
      </c>
      <c r="H727" t="n">
        <v>0</v>
      </c>
      <c r="I727" t="n">
        <v>0</v>
      </c>
      <c r="J727" t="n">
        <v>0</v>
      </c>
      <c r="K727" t="n">
        <v>0</v>
      </c>
      <c r="L727" t="n">
        <v>0</v>
      </c>
      <c r="M727" t="n">
        <v>0</v>
      </c>
      <c r="N727" t="n">
        <v>0</v>
      </c>
      <c r="O727" t="n">
        <v>0</v>
      </c>
      <c r="P727" t="n">
        <v>0</v>
      </c>
      <c r="Q727" t="n">
        <v>0</v>
      </c>
      <c r="R727" s="2" t="inlineStr"/>
    </row>
    <row r="728" ht="15" customHeight="1">
      <c r="A728" t="inlineStr">
        <is>
          <t>A 40762-2024</t>
        </is>
      </c>
      <c r="B728" s="1" t="n">
        <v>45558</v>
      </c>
      <c r="C728" s="1" t="n">
        <v>45764</v>
      </c>
      <c r="D728" t="inlineStr">
        <is>
          <t>VÄSTERNORRLANDS LÄN</t>
        </is>
      </c>
      <c r="E728" t="inlineStr">
        <is>
          <t>TIMRÅ</t>
        </is>
      </c>
      <c r="F728" t="inlineStr">
        <is>
          <t>SCA</t>
        </is>
      </c>
      <c r="G728" t="n">
        <v>7.9</v>
      </c>
      <c r="H728" t="n">
        <v>0</v>
      </c>
      <c r="I728" t="n">
        <v>0</v>
      </c>
      <c r="J728" t="n">
        <v>0</v>
      </c>
      <c r="K728" t="n">
        <v>0</v>
      </c>
      <c r="L728" t="n">
        <v>0</v>
      </c>
      <c r="M728" t="n">
        <v>0</v>
      </c>
      <c r="N728" t="n">
        <v>0</v>
      </c>
      <c r="O728" t="n">
        <v>0</v>
      </c>
      <c r="P728" t="n">
        <v>0</v>
      </c>
      <c r="Q728" t="n">
        <v>0</v>
      </c>
      <c r="R728" s="2" t="inlineStr"/>
    </row>
    <row r="729" ht="15" customHeight="1">
      <c r="A729" t="inlineStr">
        <is>
          <t>A 41596-2024</t>
        </is>
      </c>
      <c r="B729" s="1" t="n">
        <v>45560</v>
      </c>
      <c r="C729" s="1" t="n">
        <v>45764</v>
      </c>
      <c r="D729" t="inlineStr">
        <is>
          <t>VÄSTERNORRLANDS LÄN</t>
        </is>
      </c>
      <c r="E729" t="inlineStr">
        <is>
          <t>TIMRÅ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42112-2024</t>
        </is>
      </c>
      <c r="B730" s="1" t="n">
        <v>45562</v>
      </c>
      <c r="C730" s="1" t="n">
        <v>45764</v>
      </c>
      <c r="D730" t="inlineStr">
        <is>
          <t>VÄSTERNORRLANDS LÄN</t>
        </is>
      </c>
      <c r="E730" t="inlineStr">
        <is>
          <t>TIMRÅ</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42094-2024</t>
        </is>
      </c>
      <c r="B731" s="1" t="n">
        <v>45562</v>
      </c>
      <c r="C731" s="1" t="n">
        <v>45764</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42855-2024</t>
        </is>
      </c>
      <c r="B732" s="1" t="n">
        <v>45566</v>
      </c>
      <c r="C732" s="1" t="n">
        <v>45764</v>
      </c>
      <c r="D732" t="inlineStr">
        <is>
          <t>VÄSTERNORRLANDS LÄN</t>
        </is>
      </c>
      <c r="E732" t="inlineStr">
        <is>
          <t>TIMRÅ</t>
        </is>
      </c>
      <c r="G732" t="n">
        <v>2.5</v>
      </c>
      <c r="H732" t="n">
        <v>0</v>
      </c>
      <c r="I732" t="n">
        <v>0</v>
      </c>
      <c r="J732" t="n">
        <v>0</v>
      </c>
      <c r="K732" t="n">
        <v>0</v>
      </c>
      <c r="L732" t="n">
        <v>0</v>
      </c>
      <c r="M732" t="n">
        <v>0</v>
      </c>
      <c r="N732" t="n">
        <v>0</v>
      </c>
      <c r="O732" t="n">
        <v>0</v>
      </c>
      <c r="P732" t="n">
        <v>0</v>
      </c>
      <c r="Q732" t="n">
        <v>0</v>
      </c>
      <c r="R732" s="2" t="inlineStr"/>
    </row>
    <row r="733" ht="15" customHeight="1">
      <c r="A733" t="inlineStr">
        <is>
          <t>A 42860-2024</t>
        </is>
      </c>
      <c r="B733" s="1" t="n">
        <v>45566</v>
      </c>
      <c r="C733" s="1" t="n">
        <v>45764</v>
      </c>
      <c r="D733" t="inlineStr">
        <is>
          <t>VÄSTERNORRLANDS LÄN</t>
        </is>
      </c>
      <c r="E733" t="inlineStr">
        <is>
          <t>TIMRÅ</t>
        </is>
      </c>
      <c r="G733" t="n">
        <v>3.9</v>
      </c>
      <c r="H733" t="n">
        <v>0</v>
      </c>
      <c r="I733" t="n">
        <v>0</v>
      </c>
      <c r="J733" t="n">
        <v>0</v>
      </c>
      <c r="K733" t="n">
        <v>0</v>
      </c>
      <c r="L733" t="n">
        <v>0</v>
      </c>
      <c r="M733" t="n">
        <v>0</v>
      </c>
      <c r="N733" t="n">
        <v>0</v>
      </c>
      <c r="O733" t="n">
        <v>0</v>
      </c>
      <c r="P733" t="n">
        <v>0</v>
      </c>
      <c r="Q733" t="n">
        <v>0</v>
      </c>
      <c r="R733" s="2" t="inlineStr"/>
    </row>
    <row r="734" ht="15" customHeight="1">
      <c r="A734" t="inlineStr">
        <is>
          <t>A 43167-2024</t>
        </is>
      </c>
      <c r="B734" s="1" t="n">
        <v>45567</v>
      </c>
      <c r="C734" s="1" t="n">
        <v>45764</v>
      </c>
      <c r="D734" t="inlineStr">
        <is>
          <t>VÄSTERNORRLANDS LÄN</t>
        </is>
      </c>
      <c r="E734" t="inlineStr">
        <is>
          <t>TIMRÅ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43172-2024</t>
        </is>
      </c>
      <c r="B735" s="1" t="n">
        <v>45567</v>
      </c>
      <c r="C735" s="1" t="n">
        <v>45764</v>
      </c>
      <c r="D735" t="inlineStr">
        <is>
          <t>VÄSTERNORRLANDS LÄN</t>
        </is>
      </c>
      <c r="E735" t="inlineStr">
        <is>
          <t>TIMRÅ</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43006-2024</t>
        </is>
      </c>
      <c r="B736" s="1" t="n">
        <v>45567</v>
      </c>
      <c r="C736" s="1" t="n">
        <v>45764</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43345-2024</t>
        </is>
      </c>
      <c r="B737" s="1" t="n">
        <v>45568</v>
      </c>
      <c r="C737" s="1" t="n">
        <v>45764</v>
      </c>
      <c r="D737" t="inlineStr">
        <is>
          <t>VÄSTERNORRLANDS LÄN</t>
        </is>
      </c>
      <c r="E737" t="inlineStr">
        <is>
          <t>TIMRÅ</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43344-2024</t>
        </is>
      </c>
      <c r="B738" s="1" t="n">
        <v>45568</v>
      </c>
      <c r="C738" s="1" t="n">
        <v>45764</v>
      </c>
      <c r="D738" t="inlineStr">
        <is>
          <t>VÄSTERNORRLANDS LÄN</t>
        </is>
      </c>
      <c r="E738" t="inlineStr">
        <is>
          <t>TIMRÅ</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43526-2024</t>
        </is>
      </c>
      <c r="B739" s="1" t="n">
        <v>45569</v>
      </c>
      <c r="C739" s="1" t="n">
        <v>45764</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43527-2024</t>
        </is>
      </c>
      <c r="B740" s="1" t="n">
        <v>45569</v>
      </c>
      <c r="C740" s="1" t="n">
        <v>45764</v>
      </c>
      <c r="D740" t="inlineStr">
        <is>
          <t>VÄSTERNORRLANDS LÄN</t>
        </is>
      </c>
      <c r="E740" t="inlineStr">
        <is>
          <t>TIMRÅ</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43868-2024</t>
        </is>
      </c>
      <c r="B741" s="1" t="n">
        <v>45569</v>
      </c>
      <c r="C741" s="1" t="n">
        <v>45764</v>
      </c>
      <c r="D741" t="inlineStr">
        <is>
          <t>VÄSTERNORRLANDS LÄN</t>
        </is>
      </c>
      <c r="E741" t="inlineStr">
        <is>
          <t>TIMRÅ</t>
        </is>
      </c>
      <c r="G741" t="n">
        <v>1.8</v>
      </c>
      <c r="H741" t="n">
        <v>0</v>
      </c>
      <c r="I741" t="n">
        <v>0</v>
      </c>
      <c r="J741" t="n">
        <v>0</v>
      </c>
      <c r="K741" t="n">
        <v>0</v>
      </c>
      <c r="L741" t="n">
        <v>0</v>
      </c>
      <c r="M741" t="n">
        <v>0</v>
      </c>
      <c r="N741" t="n">
        <v>0</v>
      </c>
      <c r="O741" t="n">
        <v>0</v>
      </c>
      <c r="P741" t="n">
        <v>0</v>
      </c>
      <c r="Q741" t="n">
        <v>0</v>
      </c>
      <c r="R741" s="2" t="inlineStr"/>
    </row>
    <row r="742" ht="15" customHeight="1">
      <c r="A742" t="inlineStr">
        <is>
          <t>A 43568-2024</t>
        </is>
      </c>
      <c r="B742" s="1" t="n">
        <v>45569</v>
      </c>
      <c r="C742" s="1" t="n">
        <v>45764</v>
      </c>
      <c r="D742" t="inlineStr">
        <is>
          <t>VÄSTERNORRLANDS LÄN</t>
        </is>
      </c>
      <c r="E742" t="inlineStr">
        <is>
          <t>TIMRÅ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44011-2024</t>
        </is>
      </c>
      <c r="B743" s="1" t="n">
        <v>45572</v>
      </c>
      <c r="C743" s="1" t="n">
        <v>45764</v>
      </c>
      <c r="D743" t="inlineStr">
        <is>
          <t>VÄSTERNORRLANDS LÄN</t>
        </is>
      </c>
      <c r="E743" t="inlineStr">
        <is>
          <t>TIMRÅ</t>
        </is>
      </c>
      <c r="G743" t="n">
        <v>7.6</v>
      </c>
      <c r="H743" t="n">
        <v>0</v>
      </c>
      <c r="I743" t="n">
        <v>0</v>
      </c>
      <c r="J743" t="n">
        <v>0</v>
      </c>
      <c r="K743" t="n">
        <v>0</v>
      </c>
      <c r="L743" t="n">
        <v>0</v>
      </c>
      <c r="M743" t="n">
        <v>0</v>
      </c>
      <c r="N743" t="n">
        <v>0</v>
      </c>
      <c r="O743" t="n">
        <v>0</v>
      </c>
      <c r="P743" t="n">
        <v>0</v>
      </c>
      <c r="Q743" t="n">
        <v>0</v>
      </c>
      <c r="R743" s="2" t="inlineStr"/>
    </row>
    <row r="744" ht="15" customHeight="1">
      <c r="A744" t="inlineStr">
        <is>
          <t>A 44030-2024</t>
        </is>
      </c>
      <c r="B744" s="1" t="n">
        <v>45572</v>
      </c>
      <c r="C744" s="1" t="n">
        <v>45764</v>
      </c>
      <c r="D744" t="inlineStr">
        <is>
          <t>VÄSTERNORRLANDS LÄN</t>
        </is>
      </c>
      <c r="E744" t="inlineStr">
        <is>
          <t>TIMRÅ</t>
        </is>
      </c>
      <c r="G744" t="n">
        <v>2.1</v>
      </c>
      <c r="H744" t="n">
        <v>0</v>
      </c>
      <c r="I744" t="n">
        <v>0</v>
      </c>
      <c r="J744" t="n">
        <v>0</v>
      </c>
      <c r="K744" t="n">
        <v>0</v>
      </c>
      <c r="L744" t="n">
        <v>0</v>
      </c>
      <c r="M744" t="n">
        <v>0</v>
      </c>
      <c r="N744" t="n">
        <v>0</v>
      </c>
      <c r="O744" t="n">
        <v>0</v>
      </c>
      <c r="P744" t="n">
        <v>0</v>
      </c>
      <c r="Q744" t="n">
        <v>0</v>
      </c>
      <c r="R744" s="2" t="inlineStr"/>
    </row>
    <row r="745" ht="15" customHeight="1">
      <c r="A745" t="inlineStr">
        <is>
          <t>A 44664-2024</t>
        </is>
      </c>
      <c r="B745" s="1" t="n">
        <v>45574</v>
      </c>
      <c r="C745" s="1" t="n">
        <v>45764</v>
      </c>
      <c r="D745" t="inlineStr">
        <is>
          <t>VÄSTERNORRLANDS LÄN</t>
        </is>
      </c>
      <c r="E745" t="inlineStr">
        <is>
          <t>TIMRÅ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45608-2024</t>
        </is>
      </c>
      <c r="B746" s="1" t="n">
        <v>45579</v>
      </c>
      <c r="C746" s="1" t="n">
        <v>45764</v>
      </c>
      <c r="D746" t="inlineStr">
        <is>
          <t>VÄSTERNORRLANDS LÄN</t>
        </is>
      </c>
      <c r="E746" t="inlineStr">
        <is>
          <t>TIMRÅ</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45685-2024</t>
        </is>
      </c>
      <c r="B747" s="1" t="n">
        <v>45579</v>
      </c>
      <c r="C747" s="1" t="n">
        <v>45764</v>
      </c>
      <c r="D747" t="inlineStr">
        <is>
          <t>VÄSTERNORRLANDS LÄN</t>
        </is>
      </c>
      <c r="E747" t="inlineStr">
        <is>
          <t>TIMRÅ</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45673-2024</t>
        </is>
      </c>
      <c r="B748" s="1" t="n">
        <v>45579</v>
      </c>
      <c r="C748" s="1" t="n">
        <v>45764</v>
      </c>
      <c r="D748" t="inlineStr">
        <is>
          <t>VÄSTERNORRLANDS LÄN</t>
        </is>
      </c>
      <c r="E748" t="inlineStr">
        <is>
          <t>TIMRÅ</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45627-2024</t>
        </is>
      </c>
      <c r="B749" s="1" t="n">
        <v>45579</v>
      </c>
      <c r="C749" s="1" t="n">
        <v>45764</v>
      </c>
      <c r="D749" t="inlineStr">
        <is>
          <t>VÄSTERNORRLANDS LÄN</t>
        </is>
      </c>
      <c r="E749" t="inlineStr">
        <is>
          <t>TIMRÅ</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45586-2024</t>
        </is>
      </c>
      <c r="B750" s="1" t="n">
        <v>45579</v>
      </c>
      <c r="C750" s="1" t="n">
        <v>45764</v>
      </c>
      <c r="D750" t="inlineStr">
        <is>
          <t>VÄSTERNORRLANDS LÄN</t>
        </is>
      </c>
      <c r="E750" t="inlineStr">
        <is>
          <t>TIMRÅ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45629-2024</t>
        </is>
      </c>
      <c r="B751" s="1" t="n">
        <v>45579</v>
      </c>
      <c r="C751" s="1" t="n">
        <v>45764</v>
      </c>
      <c r="D751" t="inlineStr">
        <is>
          <t>VÄSTERNORRLANDS LÄN</t>
        </is>
      </c>
      <c r="E751" t="inlineStr">
        <is>
          <t>TIMRÅ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45720-2024</t>
        </is>
      </c>
      <c r="B752" s="1" t="n">
        <v>45579</v>
      </c>
      <c r="C752" s="1" t="n">
        <v>45764</v>
      </c>
      <c r="D752" t="inlineStr">
        <is>
          <t>VÄSTERNORRLANDS LÄN</t>
        </is>
      </c>
      <c r="E752" t="inlineStr">
        <is>
          <t>TIMRÅ</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45630-2024</t>
        </is>
      </c>
      <c r="B753" s="1" t="n">
        <v>45579</v>
      </c>
      <c r="C753" s="1" t="n">
        <v>45764</v>
      </c>
      <c r="D753" t="inlineStr">
        <is>
          <t>VÄSTERNORRLANDS LÄN</t>
        </is>
      </c>
      <c r="E753" t="inlineStr">
        <is>
          <t>TIMRÅ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45886-2024</t>
        </is>
      </c>
      <c r="B754" s="1" t="n">
        <v>45580</v>
      </c>
      <c r="C754" s="1" t="n">
        <v>45764</v>
      </c>
      <c r="D754" t="inlineStr">
        <is>
          <t>VÄSTERNORRLANDS LÄN</t>
        </is>
      </c>
      <c r="E754" t="inlineStr">
        <is>
          <t>TIMRÅ</t>
        </is>
      </c>
      <c r="G754" t="n">
        <v>1.1</v>
      </c>
      <c r="H754" t="n">
        <v>0</v>
      </c>
      <c r="I754" t="n">
        <v>0</v>
      </c>
      <c r="J754" t="n">
        <v>0</v>
      </c>
      <c r="K754" t="n">
        <v>0</v>
      </c>
      <c r="L754" t="n">
        <v>0</v>
      </c>
      <c r="M754" t="n">
        <v>0</v>
      </c>
      <c r="N754" t="n">
        <v>0</v>
      </c>
      <c r="O754" t="n">
        <v>0</v>
      </c>
      <c r="P754" t="n">
        <v>0</v>
      </c>
      <c r="Q754" t="n">
        <v>0</v>
      </c>
      <c r="R754" s="2" t="inlineStr"/>
    </row>
    <row r="755" ht="15" customHeight="1">
      <c r="A755" t="inlineStr">
        <is>
          <t>A 45942-2024</t>
        </is>
      </c>
      <c r="B755" s="1" t="n">
        <v>45580</v>
      </c>
      <c r="C755" s="1" t="n">
        <v>45764</v>
      </c>
      <c r="D755" t="inlineStr">
        <is>
          <t>VÄSTERNORRLANDS LÄN</t>
        </is>
      </c>
      <c r="E755" t="inlineStr">
        <is>
          <t>TIMRÅ</t>
        </is>
      </c>
      <c r="G755" t="n">
        <v>2.1</v>
      </c>
      <c r="H755" t="n">
        <v>0</v>
      </c>
      <c r="I755" t="n">
        <v>0</v>
      </c>
      <c r="J755" t="n">
        <v>0</v>
      </c>
      <c r="K755" t="n">
        <v>0</v>
      </c>
      <c r="L755" t="n">
        <v>0</v>
      </c>
      <c r="M755" t="n">
        <v>0</v>
      </c>
      <c r="N755" t="n">
        <v>0</v>
      </c>
      <c r="O755" t="n">
        <v>0</v>
      </c>
      <c r="P755" t="n">
        <v>0</v>
      </c>
      <c r="Q755" t="n">
        <v>0</v>
      </c>
      <c r="R755" s="2" t="inlineStr"/>
    </row>
    <row r="756" ht="15" customHeight="1">
      <c r="A756" t="inlineStr">
        <is>
          <t>A 46131-2024</t>
        </is>
      </c>
      <c r="B756" s="1" t="n">
        <v>45581</v>
      </c>
      <c r="C756" s="1" t="n">
        <v>45764</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47089-2024</t>
        </is>
      </c>
      <c r="B757" s="1" t="n">
        <v>45586</v>
      </c>
      <c r="C757" s="1" t="n">
        <v>45764</v>
      </c>
      <c r="D757" t="inlineStr">
        <is>
          <t>VÄSTERNORRLANDS LÄN</t>
        </is>
      </c>
      <c r="E757" t="inlineStr">
        <is>
          <t>TIMRÅ</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47341-2024</t>
        </is>
      </c>
      <c r="B758" s="1" t="n">
        <v>45587</v>
      </c>
      <c r="C758" s="1" t="n">
        <v>45764</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47848-2024</t>
        </is>
      </c>
      <c r="B759" s="1" t="n">
        <v>45588</v>
      </c>
      <c r="C759" s="1" t="n">
        <v>45764</v>
      </c>
      <c r="D759" t="inlineStr">
        <is>
          <t>VÄSTERNORRLANDS LÄN</t>
        </is>
      </c>
      <c r="E759" t="inlineStr">
        <is>
          <t>TIMRÅ</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48031-2024</t>
        </is>
      </c>
      <c r="B760" s="1" t="n">
        <v>45589</v>
      </c>
      <c r="C760" s="1" t="n">
        <v>45764</v>
      </c>
      <c r="D760" t="inlineStr">
        <is>
          <t>VÄSTERNORRLANDS LÄN</t>
        </is>
      </c>
      <c r="E760" t="inlineStr">
        <is>
          <t>TIMRÅ</t>
        </is>
      </c>
      <c r="G760" t="n">
        <v>8.9</v>
      </c>
      <c r="H760" t="n">
        <v>0</v>
      </c>
      <c r="I760" t="n">
        <v>0</v>
      </c>
      <c r="J760" t="n">
        <v>0</v>
      </c>
      <c r="K760" t="n">
        <v>0</v>
      </c>
      <c r="L760" t="n">
        <v>0</v>
      </c>
      <c r="M760" t="n">
        <v>0</v>
      </c>
      <c r="N760" t="n">
        <v>0</v>
      </c>
      <c r="O760" t="n">
        <v>0</v>
      </c>
      <c r="P760" t="n">
        <v>0</v>
      </c>
      <c r="Q760" t="n">
        <v>0</v>
      </c>
      <c r="R760" s="2" t="inlineStr"/>
    </row>
    <row r="761" ht="15" customHeight="1">
      <c r="A761" t="inlineStr">
        <is>
          <t>A 48005-2024</t>
        </is>
      </c>
      <c r="B761" s="1" t="n">
        <v>45589</v>
      </c>
      <c r="C761" s="1" t="n">
        <v>45764</v>
      </c>
      <c r="D761" t="inlineStr">
        <is>
          <t>VÄSTERNORRLANDS LÄN</t>
        </is>
      </c>
      <c r="E761" t="inlineStr">
        <is>
          <t>TIMRÅ</t>
        </is>
      </c>
      <c r="G761" t="n">
        <v>2.4</v>
      </c>
      <c r="H761" t="n">
        <v>0</v>
      </c>
      <c r="I761" t="n">
        <v>0</v>
      </c>
      <c r="J761" t="n">
        <v>0</v>
      </c>
      <c r="K761" t="n">
        <v>0</v>
      </c>
      <c r="L761" t="n">
        <v>0</v>
      </c>
      <c r="M761" t="n">
        <v>0</v>
      </c>
      <c r="N761" t="n">
        <v>0</v>
      </c>
      <c r="O761" t="n">
        <v>0</v>
      </c>
      <c r="P761" t="n">
        <v>0</v>
      </c>
      <c r="Q761" t="n">
        <v>0</v>
      </c>
      <c r="R761" s="2" t="inlineStr"/>
    </row>
    <row r="762" ht="15" customHeight="1">
      <c r="A762" t="inlineStr">
        <is>
          <t>A 47952-2024</t>
        </is>
      </c>
      <c r="B762" s="1" t="n">
        <v>45589</v>
      </c>
      <c r="C762" s="1" t="n">
        <v>45764</v>
      </c>
      <c r="D762" t="inlineStr">
        <is>
          <t>VÄSTERNORRLANDS LÄN</t>
        </is>
      </c>
      <c r="E762" t="inlineStr">
        <is>
          <t>TIMRÅ</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48397-2024</t>
        </is>
      </c>
      <c r="B763" s="1" t="n">
        <v>45590</v>
      </c>
      <c r="C763" s="1" t="n">
        <v>45764</v>
      </c>
      <c r="D763" t="inlineStr">
        <is>
          <t>VÄSTERNORRLANDS LÄN</t>
        </is>
      </c>
      <c r="E763" t="inlineStr">
        <is>
          <t>TIMRÅ</t>
        </is>
      </c>
      <c r="G763" t="n">
        <v>4.2</v>
      </c>
      <c r="H763" t="n">
        <v>0</v>
      </c>
      <c r="I763" t="n">
        <v>0</v>
      </c>
      <c r="J763" t="n">
        <v>0</v>
      </c>
      <c r="K763" t="n">
        <v>0</v>
      </c>
      <c r="L763" t="n">
        <v>0</v>
      </c>
      <c r="M763" t="n">
        <v>0</v>
      </c>
      <c r="N763" t="n">
        <v>0</v>
      </c>
      <c r="O763" t="n">
        <v>0</v>
      </c>
      <c r="P763" t="n">
        <v>0</v>
      </c>
      <c r="Q763" t="n">
        <v>0</v>
      </c>
      <c r="R763" s="2" t="inlineStr"/>
    </row>
    <row r="764" ht="15" customHeight="1">
      <c r="A764" t="inlineStr">
        <is>
          <t>A 48704-2024</t>
        </is>
      </c>
      <c r="B764" s="1" t="n">
        <v>45593</v>
      </c>
      <c r="C764" s="1" t="n">
        <v>45764</v>
      </c>
      <c r="D764" t="inlineStr">
        <is>
          <t>VÄSTERNORRLANDS LÄN</t>
        </is>
      </c>
      <c r="E764" t="inlineStr">
        <is>
          <t>TIMRÅ</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48669-2024</t>
        </is>
      </c>
      <c r="B765" s="1" t="n">
        <v>45593</v>
      </c>
      <c r="C765" s="1" t="n">
        <v>45764</v>
      </c>
      <c r="D765" t="inlineStr">
        <is>
          <t>VÄSTERNORRLANDS LÄN</t>
        </is>
      </c>
      <c r="E765" t="inlineStr">
        <is>
          <t>TIMRÅ</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48694-2024</t>
        </is>
      </c>
      <c r="B766" s="1" t="n">
        <v>45593</v>
      </c>
      <c r="C766" s="1" t="n">
        <v>45764</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48563-2024</t>
        </is>
      </c>
      <c r="B767" s="1" t="n">
        <v>45593</v>
      </c>
      <c r="C767" s="1" t="n">
        <v>45764</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49072-2024</t>
        </is>
      </c>
      <c r="B768" s="1" t="n">
        <v>45594</v>
      </c>
      <c r="C768" s="1" t="n">
        <v>45764</v>
      </c>
      <c r="D768" t="inlineStr">
        <is>
          <t>VÄSTERNORRLANDS LÄN</t>
        </is>
      </c>
      <c r="E768" t="inlineStr">
        <is>
          <t>TIMRÅ</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49061-2024</t>
        </is>
      </c>
      <c r="B769" s="1" t="n">
        <v>45594</v>
      </c>
      <c r="C769" s="1" t="n">
        <v>45764</v>
      </c>
      <c r="D769" t="inlineStr">
        <is>
          <t>VÄSTERNORRLANDS LÄN</t>
        </is>
      </c>
      <c r="E769" t="inlineStr">
        <is>
          <t>TIMRÅ</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49310-2024</t>
        </is>
      </c>
      <c r="B770" s="1" t="n">
        <v>45595</v>
      </c>
      <c r="C770" s="1" t="n">
        <v>45764</v>
      </c>
      <c r="D770" t="inlineStr">
        <is>
          <t>VÄSTERNORRLANDS LÄN</t>
        </is>
      </c>
      <c r="E770" t="inlineStr">
        <is>
          <t>TIMRÅ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49495-2024</t>
        </is>
      </c>
      <c r="B771" s="1" t="n">
        <v>45596</v>
      </c>
      <c r="C771" s="1" t="n">
        <v>45764</v>
      </c>
      <c r="D771" t="inlineStr">
        <is>
          <t>VÄSTERNORRLANDS LÄN</t>
        </is>
      </c>
      <c r="E771" t="inlineStr">
        <is>
          <t>TIMRÅ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50699-2024</t>
        </is>
      </c>
      <c r="B772" s="1" t="n">
        <v>45602</v>
      </c>
      <c r="C772" s="1" t="n">
        <v>45764</v>
      </c>
      <c r="D772" t="inlineStr">
        <is>
          <t>VÄSTERNORRLANDS LÄN</t>
        </is>
      </c>
      <c r="E772" t="inlineStr">
        <is>
          <t>TIMRÅ</t>
        </is>
      </c>
      <c r="G772" t="n">
        <v>1.4</v>
      </c>
      <c r="H772" t="n">
        <v>0</v>
      </c>
      <c r="I772" t="n">
        <v>0</v>
      </c>
      <c r="J772" t="n">
        <v>0</v>
      </c>
      <c r="K772" t="n">
        <v>0</v>
      </c>
      <c r="L772" t="n">
        <v>0</v>
      </c>
      <c r="M772" t="n">
        <v>0</v>
      </c>
      <c r="N772" t="n">
        <v>0</v>
      </c>
      <c r="O772" t="n">
        <v>0</v>
      </c>
      <c r="P772" t="n">
        <v>0</v>
      </c>
      <c r="Q772" t="n">
        <v>0</v>
      </c>
      <c r="R772" s="2" t="inlineStr"/>
    </row>
    <row r="773" ht="15" customHeight="1">
      <c r="A773" t="inlineStr">
        <is>
          <t>A 51196-2024</t>
        </is>
      </c>
      <c r="B773" s="1" t="n">
        <v>45603</v>
      </c>
      <c r="C773" s="1" t="n">
        <v>45764</v>
      </c>
      <c r="D773" t="inlineStr">
        <is>
          <t>VÄSTERNORRLANDS LÄN</t>
        </is>
      </c>
      <c r="E773" t="inlineStr">
        <is>
          <t>TIMRÅ</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51490-2024</t>
        </is>
      </c>
      <c r="B774" s="1" t="n">
        <v>45604</v>
      </c>
      <c r="C774" s="1" t="n">
        <v>45764</v>
      </c>
      <c r="D774" t="inlineStr">
        <is>
          <t>VÄSTERNORRLANDS LÄN</t>
        </is>
      </c>
      <c r="E774" t="inlineStr">
        <is>
          <t>TIMRÅ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52346-2024</t>
        </is>
      </c>
      <c r="B775" s="1" t="n">
        <v>45609</v>
      </c>
      <c r="C775" s="1" t="n">
        <v>45764</v>
      </c>
      <c r="D775" t="inlineStr">
        <is>
          <t>VÄSTERNORRLANDS LÄN</t>
        </is>
      </c>
      <c r="E775" t="inlineStr">
        <is>
          <t>TIMRÅ</t>
        </is>
      </c>
      <c r="F775" t="inlineStr">
        <is>
          <t>SCA</t>
        </is>
      </c>
      <c r="G775" t="n">
        <v>1.7</v>
      </c>
      <c r="H775" t="n">
        <v>0</v>
      </c>
      <c r="I775" t="n">
        <v>0</v>
      </c>
      <c r="J775" t="n">
        <v>0</v>
      </c>
      <c r="K775" t="n">
        <v>0</v>
      </c>
      <c r="L775" t="n">
        <v>0</v>
      </c>
      <c r="M775" t="n">
        <v>0</v>
      </c>
      <c r="N775" t="n">
        <v>0</v>
      </c>
      <c r="O775" t="n">
        <v>0</v>
      </c>
      <c r="P775" t="n">
        <v>0</v>
      </c>
      <c r="Q775" t="n">
        <v>0</v>
      </c>
      <c r="R775" s="2" t="inlineStr"/>
      <c r="U775">
        <f>HYPERLINK("https://klasma.github.io/Logging_2262/knärot/A 52346-2024 karta knärot.png", "A 52346-2024")</f>
        <v/>
      </c>
      <c r="V775">
        <f>HYPERLINK("https://klasma.github.io/Logging_2262/klagomål/A 52346-2024 FSC-klagomål.docx", "A 52346-2024")</f>
        <v/>
      </c>
      <c r="W775">
        <f>HYPERLINK("https://klasma.github.io/Logging_2262/klagomålsmail/A 52346-2024 FSC-klagomål mail.docx", "A 52346-2024")</f>
        <v/>
      </c>
      <c r="X775">
        <f>HYPERLINK("https://klasma.github.io/Logging_2262/tillsyn/A 52346-2024 tillsynsbegäran.docx", "A 52346-2024")</f>
        <v/>
      </c>
      <c r="Y775">
        <f>HYPERLINK("https://klasma.github.io/Logging_2262/tillsynsmail/A 52346-2024 tillsynsbegäran mail.docx", "A 52346-2024")</f>
        <v/>
      </c>
    </row>
    <row r="776" ht="15" customHeight="1">
      <c r="A776" t="inlineStr">
        <is>
          <t>A 52474-2024</t>
        </is>
      </c>
      <c r="B776" s="1" t="n">
        <v>45609</v>
      </c>
      <c r="C776" s="1" t="n">
        <v>45764</v>
      </c>
      <c r="D776" t="inlineStr">
        <is>
          <t>VÄSTERNORRLANDS LÄN</t>
        </is>
      </c>
      <c r="E776" t="inlineStr">
        <is>
          <t>TIMRÅ</t>
        </is>
      </c>
      <c r="G776" t="n">
        <v>0.7</v>
      </c>
      <c r="H776" t="n">
        <v>0</v>
      </c>
      <c r="I776" t="n">
        <v>0</v>
      </c>
      <c r="J776" t="n">
        <v>0</v>
      </c>
      <c r="K776" t="n">
        <v>0</v>
      </c>
      <c r="L776" t="n">
        <v>0</v>
      </c>
      <c r="M776" t="n">
        <v>0</v>
      </c>
      <c r="N776" t="n">
        <v>0</v>
      </c>
      <c r="O776" t="n">
        <v>0</v>
      </c>
      <c r="P776" t="n">
        <v>0</v>
      </c>
      <c r="Q776" t="n">
        <v>0</v>
      </c>
      <c r="R776" s="2" t="inlineStr"/>
    </row>
    <row r="777" ht="15" customHeight="1">
      <c r="A777" t="inlineStr">
        <is>
          <t>A 52761-2024</t>
        </is>
      </c>
      <c r="B777" s="1" t="n">
        <v>45610</v>
      </c>
      <c r="C777" s="1" t="n">
        <v>45764</v>
      </c>
      <c r="D777" t="inlineStr">
        <is>
          <t>VÄSTERNORRLANDS LÄN</t>
        </is>
      </c>
      <c r="E777" t="inlineStr">
        <is>
          <t>TIMRÅ</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52909-2024</t>
        </is>
      </c>
      <c r="B778" s="1" t="n">
        <v>45610</v>
      </c>
      <c r="C778" s="1" t="n">
        <v>45764</v>
      </c>
      <c r="D778" t="inlineStr">
        <is>
          <t>VÄSTERNORRLANDS LÄN</t>
        </is>
      </c>
      <c r="E778" t="inlineStr">
        <is>
          <t>TIMRÅ</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53303-2024</t>
        </is>
      </c>
      <c r="B779" s="1" t="n">
        <v>45614</v>
      </c>
      <c r="C779" s="1" t="n">
        <v>45764</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53299-2024</t>
        </is>
      </c>
      <c r="B780" s="1" t="n">
        <v>45614</v>
      </c>
      <c r="C780" s="1" t="n">
        <v>45764</v>
      </c>
      <c r="D780" t="inlineStr">
        <is>
          <t>VÄSTERNORRLANDS LÄN</t>
        </is>
      </c>
      <c r="E780" t="inlineStr">
        <is>
          <t>TIMRÅ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53292-2024</t>
        </is>
      </c>
      <c r="B781" s="1" t="n">
        <v>45614</v>
      </c>
      <c r="C781" s="1" t="n">
        <v>45764</v>
      </c>
      <c r="D781" t="inlineStr">
        <is>
          <t>VÄSTERNORRLANDS LÄN</t>
        </is>
      </c>
      <c r="E781" t="inlineStr">
        <is>
          <t>TIMRÅ</t>
        </is>
      </c>
      <c r="F781" t="inlineStr">
        <is>
          <t>SCA</t>
        </is>
      </c>
      <c r="G781" t="n">
        <v>6.9</v>
      </c>
      <c r="H781" t="n">
        <v>0</v>
      </c>
      <c r="I781" t="n">
        <v>0</v>
      </c>
      <c r="J781" t="n">
        <v>0</v>
      </c>
      <c r="K781" t="n">
        <v>0</v>
      </c>
      <c r="L781" t="n">
        <v>0</v>
      </c>
      <c r="M781" t="n">
        <v>0</v>
      </c>
      <c r="N781" t="n">
        <v>0</v>
      </c>
      <c r="O781" t="n">
        <v>0</v>
      </c>
      <c r="P781" t="n">
        <v>0</v>
      </c>
      <c r="Q781" t="n">
        <v>0</v>
      </c>
      <c r="R781" s="2" t="inlineStr"/>
    </row>
    <row r="782" ht="15" customHeight="1">
      <c r="A782" t="inlineStr">
        <is>
          <t>A 53302-2024</t>
        </is>
      </c>
      <c r="B782" s="1" t="n">
        <v>45614</v>
      </c>
      <c r="C782" s="1" t="n">
        <v>45764</v>
      </c>
      <c r="D782" t="inlineStr">
        <is>
          <t>VÄSTERNORRLANDS LÄN</t>
        </is>
      </c>
      <c r="E782" t="inlineStr">
        <is>
          <t>TIMRÅ</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53298-2024</t>
        </is>
      </c>
      <c r="B783" s="1" t="n">
        <v>45614</v>
      </c>
      <c r="C783" s="1" t="n">
        <v>45764</v>
      </c>
      <c r="D783" t="inlineStr">
        <is>
          <t>VÄSTERNORRLANDS LÄN</t>
        </is>
      </c>
      <c r="E783" t="inlineStr">
        <is>
          <t>TIMRÅ</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53294-2024</t>
        </is>
      </c>
      <c r="B784" s="1" t="n">
        <v>45614</v>
      </c>
      <c r="C784" s="1" t="n">
        <v>45764</v>
      </c>
      <c r="D784" t="inlineStr">
        <is>
          <t>VÄSTERNORRLANDS LÄN</t>
        </is>
      </c>
      <c r="E784" t="inlineStr">
        <is>
          <t>TIMRÅ</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53289-2024</t>
        </is>
      </c>
      <c r="B785" s="1" t="n">
        <v>45614</v>
      </c>
      <c r="C785" s="1" t="n">
        <v>45764</v>
      </c>
      <c r="D785" t="inlineStr">
        <is>
          <t>VÄSTERNORRLANDS LÄN</t>
        </is>
      </c>
      <c r="E785" t="inlineStr">
        <is>
          <t>TIMRÅ</t>
        </is>
      </c>
      <c r="F785" t="inlineStr">
        <is>
          <t>SCA</t>
        </is>
      </c>
      <c r="G785" t="n">
        <v>7.8</v>
      </c>
      <c r="H785" t="n">
        <v>0</v>
      </c>
      <c r="I785" t="n">
        <v>0</v>
      </c>
      <c r="J785" t="n">
        <v>0</v>
      </c>
      <c r="K785" t="n">
        <v>0</v>
      </c>
      <c r="L785" t="n">
        <v>0</v>
      </c>
      <c r="M785" t="n">
        <v>0</v>
      </c>
      <c r="N785" t="n">
        <v>0</v>
      </c>
      <c r="O785" t="n">
        <v>0</v>
      </c>
      <c r="P785" t="n">
        <v>0</v>
      </c>
      <c r="Q785" t="n">
        <v>0</v>
      </c>
      <c r="R785" s="2" t="inlineStr"/>
    </row>
    <row r="786" ht="15" customHeight="1">
      <c r="A786" t="inlineStr">
        <is>
          <t>A 53301-2024</t>
        </is>
      </c>
      <c r="B786" s="1" t="n">
        <v>45614</v>
      </c>
      <c r="C786" s="1" t="n">
        <v>45764</v>
      </c>
      <c r="D786" t="inlineStr">
        <is>
          <t>VÄSTERNORRLANDS LÄN</t>
        </is>
      </c>
      <c r="E786" t="inlineStr">
        <is>
          <t>TIMRÅ</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53293-2024</t>
        </is>
      </c>
      <c r="B787" s="1" t="n">
        <v>45614</v>
      </c>
      <c r="C787" s="1" t="n">
        <v>45764</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53288-2024</t>
        </is>
      </c>
      <c r="B788" s="1" t="n">
        <v>45614</v>
      </c>
      <c r="C788" s="1" t="n">
        <v>45764</v>
      </c>
      <c r="D788" t="inlineStr">
        <is>
          <t>VÄSTERNORRLANDS LÄN</t>
        </is>
      </c>
      <c r="E788" t="inlineStr">
        <is>
          <t>TIMRÅ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54236-2024</t>
        </is>
      </c>
      <c r="B789" s="1" t="n">
        <v>45616</v>
      </c>
      <c r="C789" s="1" t="n">
        <v>45764</v>
      </c>
      <c r="D789" t="inlineStr">
        <is>
          <t>VÄSTERNORRLANDS LÄN</t>
        </is>
      </c>
      <c r="E789" t="inlineStr">
        <is>
          <t>TIMRÅ</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54547-2024</t>
        </is>
      </c>
      <c r="B790" s="1" t="n">
        <v>45617</v>
      </c>
      <c r="C790" s="1" t="n">
        <v>45764</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54322-2024</t>
        </is>
      </c>
      <c r="B791" s="1" t="n">
        <v>45617</v>
      </c>
      <c r="C791" s="1" t="n">
        <v>45764</v>
      </c>
      <c r="D791" t="inlineStr">
        <is>
          <t>VÄSTERNORRLANDS LÄN</t>
        </is>
      </c>
      <c r="E791" t="inlineStr">
        <is>
          <t>TIMRÅ</t>
        </is>
      </c>
      <c r="G791" t="n">
        <v>8</v>
      </c>
      <c r="H791" t="n">
        <v>0</v>
      </c>
      <c r="I791" t="n">
        <v>0</v>
      </c>
      <c r="J791" t="n">
        <v>0</v>
      </c>
      <c r="K791" t="n">
        <v>0</v>
      </c>
      <c r="L791" t="n">
        <v>0</v>
      </c>
      <c r="M791" t="n">
        <v>0</v>
      </c>
      <c r="N791" t="n">
        <v>0</v>
      </c>
      <c r="O791" t="n">
        <v>0</v>
      </c>
      <c r="P791" t="n">
        <v>0</v>
      </c>
      <c r="Q791" t="n">
        <v>0</v>
      </c>
      <c r="R791" s="2" t="inlineStr"/>
    </row>
    <row r="792" ht="15" customHeight="1">
      <c r="A792" t="inlineStr">
        <is>
          <t>A 54723-2024</t>
        </is>
      </c>
      <c r="B792" s="1" t="n">
        <v>45618</v>
      </c>
      <c r="C792" s="1" t="n">
        <v>45764</v>
      </c>
      <c r="D792" t="inlineStr">
        <is>
          <t>VÄSTERNORRLANDS LÄN</t>
        </is>
      </c>
      <c r="E792" t="inlineStr">
        <is>
          <t>TIMRÅ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54993-2024</t>
        </is>
      </c>
      <c r="B793" s="1" t="n">
        <v>45620</v>
      </c>
      <c r="C793" s="1" t="n">
        <v>45764</v>
      </c>
      <c r="D793" t="inlineStr">
        <is>
          <t>VÄSTERNORRLANDS LÄN</t>
        </is>
      </c>
      <c r="E793" t="inlineStr">
        <is>
          <t>TIMRÅ</t>
        </is>
      </c>
      <c r="G793" t="n">
        <v>1.9</v>
      </c>
      <c r="H793" t="n">
        <v>0</v>
      </c>
      <c r="I793" t="n">
        <v>0</v>
      </c>
      <c r="J793" t="n">
        <v>0</v>
      </c>
      <c r="K793" t="n">
        <v>0</v>
      </c>
      <c r="L793" t="n">
        <v>0</v>
      </c>
      <c r="M793" t="n">
        <v>0</v>
      </c>
      <c r="N793" t="n">
        <v>0</v>
      </c>
      <c r="O793" t="n">
        <v>0</v>
      </c>
      <c r="P793" t="n">
        <v>0</v>
      </c>
      <c r="Q793" t="n">
        <v>0</v>
      </c>
      <c r="R793" s="2" t="inlineStr"/>
    </row>
    <row r="794" ht="15" customHeight="1">
      <c r="A794" t="inlineStr">
        <is>
          <t>A 55080-2024</t>
        </is>
      </c>
      <c r="B794" s="1" t="n">
        <v>45621</v>
      </c>
      <c r="C794" s="1" t="n">
        <v>45764</v>
      </c>
      <c r="D794" t="inlineStr">
        <is>
          <t>VÄSTERNORRLANDS LÄN</t>
        </is>
      </c>
      <c r="E794" t="inlineStr">
        <is>
          <t>TIMRÅ</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55576-2024</t>
        </is>
      </c>
      <c r="B795" s="1" t="n">
        <v>45622</v>
      </c>
      <c r="C795" s="1" t="n">
        <v>45764</v>
      </c>
      <c r="D795" t="inlineStr">
        <is>
          <t>VÄSTERNORRLANDS LÄN</t>
        </is>
      </c>
      <c r="E795" t="inlineStr">
        <is>
          <t>TIMRÅ</t>
        </is>
      </c>
      <c r="G795" t="n">
        <v>5.1</v>
      </c>
      <c r="H795" t="n">
        <v>0</v>
      </c>
      <c r="I795" t="n">
        <v>0</v>
      </c>
      <c r="J795" t="n">
        <v>0</v>
      </c>
      <c r="K795" t="n">
        <v>0</v>
      </c>
      <c r="L795" t="n">
        <v>0</v>
      </c>
      <c r="M795" t="n">
        <v>0</v>
      </c>
      <c r="N795" t="n">
        <v>0</v>
      </c>
      <c r="O795" t="n">
        <v>0</v>
      </c>
      <c r="P795" t="n">
        <v>0</v>
      </c>
      <c r="Q795" t="n">
        <v>0</v>
      </c>
      <c r="R795" s="2" t="inlineStr"/>
    </row>
    <row r="796" ht="15" customHeight="1">
      <c r="A796" t="inlineStr">
        <is>
          <t>A 55602-2024</t>
        </is>
      </c>
      <c r="B796" s="1" t="n">
        <v>45622</v>
      </c>
      <c r="C796" s="1" t="n">
        <v>45764</v>
      </c>
      <c r="D796" t="inlineStr">
        <is>
          <t>VÄSTERNORRLANDS LÄN</t>
        </is>
      </c>
      <c r="E796" t="inlineStr">
        <is>
          <t>TIMRÅ</t>
        </is>
      </c>
      <c r="G796" t="n">
        <v>3.9</v>
      </c>
      <c r="H796" t="n">
        <v>0</v>
      </c>
      <c r="I796" t="n">
        <v>0</v>
      </c>
      <c r="J796" t="n">
        <v>0</v>
      </c>
      <c r="K796" t="n">
        <v>0</v>
      </c>
      <c r="L796" t="n">
        <v>0</v>
      </c>
      <c r="M796" t="n">
        <v>0</v>
      </c>
      <c r="N796" t="n">
        <v>0</v>
      </c>
      <c r="O796" t="n">
        <v>0</v>
      </c>
      <c r="P796" t="n">
        <v>0</v>
      </c>
      <c r="Q796" t="n">
        <v>0</v>
      </c>
      <c r="R796" s="2" t="inlineStr"/>
    </row>
    <row r="797" ht="15" customHeight="1">
      <c r="A797" t="inlineStr">
        <is>
          <t>A 55618-2024</t>
        </is>
      </c>
      <c r="B797" s="1" t="n">
        <v>45622</v>
      </c>
      <c r="C797" s="1" t="n">
        <v>45764</v>
      </c>
      <c r="D797" t="inlineStr">
        <is>
          <t>VÄSTERNORRLANDS LÄN</t>
        </is>
      </c>
      <c r="E797" t="inlineStr">
        <is>
          <t>TIMRÅ</t>
        </is>
      </c>
      <c r="G797" t="n">
        <v>4.3</v>
      </c>
      <c r="H797" t="n">
        <v>0</v>
      </c>
      <c r="I797" t="n">
        <v>0</v>
      </c>
      <c r="J797" t="n">
        <v>0</v>
      </c>
      <c r="K797" t="n">
        <v>0</v>
      </c>
      <c r="L797" t="n">
        <v>0</v>
      </c>
      <c r="M797" t="n">
        <v>0</v>
      </c>
      <c r="N797" t="n">
        <v>0</v>
      </c>
      <c r="O797" t="n">
        <v>0</v>
      </c>
      <c r="P797" t="n">
        <v>0</v>
      </c>
      <c r="Q797" t="n">
        <v>0</v>
      </c>
      <c r="R797" s="2" t="inlineStr"/>
    </row>
    <row r="798" ht="15" customHeight="1">
      <c r="A798" t="inlineStr">
        <is>
          <t>A 55588-2024</t>
        </is>
      </c>
      <c r="B798" s="1" t="n">
        <v>45622</v>
      </c>
      <c r="C798" s="1" t="n">
        <v>45764</v>
      </c>
      <c r="D798" t="inlineStr">
        <is>
          <t>VÄSTERNORRLANDS LÄN</t>
        </is>
      </c>
      <c r="E798" t="inlineStr">
        <is>
          <t>TIMRÅ</t>
        </is>
      </c>
      <c r="G798" t="n">
        <v>2.9</v>
      </c>
      <c r="H798" t="n">
        <v>0</v>
      </c>
      <c r="I798" t="n">
        <v>0</v>
      </c>
      <c r="J798" t="n">
        <v>0</v>
      </c>
      <c r="K798" t="n">
        <v>0</v>
      </c>
      <c r="L798" t="n">
        <v>0</v>
      </c>
      <c r="M798" t="n">
        <v>0</v>
      </c>
      <c r="N798" t="n">
        <v>0</v>
      </c>
      <c r="O798" t="n">
        <v>0</v>
      </c>
      <c r="P798" t="n">
        <v>0</v>
      </c>
      <c r="Q798" t="n">
        <v>0</v>
      </c>
      <c r="R798" s="2" t="inlineStr"/>
    </row>
    <row r="799" ht="15" customHeight="1">
      <c r="A799" t="inlineStr">
        <is>
          <t>A 55729-2024</t>
        </is>
      </c>
      <c r="B799" s="1" t="n">
        <v>45622</v>
      </c>
      <c r="C799" s="1" t="n">
        <v>45764</v>
      </c>
      <c r="D799" t="inlineStr">
        <is>
          <t>VÄSTERNORRLANDS LÄN</t>
        </is>
      </c>
      <c r="E799" t="inlineStr">
        <is>
          <t>TIMRÅ</t>
        </is>
      </c>
      <c r="G799" t="n">
        <v>3.1</v>
      </c>
      <c r="H799" t="n">
        <v>0</v>
      </c>
      <c r="I799" t="n">
        <v>0</v>
      </c>
      <c r="J799" t="n">
        <v>0</v>
      </c>
      <c r="K799" t="n">
        <v>0</v>
      </c>
      <c r="L799" t="n">
        <v>0</v>
      </c>
      <c r="M799" t="n">
        <v>0</v>
      </c>
      <c r="N799" t="n">
        <v>0</v>
      </c>
      <c r="O799" t="n">
        <v>0</v>
      </c>
      <c r="P799" t="n">
        <v>0</v>
      </c>
      <c r="Q799" t="n">
        <v>0</v>
      </c>
      <c r="R799" s="2" t="inlineStr"/>
    </row>
    <row r="800" ht="15" customHeight="1">
      <c r="A800" t="inlineStr">
        <is>
          <t>A 55874-2024</t>
        </is>
      </c>
      <c r="B800" s="1" t="n">
        <v>45623</v>
      </c>
      <c r="C800" s="1" t="n">
        <v>45764</v>
      </c>
      <c r="D800" t="inlineStr">
        <is>
          <t>VÄSTERNORRLANDS LÄN</t>
        </is>
      </c>
      <c r="E800" t="inlineStr">
        <is>
          <t>TIMRÅ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55873-2024</t>
        </is>
      </c>
      <c r="B801" s="1" t="n">
        <v>45623</v>
      </c>
      <c r="C801" s="1" t="n">
        <v>45764</v>
      </c>
      <c r="D801" t="inlineStr">
        <is>
          <t>VÄSTERNORRLANDS LÄN</t>
        </is>
      </c>
      <c r="E801" t="inlineStr">
        <is>
          <t>TIMRÅ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56046-2024</t>
        </is>
      </c>
      <c r="B802" s="1" t="n">
        <v>45624</v>
      </c>
      <c r="C802" s="1" t="n">
        <v>45764</v>
      </c>
      <c r="D802" t="inlineStr">
        <is>
          <t>VÄSTERNORRLANDS LÄN</t>
        </is>
      </c>
      <c r="E802" t="inlineStr">
        <is>
          <t>TIMRÅ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56284-2024</t>
        </is>
      </c>
      <c r="B803" s="1" t="n">
        <v>45624</v>
      </c>
      <c r="C803" s="1" t="n">
        <v>45764</v>
      </c>
      <c r="D803" t="inlineStr">
        <is>
          <t>VÄSTERNORRLANDS LÄN</t>
        </is>
      </c>
      <c r="E803" t="inlineStr">
        <is>
          <t>TIMRÅ</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56288-2024</t>
        </is>
      </c>
      <c r="B804" s="1" t="n">
        <v>45624</v>
      </c>
      <c r="C804" s="1" t="n">
        <v>45764</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56286-2024</t>
        </is>
      </c>
      <c r="B805" s="1" t="n">
        <v>45624</v>
      </c>
      <c r="C805" s="1" t="n">
        <v>45764</v>
      </c>
      <c r="D805" t="inlineStr">
        <is>
          <t>VÄSTERNORRLANDS LÄN</t>
        </is>
      </c>
      <c r="E805" t="inlineStr">
        <is>
          <t>TIMRÅ</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56155-2024</t>
        </is>
      </c>
      <c r="B806" s="1" t="n">
        <v>45624</v>
      </c>
      <c r="C806" s="1" t="n">
        <v>45764</v>
      </c>
      <c r="D806" t="inlineStr">
        <is>
          <t>VÄSTERNORRLANDS LÄN</t>
        </is>
      </c>
      <c r="E806" t="inlineStr">
        <is>
          <t>TIMRÅ</t>
        </is>
      </c>
      <c r="G806" t="n">
        <v>5.9</v>
      </c>
      <c r="H806" t="n">
        <v>0</v>
      </c>
      <c r="I806" t="n">
        <v>0</v>
      </c>
      <c r="J806" t="n">
        <v>0</v>
      </c>
      <c r="K806" t="n">
        <v>0</v>
      </c>
      <c r="L806" t="n">
        <v>0</v>
      </c>
      <c r="M806" t="n">
        <v>0</v>
      </c>
      <c r="N806" t="n">
        <v>0</v>
      </c>
      <c r="O806" t="n">
        <v>0</v>
      </c>
      <c r="P806" t="n">
        <v>0</v>
      </c>
      <c r="Q806" t="n">
        <v>0</v>
      </c>
      <c r="R806" s="2" t="inlineStr"/>
    </row>
    <row r="807" ht="15" customHeight="1">
      <c r="A807" t="inlineStr">
        <is>
          <t>A 56285-2024</t>
        </is>
      </c>
      <c r="B807" s="1" t="n">
        <v>45624</v>
      </c>
      <c r="C807" s="1" t="n">
        <v>45764</v>
      </c>
      <c r="D807" t="inlineStr">
        <is>
          <t>VÄSTERNORRLANDS LÄN</t>
        </is>
      </c>
      <c r="E807" t="inlineStr">
        <is>
          <t>TIMRÅ</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56442-2024</t>
        </is>
      </c>
      <c r="B808" s="1" t="n">
        <v>45625</v>
      </c>
      <c r="C808" s="1" t="n">
        <v>45764</v>
      </c>
      <c r="D808" t="inlineStr">
        <is>
          <t>VÄSTERNORRLANDS LÄN</t>
        </is>
      </c>
      <c r="E808" t="inlineStr">
        <is>
          <t>TIMRÅ</t>
        </is>
      </c>
      <c r="G808" t="n">
        <v>2.6</v>
      </c>
      <c r="H808" t="n">
        <v>0</v>
      </c>
      <c r="I808" t="n">
        <v>0</v>
      </c>
      <c r="J808" t="n">
        <v>0</v>
      </c>
      <c r="K808" t="n">
        <v>0</v>
      </c>
      <c r="L808" t="n">
        <v>0</v>
      </c>
      <c r="M808" t="n">
        <v>0</v>
      </c>
      <c r="N808" t="n">
        <v>0</v>
      </c>
      <c r="O808" t="n">
        <v>0</v>
      </c>
      <c r="P808" t="n">
        <v>0</v>
      </c>
      <c r="Q808" t="n">
        <v>0</v>
      </c>
      <c r="R808" s="2" t="inlineStr"/>
    </row>
    <row r="809" ht="15" customHeight="1">
      <c r="A809" t="inlineStr">
        <is>
          <t>A 56443-2024</t>
        </is>
      </c>
      <c r="B809" s="1" t="n">
        <v>45625</v>
      </c>
      <c r="C809" s="1" t="n">
        <v>45764</v>
      </c>
      <c r="D809" t="inlineStr">
        <is>
          <t>VÄSTERNORRLANDS LÄN</t>
        </is>
      </c>
      <c r="E809" t="inlineStr">
        <is>
          <t>TIMRÅ</t>
        </is>
      </c>
      <c r="G809" t="n">
        <v>2.6</v>
      </c>
      <c r="H809" t="n">
        <v>0</v>
      </c>
      <c r="I809" t="n">
        <v>0</v>
      </c>
      <c r="J809" t="n">
        <v>0</v>
      </c>
      <c r="K809" t="n">
        <v>0</v>
      </c>
      <c r="L809" t="n">
        <v>0</v>
      </c>
      <c r="M809" t="n">
        <v>0</v>
      </c>
      <c r="N809" t="n">
        <v>0</v>
      </c>
      <c r="O809" t="n">
        <v>0</v>
      </c>
      <c r="P809" t="n">
        <v>0</v>
      </c>
      <c r="Q809" t="n">
        <v>0</v>
      </c>
      <c r="R809" s="2" t="inlineStr"/>
    </row>
    <row r="810" ht="15" customHeight="1">
      <c r="A810" t="inlineStr">
        <is>
          <t>A 57063-2024</t>
        </is>
      </c>
      <c r="B810" s="1" t="n">
        <v>45629</v>
      </c>
      <c r="C810" s="1" t="n">
        <v>45764</v>
      </c>
      <c r="D810" t="inlineStr">
        <is>
          <t>VÄSTERNORRLANDS LÄN</t>
        </is>
      </c>
      <c r="E810" t="inlineStr">
        <is>
          <t>TIMRÅ</t>
        </is>
      </c>
      <c r="G810" t="n">
        <v>2.7</v>
      </c>
      <c r="H810" t="n">
        <v>0</v>
      </c>
      <c r="I810" t="n">
        <v>0</v>
      </c>
      <c r="J810" t="n">
        <v>0</v>
      </c>
      <c r="K810" t="n">
        <v>0</v>
      </c>
      <c r="L810" t="n">
        <v>0</v>
      </c>
      <c r="M810" t="n">
        <v>0</v>
      </c>
      <c r="N810" t="n">
        <v>0</v>
      </c>
      <c r="O810" t="n">
        <v>0</v>
      </c>
      <c r="P810" t="n">
        <v>0</v>
      </c>
      <c r="Q810" t="n">
        <v>0</v>
      </c>
      <c r="R810" s="2" t="inlineStr"/>
    </row>
    <row r="811" ht="15" customHeight="1">
      <c r="A811" t="inlineStr">
        <is>
          <t>A 57316-2024</t>
        </is>
      </c>
      <c r="B811" s="1" t="n">
        <v>45629</v>
      </c>
      <c r="C811" s="1" t="n">
        <v>45764</v>
      </c>
      <c r="D811" t="inlineStr">
        <is>
          <t>VÄSTERNORRLANDS LÄN</t>
        </is>
      </c>
      <c r="E811" t="inlineStr">
        <is>
          <t>TIMRÅ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58755-2024</t>
        </is>
      </c>
      <c r="B812" s="1" t="n">
        <v>45635</v>
      </c>
      <c r="C812" s="1" t="n">
        <v>45764</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58759-2024</t>
        </is>
      </c>
      <c r="B813" s="1" t="n">
        <v>45635</v>
      </c>
      <c r="C813" s="1" t="n">
        <v>45764</v>
      </c>
      <c r="D813" t="inlineStr">
        <is>
          <t>VÄSTERNORRLANDS LÄN</t>
        </is>
      </c>
      <c r="E813" t="inlineStr">
        <is>
          <t>TIMRÅ</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58752-2024</t>
        </is>
      </c>
      <c r="B814" s="1" t="n">
        <v>45635</v>
      </c>
      <c r="C814" s="1" t="n">
        <v>45764</v>
      </c>
      <c r="D814" t="inlineStr">
        <is>
          <t>VÄSTERNORRLANDS LÄN</t>
        </is>
      </c>
      <c r="E814" t="inlineStr">
        <is>
          <t>TIMRÅ</t>
        </is>
      </c>
      <c r="F814" t="inlineStr">
        <is>
          <t>SCA</t>
        </is>
      </c>
      <c r="G814" t="n">
        <v>4.4</v>
      </c>
      <c r="H814" t="n">
        <v>0</v>
      </c>
      <c r="I814" t="n">
        <v>0</v>
      </c>
      <c r="J814" t="n">
        <v>0</v>
      </c>
      <c r="K814" t="n">
        <v>0</v>
      </c>
      <c r="L814" t="n">
        <v>0</v>
      </c>
      <c r="M814" t="n">
        <v>0</v>
      </c>
      <c r="N814" t="n">
        <v>0</v>
      </c>
      <c r="O814" t="n">
        <v>0</v>
      </c>
      <c r="P814" t="n">
        <v>0</v>
      </c>
      <c r="Q814" t="n">
        <v>0</v>
      </c>
      <c r="R814" s="2" t="inlineStr"/>
    </row>
    <row r="815" ht="15" customHeight="1">
      <c r="A815" t="inlineStr">
        <is>
          <t>A 58760-2024</t>
        </is>
      </c>
      <c r="B815" s="1" t="n">
        <v>45635</v>
      </c>
      <c r="C815" s="1" t="n">
        <v>45764</v>
      </c>
      <c r="D815" t="inlineStr">
        <is>
          <t>VÄSTERNORRLANDS LÄN</t>
        </is>
      </c>
      <c r="E815" t="inlineStr">
        <is>
          <t>TIMRÅ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58754-2024</t>
        </is>
      </c>
      <c r="B816" s="1" t="n">
        <v>45635</v>
      </c>
      <c r="C816" s="1" t="n">
        <v>45764</v>
      </c>
      <c r="D816" t="inlineStr">
        <is>
          <t>VÄSTERNORRLANDS LÄN</t>
        </is>
      </c>
      <c r="E816" t="inlineStr">
        <is>
          <t>TIMRÅ</t>
        </is>
      </c>
      <c r="F816" t="inlineStr">
        <is>
          <t>SCA</t>
        </is>
      </c>
      <c r="G816" t="n">
        <v>9.1</v>
      </c>
      <c r="H816" t="n">
        <v>0</v>
      </c>
      <c r="I816" t="n">
        <v>0</v>
      </c>
      <c r="J816" t="n">
        <v>0</v>
      </c>
      <c r="K816" t="n">
        <v>0</v>
      </c>
      <c r="L816" t="n">
        <v>0</v>
      </c>
      <c r="M816" t="n">
        <v>0</v>
      </c>
      <c r="N816" t="n">
        <v>0</v>
      </c>
      <c r="O816" t="n">
        <v>0</v>
      </c>
      <c r="P816" t="n">
        <v>0</v>
      </c>
      <c r="Q816" t="n">
        <v>0</v>
      </c>
      <c r="R816" s="2" t="inlineStr"/>
    </row>
    <row r="817" ht="15" customHeight="1">
      <c r="A817" t="inlineStr">
        <is>
          <t>A 58930-2024</t>
        </is>
      </c>
      <c r="B817" s="1" t="n">
        <v>45636</v>
      </c>
      <c r="C817" s="1" t="n">
        <v>45764</v>
      </c>
      <c r="D817" t="inlineStr">
        <is>
          <t>VÄSTERNORRLANDS LÄN</t>
        </is>
      </c>
      <c r="E817" t="inlineStr">
        <is>
          <t>TIMRÅ</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58879-2024</t>
        </is>
      </c>
      <c r="B818" s="1" t="n">
        <v>45636</v>
      </c>
      <c r="C818" s="1" t="n">
        <v>45764</v>
      </c>
      <c r="D818" t="inlineStr">
        <is>
          <t>VÄSTERNORRLANDS LÄN</t>
        </is>
      </c>
      <c r="E818" t="inlineStr">
        <is>
          <t>TIMRÅ</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58866-2024</t>
        </is>
      </c>
      <c r="B819" s="1" t="n">
        <v>45636</v>
      </c>
      <c r="C819" s="1" t="n">
        <v>45764</v>
      </c>
      <c r="D819" t="inlineStr">
        <is>
          <t>VÄSTERNORRLANDS LÄN</t>
        </is>
      </c>
      <c r="E819" t="inlineStr">
        <is>
          <t>TIMRÅ</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59189-2024</t>
        </is>
      </c>
      <c r="B820" s="1" t="n">
        <v>45637</v>
      </c>
      <c r="C820" s="1" t="n">
        <v>45764</v>
      </c>
      <c r="D820" t="inlineStr">
        <is>
          <t>VÄSTERNORRLANDS LÄN</t>
        </is>
      </c>
      <c r="E820" t="inlineStr">
        <is>
          <t>TIMRÅ</t>
        </is>
      </c>
      <c r="G820" t="n">
        <v>1.7</v>
      </c>
      <c r="H820" t="n">
        <v>0</v>
      </c>
      <c r="I820" t="n">
        <v>0</v>
      </c>
      <c r="J820" t="n">
        <v>0</v>
      </c>
      <c r="K820" t="n">
        <v>0</v>
      </c>
      <c r="L820" t="n">
        <v>0</v>
      </c>
      <c r="M820" t="n">
        <v>0</v>
      </c>
      <c r="N820" t="n">
        <v>0</v>
      </c>
      <c r="O820" t="n">
        <v>0</v>
      </c>
      <c r="P820" t="n">
        <v>0</v>
      </c>
      <c r="Q820" t="n">
        <v>0</v>
      </c>
      <c r="R820" s="2" t="inlineStr"/>
    </row>
    <row r="821" ht="15" customHeight="1">
      <c r="A821" t="inlineStr">
        <is>
          <t>A 59894-2024</t>
        </is>
      </c>
      <c r="B821" s="1" t="n">
        <v>45641</v>
      </c>
      <c r="C821" s="1" t="n">
        <v>45764</v>
      </c>
      <c r="D821" t="inlineStr">
        <is>
          <t>VÄSTERNORRLANDS LÄN</t>
        </is>
      </c>
      <c r="E821" t="inlineStr">
        <is>
          <t>TIMRÅ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60696-2024</t>
        </is>
      </c>
      <c r="B822" s="1" t="n">
        <v>45642</v>
      </c>
      <c r="C822" s="1" t="n">
        <v>45764</v>
      </c>
      <c r="D822" t="inlineStr">
        <is>
          <t>VÄSTERNORRLANDS LÄN</t>
        </is>
      </c>
      <c r="E822" t="inlineStr">
        <is>
          <t>TIMRÅ</t>
        </is>
      </c>
      <c r="G822" t="n">
        <v>1</v>
      </c>
      <c r="H822" t="n">
        <v>0</v>
      </c>
      <c r="I822" t="n">
        <v>0</v>
      </c>
      <c r="J822" t="n">
        <v>0</v>
      </c>
      <c r="K822" t="n">
        <v>0</v>
      </c>
      <c r="L822" t="n">
        <v>0</v>
      </c>
      <c r="M822" t="n">
        <v>0</v>
      </c>
      <c r="N822" t="n">
        <v>0</v>
      </c>
      <c r="O822" t="n">
        <v>0</v>
      </c>
      <c r="P822" t="n">
        <v>0</v>
      </c>
      <c r="Q822" t="n">
        <v>0</v>
      </c>
      <c r="R822" s="2" t="inlineStr"/>
    </row>
    <row r="823" ht="15" customHeight="1">
      <c r="A823" t="inlineStr">
        <is>
          <t>A 60681-2024</t>
        </is>
      </c>
      <c r="B823" s="1" t="n">
        <v>45642</v>
      </c>
      <c r="C823" s="1" t="n">
        <v>45764</v>
      </c>
      <c r="D823" t="inlineStr">
        <is>
          <t>VÄSTERNORRLANDS LÄN</t>
        </is>
      </c>
      <c r="E823" t="inlineStr">
        <is>
          <t>TIMRÅ</t>
        </is>
      </c>
      <c r="G823" t="n">
        <v>2.9</v>
      </c>
      <c r="H823" t="n">
        <v>0</v>
      </c>
      <c r="I823" t="n">
        <v>0</v>
      </c>
      <c r="J823" t="n">
        <v>0</v>
      </c>
      <c r="K823" t="n">
        <v>0</v>
      </c>
      <c r="L823" t="n">
        <v>0</v>
      </c>
      <c r="M823" t="n">
        <v>0</v>
      </c>
      <c r="N823" t="n">
        <v>0</v>
      </c>
      <c r="O823" t="n">
        <v>0</v>
      </c>
      <c r="P823" t="n">
        <v>0</v>
      </c>
      <c r="Q823" t="n">
        <v>0</v>
      </c>
      <c r="R823" s="2" t="inlineStr"/>
      <c r="U823">
        <f>HYPERLINK("https://klasma.github.io/Logging_2262/knärot/A 60681-2024 karta knärot.png", "A 60681-2024")</f>
        <v/>
      </c>
      <c r="V823">
        <f>HYPERLINK("https://klasma.github.io/Logging_2262/klagomål/A 60681-2024 FSC-klagomål.docx", "A 60681-2024")</f>
        <v/>
      </c>
      <c r="W823">
        <f>HYPERLINK("https://klasma.github.io/Logging_2262/klagomålsmail/A 60681-2024 FSC-klagomål mail.docx", "A 60681-2024")</f>
        <v/>
      </c>
      <c r="X823">
        <f>HYPERLINK("https://klasma.github.io/Logging_2262/tillsyn/A 60681-2024 tillsynsbegäran.docx", "A 60681-2024")</f>
        <v/>
      </c>
      <c r="Y823">
        <f>HYPERLINK("https://klasma.github.io/Logging_2262/tillsynsmail/A 60681-2024 tillsynsbegäran mail.docx", "A 60681-2024")</f>
        <v/>
      </c>
    </row>
    <row r="824" ht="15" customHeight="1">
      <c r="A824" t="inlineStr">
        <is>
          <t>A 60110-2024</t>
        </is>
      </c>
      <c r="B824" s="1" t="n">
        <v>45642</v>
      </c>
      <c r="C824" s="1" t="n">
        <v>45764</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60111-2024</t>
        </is>
      </c>
      <c r="B825" s="1" t="n">
        <v>45642</v>
      </c>
      <c r="C825" s="1" t="n">
        <v>45764</v>
      </c>
      <c r="D825" t="inlineStr">
        <is>
          <t>VÄSTERNORRLANDS LÄN</t>
        </is>
      </c>
      <c r="E825" t="inlineStr">
        <is>
          <t>TIMRÅ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59948-2024</t>
        </is>
      </c>
      <c r="B826" s="1" t="n">
        <v>45642</v>
      </c>
      <c r="C826" s="1" t="n">
        <v>45764</v>
      </c>
      <c r="D826" t="inlineStr">
        <is>
          <t>VÄSTERNORRLANDS LÄN</t>
        </is>
      </c>
      <c r="E826" t="inlineStr">
        <is>
          <t>TIMRÅ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59995-2024</t>
        </is>
      </c>
      <c r="B827" s="1" t="n">
        <v>45642</v>
      </c>
      <c r="C827" s="1" t="n">
        <v>45764</v>
      </c>
      <c r="D827" t="inlineStr">
        <is>
          <t>VÄSTERNORRLANDS LÄN</t>
        </is>
      </c>
      <c r="E827" t="inlineStr">
        <is>
          <t>TIMRÅ</t>
        </is>
      </c>
      <c r="F827" t="inlineStr">
        <is>
          <t>SCA</t>
        </is>
      </c>
      <c r="G827" t="n">
        <v>19.6</v>
      </c>
      <c r="H827" t="n">
        <v>0</v>
      </c>
      <c r="I827" t="n">
        <v>0</v>
      </c>
      <c r="J827" t="n">
        <v>0</v>
      </c>
      <c r="K827" t="n">
        <v>0</v>
      </c>
      <c r="L827" t="n">
        <v>0</v>
      </c>
      <c r="M827" t="n">
        <v>0</v>
      </c>
      <c r="N827" t="n">
        <v>0</v>
      </c>
      <c r="O827" t="n">
        <v>0</v>
      </c>
      <c r="P827" t="n">
        <v>0</v>
      </c>
      <c r="Q827" t="n">
        <v>0</v>
      </c>
      <c r="R827" s="2" t="inlineStr"/>
    </row>
    <row r="828" ht="15" customHeight="1">
      <c r="A828" t="inlineStr">
        <is>
          <t>A 60761-2024</t>
        </is>
      </c>
      <c r="B828" s="1" t="n">
        <v>45644</v>
      </c>
      <c r="C828" s="1" t="n">
        <v>45764</v>
      </c>
      <c r="D828" t="inlineStr">
        <is>
          <t>VÄSTERNORRLANDS LÄN</t>
        </is>
      </c>
      <c r="E828" t="inlineStr">
        <is>
          <t>TIMRÅ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60751-2024</t>
        </is>
      </c>
      <c r="B829" s="1" t="n">
        <v>45644</v>
      </c>
      <c r="C829" s="1" t="n">
        <v>45764</v>
      </c>
      <c r="D829" t="inlineStr">
        <is>
          <t>VÄSTERNORRLANDS LÄN</t>
        </is>
      </c>
      <c r="E829" t="inlineStr">
        <is>
          <t>TIMRÅ</t>
        </is>
      </c>
      <c r="G829" t="n">
        <v>3.1</v>
      </c>
      <c r="H829" t="n">
        <v>0</v>
      </c>
      <c r="I829" t="n">
        <v>0</v>
      </c>
      <c r="J829" t="n">
        <v>0</v>
      </c>
      <c r="K829" t="n">
        <v>0</v>
      </c>
      <c r="L829" t="n">
        <v>0</v>
      </c>
      <c r="M829" t="n">
        <v>0</v>
      </c>
      <c r="N829" t="n">
        <v>0</v>
      </c>
      <c r="O829" t="n">
        <v>0</v>
      </c>
      <c r="P829" t="n">
        <v>0</v>
      </c>
      <c r="Q829" t="n">
        <v>0</v>
      </c>
      <c r="R829" s="2" t="inlineStr"/>
    </row>
    <row r="830" ht="15" customHeight="1">
      <c r="A830" t="inlineStr">
        <is>
          <t>A 61166-2024</t>
        </is>
      </c>
      <c r="B830" s="1" t="n">
        <v>45645</v>
      </c>
      <c r="C830" s="1" t="n">
        <v>45764</v>
      </c>
      <c r="D830" t="inlineStr">
        <is>
          <t>VÄSTERNORRLANDS LÄN</t>
        </is>
      </c>
      <c r="E830" t="inlineStr">
        <is>
          <t>TIMRÅ</t>
        </is>
      </c>
      <c r="G830" t="n">
        <v>2</v>
      </c>
      <c r="H830" t="n">
        <v>0</v>
      </c>
      <c r="I830" t="n">
        <v>0</v>
      </c>
      <c r="J830" t="n">
        <v>0</v>
      </c>
      <c r="K830" t="n">
        <v>0</v>
      </c>
      <c r="L830" t="n">
        <v>0</v>
      </c>
      <c r="M830" t="n">
        <v>0</v>
      </c>
      <c r="N830" t="n">
        <v>0</v>
      </c>
      <c r="O830" t="n">
        <v>0</v>
      </c>
      <c r="P830" t="n">
        <v>0</v>
      </c>
      <c r="Q830" t="n">
        <v>0</v>
      </c>
      <c r="R830" s="2" t="inlineStr"/>
    </row>
    <row r="831" ht="15" customHeight="1">
      <c r="A831" t="inlineStr">
        <is>
          <t>A 61484-2024</t>
        </is>
      </c>
      <c r="B831" s="1" t="n">
        <v>45646</v>
      </c>
      <c r="C831" s="1" t="n">
        <v>45764</v>
      </c>
      <c r="D831" t="inlineStr">
        <is>
          <t>VÄSTERNORRLANDS LÄN</t>
        </is>
      </c>
      <c r="E831" t="inlineStr">
        <is>
          <t>TIMRÅ</t>
        </is>
      </c>
      <c r="F831" t="inlineStr">
        <is>
          <t>SCA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61620-2024</t>
        </is>
      </c>
      <c r="B832" s="1" t="n">
        <v>45646</v>
      </c>
      <c r="C832" s="1" t="n">
        <v>45764</v>
      </c>
      <c r="D832" t="inlineStr">
        <is>
          <t>VÄSTERNORRLANDS LÄN</t>
        </is>
      </c>
      <c r="E832" t="inlineStr">
        <is>
          <t>TIMRÅ</t>
        </is>
      </c>
      <c r="G832" t="n">
        <v>1.4</v>
      </c>
      <c r="H832" t="n">
        <v>0</v>
      </c>
      <c r="I832" t="n">
        <v>0</v>
      </c>
      <c r="J832" t="n">
        <v>0</v>
      </c>
      <c r="K832" t="n">
        <v>0</v>
      </c>
      <c r="L832" t="n">
        <v>0</v>
      </c>
      <c r="M832" t="n">
        <v>0</v>
      </c>
      <c r="N832" t="n">
        <v>0</v>
      </c>
      <c r="O832" t="n">
        <v>0</v>
      </c>
      <c r="P832" t="n">
        <v>0</v>
      </c>
      <c r="Q832" t="n">
        <v>0</v>
      </c>
      <c r="R832" s="2" t="inlineStr"/>
    </row>
    <row r="833" ht="15" customHeight="1">
      <c r="A833" t="inlineStr">
        <is>
          <t>A 61821-2024</t>
        </is>
      </c>
      <c r="B833" s="1" t="n">
        <v>45649</v>
      </c>
      <c r="C833" s="1" t="n">
        <v>45764</v>
      </c>
      <c r="D833" t="inlineStr">
        <is>
          <t>VÄSTERNORRLANDS LÄN</t>
        </is>
      </c>
      <c r="E833" t="inlineStr">
        <is>
          <t>TIMRÅ</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62133-2024</t>
        </is>
      </c>
      <c r="B834" s="1" t="n">
        <v>45656</v>
      </c>
      <c r="C834" s="1" t="n">
        <v>45764</v>
      </c>
      <c r="D834" t="inlineStr">
        <is>
          <t>VÄSTERNORRLANDS LÄN</t>
        </is>
      </c>
      <c r="E834" t="inlineStr">
        <is>
          <t>TIMRÅ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465-2025</t>
        </is>
      </c>
      <c r="B835" s="1" t="n">
        <v>45664</v>
      </c>
      <c r="C835" s="1" t="n">
        <v>45764</v>
      </c>
      <c r="D835" t="inlineStr">
        <is>
          <t>VÄSTERNORRLANDS LÄN</t>
        </is>
      </c>
      <c r="E835" t="inlineStr">
        <is>
          <t>TIMRÅ</t>
        </is>
      </c>
      <c r="G835" t="n">
        <v>2.2</v>
      </c>
      <c r="H835" t="n">
        <v>0</v>
      </c>
      <c r="I835" t="n">
        <v>0</v>
      </c>
      <c r="J835" t="n">
        <v>0</v>
      </c>
      <c r="K835" t="n">
        <v>0</v>
      </c>
      <c r="L835" t="n">
        <v>0</v>
      </c>
      <c r="M835" t="n">
        <v>0</v>
      </c>
      <c r="N835" t="n">
        <v>0</v>
      </c>
      <c r="O835" t="n">
        <v>0</v>
      </c>
      <c r="P835" t="n">
        <v>0</v>
      </c>
      <c r="Q835" t="n">
        <v>0</v>
      </c>
      <c r="R835" s="2" t="inlineStr"/>
    </row>
    <row r="836" ht="15" customHeight="1">
      <c r="A836" t="inlineStr">
        <is>
          <t>A 472-2025</t>
        </is>
      </c>
      <c r="B836" s="1" t="n">
        <v>45664</v>
      </c>
      <c r="C836" s="1" t="n">
        <v>45764</v>
      </c>
      <c r="D836" t="inlineStr">
        <is>
          <t>VÄSTERNORRLANDS LÄN</t>
        </is>
      </c>
      <c r="E836" t="inlineStr">
        <is>
          <t>TIMRÅ</t>
        </is>
      </c>
      <c r="G836" t="n">
        <v>14.3</v>
      </c>
      <c r="H836" t="n">
        <v>0</v>
      </c>
      <c r="I836" t="n">
        <v>0</v>
      </c>
      <c r="J836" t="n">
        <v>0</v>
      </c>
      <c r="K836" t="n">
        <v>0</v>
      </c>
      <c r="L836" t="n">
        <v>0</v>
      </c>
      <c r="M836" t="n">
        <v>0</v>
      </c>
      <c r="N836" t="n">
        <v>0</v>
      </c>
      <c r="O836" t="n">
        <v>0</v>
      </c>
      <c r="P836" t="n">
        <v>0</v>
      </c>
      <c r="Q836" t="n">
        <v>0</v>
      </c>
      <c r="R836" s="2" t="inlineStr"/>
    </row>
    <row r="837" ht="15" customHeight="1">
      <c r="A837" t="inlineStr">
        <is>
          <t>A 1380-2025</t>
        </is>
      </c>
      <c r="B837" s="1" t="n">
        <v>45667</v>
      </c>
      <c r="C837" s="1" t="n">
        <v>45764</v>
      </c>
      <c r="D837" t="inlineStr">
        <is>
          <t>VÄSTERNORRLANDS LÄN</t>
        </is>
      </c>
      <c r="E837" t="inlineStr">
        <is>
          <t>TIMRÅ</t>
        </is>
      </c>
      <c r="G837" t="n">
        <v>2</v>
      </c>
      <c r="H837" t="n">
        <v>0</v>
      </c>
      <c r="I837" t="n">
        <v>0</v>
      </c>
      <c r="J837" t="n">
        <v>0</v>
      </c>
      <c r="K837" t="n">
        <v>0</v>
      </c>
      <c r="L837" t="n">
        <v>0</v>
      </c>
      <c r="M837" t="n">
        <v>0</v>
      </c>
      <c r="N837" t="n">
        <v>0</v>
      </c>
      <c r="O837" t="n">
        <v>0</v>
      </c>
      <c r="P837" t="n">
        <v>0</v>
      </c>
      <c r="Q837" t="n">
        <v>0</v>
      </c>
      <c r="R837" s="2" t="inlineStr"/>
    </row>
    <row r="838" ht="15" customHeight="1">
      <c r="A838" t="inlineStr">
        <is>
          <t>A 1388-2025</t>
        </is>
      </c>
      <c r="B838" s="1" t="n">
        <v>45667</v>
      </c>
      <c r="C838" s="1" t="n">
        <v>45764</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1386-2025</t>
        </is>
      </c>
      <c r="B839" s="1" t="n">
        <v>45667</v>
      </c>
      <c r="C839" s="1" t="n">
        <v>45764</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1818-2025</t>
        </is>
      </c>
      <c r="B840" s="1" t="n">
        <v>45671</v>
      </c>
      <c r="C840" s="1" t="n">
        <v>45764</v>
      </c>
      <c r="D840" t="inlineStr">
        <is>
          <t>VÄSTERNORRLANDS LÄN</t>
        </is>
      </c>
      <c r="E840" t="inlineStr">
        <is>
          <t>TIMRÅ</t>
        </is>
      </c>
      <c r="G840" t="n">
        <v>0.8</v>
      </c>
      <c r="H840" t="n">
        <v>0</v>
      </c>
      <c r="I840" t="n">
        <v>0</v>
      </c>
      <c r="J840" t="n">
        <v>0</v>
      </c>
      <c r="K840" t="n">
        <v>0</v>
      </c>
      <c r="L840" t="n">
        <v>0</v>
      </c>
      <c r="M840" t="n">
        <v>0</v>
      </c>
      <c r="N840" t="n">
        <v>0</v>
      </c>
      <c r="O840" t="n">
        <v>0</v>
      </c>
      <c r="P840" t="n">
        <v>0</v>
      </c>
      <c r="Q840" t="n">
        <v>0</v>
      </c>
      <c r="R840" s="2" t="inlineStr"/>
    </row>
    <row r="841" ht="15" customHeight="1">
      <c r="A841" t="inlineStr">
        <is>
          <t>A 1826-2025</t>
        </is>
      </c>
      <c r="B841" s="1" t="n">
        <v>45671</v>
      </c>
      <c r="C841" s="1" t="n">
        <v>45764</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1842-2025</t>
        </is>
      </c>
      <c r="B842" s="1" t="n">
        <v>45671</v>
      </c>
      <c r="C842" s="1" t="n">
        <v>45764</v>
      </c>
      <c r="D842" t="inlineStr">
        <is>
          <t>VÄSTERNORRLANDS LÄN</t>
        </is>
      </c>
      <c r="E842" t="inlineStr">
        <is>
          <t>TIMRÅ</t>
        </is>
      </c>
      <c r="G842" t="n">
        <v>2.1</v>
      </c>
      <c r="H842" t="n">
        <v>0</v>
      </c>
      <c r="I842" t="n">
        <v>0</v>
      </c>
      <c r="J842" t="n">
        <v>0</v>
      </c>
      <c r="K842" t="n">
        <v>0</v>
      </c>
      <c r="L842" t="n">
        <v>0</v>
      </c>
      <c r="M842" t="n">
        <v>0</v>
      </c>
      <c r="N842" t="n">
        <v>0</v>
      </c>
      <c r="O842" t="n">
        <v>0</v>
      </c>
      <c r="P842" t="n">
        <v>0</v>
      </c>
      <c r="Q842" t="n">
        <v>0</v>
      </c>
      <c r="R842" s="2" t="inlineStr"/>
    </row>
    <row r="843" ht="15" customHeight="1">
      <c r="A843" t="inlineStr">
        <is>
          <t>A 1817-2025</t>
        </is>
      </c>
      <c r="B843" s="1" t="n">
        <v>45671</v>
      </c>
      <c r="C843" s="1" t="n">
        <v>45764</v>
      </c>
      <c r="D843" t="inlineStr">
        <is>
          <t>VÄSTERNORRLANDS LÄN</t>
        </is>
      </c>
      <c r="E843" t="inlineStr">
        <is>
          <t>TIMRÅ</t>
        </is>
      </c>
      <c r="G843" t="n">
        <v>0.7</v>
      </c>
      <c r="H843" t="n">
        <v>0</v>
      </c>
      <c r="I843" t="n">
        <v>0</v>
      </c>
      <c r="J843" t="n">
        <v>0</v>
      </c>
      <c r="K843" t="n">
        <v>0</v>
      </c>
      <c r="L843" t="n">
        <v>0</v>
      </c>
      <c r="M843" t="n">
        <v>0</v>
      </c>
      <c r="N843" t="n">
        <v>0</v>
      </c>
      <c r="O843" t="n">
        <v>0</v>
      </c>
      <c r="P843" t="n">
        <v>0</v>
      </c>
      <c r="Q843" t="n">
        <v>0</v>
      </c>
      <c r="R843" s="2" t="inlineStr"/>
    </row>
    <row r="844" ht="15" customHeight="1">
      <c r="A844" t="inlineStr">
        <is>
          <t>A 1825-2025</t>
        </is>
      </c>
      <c r="B844" s="1" t="n">
        <v>45671</v>
      </c>
      <c r="C844" s="1" t="n">
        <v>45764</v>
      </c>
      <c r="D844" t="inlineStr">
        <is>
          <t>VÄSTERNORRLANDS LÄN</t>
        </is>
      </c>
      <c r="E844" t="inlineStr">
        <is>
          <t>TIMRÅ</t>
        </is>
      </c>
      <c r="G844" t="n">
        <v>2</v>
      </c>
      <c r="H844" t="n">
        <v>0</v>
      </c>
      <c r="I844" t="n">
        <v>0</v>
      </c>
      <c r="J844" t="n">
        <v>0</v>
      </c>
      <c r="K844" t="n">
        <v>0</v>
      </c>
      <c r="L844" t="n">
        <v>0</v>
      </c>
      <c r="M844" t="n">
        <v>0</v>
      </c>
      <c r="N844" t="n">
        <v>0</v>
      </c>
      <c r="O844" t="n">
        <v>0</v>
      </c>
      <c r="P844" t="n">
        <v>0</v>
      </c>
      <c r="Q844" t="n">
        <v>0</v>
      </c>
      <c r="R844" s="2" t="inlineStr"/>
    </row>
    <row r="845" ht="15" customHeight="1">
      <c r="A845" t="inlineStr">
        <is>
          <t>A 2403-2025</t>
        </is>
      </c>
      <c r="B845" s="1" t="n">
        <v>45672</v>
      </c>
      <c r="C845" s="1" t="n">
        <v>45764</v>
      </c>
      <c r="D845" t="inlineStr">
        <is>
          <t>VÄSTERNORRLANDS LÄN</t>
        </is>
      </c>
      <c r="E845" t="inlineStr">
        <is>
          <t>TIMRÅ</t>
        </is>
      </c>
      <c r="G845" t="n">
        <v>3.4</v>
      </c>
      <c r="H845" t="n">
        <v>0</v>
      </c>
      <c r="I845" t="n">
        <v>0</v>
      </c>
      <c r="J845" t="n">
        <v>0</v>
      </c>
      <c r="K845" t="n">
        <v>0</v>
      </c>
      <c r="L845" t="n">
        <v>0</v>
      </c>
      <c r="M845" t="n">
        <v>0</v>
      </c>
      <c r="N845" t="n">
        <v>0</v>
      </c>
      <c r="O845" t="n">
        <v>0</v>
      </c>
      <c r="P845" t="n">
        <v>0</v>
      </c>
      <c r="Q845" t="n">
        <v>0</v>
      </c>
      <c r="R845" s="2" t="inlineStr"/>
    </row>
    <row r="846" ht="15" customHeight="1">
      <c r="A846" t="inlineStr">
        <is>
          <t>A 2123-2025</t>
        </is>
      </c>
      <c r="B846" s="1" t="n">
        <v>45672</v>
      </c>
      <c r="C846" s="1" t="n">
        <v>45764</v>
      </c>
      <c r="D846" t="inlineStr">
        <is>
          <t>VÄSTERNORRLANDS LÄN</t>
        </is>
      </c>
      <c r="E846" t="inlineStr">
        <is>
          <t>TIMRÅ</t>
        </is>
      </c>
      <c r="G846" t="n">
        <v>2.4</v>
      </c>
      <c r="H846" t="n">
        <v>0</v>
      </c>
      <c r="I846" t="n">
        <v>0</v>
      </c>
      <c r="J846" t="n">
        <v>0</v>
      </c>
      <c r="K846" t="n">
        <v>0</v>
      </c>
      <c r="L846" t="n">
        <v>0</v>
      </c>
      <c r="M846" t="n">
        <v>0</v>
      </c>
      <c r="N846" t="n">
        <v>0</v>
      </c>
      <c r="O846" t="n">
        <v>0</v>
      </c>
      <c r="P846" t="n">
        <v>0</v>
      </c>
      <c r="Q846" t="n">
        <v>0</v>
      </c>
      <c r="R846" s="2" t="inlineStr"/>
    </row>
    <row r="847" ht="15" customHeight="1">
      <c r="A847" t="inlineStr">
        <is>
          <t>A 2733-2025</t>
        </is>
      </c>
      <c r="B847" s="1" t="n">
        <v>45677</v>
      </c>
      <c r="C847" s="1" t="n">
        <v>45764</v>
      </c>
      <c r="D847" t="inlineStr">
        <is>
          <t>VÄSTERNORRLANDS LÄN</t>
        </is>
      </c>
      <c r="E847" t="inlineStr">
        <is>
          <t>TIMRÅ</t>
        </is>
      </c>
      <c r="F847" t="inlineStr">
        <is>
          <t>SCA</t>
        </is>
      </c>
      <c r="G847" t="n">
        <v>27.8</v>
      </c>
      <c r="H847" t="n">
        <v>0</v>
      </c>
      <c r="I847" t="n">
        <v>0</v>
      </c>
      <c r="J847" t="n">
        <v>0</v>
      </c>
      <c r="K847" t="n">
        <v>0</v>
      </c>
      <c r="L847" t="n">
        <v>0</v>
      </c>
      <c r="M847" t="n">
        <v>0</v>
      </c>
      <c r="N847" t="n">
        <v>0</v>
      </c>
      <c r="O847" t="n">
        <v>0</v>
      </c>
      <c r="P847" t="n">
        <v>0</v>
      </c>
      <c r="Q847" t="n">
        <v>0</v>
      </c>
      <c r="R847" s="2" t="inlineStr"/>
    </row>
    <row r="848" ht="15" customHeight="1">
      <c r="A848" t="inlineStr">
        <is>
          <t>A 4863-2025</t>
        </is>
      </c>
      <c r="B848" s="1" t="n">
        <v>45688</v>
      </c>
      <c r="C848" s="1" t="n">
        <v>45764</v>
      </c>
      <c r="D848" t="inlineStr">
        <is>
          <t>VÄSTERNORRLANDS LÄN</t>
        </is>
      </c>
      <c r="E848" t="inlineStr">
        <is>
          <t>TIMRÅ</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5207-2025</t>
        </is>
      </c>
      <c r="B849" s="1" t="n">
        <v>45691</v>
      </c>
      <c r="C849" s="1" t="n">
        <v>45764</v>
      </c>
      <c r="D849" t="inlineStr">
        <is>
          <t>VÄSTERNORRLANDS LÄN</t>
        </is>
      </c>
      <c r="E849" t="inlineStr">
        <is>
          <t>TIMRÅ</t>
        </is>
      </c>
      <c r="F849" t="inlineStr">
        <is>
          <t>SCA</t>
        </is>
      </c>
      <c r="G849" t="n">
        <v>5.1</v>
      </c>
      <c r="H849" t="n">
        <v>0</v>
      </c>
      <c r="I849" t="n">
        <v>0</v>
      </c>
      <c r="J849" t="n">
        <v>0</v>
      </c>
      <c r="K849" t="n">
        <v>0</v>
      </c>
      <c r="L849" t="n">
        <v>0</v>
      </c>
      <c r="M849" t="n">
        <v>0</v>
      </c>
      <c r="N849" t="n">
        <v>0</v>
      </c>
      <c r="O849" t="n">
        <v>0</v>
      </c>
      <c r="P849" t="n">
        <v>0</v>
      </c>
      <c r="Q849" t="n">
        <v>0</v>
      </c>
      <c r="R849" s="2" t="inlineStr"/>
    </row>
    <row r="850" ht="15" customHeight="1">
      <c r="A850" t="inlineStr">
        <is>
          <t>A 5211-2025</t>
        </is>
      </c>
      <c r="B850" s="1" t="n">
        <v>45691</v>
      </c>
      <c r="C850" s="1" t="n">
        <v>45764</v>
      </c>
      <c r="D850" t="inlineStr">
        <is>
          <t>VÄSTERNORRLANDS LÄN</t>
        </is>
      </c>
      <c r="E850" t="inlineStr">
        <is>
          <t>TIMRÅ</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5168-2025</t>
        </is>
      </c>
      <c r="B851" s="1" t="n">
        <v>45691</v>
      </c>
      <c r="C851" s="1" t="n">
        <v>45764</v>
      </c>
      <c r="D851" t="inlineStr">
        <is>
          <t>VÄSTERNORRLANDS LÄN</t>
        </is>
      </c>
      <c r="E851" t="inlineStr">
        <is>
          <t>TIMRÅ</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5208-2025</t>
        </is>
      </c>
      <c r="B852" s="1" t="n">
        <v>45691</v>
      </c>
      <c r="C852" s="1" t="n">
        <v>45764</v>
      </c>
      <c r="D852" t="inlineStr">
        <is>
          <t>VÄSTERNORRLANDS LÄN</t>
        </is>
      </c>
      <c r="E852" t="inlineStr">
        <is>
          <t>TIMRÅ</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5213-2025</t>
        </is>
      </c>
      <c r="B853" s="1" t="n">
        <v>45691</v>
      </c>
      <c r="C853" s="1" t="n">
        <v>45764</v>
      </c>
      <c r="D853" t="inlineStr">
        <is>
          <t>VÄSTERNORRLANDS LÄN</t>
        </is>
      </c>
      <c r="E853" t="inlineStr">
        <is>
          <t>TIMRÅ</t>
        </is>
      </c>
      <c r="G853" t="n">
        <v>2.2</v>
      </c>
      <c r="H853" t="n">
        <v>0</v>
      </c>
      <c r="I853" t="n">
        <v>0</v>
      </c>
      <c r="J853" t="n">
        <v>0</v>
      </c>
      <c r="K853" t="n">
        <v>0</v>
      </c>
      <c r="L853" t="n">
        <v>0</v>
      </c>
      <c r="M853" t="n">
        <v>0</v>
      </c>
      <c r="N853" t="n">
        <v>0</v>
      </c>
      <c r="O853" t="n">
        <v>0</v>
      </c>
      <c r="P853" t="n">
        <v>0</v>
      </c>
      <c r="Q853" t="n">
        <v>0</v>
      </c>
      <c r="R853" s="2" t="inlineStr"/>
    </row>
    <row r="854" ht="15" customHeight="1">
      <c r="A854" t="inlineStr">
        <is>
          <t>A 5315-2025</t>
        </is>
      </c>
      <c r="B854" s="1" t="n">
        <v>45692</v>
      </c>
      <c r="C854" s="1" t="n">
        <v>45764</v>
      </c>
      <c r="D854" t="inlineStr">
        <is>
          <t>VÄSTERNORRLANDS LÄN</t>
        </is>
      </c>
      <c r="E854" t="inlineStr">
        <is>
          <t>TIMRÅ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5489-2025</t>
        </is>
      </c>
      <c r="B855" s="1" t="n">
        <v>45693</v>
      </c>
      <c r="C855" s="1" t="n">
        <v>45764</v>
      </c>
      <c r="D855" t="inlineStr">
        <is>
          <t>VÄSTERNORRLANDS LÄN</t>
        </is>
      </c>
      <c r="E855" t="inlineStr">
        <is>
          <t>TIMRÅ</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5763-2025</t>
        </is>
      </c>
      <c r="B856" s="1" t="n">
        <v>45694</v>
      </c>
      <c r="C856" s="1" t="n">
        <v>45764</v>
      </c>
      <c r="D856" t="inlineStr">
        <is>
          <t>VÄSTERNORRLANDS LÄN</t>
        </is>
      </c>
      <c r="E856" t="inlineStr">
        <is>
          <t>TIMRÅ</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6055-2025</t>
        </is>
      </c>
      <c r="B857" s="1" t="n">
        <v>45695</v>
      </c>
      <c r="C857" s="1" t="n">
        <v>45764</v>
      </c>
      <c r="D857" t="inlineStr">
        <is>
          <t>VÄSTERNORRLANDS LÄN</t>
        </is>
      </c>
      <c r="E857" t="inlineStr">
        <is>
          <t>TIMRÅ</t>
        </is>
      </c>
      <c r="F857" t="inlineStr">
        <is>
          <t>SCA</t>
        </is>
      </c>
      <c r="G857" t="n">
        <v>6.3</v>
      </c>
      <c r="H857" t="n">
        <v>0</v>
      </c>
      <c r="I857" t="n">
        <v>0</v>
      </c>
      <c r="J857" t="n">
        <v>0</v>
      </c>
      <c r="K857" t="n">
        <v>0</v>
      </c>
      <c r="L857" t="n">
        <v>0</v>
      </c>
      <c r="M857" t="n">
        <v>0</v>
      </c>
      <c r="N857" t="n">
        <v>0</v>
      </c>
      <c r="O857" t="n">
        <v>0</v>
      </c>
      <c r="P857" t="n">
        <v>0</v>
      </c>
      <c r="Q857" t="n">
        <v>0</v>
      </c>
      <c r="R857" s="2" t="inlineStr"/>
    </row>
    <row r="858" ht="15" customHeight="1">
      <c r="A858" t="inlineStr">
        <is>
          <t>A 6259-2025</t>
        </is>
      </c>
      <c r="B858" s="1" t="n">
        <v>45698</v>
      </c>
      <c r="C858" s="1" t="n">
        <v>45764</v>
      </c>
      <c r="D858" t="inlineStr">
        <is>
          <t>VÄSTERNORRLANDS LÄN</t>
        </is>
      </c>
      <c r="E858" t="inlineStr">
        <is>
          <t>TIMRÅ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6394-2025</t>
        </is>
      </c>
      <c r="B859" s="1" t="n">
        <v>45699</v>
      </c>
      <c r="C859" s="1" t="n">
        <v>45764</v>
      </c>
      <c r="D859" t="inlineStr">
        <is>
          <t>VÄSTERNORRLANDS LÄN</t>
        </is>
      </c>
      <c r="E859" t="inlineStr">
        <is>
          <t>TIMRÅ</t>
        </is>
      </c>
      <c r="G859" t="n">
        <v>2.9</v>
      </c>
      <c r="H859" t="n">
        <v>0</v>
      </c>
      <c r="I859" t="n">
        <v>0</v>
      </c>
      <c r="J859" t="n">
        <v>0</v>
      </c>
      <c r="K859" t="n">
        <v>0</v>
      </c>
      <c r="L859" t="n">
        <v>0</v>
      </c>
      <c r="M859" t="n">
        <v>0</v>
      </c>
      <c r="N859" t="n">
        <v>0</v>
      </c>
      <c r="O859" t="n">
        <v>0</v>
      </c>
      <c r="P859" t="n">
        <v>0</v>
      </c>
      <c r="Q859" t="n">
        <v>0</v>
      </c>
      <c r="R859" s="2" t="inlineStr"/>
    </row>
    <row r="860" ht="15" customHeight="1">
      <c r="A860" t="inlineStr">
        <is>
          <t>A 6424-2025</t>
        </is>
      </c>
      <c r="B860" s="1" t="n">
        <v>45699</v>
      </c>
      <c r="C860" s="1" t="n">
        <v>45764</v>
      </c>
      <c r="D860" t="inlineStr">
        <is>
          <t>VÄSTERNORRLANDS LÄN</t>
        </is>
      </c>
      <c r="E860" t="inlineStr">
        <is>
          <t>TIMRÅ</t>
        </is>
      </c>
      <c r="F860" t="inlineStr">
        <is>
          <t>SCA</t>
        </is>
      </c>
      <c r="G860" t="n">
        <v>15.7</v>
      </c>
      <c r="H860" t="n">
        <v>0</v>
      </c>
      <c r="I860" t="n">
        <v>0</v>
      </c>
      <c r="J860" t="n">
        <v>0</v>
      </c>
      <c r="K860" t="n">
        <v>0</v>
      </c>
      <c r="L860" t="n">
        <v>0</v>
      </c>
      <c r="M860" t="n">
        <v>0</v>
      </c>
      <c r="N860" t="n">
        <v>0</v>
      </c>
      <c r="O860" t="n">
        <v>0</v>
      </c>
      <c r="P860" t="n">
        <v>0</v>
      </c>
      <c r="Q860" t="n">
        <v>0</v>
      </c>
      <c r="R860" s="2" t="inlineStr"/>
    </row>
    <row r="861" ht="15" customHeight="1">
      <c r="A861" t="inlineStr">
        <is>
          <t>A 6814-2025</t>
        </is>
      </c>
      <c r="B861" s="1" t="n">
        <v>45700</v>
      </c>
      <c r="C861" s="1" t="n">
        <v>45764</v>
      </c>
      <c r="D861" t="inlineStr">
        <is>
          <t>VÄSTERNORRLANDS LÄN</t>
        </is>
      </c>
      <c r="E861" t="inlineStr">
        <is>
          <t>TIMRÅ</t>
        </is>
      </c>
      <c r="F861" t="inlineStr">
        <is>
          <t>SCA</t>
        </is>
      </c>
      <c r="G861" t="n">
        <v>6.5</v>
      </c>
      <c r="H861" t="n">
        <v>0</v>
      </c>
      <c r="I861" t="n">
        <v>0</v>
      </c>
      <c r="J861" t="n">
        <v>0</v>
      </c>
      <c r="K861" t="n">
        <v>0</v>
      </c>
      <c r="L861" t="n">
        <v>0</v>
      </c>
      <c r="M861" t="n">
        <v>0</v>
      </c>
      <c r="N861" t="n">
        <v>0</v>
      </c>
      <c r="O861" t="n">
        <v>0</v>
      </c>
      <c r="P861" t="n">
        <v>0</v>
      </c>
      <c r="Q861" t="n">
        <v>0</v>
      </c>
      <c r="R861" s="2" t="inlineStr"/>
    </row>
    <row r="862" ht="15" customHeight="1">
      <c r="A862" t="inlineStr">
        <is>
          <t>A 7866-2025</t>
        </is>
      </c>
      <c r="B862" s="1" t="n">
        <v>45706</v>
      </c>
      <c r="C862" s="1" t="n">
        <v>45764</v>
      </c>
      <c r="D862" t="inlineStr">
        <is>
          <t>VÄSTERNORRLANDS LÄN</t>
        </is>
      </c>
      <c r="E862" t="inlineStr">
        <is>
          <t>TIMRÅ</t>
        </is>
      </c>
      <c r="F862" t="inlineStr">
        <is>
          <t>SCA</t>
        </is>
      </c>
      <c r="G862" t="n">
        <v>18.1</v>
      </c>
      <c r="H862" t="n">
        <v>0</v>
      </c>
      <c r="I862" t="n">
        <v>0</v>
      </c>
      <c r="J862" t="n">
        <v>0</v>
      </c>
      <c r="K862" t="n">
        <v>0</v>
      </c>
      <c r="L862" t="n">
        <v>0</v>
      </c>
      <c r="M862" t="n">
        <v>0</v>
      </c>
      <c r="N862" t="n">
        <v>0</v>
      </c>
      <c r="O862" t="n">
        <v>0</v>
      </c>
      <c r="P862" t="n">
        <v>0</v>
      </c>
      <c r="Q862" t="n">
        <v>0</v>
      </c>
      <c r="R862" s="2" t="inlineStr"/>
    </row>
    <row r="863" ht="15" customHeight="1">
      <c r="A863" t="inlineStr">
        <is>
          <t>A 8078-2025</t>
        </is>
      </c>
      <c r="B863" s="1" t="n">
        <v>45707</v>
      </c>
      <c r="C863" s="1" t="n">
        <v>45764</v>
      </c>
      <c r="D863" t="inlineStr">
        <is>
          <t>VÄSTERNORRLANDS LÄN</t>
        </is>
      </c>
      <c r="E863" t="inlineStr">
        <is>
          <t>TIMRÅ</t>
        </is>
      </c>
      <c r="F863" t="inlineStr">
        <is>
          <t>SCA</t>
        </is>
      </c>
      <c r="G863" t="n">
        <v>5.6</v>
      </c>
      <c r="H863" t="n">
        <v>0</v>
      </c>
      <c r="I863" t="n">
        <v>0</v>
      </c>
      <c r="J863" t="n">
        <v>0</v>
      </c>
      <c r="K863" t="n">
        <v>0</v>
      </c>
      <c r="L863" t="n">
        <v>0</v>
      </c>
      <c r="M863" t="n">
        <v>0</v>
      </c>
      <c r="N863" t="n">
        <v>0</v>
      </c>
      <c r="O863" t="n">
        <v>0</v>
      </c>
      <c r="P863" t="n">
        <v>0</v>
      </c>
      <c r="Q863" t="n">
        <v>0</v>
      </c>
      <c r="R863" s="2" t="inlineStr"/>
    </row>
    <row r="864" ht="15" customHeight="1">
      <c r="A864" t="inlineStr">
        <is>
          <t>A 7963-2025</t>
        </is>
      </c>
      <c r="B864" s="1" t="n">
        <v>45707</v>
      </c>
      <c r="C864" s="1" t="n">
        <v>45764</v>
      </c>
      <c r="D864" t="inlineStr">
        <is>
          <t>VÄSTERNORRLANDS LÄN</t>
        </is>
      </c>
      <c r="E864" t="inlineStr">
        <is>
          <t>TIMRÅ</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9717-2025</t>
        </is>
      </c>
      <c r="B865" s="1" t="n">
        <v>45716</v>
      </c>
      <c r="C865" s="1" t="n">
        <v>45764</v>
      </c>
      <c r="D865" t="inlineStr">
        <is>
          <t>VÄSTERNORRLANDS LÄN</t>
        </is>
      </c>
      <c r="E865" t="inlineStr">
        <is>
          <t>TIMRÅ</t>
        </is>
      </c>
      <c r="G865" t="n">
        <v>4.6</v>
      </c>
      <c r="H865" t="n">
        <v>0</v>
      </c>
      <c r="I865" t="n">
        <v>0</v>
      </c>
      <c r="J865" t="n">
        <v>0</v>
      </c>
      <c r="K865" t="n">
        <v>0</v>
      </c>
      <c r="L865" t="n">
        <v>0</v>
      </c>
      <c r="M865" t="n">
        <v>0</v>
      </c>
      <c r="N865" t="n">
        <v>0</v>
      </c>
      <c r="O865" t="n">
        <v>0</v>
      </c>
      <c r="P865" t="n">
        <v>0</v>
      </c>
      <c r="Q865" t="n">
        <v>0</v>
      </c>
      <c r="R865" s="2" t="inlineStr"/>
    </row>
    <row r="866" ht="15" customHeight="1">
      <c r="A866" t="inlineStr">
        <is>
          <t>A 10520-2025</t>
        </is>
      </c>
      <c r="B866" s="1" t="n">
        <v>45721</v>
      </c>
      <c r="C866" s="1" t="n">
        <v>45764</v>
      </c>
      <c r="D866" t="inlineStr">
        <is>
          <t>VÄSTERNORRLANDS LÄN</t>
        </is>
      </c>
      <c r="E866" t="inlineStr">
        <is>
          <t>TIMRÅ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10958-2025</t>
        </is>
      </c>
      <c r="B867" s="1" t="n">
        <v>45723</v>
      </c>
      <c r="C867" s="1" t="n">
        <v>45764</v>
      </c>
      <c r="D867" t="inlineStr">
        <is>
          <t>VÄSTERNORRLANDS LÄN</t>
        </is>
      </c>
      <c r="E867" t="inlineStr">
        <is>
          <t>TIMRÅ</t>
        </is>
      </c>
      <c r="G867" t="n">
        <v>0.9</v>
      </c>
      <c r="H867" t="n">
        <v>0</v>
      </c>
      <c r="I867" t="n">
        <v>0</v>
      </c>
      <c r="J867" t="n">
        <v>0</v>
      </c>
      <c r="K867" t="n">
        <v>0</v>
      </c>
      <c r="L867" t="n">
        <v>0</v>
      </c>
      <c r="M867" t="n">
        <v>0</v>
      </c>
      <c r="N867" t="n">
        <v>0</v>
      </c>
      <c r="O867" t="n">
        <v>0</v>
      </c>
      <c r="P867" t="n">
        <v>0</v>
      </c>
      <c r="Q867" t="n">
        <v>0</v>
      </c>
      <c r="R867" s="2" t="inlineStr"/>
    </row>
    <row r="868" ht="15" customHeight="1">
      <c r="A868" t="inlineStr">
        <is>
          <t>A 11025-2025</t>
        </is>
      </c>
      <c r="B868" s="1" t="n">
        <v>45723</v>
      </c>
      <c r="C868" s="1" t="n">
        <v>45764</v>
      </c>
      <c r="D868" t="inlineStr">
        <is>
          <t>VÄSTERNORRLANDS LÄN</t>
        </is>
      </c>
      <c r="E868" t="inlineStr">
        <is>
          <t>TIMRÅ</t>
        </is>
      </c>
      <c r="F868" t="inlineStr">
        <is>
          <t>SCA</t>
        </is>
      </c>
      <c r="G868" t="n">
        <v>6.9</v>
      </c>
      <c r="H868" t="n">
        <v>0</v>
      </c>
      <c r="I868" t="n">
        <v>0</v>
      </c>
      <c r="J868" t="n">
        <v>0</v>
      </c>
      <c r="K868" t="n">
        <v>0</v>
      </c>
      <c r="L868" t="n">
        <v>0</v>
      </c>
      <c r="M868" t="n">
        <v>0</v>
      </c>
      <c r="N868" t="n">
        <v>0</v>
      </c>
      <c r="O868" t="n">
        <v>0</v>
      </c>
      <c r="P868" t="n">
        <v>0</v>
      </c>
      <c r="Q868" t="n">
        <v>0</v>
      </c>
      <c r="R868" s="2" t="inlineStr"/>
    </row>
    <row r="869" ht="15" customHeight="1">
      <c r="A869" t="inlineStr">
        <is>
          <t>A 10947-2025</t>
        </is>
      </c>
      <c r="B869" s="1" t="n">
        <v>45723</v>
      </c>
      <c r="C869" s="1" t="n">
        <v>45764</v>
      </c>
      <c r="D869" t="inlineStr">
        <is>
          <t>VÄSTERNORRLANDS LÄN</t>
        </is>
      </c>
      <c r="E869" t="inlineStr">
        <is>
          <t>TIMRÅ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11397-2025</t>
        </is>
      </c>
      <c r="B870" s="1" t="n">
        <v>45726</v>
      </c>
      <c r="C870" s="1" t="n">
        <v>45764</v>
      </c>
      <c r="D870" t="inlineStr">
        <is>
          <t>VÄSTERNORRLANDS LÄN</t>
        </is>
      </c>
      <c r="E870" t="inlineStr">
        <is>
          <t>TIMRÅ</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11625-2025</t>
        </is>
      </c>
      <c r="B871" s="1" t="n">
        <v>45727</v>
      </c>
      <c r="C871" s="1" t="n">
        <v>45764</v>
      </c>
      <c r="D871" t="inlineStr">
        <is>
          <t>VÄSTERNORRLANDS LÄN</t>
        </is>
      </c>
      <c r="E871" t="inlineStr">
        <is>
          <t>TIMRÅ</t>
        </is>
      </c>
      <c r="G871" t="n">
        <v>12.4</v>
      </c>
      <c r="H871" t="n">
        <v>0</v>
      </c>
      <c r="I871" t="n">
        <v>0</v>
      </c>
      <c r="J871" t="n">
        <v>0</v>
      </c>
      <c r="K871" t="n">
        <v>0</v>
      </c>
      <c r="L871" t="n">
        <v>0</v>
      </c>
      <c r="M871" t="n">
        <v>0</v>
      </c>
      <c r="N871" t="n">
        <v>0</v>
      </c>
      <c r="O871" t="n">
        <v>0</v>
      </c>
      <c r="P871" t="n">
        <v>0</v>
      </c>
      <c r="Q871" t="n">
        <v>0</v>
      </c>
      <c r="R871" s="2" t="inlineStr"/>
    </row>
    <row r="872" ht="15" customHeight="1">
      <c r="A872" t="inlineStr">
        <is>
          <t>A 11631-2025</t>
        </is>
      </c>
      <c r="B872" s="1" t="n">
        <v>45727</v>
      </c>
      <c r="C872" s="1" t="n">
        <v>45764</v>
      </c>
      <c r="D872" t="inlineStr">
        <is>
          <t>VÄSTERNORRLANDS LÄN</t>
        </is>
      </c>
      <c r="E872" t="inlineStr">
        <is>
          <t>TIMRÅ</t>
        </is>
      </c>
      <c r="G872" t="n">
        <v>6.6</v>
      </c>
      <c r="H872" t="n">
        <v>0</v>
      </c>
      <c r="I872" t="n">
        <v>0</v>
      </c>
      <c r="J872" t="n">
        <v>0</v>
      </c>
      <c r="K872" t="n">
        <v>0</v>
      </c>
      <c r="L872" t="n">
        <v>0</v>
      </c>
      <c r="M872" t="n">
        <v>0</v>
      </c>
      <c r="N872" t="n">
        <v>0</v>
      </c>
      <c r="O872" t="n">
        <v>0</v>
      </c>
      <c r="P872" t="n">
        <v>0</v>
      </c>
      <c r="Q872" t="n">
        <v>0</v>
      </c>
      <c r="R872" s="2" t="inlineStr"/>
    </row>
    <row r="873" ht="15" customHeight="1">
      <c r="A873" t="inlineStr">
        <is>
          <t>A 12786-2025</t>
        </is>
      </c>
      <c r="B873" s="1" t="n">
        <v>45733</v>
      </c>
      <c r="C873" s="1" t="n">
        <v>45764</v>
      </c>
      <c r="D873" t="inlineStr">
        <is>
          <t>VÄSTERNORRLANDS LÄN</t>
        </is>
      </c>
      <c r="E873" t="inlineStr">
        <is>
          <t>TIMRÅ</t>
        </is>
      </c>
      <c r="G873" t="n">
        <v>1.3</v>
      </c>
      <c r="H873" t="n">
        <v>0</v>
      </c>
      <c r="I873" t="n">
        <v>0</v>
      </c>
      <c r="J873" t="n">
        <v>0</v>
      </c>
      <c r="K873" t="n">
        <v>0</v>
      </c>
      <c r="L873" t="n">
        <v>0</v>
      </c>
      <c r="M873" t="n">
        <v>0</v>
      </c>
      <c r="N873" t="n">
        <v>0</v>
      </c>
      <c r="O873" t="n">
        <v>0</v>
      </c>
      <c r="P873" t="n">
        <v>0</v>
      </c>
      <c r="Q873" t="n">
        <v>0</v>
      </c>
      <c r="R873" s="2" t="inlineStr"/>
    </row>
    <row r="874" ht="15" customHeight="1">
      <c r="A874" t="inlineStr">
        <is>
          <t>A 13316-2025</t>
        </is>
      </c>
      <c r="B874" s="1" t="n">
        <v>45735</v>
      </c>
      <c r="C874" s="1" t="n">
        <v>45764</v>
      </c>
      <c r="D874" t="inlineStr">
        <is>
          <t>VÄSTERNORRLANDS LÄN</t>
        </is>
      </c>
      <c r="E874" t="inlineStr">
        <is>
          <t>TIMRÅ</t>
        </is>
      </c>
      <c r="F874" t="inlineStr">
        <is>
          <t>SCA</t>
        </is>
      </c>
      <c r="G874" t="n">
        <v>11.7</v>
      </c>
      <c r="H874" t="n">
        <v>0</v>
      </c>
      <c r="I874" t="n">
        <v>0</v>
      </c>
      <c r="J874" t="n">
        <v>0</v>
      </c>
      <c r="K874" t="n">
        <v>0</v>
      </c>
      <c r="L874" t="n">
        <v>0</v>
      </c>
      <c r="M874" t="n">
        <v>0</v>
      </c>
      <c r="N874" t="n">
        <v>0</v>
      </c>
      <c r="O874" t="n">
        <v>0</v>
      </c>
      <c r="P874" t="n">
        <v>0</v>
      </c>
      <c r="Q874" t="n">
        <v>0</v>
      </c>
      <c r="R874" s="2" t="inlineStr"/>
    </row>
    <row r="875" ht="15" customHeight="1">
      <c r="A875" t="inlineStr">
        <is>
          <t>A 13218-2025</t>
        </is>
      </c>
      <c r="B875" s="1" t="n">
        <v>45735</v>
      </c>
      <c r="C875" s="1" t="n">
        <v>45764</v>
      </c>
      <c r="D875" t="inlineStr">
        <is>
          <t>VÄSTERNORRLANDS LÄN</t>
        </is>
      </c>
      <c r="E875" t="inlineStr">
        <is>
          <t>TIMRÅ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13251-2025</t>
        </is>
      </c>
      <c r="B876" s="1" t="n">
        <v>45735</v>
      </c>
      <c r="C876" s="1" t="n">
        <v>45764</v>
      </c>
      <c r="D876" t="inlineStr">
        <is>
          <t>VÄSTERNORRLANDS LÄN</t>
        </is>
      </c>
      <c r="E876" t="inlineStr">
        <is>
          <t>TIMRÅ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13642-2025</t>
        </is>
      </c>
      <c r="B877" s="1" t="n">
        <v>45736</v>
      </c>
      <c r="C877" s="1" t="n">
        <v>45764</v>
      </c>
      <c r="D877" t="inlineStr">
        <is>
          <t>VÄSTERNORRLANDS LÄN</t>
        </is>
      </c>
      <c r="E877" t="inlineStr">
        <is>
          <t>TIMRÅ</t>
        </is>
      </c>
      <c r="G877" t="n">
        <v>4.9</v>
      </c>
      <c r="H877" t="n">
        <v>0</v>
      </c>
      <c r="I877" t="n">
        <v>0</v>
      </c>
      <c r="J877" t="n">
        <v>0</v>
      </c>
      <c r="K877" t="n">
        <v>0</v>
      </c>
      <c r="L877" t="n">
        <v>0</v>
      </c>
      <c r="M877" t="n">
        <v>0</v>
      </c>
      <c r="N877" t="n">
        <v>0</v>
      </c>
      <c r="O877" t="n">
        <v>0</v>
      </c>
      <c r="P877" t="n">
        <v>0</v>
      </c>
      <c r="Q877" t="n">
        <v>0</v>
      </c>
      <c r="R877" s="2" t="inlineStr"/>
    </row>
    <row r="878" ht="15" customHeight="1">
      <c r="A878" t="inlineStr">
        <is>
          <t>A 13862-2025</t>
        </is>
      </c>
      <c r="B878" s="1" t="n">
        <v>45737</v>
      </c>
      <c r="C878" s="1" t="n">
        <v>45764</v>
      </c>
      <c r="D878" t="inlineStr">
        <is>
          <t>VÄSTERNORRLANDS LÄN</t>
        </is>
      </c>
      <c r="E878" t="inlineStr">
        <is>
          <t>TIMRÅ</t>
        </is>
      </c>
      <c r="F878" t="inlineStr">
        <is>
          <t>SCA</t>
        </is>
      </c>
      <c r="G878" t="n">
        <v>8.6</v>
      </c>
      <c r="H878" t="n">
        <v>0</v>
      </c>
      <c r="I878" t="n">
        <v>0</v>
      </c>
      <c r="J878" t="n">
        <v>0</v>
      </c>
      <c r="K878" t="n">
        <v>0</v>
      </c>
      <c r="L878" t="n">
        <v>0</v>
      </c>
      <c r="M878" t="n">
        <v>0</v>
      </c>
      <c r="N878" t="n">
        <v>0</v>
      </c>
      <c r="O878" t="n">
        <v>0</v>
      </c>
      <c r="P878" t="n">
        <v>0</v>
      </c>
      <c r="Q878" t="n">
        <v>0</v>
      </c>
      <c r="R878" s="2" t="inlineStr"/>
    </row>
    <row r="879" ht="15" customHeight="1">
      <c r="A879" t="inlineStr">
        <is>
          <t>A 13861-2025</t>
        </is>
      </c>
      <c r="B879" s="1" t="n">
        <v>45737</v>
      </c>
      <c r="C879" s="1" t="n">
        <v>45764</v>
      </c>
      <c r="D879" t="inlineStr">
        <is>
          <t>VÄSTERNORRLANDS LÄN</t>
        </is>
      </c>
      <c r="E879" t="inlineStr">
        <is>
          <t>TIMRÅ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14926-2025</t>
        </is>
      </c>
      <c r="B880" s="1" t="n">
        <v>45743</v>
      </c>
      <c r="C880" s="1" t="n">
        <v>45764</v>
      </c>
      <c r="D880" t="inlineStr">
        <is>
          <t>VÄSTERNORRLANDS LÄN</t>
        </is>
      </c>
      <c r="E880" t="inlineStr">
        <is>
          <t>TIMRÅ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14955-2025</t>
        </is>
      </c>
      <c r="B881" s="1" t="n">
        <v>45743</v>
      </c>
      <c r="C881" s="1" t="n">
        <v>45764</v>
      </c>
      <c r="D881" t="inlineStr">
        <is>
          <t>VÄSTERNORRLANDS LÄN</t>
        </is>
      </c>
      <c r="E881" t="inlineStr">
        <is>
          <t>TIMRÅ</t>
        </is>
      </c>
      <c r="G881" t="n">
        <v>0.8</v>
      </c>
      <c r="H881" t="n">
        <v>0</v>
      </c>
      <c r="I881" t="n">
        <v>0</v>
      </c>
      <c r="J881" t="n">
        <v>0</v>
      </c>
      <c r="K881" t="n">
        <v>0</v>
      </c>
      <c r="L881" t="n">
        <v>0</v>
      </c>
      <c r="M881" t="n">
        <v>0</v>
      </c>
      <c r="N881" t="n">
        <v>0</v>
      </c>
      <c r="O881" t="n">
        <v>0</v>
      </c>
      <c r="P881" t="n">
        <v>0</v>
      </c>
      <c r="Q881" t="n">
        <v>0</v>
      </c>
      <c r="R881" s="2" t="inlineStr"/>
    </row>
    <row r="882" ht="15" customHeight="1">
      <c r="A882" t="inlineStr">
        <is>
          <t>A 16084-2025</t>
        </is>
      </c>
      <c r="B882" s="1" t="n">
        <v>45749</v>
      </c>
      <c r="C882" s="1" t="n">
        <v>45764</v>
      </c>
      <c r="D882" t="inlineStr">
        <is>
          <t>VÄSTERNORRLANDS LÄN</t>
        </is>
      </c>
      <c r="E882" t="inlineStr">
        <is>
          <t>TIMRÅ</t>
        </is>
      </c>
      <c r="G882" t="n">
        <v>1.3</v>
      </c>
      <c r="H882" t="n">
        <v>0</v>
      </c>
      <c r="I882" t="n">
        <v>0</v>
      </c>
      <c r="J882" t="n">
        <v>0</v>
      </c>
      <c r="K882" t="n">
        <v>0</v>
      </c>
      <c r="L882" t="n">
        <v>0</v>
      </c>
      <c r="M882" t="n">
        <v>0</v>
      </c>
      <c r="N882" t="n">
        <v>0</v>
      </c>
      <c r="O882" t="n">
        <v>0</v>
      </c>
      <c r="P882" t="n">
        <v>0</v>
      </c>
      <c r="Q882" t="n">
        <v>0</v>
      </c>
      <c r="R882" s="2" t="inlineStr"/>
    </row>
    <row r="883" ht="15" customHeight="1">
      <c r="A883" t="inlineStr">
        <is>
          <t>A 16302-2025</t>
        </is>
      </c>
      <c r="B883" s="1" t="n">
        <v>45751</v>
      </c>
      <c r="C883" s="1" t="n">
        <v>45764</v>
      </c>
      <c r="D883" t="inlineStr">
        <is>
          <t>VÄSTERNORRLANDS LÄN</t>
        </is>
      </c>
      <c r="E883" t="inlineStr">
        <is>
          <t>TIMRÅ</t>
        </is>
      </c>
      <c r="F883" t="inlineStr">
        <is>
          <t>SCA</t>
        </is>
      </c>
      <c r="G883" t="n">
        <v>0.3</v>
      </c>
      <c r="H883" t="n">
        <v>0</v>
      </c>
      <c r="I883" t="n">
        <v>0</v>
      </c>
      <c r="J883" t="n">
        <v>0</v>
      </c>
      <c r="K883" t="n">
        <v>0</v>
      </c>
      <c r="L883" t="n">
        <v>0</v>
      </c>
      <c r="M883" t="n">
        <v>0</v>
      </c>
      <c r="N883" t="n">
        <v>0</v>
      </c>
      <c r="O883" t="n">
        <v>0</v>
      </c>
      <c r="P883" t="n">
        <v>0</v>
      </c>
      <c r="Q883" t="n">
        <v>0</v>
      </c>
      <c r="R883" s="2" t="inlineStr"/>
    </row>
    <row r="884" ht="15" customHeight="1">
      <c r="A884" t="inlineStr">
        <is>
          <t>A 16935-2025</t>
        </is>
      </c>
      <c r="B884" s="1" t="n">
        <v>45755</v>
      </c>
      <c r="C884" s="1" t="n">
        <v>45764</v>
      </c>
      <c r="D884" t="inlineStr">
        <is>
          <t>VÄSTERNORRLANDS LÄN</t>
        </is>
      </c>
      <c r="E884" t="inlineStr">
        <is>
          <t>TIMRÅ</t>
        </is>
      </c>
      <c r="G884" t="n">
        <v>3.6</v>
      </c>
      <c r="H884" t="n">
        <v>0</v>
      </c>
      <c r="I884" t="n">
        <v>0</v>
      </c>
      <c r="J884" t="n">
        <v>0</v>
      </c>
      <c r="K884" t="n">
        <v>0</v>
      </c>
      <c r="L884" t="n">
        <v>0</v>
      </c>
      <c r="M884" t="n">
        <v>0</v>
      </c>
      <c r="N884" t="n">
        <v>0</v>
      </c>
      <c r="O884" t="n">
        <v>0</v>
      </c>
      <c r="P884" t="n">
        <v>0</v>
      </c>
      <c r="Q884" t="n">
        <v>0</v>
      </c>
      <c r="R884" s="2" t="inlineStr"/>
    </row>
    <row r="885" ht="15" customHeight="1">
      <c r="A885" t="inlineStr">
        <is>
          <t>A 17974-2025</t>
        </is>
      </c>
      <c r="B885" s="1" t="n">
        <v>45761</v>
      </c>
      <c r="C885" s="1" t="n">
        <v>45764</v>
      </c>
      <c r="D885" t="inlineStr">
        <is>
          <t>VÄSTERNORRLANDS LÄN</t>
        </is>
      </c>
      <c r="E885" t="inlineStr">
        <is>
          <t>TIMRÅ</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18130-2025</t>
        </is>
      </c>
      <c r="B886" s="1" t="n">
        <v>45761</v>
      </c>
      <c r="C886" s="1" t="n">
        <v>45764</v>
      </c>
      <c r="D886" t="inlineStr">
        <is>
          <t>VÄSTERNORRLANDS LÄN</t>
        </is>
      </c>
      <c r="E886" t="inlineStr">
        <is>
          <t>TIMRÅ</t>
        </is>
      </c>
      <c r="G886" t="n">
        <v>3.1</v>
      </c>
      <c r="H886" t="n">
        <v>0</v>
      </c>
      <c r="I886" t="n">
        <v>0</v>
      </c>
      <c r="J886" t="n">
        <v>0</v>
      </c>
      <c r="K886" t="n">
        <v>0</v>
      </c>
      <c r="L886" t="n">
        <v>0</v>
      </c>
      <c r="M886" t="n">
        <v>0</v>
      </c>
      <c r="N886" t="n">
        <v>0</v>
      </c>
      <c r="O886" t="n">
        <v>0</v>
      </c>
      <c r="P886" t="n">
        <v>0</v>
      </c>
      <c r="Q886" t="n">
        <v>0</v>
      </c>
      <c r="R886" s="2" t="inlineStr"/>
    </row>
    <row r="887" ht="15" customHeight="1">
      <c r="A887" t="inlineStr">
        <is>
          <t>A 18415-2025</t>
        </is>
      </c>
      <c r="B887" s="1" t="n">
        <v>45762</v>
      </c>
      <c r="C887" s="1" t="n">
        <v>45764</v>
      </c>
      <c r="D887" t="inlineStr">
        <is>
          <t>VÄSTERNORRLANDS LÄN</t>
        </is>
      </c>
      <c r="E887" t="inlineStr">
        <is>
          <t>TIMRÅ</t>
        </is>
      </c>
      <c r="G887" t="n">
        <v>9.800000000000001</v>
      </c>
      <c r="H887" t="n">
        <v>0</v>
      </c>
      <c r="I887" t="n">
        <v>0</v>
      </c>
      <c r="J887" t="n">
        <v>0</v>
      </c>
      <c r="K887" t="n">
        <v>0</v>
      </c>
      <c r="L887" t="n">
        <v>0</v>
      </c>
      <c r="M887" t="n">
        <v>0</v>
      </c>
      <c r="N887" t="n">
        <v>0</v>
      </c>
      <c r="O887" t="n">
        <v>0</v>
      </c>
      <c r="P887" t="n">
        <v>0</v>
      </c>
      <c r="Q887" t="n">
        <v>0</v>
      </c>
      <c r="R887" s="2" t="inlineStr"/>
    </row>
    <row r="888">
      <c r="A888" t="inlineStr">
        <is>
          <t>A 18375-2025</t>
        </is>
      </c>
      <c r="B888" s="1" t="n">
        <v>45762</v>
      </c>
      <c r="C888" s="1" t="n">
        <v>45764</v>
      </c>
      <c r="D888" t="inlineStr">
        <is>
          <t>VÄSTERNORRLANDS LÄN</t>
        </is>
      </c>
      <c r="E888" t="inlineStr">
        <is>
          <t>TIMRÅ</t>
        </is>
      </c>
      <c r="G888" t="n">
        <v>0.5</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2025-04-17T16:45:44Z</dcterms:created>
  <dcterms:modified xmlns:dcterms="http://purl.org/dc/terms/" xmlns:xsi="http://www.w3.org/2001/XMLSchema-instance" xsi:type="dcterms:W3CDTF">2025-04-17T16:45:45Z</dcterms:modified>
</cp:coreProperties>
</file>