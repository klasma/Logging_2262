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45357</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45357</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45357</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45357</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45357</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45357</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45357</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45357</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45357</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45357</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45357</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45357</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45357</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45357</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45357</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45357</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45357</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45357</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45357</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45357</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45357</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45357</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45357</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45357</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45357</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45357</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45357</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45357</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45357</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45357</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45357</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45357</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16852-2019</t>
        </is>
      </c>
      <c r="B42" s="1" t="n">
        <v>43549</v>
      </c>
      <c r="C42" s="1" t="n">
        <v>45357</v>
      </c>
      <c r="D42" t="inlineStr">
        <is>
          <t>VÄSTERNORRLANDS LÄN</t>
        </is>
      </c>
      <c r="E42" t="inlineStr">
        <is>
          <t>TIMRÅ</t>
        </is>
      </c>
      <c r="G42" t="n">
        <v>1.7</v>
      </c>
      <c r="H42" t="n">
        <v>1</v>
      </c>
      <c r="I42" t="n">
        <v>0</v>
      </c>
      <c r="J42" t="n">
        <v>1</v>
      </c>
      <c r="K42" t="n">
        <v>0</v>
      </c>
      <c r="L42" t="n">
        <v>0</v>
      </c>
      <c r="M42" t="n">
        <v>0</v>
      </c>
      <c r="N42" t="n">
        <v>0</v>
      </c>
      <c r="O42" t="n">
        <v>1</v>
      </c>
      <c r="P42" t="n">
        <v>0</v>
      </c>
      <c r="Q42" t="n">
        <v>1</v>
      </c>
      <c r="R42" s="2" t="inlineStr">
        <is>
          <t>Grönsångare</t>
        </is>
      </c>
      <c r="S42">
        <f>HYPERLINK("https://klasma.github.io/Logging_2262/artfynd/A 16852-2019 artfynd.xlsx", "A 16852-2019")</f>
        <v/>
      </c>
      <c r="T42">
        <f>HYPERLINK("https://klasma.github.io/Logging_2262/kartor/A 16852-2019 karta.png", "A 16852-2019")</f>
        <v/>
      </c>
      <c r="V42">
        <f>HYPERLINK("https://klasma.github.io/Logging_2262/klagomål/A 16852-2019 FSC-klagomål.docx", "A 16852-2019")</f>
        <v/>
      </c>
      <c r="W42">
        <f>HYPERLINK("https://klasma.github.io/Logging_2262/klagomålsmail/A 16852-2019 FSC-klagomål mail.docx", "A 16852-2019")</f>
        <v/>
      </c>
      <c r="X42">
        <f>HYPERLINK("https://klasma.github.io/Logging_2262/tillsyn/A 16852-2019 tillsynsbegäran.docx", "A 16852-2019")</f>
        <v/>
      </c>
      <c r="Y42">
        <f>HYPERLINK("https://klasma.github.io/Logging_2262/tillsynsmail/A 16852-2019 tillsynsbegäran mail.docx", "A 16852-2019")</f>
        <v/>
      </c>
    </row>
    <row r="43" ht="15" customHeight="1">
      <c r="A43" t="inlineStr">
        <is>
          <t>A 16858-2019</t>
        </is>
      </c>
      <c r="B43" s="1" t="n">
        <v>43549</v>
      </c>
      <c r="C43" s="1" t="n">
        <v>45357</v>
      </c>
      <c r="D43" t="inlineStr">
        <is>
          <t>VÄSTERNORRLANDS LÄN</t>
        </is>
      </c>
      <c r="E43" t="inlineStr">
        <is>
          <t>TIMRÅ</t>
        </is>
      </c>
      <c r="G43" t="n">
        <v>3.2</v>
      </c>
      <c r="H43" t="n">
        <v>0</v>
      </c>
      <c r="I43" t="n">
        <v>0</v>
      </c>
      <c r="J43" t="n">
        <v>1</v>
      </c>
      <c r="K43" t="n">
        <v>0</v>
      </c>
      <c r="L43" t="n">
        <v>0</v>
      </c>
      <c r="M43" t="n">
        <v>0</v>
      </c>
      <c r="N43" t="n">
        <v>0</v>
      </c>
      <c r="O43" t="n">
        <v>1</v>
      </c>
      <c r="P43" t="n">
        <v>0</v>
      </c>
      <c r="Q43" t="n">
        <v>1</v>
      </c>
      <c r="R43" s="2" t="inlineStr">
        <is>
          <t>Violettgrå tagellav</t>
        </is>
      </c>
      <c r="S43">
        <f>HYPERLINK("https://klasma.github.io/Logging_2262/artfynd/A 16858-2019 artfynd.xlsx", "A 16858-2019")</f>
        <v/>
      </c>
      <c r="T43">
        <f>HYPERLINK("https://klasma.github.io/Logging_2262/kartor/A 16858-2019 karta.png", "A 16858-2019")</f>
        <v/>
      </c>
      <c r="V43">
        <f>HYPERLINK("https://klasma.github.io/Logging_2262/klagomål/A 16858-2019 FSC-klagomål.docx", "A 16858-2019")</f>
        <v/>
      </c>
      <c r="W43">
        <f>HYPERLINK("https://klasma.github.io/Logging_2262/klagomålsmail/A 16858-2019 FSC-klagomål mail.docx", "A 16858-2019")</f>
        <v/>
      </c>
      <c r="X43">
        <f>HYPERLINK("https://klasma.github.io/Logging_2262/tillsyn/A 16858-2019 tillsynsbegäran.docx", "A 16858-2019")</f>
        <v/>
      </c>
      <c r="Y43">
        <f>HYPERLINK("https://klasma.github.io/Logging_2262/tillsynsmail/A 16858-2019 tillsynsbegäran mail.docx", "A 16858-2019")</f>
        <v/>
      </c>
    </row>
    <row r="44" ht="15" customHeight="1">
      <c r="A44" t="inlineStr">
        <is>
          <t>A 66710-2019</t>
        </is>
      </c>
      <c r="B44" s="1" t="n">
        <v>43809</v>
      </c>
      <c r="C44" s="1" t="n">
        <v>45357</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45357</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45357</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45357</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45357</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45357</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45357</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45357</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23222-2022</t>
        </is>
      </c>
      <c r="B52" s="1" t="n">
        <v>44719</v>
      </c>
      <c r="C52" s="1" t="n">
        <v>45357</v>
      </c>
      <c r="D52" t="inlineStr">
        <is>
          <t>VÄSTERNORRLANDS LÄN</t>
        </is>
      </c>
      <c r="E52" t="inlineStr">
        <is>
          <t>TIMRÅ</t>
        </is>
      </c>
      <c r="F52" t="inlineStr">
        <is>
          <t>SCA</t>
        </is>
      </c>
      <c r="G52" t="n">
        <v>4</v>
      </c>
      <c r="H52" t="n">
        <v>0</v>
      </c>
      <c r="I52" t="n">
        <v>0</v>
      </c>
      <c r="J52" t="n">
        <v>1</v>
      </c>
      <c r="K52" t="n">
        <v>0</v>
      </c>
      <c r="L52" t="n">
        <v>0</v>
      </c>
      <c r="M52" t="n">
        <v>0</v>
      </c>
      <c r="N52" t="n">
        <v>0</v>
      </c>
      <c r="O52" t="n">
        <v>1</v>
      </c>
      <c r="P52" t="n">
        <v>0</v>
      </c>
      <c r="Q52" t="n">
        <v>1</v>
      </c>
      <c r="R52" s="2" t="inlineStr">
        <is>
          <t>Garnlav</t>
        </is>
      </c>
      <c r="S52">
        <f>HYPERLINK("https://klasma.github.io/Logging_2262/artfynd/A 23222-2022 artfynd.xlsx", "A 23222-2022")</f>
        <v/>
      </c>
      <c r="T52">
        <f>HYPERLINK("https://klasma.github.io/Logging_2262/kartor/A 23222-2022 karta.png", "A 23222-2022")</f>
        <v/>
      </c>
      <c r="V52">
        <f>HYPERLINK("https://klasma.github.io/Logging_2262/klagomål/A 23222-2022 FSC-klagomål.docx", "A 23222-2022")</f>
        <v/>
      </c>
      <c r="W52">
        <f>HYPERLINK("https://klasma.github.io/Logging_2262/klagomålsmail/A 23222-2022 FSC-klagomål mail.docx", "A 23222-2022")</f>
        <v/>
      </c>
      <c r="X52">
        <f>HYPERLINK("https://klasma.github.io/Logging_2262/tillsyn/A 23222-2022 tillsynsbegäran.docx", "A 23222-2022")</f>
        <v/>
      </c>
      <c r="Y52">
        <f>HYPERLINK("https://klasma.github.io/Logging_2262/tillsynsmail/A 23222-2022 tillsynsbegäran mail.docx", "A 23222-2022")</f>
        <v/>
      </c>
    </row>
    <row r="53" ht="15" customHeight="1">
      <c r="A53" t="inlineStr">
        <is>
          <t>A 57242-2022</t>
        </is>
      </c>
      <c r="B53" s="1" t="n">
        <v>44889</v>
      </c>
      <c r="C53" s="1" t="n">
        <v>45357</v>
      </c>
      <c r="D53" t="inlineStr">
        <is>
          <t>VÄSTERNORRLANDS LÄN</t>
        </is>
      </c>
      <c r="E53" t="inlineStr">
        <is>
          <t>TIMRÅ</t>
        </is>
      </c>
      <c r="G53" t="n">
        <v>18.8</v>
      </c>
      <c r="H53" t="n">
        <v>0</v>
      </c>
      <c r="I53" t="n">
        <v>0</v>
      </c>
      <c r="J53" t="n">
        <v>0</v>
      </c>
      <c r="K53" t="n">
        <v>0</v>
      </c>
      <c r="L53" t="n">
        <v>1</v>
      </c>
      <c r="M53" t="n">
        <v>0</v>
      </c>
      <c r="N53" t="n">
        <v>0</v>
      </c>
      <c r="O53" t="n">
        <v>1</v>
      </c>
      <c r="P53" t="n">
        <v>1</v>
      </c>
      <c r="Q53" t="n">
        <v>1</v>
      </c>
      <c r="R53" s="2" t="inlineStr">
        <is>
          <t>Flodpärlmussla</t>
        </is>
      </c>
      <c r="S53">
        <f>HYPERLINK("https://klasma.github.io/Logging_2262/artfynd/A 57242-2022 artfynd.xlsx", "A 57242-2022")</f>
        <v/>
      </c>
      <c r="T53">
        <f>HYPERLINK("https://klasma.github.io/Logging_2262/kartor/A 57242-2022 karta.png", "A 57242-2022")</f>
        <v/>
      </c>
      <c r="V53">
        <f>HYPERLINK("https://klasma.github.io/Logging_2262/klagomål/A 57242-2022 FSC-klagomål.docx", "A 57242-2022")</f>
        <v/>
      </c>
      <c r="W53">
        <f>HYPERLINK("https://klasma.github.io/Logging_2262/klagomålsmail/A 57242-2022 FSC-klagomål mail.docx", "A 57242-2022")</f>
        <v/>
      </c>
      <c r="X53">
        <f>HYPERLINK("https://klasma.github.io/Logging_2262/tillsyn/A 57242-2022 tillsynsbegäran.docx", "A 57242-2022")</f>
        <v/>
      </c>
      <c r="Y53">
        <f>HYPERLINK("https://klasma.github.io/Logging_2262/tillsynsmail/A 57242-2022 tillsynsbegäran mail.docx", "A 57242-2022")</f>
        <v/>
      </c>
    </row>
    <row r="54" ht="15" customHeight="1">
      <c r="A54" t="inlineStr">
        <is>
          <t>A 10313-2023</t>
        </is>
      </c>
      <c r="B54" s="1" t="n">
        <v>44986</v>
      </c>
      <c r="C54" s="1" t="n">
        <v>45357</v>
      </c>
      <c r="D54" t="inlineStr">
        <is>
          <t>VÄSTERNORRLANDS LÄN</t>
        </is>
      </c>
      <c r="E54" t="inlineStr">
        <is>
          <t>TIMRÅ</t>
        </is>
      </c>
      <c r="F54" t="inlineStr">
        <is>
          <t>SCA</t>
        </is>
      </c>
      <c r="G54" t="n">
        <v>39.3</v>
      </c>
      <c r="H54" t="n">
        <v>1</v>
      </c>
      <c r="I54" t="n">
        <v>0</v>
      </c>
      <c r="J54" t="n">
        <v>1</v>
      </c>
      <c r="K54" t="n">
        <v>0</v>
      </c>
      <c r="L54" t="n">
        <v>0</v>
      </c>
      <c r="M54" t="n">
        <v>0</v>
      </c>
      <c r="N54" t="n">
        <v>0</v>
      </c>
      <c r="O54" t="n">
        <v>1</v>
      </c>
      <c r="P54" t="n">
        <v>0</v>
      </c>
      <c r="Q54" t="n">
        <v>1</v>
      </c>
      <c r="R54" s="2" t="inlineStr">
        <is>
          <t>Slaguggla</t>
        </is>
      </c>
      <c r="S54">
        <f>HYPERLINK("https://klasma.github.io/Logging_2262/artfynd/A 10313-2023 artfynd.xlsx", "A 10313-2023")</f>
        <v/>
      </c>
      <c r="T54">
        <f>HYPERLINK("https://klasma.github.io/Logging_2262/kartor/A 10313-2023 karta.png", "A 10313-2023")</f>
        <v/>
      </c>
      <c r="V54">
        <f>HYPERLINK("https://klasma.github.io/Logging_2262/klagomål/A 10313-2023 FSC-klagomål.docx", "A 10313-2023")</f>
        <v/>
      </c>
      <c r="W54">
        <f>HYPERLINK("https://klasma.github.io/Logging_2262/klagomålsmail/A 10313-2023 FSC-klagomål mail.docx", "A 10313-2023")</f>
        <v/>
      </c>
      <c r="X54">
        <f>HYPERLINK("https://klasma.github.io/Logging_2262/tillsyn/A 10313-2023 tillsynsbegäran.docx", "A 10313-2023")</f>
        <v/>
      </c>
      <c r="Y54">
        <f>HYPERLINK("https://klasma.github.io/Logging_2262/tillsynsmail/A 10313-2023 tillsynsbegäran mail.docx", "A 10313-2023")</f>
        <v/>
      </c>
      <c r="Z54">
        <f>HYPERLINK("https://klasma.github.io/Logging_2262/fåglar/A 10313-2023 prioriterade fågelarter.docx", "A 10313-2023")</f>
        <v/>
      </c>
    </row>
    <row r="55" ht="15" customHeight="1">
      <c r="A55" t="inlineStr">
        <is>
          <t>A 33330-2023</t>
        </is>
      </c>
      <c r="B55" s="1" t="n">
        <v>45127</v>
      </c>
      <c r="C55" s="1" t="n">
        <v>45357</v>
      </c>
      <c r="D55" t="inlineStr">
        <is>
          <t>VÄSTERNORRLANDS LÄN</t>
        </is>
      </c>
      <c r="E55" t="inlineStr">
        <is>
          <t>TIMRÅ</t>
        </is>
      </c>
      <c r="F55" t="inlineStr">
        <is>
          <t>SCA</t>
        </is>
      </c>
      <c r="G55" t="n">
        <v>4</v>
      </c>
      <c r="H55" t="n">
        <v>0</v>
      </c>
      <c r="I55" t="n">
        <v>0</v>
      </c>
      <c r="J55" t="n">
        <v>1</v>
      </c>
      <c r="K55" t="n">
        <v>0</v>
      </c>
      <c r="L55" t="n">
        <v>0</v>
      </c>
      <c r="M55" t="n">
        <v>0</v>
      </c>
      <c r="N55" t="n">
        <v>0</v>
      </c>
      <c r="O55" t="n">
        <v>1</v>
      </c>
      <c r="P55" t="n">
        <v>0</v>
      </c>
      <c r="Q55" t="n">
        <v>1</v>
      </c>
      <c r="R55" s="2" t="inlineStr">
        <is>
          <t>Lunglav</t>
        </is>
      </c>
      <c r="S55">
        <f>HYPERLINK("https://klasma.github.io/Logging_2262/artfynd/A 33330-2023 artfynd.xlsx", "A 33330-2023")</f>
        <v/>
      </c>
      <c r="T55">
        <f>HYPERLINK("https://klasma.github.io/Logging_2262/kartor/A 33330-2023 karta.png", "A 33330-2023")</f>
        <v/>
      </c>
      <c r="V55">
        <f>HYPERLINK("https://klasma.github.io/Logging_2262/klagomål/A 33330-2023 FSC-klagomål.docx", "A 33330-2023")</f>
        <v/>
      </c>
      <c r="W55">
        <f>HYPERLINK("https://klasma.github.io/Logging_2262/klagomålsmail/A 33330-2023 FSC-klagomål mail.docx", "A 33330-2023")</f>
        <v/>
      </c>
      <c r="X55">
        <f>HYPERLINK("https://klasma.github.io/Logging_2262/tillsyn/A 33330-2023 tillsynsbegäran.docx", "A 33330-2023")</f>
        <v/>
      </c>
      <c r="Y55">
        <f>HYPERLINK("https://klasma.github.io/Logging_2262/tillsynsmail/A 33330-2023 tillsynsbegäran mail.docx", "A 33330-2023")</f>
        <v/>
      </c>
    </row>
    <row r="56" ht="15" customHeight="1">
      <c r="A56" t="inlineStr">
        <is>
          <t>A 33503-2023</t>
        </is>
      </c>
      <c r="B56" s="1" t="n">
        <v>45131</v>
      </c>
      <c r="C56" s="1" t="n">
        <v>45357</v>
      </c>
      <c r="D56" t="inlineStr">
        <is>
          <t>VÄSTERNORRLANDS LÄN</t>
        </is>
      </c>
      <c r="E56" t="inlineStr">
        <is>
          <t>TIMRÅ</t>
        </is>
      </c>
      <c r="G56" t="n">
        <v>28.3</v>
      </c>
      <c r="H56" t="n">
        <v>1</v>
      </c>
      <c r="I56" t="n">
        <v>0</v>
      </c>
      <c r="J56" t="n">
        <v>1</v>
      </c>
      <c r="K56" t="n">
        <v>0</v>
      </c>
      <c r="L56" t="n">
        <v>0</v>
      </c>
      <c r="M56" t="n">
        <v>0</v>
      </c>
      <c r="N56" t="n">
        <v>0</v>
      </c>
      <c r="O56" t="n">
        <v>1</v>
      </c>
      <c r="P56" t="n">
        <v>0</v>
      </c>
      <c r="Q56" t="n">
        <v>1</v>
      </c>
      <c r="R56" s="2" t="inlineStr">
        <is>
          <t>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35510-2023</t>
        </is>
      </c>
      <c r="B57" s="1" t="n">
        <v>45147</v>
      </c>
      <c r="C57" s="1" t="n">
        <v>45357</v>
      </c>
      <c r="D57" t="inlineStr">
        <is>
          <t>VÄSTERNORRLANDS LÄN</t>
        </is>
      </c>
      <c r="E57" t="inlineStr">
        <is>
          <t>TIMRÅ</t>
        </is>
      </c>
      <c r="F57" t="inlineStr">
        <is>
          <t>SCA</t>
        </is>
      </c>
      <c r="G57" t="n">
        <v>3.5</v>
      </c>
      <c r="H57" t="n">
        <v>1</v>
      </c>
      <c r="I57" t="n">
        <v>0</v>
      </c>
      <c r="J57" t="n">
        <v>0</v>
      </c>
      <c r="K57" t="n">
        <v>0</v>
      </c>
      <c r="L57" t="n">
        <v>0</v>
      </c>
      <c r="M57" t="n">
        <v>0</v>
      </c>
      <c r="N57" t="n">
        <v>0</v>
      </c>
      <c r="O57" t="n">
        <v>0</v>
      </c>
      <c r="P57" t="n">
        <v>0</v>
      </c>
      <c r="Q57" t="n">
        <v>1</v>
      </c>
      <c r="R57" s="2" t="inlineStr">
        <is>
          <t>Revlummer</t>
        </is>
      </c>
      <c r="S57">
        <f>HYPERLINK("https://klasma.github.io/Logging_2262/artfynd/A 35510-2023 artfynd.xlsx", "A 35510-2023")</f>
        <v/>
      </c>
      <c r="T57">
        <f>HYPERLINK("https://klasma.github.io/Logging_2262/kartor/A 35510-2023 karta.png", "A 35510-2023")</f>
        <v/>
      </c>
      <c r="V57">
        <f>HYPERLINK("https://klasma.github.io/Logging_2262/klagomål/A 35510-2023 FSC-klagomål.docx", "A 35510-2023")</f>
        <v/>
      </c>
      <c r="W57">
        <f>HYPERLINK("https://klasma.github.io/Logging_2262/klagomålsmail/A 35510-2023 FSC-klagomål mail.docx", "A 35510-2023")</f>
        <v/>
      </c>
      <c r="X57">
        <f>HYPERLINK("https://klasma.github.io/Logging_2262/tillsyn/A 35510-2023 tillsynsbegäran.docx", "A 35510-2023")</f>
        <v/>
      </c>
      <c r="Y57">
        <f>HYPERLINK("https://klasma.github.io/Logging_2262/tillsynsmail/A 35510-2023 tillsynsbegäran mail.docx", "A 35510-2023")</f>
        <v/>
      </c>
    </row>
    <row r="58" ht="15" customHeight="1">
      <c r="A58" t="inlineStr">
        <is>
          <t>A 39141-2023</t>
        </is>
      </c>
      <c r="B58" s="1" t="n">
        <v>45165</v>
      </c>
      <c r="C58" s="1" t="n">
        <v>45357</v>
      </c>
      <c r="D58" t="inlineStr">
        <is>
          <t>VÄSTERNORRLANDS LÄN</t>
        </is>
      </c>
      <c r="E58" t="inlineStr">
        <is>
          <t>TIMRÅ</t>
        </is>
      </c>
      <c r="F58" t="inlineStr">
        <is>
          <t>SCA</t>
        </is>
      </c>
      <c r="G58" t="n">
        <v>11.3</v>
      </c>
      <c r="H58" t="n">
        <v>1</v>
      </c>
      <c r="I58" t="n">
        <v>1</v>
      </c>
      <c r="J58" t="n">
        <v>0</v>
      </c>
      <c r="K58" t="n">
        <v>0</v>
      </c>
      <c r="L58" t="n">
        <v>0</v>
      </c>
      <c r="M58" t="n">
        <v>0</v>
      </c>
      <c r="N58" t="n">
        <v>0</v>
      </c>
      <c r="O58" t="n">
        <v>0</v>
      </c>
      <c r="P58" t="n">
        <v>0</v>
      </c>
      <c r="Q58" t="n">
        <v>1</v>
      </c>
      <c r="R58" s="2" t="inlineStr">
        <is>
          <t>Plattlummer</t>
        </is>
      </c>
      <c r="S58">
        <f>HYPERLINK("https://klasma.github.io/Logging_2262/artfynd/A 39141-2023 artfynd.xlsx", "A 39141-2023")</f>
        <v/>
      </c>
      <c r="T58">
        <f>HYPERLINK("https://klasma.github.io/Logging_2262/kartor/A 39141-2023 karta.png", "A 39141-2023")</f>
        <v/>
      </c>
      <c r="V58">
        <f>HYPERLINK("https://klasma.github.io/Logging_2262/klagomål/A 39141-2023 FSC-klagomål.docx", "A 39141-2023")</f>
        <v/>
      </c>
      <c r="W58">
        <f>HYPERLINK("https://klasma.github.io/Logging_2262/klagomålsmail/A 39141-2023 FSC-klagomål mail.docx", "A 39141-2023")</f>
        <v/>
      </c>
      <c r="X58">
        <f>HYPERLINK("https://klasma.github.io/Logging_2262/tillsyn/A 39141-2023 tillsynsbegäran.docx", "A 39141-2023")</f>
        <v/>
      </c>
      <c r="Y58">
        <f>HYPERLINK("https://klasma.github.io/Logging_2262/tillsynsmail/A 39141-2023 tillsynsbegäran mail.docx", "A 39141-2023")</f>
        <v/>
      </c>
    </row>
    <row r="59" ht="15" customHeight="1">
      <c r="A59" t="inlineStr">
        <is>
          <t>A 47793-2023</t>
        </is>
      </c>
      <c r="B59" s="1" t="n">
        <v>45203</v>
      </c>
      <c r="C59" s="1" t="n">
        <v>45357</v>
      </c>
      <c r="D59" t="inlineStr">
        <is>
          <t>VÄSTERNORRLANDS LÄN</t>
        </is>
      </c>
      <c r="E59" t="inlineStr">
        <is>
          <t>TIMRÅ</t>
        </is>
      </c>
      <c r="F59" t="inlineStr">
        <is>
          <t>SCA</t>
        </is>
      </c>
      <c r="G59" t="n">
        <v>9.699999999999999</v>
      </c>
      <c r="H59" t="n">
        <v>1</v>
      </c>
      <c r="I59" t="n">
        <v>0</v>
      </c>
      <c r="J59" t="n">
        <v>0</v>
      </c>
      <c r="K59" t="n">
        <v>0</v>
      </c>
      <c r="L59" t="n">
        <v>0</v>
      </c>
      <c r="M59" t="n">
        <v>0</v>
      </c>
      <c r="N59" t="n">
        <v>0</v>
      </c>
      <c r="O59" t="n">
        <v>0</v>
      </c>
      <c r="P59" t="n">
        <v>0</v>
      </c>
      <c r="Q59" t="n">
        <v>1</v>
      </c>
      <c r="R59" s="2" t="inlineStr">
        <is>
          <t>Revlummer</t>
        </is>
      </c>
      <c r="S59">
        <f>HYPERLINK("https://klasma.github.io/Logging_2262/artfynd/A 47793-2023 artfynd.xlsx", "A 47793-2023")</f>
        <v/>
      </c>
      <c r="T59">
        <f>HYPERLINK("https://klasma.github.io/Logging_2262/kartor/A 47793-2023 karta.png", "A 47793-2023")</f>
        <v/>
      </c>
      <c r="V59">
        <f>HYPERLINK("https://klasma.github.io/Logging_2262/klagomål/A 47793-2023 FSC-klagomål.docx", "A 47793-2023")</f>
        <v/>
      </c>
      <c r="W59">
        <f>HYPERLINK("https://klasma.github.io/Logging_2262/klagomålsmail/A 47793-2023 FSC-klagomål mail.docx", "A 47793-2023")</f>
        <v/>
      </c>
      <c r="X59">
        <f>HYPERLINK("https://klasma.github.io/Logging_2262/tillsyn/A 47793-2023 tillsynsbegäran.docx", "A 47793-2023")</f>
        <v/>
      </c>
      <c r="Y59">
        <f>HYPERLINK("https://klasma.github.io/Logging_2262/tillsynsmail/A 47793-2023 tillsynsbegäran mail.docx", "A 47793-2023")</f>
        <v/>
      </c>
    </row>
    <row r="60" ht="15" customHeight="1">
      <c r="A60" t="inlineStr">
        <is>
          <t>A 47792-2023</t>
        </is>
      </c>
      <c r="B60" s="1" t="n">
        <v>45203</v>
      </c>
      <c r="C60" s="1" t="n">
        <v>45357</v>
      </c>
      <c r="D60" t="inlineStr">
        <is>
          <t>VÄSTERNORRLANDS LÄN</t>
        </is>
      </c>
      <c r="E60" t="inlineStr">
        <is>
          <t>TIMRÅ</t>
        </is>
      </c>
      <c r="F60" t="inlineStr">
        <is>
          <t>SCA</t>
        </is>
      </c>
      <c r="G60" t="n">
        <v>4.1</v>
      </c>
      <c r="H60" t="n">
        <v>0</v>
      </c>
      <c r="I60" t="n">
        <v>1</v>
      </c>
      <c r="J60" t="n">
        <v>0</v>
      </c>
      <c r="K60" t="n">
        <v>0</v>
      </c>
      <c r="L60" t="n">
        <v>0</v>
      </c>
      <c r="M60" t="n">
        <v>0</v>
      </c>
      <c r="N60" t="n">
        <v>0</v>
      </c>
      <c r="O60" t="n">
        <v>0</v>
      </c>
      <c r="P60" t="n">
        <v>0</v>
      </c>
      <c r="Q60" t="n">
        <v>1</v>
      </c>
      <c r="R60" s="2" t="inlineStr">
        <is>
          <t>Gräsull</t>
        </is>
      </c>
      <c r="S60">
        <f>HYPERLINK("https://klasma.github.io/Logging_2262/artfynd/A 47792-2023 artfynd.xlsx", "A 47792-2023")</f>
        <v/>
      </c>
      <c r="T60">
        <f>HYPERLINK("https://klasma.github.io/Logging_2262/kartor/A 47792-2023 karta.png", "A 47792-2023")</f>
        <v/>
      </c>
      <c r="V60">
        <f>HYPERLINK("https://klasma.github.io/Logging_2262/klagomål/A 47792-2023 FSC-klagomål.docx", "A 47792-2023")</f>
        <v/>
      </c>
      <c r="W60">
        <f>HYPERLINK("https://klasma.github.io/Logging_2262/klagomålsmail/A 47792-2023 FSC-klagomål mail.docx", "A 47792-2023")</f>
        <v/>
      </c>
      <c r="X60">
        <f>HYPERLINK("https://klasma.github.io/Logging_2262/tillsyn/A 47792-2023 tillsynsbegäran.docx", "A 47792-2023")</f>
        <v/>
      </c>
      <c r="Y60">
        <f>HYPERLINK("https://klasma.github.io/Logging_2262/tillsynsmail/A 47792-2023 tillsynsbegäran mail.docx", "A 47792-2023")</f>
        <v/>
      </c>
    </row>
    <row r="61" ht="15" customHeight="1">
      <c r="A61" t="inlineStr">
        <is>
          <t>A 49329-2023</t>
        </is>
      </c>
      <c r="B61" s="1" t="n">
        <v>45210</v>
      </c>
      <c r="C61" s="1" t="n">
        <v>45357</v>
      </c>
      <c r="D61" t="inlineStr">
        <is>
          <t>VÄSTERNORRLANDS LÄN</t>
        </is>
      </c>
      <c r="E61" t="inlineStr">
        <is>
          <t>TIMRÅ</t>
        </is>
      </c>
      <c r="F61" t="inlineStr">
        <is>
          <t>SCA</t>
        </is>
      </c>
      <c r="G61" t="n">
        <v>12.9</v>
      </c>
      <c r="H61" t="n">
        <v>0</v>
      </c>
      <c r="I61" t="n">
        <v>0</v>
      </c>
      <c r="J61" t="n">
        <v>1</v>
      </c>
      <c r="K61" t="n">
        <v>0</v>
      </c>
      <c r="L61" t="n">
        <v>0</v>
      </c>
      <c r="M61" t="n">
        <v>0</v>
      </c>
      <c r="N61" t="n">
        <v>0</v>
      </c>
      <c r="O61" t="n">
        <v>1</v>
      </c>
      <c r="P61" t="n">
        <v>0</v>
      </c>
      <c r="Q61" t="n">
        <v>1</v>
      </c>
      <c r="R61" s="2" t="inlineStr">
        <is>
          <t>Ullticka</t>
        </is>
      </c>
      <c r="S61">
        <f>HYPERLINK("https://klasma.github.io/Logging_2262/artfynd/A 49329-2023 artfynd.xlsx", "A 49329-2023")</f>
        <v/>
      </c>
      <c r="T61">
        <f>HYPERLINK("https://klasma.github.io/Logging_2262/kartor/A 49329-2023 karta.png", "A 49329-2023")</f>
        <v/>
      </c>
      <c r="V61">
        <f>HYPERLINK("https://klasma.github.io/Logging_2262/klagomål/A 49329-2023 FSC-klagomål.docx", "A 49329-2023")</f>
        <v/>
      </c>
      <c r="W61">
        <f>HYPERLINK("https://klasma.github.io/Logging_2262/klagomålsmail/A 49329-2023 FSC-klagomål mail.docx", "A 49329-2023")</f>
        <v/>
      </c>
      <c r="X61">
        <f>HYPERLINK("https://klasma.github.io/Logging_2262/tillsyn/A 49329-2023 tillsynsbegäran.docx", "A 49329-2023")</f>
        <v/>
      </c>
      <c r="Y61">
        <f>HYPERLINK("https://klasma.github.io/Logging_2262/tillsynsmail/A 49329-2023 tillsynsbegäran mail.docx", "A 49329-2023")</f>
        <v/>
      </c>
    </row>
    <row r="62" ht="15" customHeight="1">
      <c r="A62" t="inlineStr">
        <is>
          <t>A 56372-2023</t>
        </is>
      </c>
      <c r="B62" s="1" t="n">
        <v>45243</v>
      </c>
      <c r="C62" s="1" t="n">
        <v>45357</v>
      </c>
      <c r="D62" t="inlineStr">
        <is>
          <t>VÄSTERNORRLANDS LÄN</t>
        </is>
      </c>
      <c r="E62" t="inlineStr">
        <is>
          <t>TIMRÅ</t>
        </is>
      </c>
      <c r="G62" t="n">
        <v>6.9</v>
      </c>
      <c r="H62" t="n">
        <v>1</v>
      </c>
      <c r="I62" t="n">
        <v>0</v>
      </c>
      <c r="J62" t="n">
        <v>0</v>
      </c>
      <c r="K62" t="n">
        <v>1</v>
      </c>
      <c r="L62" t="n">
        <v>0</v>
      </c>
      <c r="M62" t="n">
        <v>0</v>
      </c>
      <c r="N62" t="n">
        <v>0</v>
      </c>
      <c r="O62" t="n">
        <v>1</v>
      </c>
      <c r="P62" t="n">
        <v>1</v>
      </c>
      <c r="Q62" t="n">
        <v>1</v>
      </c>
      <c r="R62" s="2" t="inlineStr">
        <is>
          <t>Knärot</t>
        </is>
      </c>
      <c r="S62">
        <f>HYPERLINK("https://klasma.github.io/Logging_2262/artfynd/A 56372-2023 artfynd.xlsx", "A 56372-2023")</f>
        <v/>
      </c>
      <c r="T62">
        <f>HYPERLINK("https://klasma.github.io/Logging_2262/kartor/A 56372-2023 karta.png", "A 56372-2023")</f>
        <v/>
      </c>
      <c r="U62">
        <f>HYPERLINK("https://klasma.github.io/Logging_2262/knärot/A 56372-2023 karta knärot.png", "A 56372-2023")</f>
        <v/>
      </c>
      <c r="V62">
        <f>HYPERLINK("https://klasma.github.io/Logging_2262/klagomål/A 56372-2023 FSC-klagomål.docx", "A 56372-2023")</f>
        <v/>
      </c>
      <c r="W62">
        <f>HYPERLINK("https://klasma.github.io/Logging_2262/klagomålsmail/A 56372-2023 FSC-klagomål mail.docx", "A 56372-2023")</f>
        <v/>
      </c>
      <c r="X62">
        <f>HYPERLINK("https://klasma.github.io/Logging_2262/tillsyn/A 56372-2023 tillsynsbegäran.docx", "A 56372-2023")</f>
        <v/>
      </c>
      <c r="Y62">
        <f>HYPERLINK("https://klasma.github.io/Logging_2262/tillsynsmail/A 56372-2023 tillsynsbegäran mail.docx", "A 56372-2023")</f>
        <v/>
      </c>
    </row>
    <row r="63" ht="15" customHeight="1">
      <c r="A63" t="inlineStr">
        <is>
          <t>A 58464-2023</t>
        </is>
      </c>
      <c r="B63" s="1" t="n">
        <v>45250</v>
      </c>
      <c r="C63" s="1" t="n">
        <v>45357</v>
      </c>
      <c r="D63" t="inlineStr">
        <is>
          <t>VÄSTERNORRLANDS LÄN</t>
        </is>
      </c>
      <c r="E63" t="inlineStr">
        <is>
          <t>TIMRÅ</t>
        </is>
      </c>
      <c r="F63" t="inlineStr">
        <is>
          <t>SCA</t>
        </is>
      </c>
      <c r="G63" t="n">
        <v>6.5</v>
      </c>
      <c r="H63" t="n">
        <v>0</v>
      </c>
      <c r="I63" t="n">
        <v>0</v>
      </c>
      <c r="J63" t="n">
        <v>1</v>
      </c>
      <c r="K63" t="n">
        <v>0</v>
      </c>
      <c r="L63" t="n">
        <v>0</v>
      </c>
      <c r="M63" t="n">
        <v>0</v>
      </c>
      <c r="N63" t="n">
        <v>0</v>
      </c>
      <c r="O63" t="n">
        <v>1</v>
      </c>
      <c r="P63" t="n">
        <v>0</v>
      </c>
      <c r="Q63" t="n">
        <v>1</v>
      </c>
      <c r="R63" s="2" t="inlineStr">
        <is>
          <t>Granticka</t>
        </is>
      </c>
      <c r="S63">
        <f>HYPERLINK("https://klasma.github.io/Logging_2262/artfynd/A 58464-2023 artfynd.xlsx", "A 58464-2023")</f>
        <v/>
      </c>
      <c r="T63">
        <f>HYPERLINK("https://klasma.github.io/Logging_2262/kartor/A 58464-2023 karta.png", "A 58464-2023")</f>
        <v/>
      </c>
      <c r="V63">
        <f>HYPERLINK("https://klasma.github.io/Logging_2262/klagomål/A 58464-2023 FSC-klagomål.docx", "A 58464-2023")</f>
        <v/>
      </c>
      <c r="W63">
        <f>HYPERLINK("https://klasma.github.io/Logging_2262/klagomålsmail/A 58464-2023 FSC-klagomål mail.docx", "A 58464-2023")</f>
        <v/>
      </c>
      <c r="X63">
        <f>HYPERLINK("https://klasma.github.io/Logging_2262/tillsyn/A 58464-2023 tillsynsbegäran.docx", "A 58464-2023")</f>
        <v/>
      </c>
      <c r="Y63">
        <f>HYPERLINK("https://klasma.github.io/Logging_2262/tillsynsmail/A 58464-2023 tillsynsbegäran mail.docx", "A 58464-2023")</f>
        <v/>
      </c>
    </row>
    <row r="64" ht="15" customHeight="1">
      <c r="A64" t="inlineStr">
        <is>
          <t>A 63171-2023</t>
        </is>
      </c>
      <c r="B64" s="1" t="n">
        <v>45273</v>
      </c>
      <c r="C64" s="1" t="n">
        <v>45357</v>
      </c>
      <c r="D64" t="inlineStr">
        <is>
          <t>VÄSTERNORRLANDS LÄN</t>
        </is>
      </c>
      <c r="E64" t="inlineStr">
        <is>
          <t>TIMRÅ</t>
        </is>
      </c>
      <c r="F64" t="inlineStr">
        <is>
          <t>Kommuner</t>
        </is>
      </c>
      <c r="G64" t="n">
        <v>8.300000000000001</v>
      </c>
      <c r="H64" t="n">
        <v>0</v>
      </c>
      <c r="I64" t="n">
        <v>0</v>
      </c>
      <c r="J64" t="n">
        <v>1</v>
      </c>
      <c r="K64" t="n">
        <v>0</v>
      </c>
      <c r="L64" t="n">
        <v>0</v>
      </c>
      <c r="M64" t="n">
        <v>0</v>
      </c>
      <c r="N64" t="n">
        <v>0</v>
      </c>
      <c r="O64" t="n">
        <v>1</v>
      </c>
      <c r="P64" t="n">
        <v>0</v>
      </c>
      <c r="Q64" t="n">
        <v>1</v>
      </c>
      <c r="R64" s="2" t="inlineStr">
        <is>
          <t>Rödprick</t>
        </is>
      </c>
      <c r="S64">
        <f>HYPERLINK("https://klasma.github.io/Logging_2262/artfynd/A 63171-2023 artfynd.xlsx", "A 63171-2023")</f>
        <v/>
      </c>
      <c r="T64">
        <f>HYPERLINK("https://klasma.github.io/Logging_2262/kartor/A 63171-2023 karta.png", "A 63171-2023")</f>
        <v/>
      </c>
      <c r="V64">
        <f>HYPERLINK("https://klasma.github.io/Logging_2262/klagomål/A 63171-2023 FSC-klagomål.docx", "A 63171-2023")</f>
        <v/>
      </c>
      <c r="W64">
        <f>HYPERLINK("https://klasma.github.io/Logging_2262/klagomålsmail/A 63171-2023 FSC-klagomål mail.docx", "A 63171-2023")</f>
        <v/>
      </c>
      <c r="X64">
        <f>HYPERLINK("https://klasma.github.io/Logging_2262/tillsyn/A 63171-2023 tillsynsbegäran.docx", "A 63171-2023")</f>
        <v/>
      </c>
      <c r="Y64">
        <f>HYPERLINK("https://klasma.github.io/Logging_2262/tillsynsmail/A 63171-2023 tillsynsbegäran mail.docx", "A 63171-2023")</f>
        <v/>
      </c>
    </row>
    <row r="65" ht="15" customHeight="1">
      <c r="A65" t="inlineStr">
        <is>
          <t>A 7904-2024</t>
        </is>
      </c>
      <c r="B65" s="1" t="n">
        <v>45349</v>
      </c>
      <c r="C65" s="1" t="n">
        <v>45357</v>
      </c>
      <c r="D65" t="inlineStr">
        <is>
          <t>VÄSTERNORRLANDS LÄN</t>
        </is>
      </c>
      <c r="E65" t="inlineStr">
        <is>
          <t>TIMRÅ</t>
        </is>
      </c>
      <c r="G65" t="n">
        <v>7.3</v>
      </c>
      <c r="H65" t="n">
        <v>1</v>
      </c>
      <c r="I65" t="n">
        <v>0</v>
      </c>
      <c r="J65" t="n">
        <v>0</v>
      </c>
      <c r="K65" t="n">
        <v>1</v>
      </c>
      <c r="L65" t="n">
        <v>0</v>
      </c>
      <c r="M65" t="n">
        <v>0</v>
      </c>
      <c r="N65" t="n">
        <v>0</v>
      </c>
      <c r="O65" t="n">
        <v>1</v>
      </c>
      <c r="P65" t="n">
        <v>1</v>
      </c>
      <c r="Q65" t="n">
        <v>1</v>
      </c>
      <c r="R65" s="2" t="inlineStr">
        <is>
          <t>Bergviol</t>
        </is>
      </c>
      <c r="S65">
        <f>HYPERLINK("https://klasma.github.io/Logging_2262/artfynd/A 7904-2024 artfynd.xlsx", "A 7904-2024")</f>
        <v/>
      </c>
      <c r="T65">
        <f>HYPERLINK("https://klasma.github.io/Logging_2262/kartor/A 7904-2024 karta.png", "A 7904-2024")</f>
        <v/>
      </c>
      <c r="V65">
        <f>HYPERLINK("https://klasma.github.io/Logging_2262/klagomål/A 7904-2024 FSC-klagomål.docx", "A 7904-2024")</f>
        <v/>
      </c>
      <c r="W65">
        <f>HYPERLINK("https://klasma.github.io/Logging_2262/klagomålsmail/A 7904-2024 FSC-klagomål mail.docx", "A 7904-2024")</f>
        <v/>
      </c>
      <c r="X65">
        <f>HYPERLINK("https://klasma.github.io/Logging_2262/tillsyn/A 7904-2024 tillsynsbegäran.docx", "A 7904-2024")</f>
        <v/>
      </c>
      <c r="Y65">
        <f>HYPERLINK("https://klasma.github.io/Logging_2262/tillsynsmail/A 7904-2024 tillsynsbegäran mail.docx", "A 7904-2024")</f>
        <v/>
      </c>
    </row>
    <row r="66" ht="15" customHeight="1">
      <c r="A66" t="inlineStr">
        <is>
          <t>A 54637-2018</t>
        </is>
      </c>
      <c r="B66" s="1" t="n">
        <v>43389</v>
      </c>
      <c r="C66" s="1" t="n">
        <v>45357</v>
      </c>
      <c r="D66" t="inlineStr">
        <is>
          <t>VÄSTERNORRLANDS LÄN</t>
        </is>
      </c>
      <c r="E66" t="inlineStr">
        <is>
          <t>TIMRÅ</t>
        </is>
      </c>
      <c r="G66" t="n">
        <v>1.3</v>
      </c>
      <c r="H66" t="n">
        <v>0</v>
      </c>
      <c r="I66" t="n">
        <v>0</v>
      </c>
      <c r="J66" t="n">
        <v>0</v>
      </c>
      <c r="K66" t="n">
        <v>0</v>
      </c>
      <c r="L66" t="n">
        <v>0</v>
      </c>
      <c r="M66" t="n">
        <v>0</v>
      </c>
      <c r="N66" t="n">
        <v>0</v>
      </c>
      <c r="O66" t="n">
        <v>0</v>
      </c>
      <c r="P66" t="n">
        <v>0</v>
      </c>
      <c r="Q66" t="n">
        <v>0</v>
      </c>
      <c r="R66" s="2" t="inlineStr"/>
    </row>
    <row r="67" ht="15" customHeight="1">
      <c r="A67" t="inlineStr">
        <is>
          <t>A 56900-2018</t>
        </is>
      </c>
      <c r="B67" s="1" t="n">
        <v>43403</v>
      </c>
      <c r="C67" s="1" t="n">
        <v>45357</v>
      </c>
      <c r="D67" t="inlineStr">
        <is>
          <t>VÄSTERNORRLANDS LÄN</t>
        </is>
      </c>
      <c r="E67" t="inlineStr">
        <is>
          <t>TIMRÅ</t>
        </is>
      </c>
      <c r="G67" t="n">
        <v>4.6</v>
      </c>
      <c r="H67" t="n">
        <v>0</v>
      </c>
      <c r="I67" t="n">
        <v>0</v>
      </c>
      <c r="J67" t="n">
        <v>0</v>
      </c>
      <c r="K67" t="n">
        <v>0</v>
      </c>
      <c r="L67" t="n">
        <v>0</v>
      </c>
      <c r="M67" t="n">
        <v>0</v>
      </c>
      <c r="N67" t="n">
        <v>0</v>
      </c>
      <c r="O67" t="n">
        <v>0</v>
      </c>
      <c r="P67" t="n">
        <v>0</v>
      </c>
      <c r="Q67" t="n">
        <v>0</v>
      </c>
      <c r="R67" s="2" t="inlineStr"/>
    </row>
    <row r="68" ht="15" customHeight="1">
      <c r="A68" t="inlineStr">
        <is>
          <t>A 60068-2018</t>
        </is>
      </c>
      <c r="B68" s="1" t="n">
        <v>43412</v>
      </c>
      <c r="C68" s="1" t="n">
        <v>45357</v>
      </c>
      <c r="D68" t="inlineStr">
        <is>
          <t>VÄSTERNORRLANDS LÄN</t>
        </is>
      </c>
      <c r="E68" t="inlineStr">
        <is>
          <t>TIMRÅ</t>
        </is>
      </c>
      <c r="G68" t="n">
        <v>0.8</v>
      </c>
      <c r="H68" t="n">
        <v>0</v>
      </c>
      <c r="I68" t="n">
        <v>0</v>
      </c>
      <c r="J68" t="n">
        <v>0</v>
      </c>
      <c r="K68" t="n">
        <v>0</v>
      </c>
      <c r="L68" t="n">
        <v>0</v>
      </c>
      <c r="M68" t="n">
        <v>0</v>
      </c>
      <c r="N68" t="n">
        <v>0</v>
      </c>
      <c r="O68" t="n">
        <v>0</v>
      </c>
      <c r="P68" t="n">
        <v>0</v>
      </c>
      <c r="Q68" t="n">
        <v>0</v>
      </c>
      <c r="R68" s="2" t="inlineStr"/>
    </row>
    <row r="69" ht="15" customHeight="1">
      <c r="A69" t="inlineStr">
        <is>
          <t>A 60995-2018</t>
        </is>
      </c>
      <c r="B69" s="1" t="n">
        <v>43423</v>
      </c>
      <c r="C69" s="1" t="n">
        <v>45357</v>
      </c>
      <c r="D69" t="inlineStr">
        <is>
          <t>VÄSTERNORRLANDS LÄN</t>
        </is>
      </c>
      <c r="E69" t="inlineStr">
        <is>
          <t>TIMRÅ</t>
        </is>
      </c>
      <c r="G69" t="n">
        <v>1.3</v>
      </c>
      <c r="H69" t="n">
        <v>0</v>
      </c>
      <c r="I69" t="n">
        <v>0</v>
      </c>
      <c r="J69" t="n">
        <v>0</v>
      </c>
      <c r="K69" t="n">
        <v>0</v>
      </c>
      <c r="L69" t="n">
        <v>0</v>
      </c>
      <c r="M69" t="n">
        <v>0</v>
      </c>
      <c r="N69" t="n">
        <v>0</v>
      </c>
      <c r="O69" t="n">
        <v>0</v>
      </c>
      <c r="P69" t="n">
        <v>0</v>
      </c>
      <c r="Q69" t="n">
        <v>0</v>
      </c>
      <c r="R69" s="2" t="inlineStr"/>
    </row>
    <row r="70" ht="15" customHeight="1">
      <c r="A70" t="inlineStr">
        <is>
          <t>A 65661-2018</t>
        </is>
      </c>
      <c r="B70" s="1" t="n">
        <v>43426</v>
      </c>
      <c r="C70" s="1" t="n">
        <v>45357</v>
      </c>
      <c r="D70" t="inlineStr">
        <is>
          <t>VÄSTERNORRLANDS LÄN</t>
        </is>
      </c>
      <c r="E70" t="inlineStr">
        <is>
          <t>TIMRÅ</t>
        </is>
      </c>
      <c r="G70" t="n">
        <v>2.5</v>
      </c>
      <c r="H70" t="n">
        <v>0</v>
      </c>
      <c r="I70" t="n">
        <v>0</v>
      </c>
      <c r="J70" t="n">
        <v>0</v>
      </c>
      <c r="K70" t="n">
        <v>0</v>
      </c>
      <c r="L70" t="n">
        <v>0</v>
      </c>
      <c r="M70" t="n">
        <v>0</v>
      </c>
      <c r="N70" t="n">
        <v>0</v>
      </c>
      <c r="O70" t="n">
        <v>0</v>
      </c>
      <c r="P70" t="n">
        <v>0</v>
      </c>
      <c r="Q70" t="n">
        <v>0</v>
      </c>
      <c r="R70" s="2" t="inlineStr"/>
    </row>
    <row r="71" ht="15" customHeight="1">
      <c r="A71" t="inlineStr">
        <is>
          <t>A 70560-2018</t>
        </is>
      </c>
      <c r="B71" s="1" t="n">
        <v>43451</v>
      </c>
      <c r="C71" s="1" t="n">
        <v>45357</v>
      </c>
      <c r="D71" t="inlineStr">
        <is>
          <t>VÄSTERNORRLANDS LÄN</t>
        </is>
      </c>
      <c r="E71" t="inlineStr">
        <is>
          <t>TIMRÅ</t>
        </is>
      </c>
      <c r="G71" t="n">
        <v>2</v>
      </c>
      <c r="H71" t="n">
        <v>0</v>
      </c>
      <c r="I71" t="n">
        <v>0</v>
      </c>
      <c r="J71" t="n">
        <v>0</v>
      </c>
      <c r="K71" t="n">
        <v>0</v>
      </c>
      <c r="L71" t="n">
        <v>0</v>
      </c>
      <c r="M71" t="n">
        <v>0</v>
      </c>
      <c r="N71" t="n">
        <v>0</v>
      </c>
      <c r="O71" t="n">
        <v>0</v>
      </c>
      <c r="P71" t="n">
        <v>0</v>
      </c>
      <c r="Q71" t="n">
        <v>0</v>
      </c>
      <c r="R71" s="2" t="inlineStr"/>
    </row>
    <row r="72" ht="15" customHeight="1">
      <c r="A72" t="inlineStr">
        <is>
          <t>A 72482-2018</t>
        </is>
      </c>
      <c r="B72" s="1" t="n">
        <v>43461</v>
      </c>
      <c r="C72" s="1" t="n">
        <v>45357</v>
      </c>
      <c r="D72" t="inlineStr">
        <is>
          <t>VÄSTERNORRLANDS LÄN</t>
        </is>
      </c>
      <c r="E72" t="inlineStr">
        <is>
          <t>TIMRÅ</t>
        </is>
      </c>
      <c r="G72" t="n">
        <v>2</v>
      </c>
      <c r="H72" t="n">
        <v>0</v>
      </c>
      <c r="I72" t="n">
        <v>0</v>
      </c>
      <c r="J72" t="n">
        <v>0</v>
      </c>
      <c r="K72" t="n">
        <v>0</v>
      </c>
      <c r="L72" t="n">
        <v>0</v>
      </c>
      <c r="M72" t="n">
        <v>0</v>
      </c>
      <c r="N72" t="n">
        <v>0</v>
      </c>
      <c r="O72" t="n">
        <v>0</v>
      </c>
      <c r="P72" t="n">
        <v>0</v>
      </c>
      <c r="Q72" t="n">
        <v>0</v>
      </c>
      <c r="R72" s="2" t="inlineStr"/>
    </row>
    <row r="73" ht="15" customHeight="1">
      <c r="A73" t="inlineStr">
        <is>
          <t>A 5416-2019</t>
        </is>
      </c>
      <c r="B73" s="1" t="n">
        <v>43488</v>
      </c>
      <c r="C73" s="1" t="n">
        <v>45357</v>
      </c>
      <c r="D73" t="inlineStr">
        <is>
          <t>VÄSTERNORRLANDS LÄN</t>
        </is>
      </c>
      <c r="E73" t="inlineStr">
        <is>
          <t>TIMRÅ</t>
        </is>
      </c>
      <c r="G73" t="n">
        <v>14.5</v>
      </c>
      <c r="H73" t="n">
        <v>0</v>
      </c>
      <c r="I73" t="n">
        <v>0</v>
      </c>
      <c r="J73" t="n">
        <v>0</v>
      </c>
      <c r="K73" t="n">
        <v>0</v>
      </c>
      <c r="L73" t="n">
        <v>0</v>
      </c>
      <c r="M73" t="n">
        <v>0</v>
      </c>
      <c r="N73" t="n">
        <v>0</v>
      </c>
      <c r="O73" t="n">
        <v>0</v>
      </c>
      <c r="P73" t="n">
        <v>0</v>
      </c>
      <c r="Q73" t="n">
        <v>0</v>
      </c>
      <c r="R73" s="2" t="inlineStr"/>
    </row>
    <row r="74" ht="15" customHeight="1">
      <c r="A74" t="inlineStr">
        <is>
          <t>A 5417-2019</t>
        </is>
      </c>
      <c r="B74" s="1" t="n">
        <v>43488</v>
      </c>
      <c r="C74" s="1" t="n">
        <v>45357</v>
      </c>
      <c r="D74" t="inlineStr">
        <is>
          <t>VÄSTERNORRLANDS LÄN</t>
        </is>
      </c>
      <c r="E74" t="inlineStr">
        <is>
          <t>TIMRÅ</t>
        </is>
      </c>
      <c r="G74" t="n">
        <v>4.3</v>
      </c>
      <c r="H74" t="n">
        <v>0</v>
      </c>
      <c r="I74" t="n">
        <v>0</v>
      </c>
      <c r="J74" t="n">
        <v>0</v>
      </c>
      <c r="K74" t="n">
        <v>0</v>
      </c>
      <c r="L74" t="n">
        <v>0</v>
      </c>
      <c r="M74" t="n">
        <v>0</v>
      </c>
      <c r="N74" t="n">
        <v>0</v>
      </c>
      <c r="O74" t="n">
        <v>0</v>
      </c>
      <c r="P74" t="n">
        <v>0</v>
      </c>
      <c r="Q74" t="n">
        <v>0</v>
      </c>
      <c r="R74" s="2" t="inlineStr"/>
    </row>
    <row r="75" ht="15" customHeight="1">
      <c r="A75" t="inlineStr">
        <is>
          <t>A 14388-2019</t>
        </is>
      </c>
      <c r="B75" s="1" t="n">
        <v>43536</v>
      </c>
      <c r="C75" s="1" t="n">
        <v>45357</v>
      </c>
      <c r="D75" t="inlineStr">
        <is>
          <t>VÄSTERNORRLANDS LÄN</t>
        </is>
      </c>
      <c r="E75" t="inlineStr">
        <is>
          <t>TIMRÅ</t>
        </is>
      </c>
      <c r="G75" t="n">
        <v>7.9</v>
      </c>
      <c r="H75" t="n">
        <v>0</v>
      </c>
      <c r="I75" t="n">
        <v>0</v>
      </c>
      <c r="J75" t="n">
        <v>0</v>
      </c>
      <c r="K75" t="n">
        <v>0</v>
      </c>
      <c r="L75" t="n">
        <v>0</v>
      </c>
      <c r="M75" t="n">
        <v>0</v>
      </c>
      <c r="N75" t="n">
        <v>0</v>
      </c>
      <c r="O75" t="n">
        <v>0</v>
      </c>
      <c r="P75" t="n">
        <v>0</v>
      </c>
      <c r="Q75" t="n">
        <v>0</v>
      </c>
      <c r="R75" s="2" t="inlineStr"/>
    </row>
    <row r="76" ht="15" customHeight="1">
      <c r="A76" t="inlineStr">
        <is>
          <t>A 14389-2019</t>
        </is>
      </c>
      <c r="B76" s="1" t="n">
        <v>43536</v>
      </c>
      <c r="C76" s="1" t="n">
        <v>45357</v>
      </c>
      <c r="D76" t="inlineStr">
        <is>
          <t>VÄSTERNORRLANDS LÄN</t>
        </is>
      </c>
      <c r="E76" t="inlineStr">
        <is>
          <t>TIMRÅ</t>
        </is>
      </c>
      <c r="G76" t="n">
        <v>7.9</v>
      </c>
      <c r="H76" t="n">
        <v>0</v>
      </c>
      <c r="I76" t="n">
        <v>0</v>
      </c>
      <c r="J76" t="n">
        <v>0</v>
      </c>
      <c r="K76" t="n">
        <v>0</v>
      </c>
      <c r="L76" t="n">
        <v>0</v>
      </c>
      <c r="M76" t="n">
        <v>0</v>
      </c>
      <c r="N76" t="n">
        <v>0</v>
      </c>
      <c r="O76" t="n">
        <v>0</v>
      </c>
      <c r="P76" t="n">
        <v>0</v>
      </c>
      <c r="Q76" t="n">
        <v>0</v>
      </c>
      <c r="R76" s="2" t="inlineStr"/>
    </row>
    <row r="77" ht="15" customHeight="1">
      <c r="A77" t="inlineStr">
        <is>
          <t>A 16848-2019</t>
        </is>
      </c>
      <c r="B77" s="1" t="n">
        <v>43549</v>
      </c>
      <c r="C77" s="1" t="n">
        <v>45357</v>
      </c>
      <c r="D77" t="inlineStr">
        <is>
          <t>VÄSTERNORRLANDS LÄN</t>
        </is>
      </c>
      <c r="E77" t="inlineStr">
        <is>
          <t>TIMRÅ</t>
        </is>
      </c>
      <c r="G77" t="n">
        <v>6.3</v>
      </c>
      <c r="H77" t="n">
        <v>0</v>
      </c>
      <c r="I77" t="n">
        <v>0</v>
      </c>
      <c r="J77" t="n">
        <v>0</v>
      </c>
      <c r="K77" t="n">
        <v>0</v>
      </c>
      <c r="L77" t="n">
        <v>0</v>
      </c>
      <c r="M77" t="n">
        <v>0</v>
      </c>
      <c r="N77" t="n">
        <v>0</v>
      </c>
      <c r="O77" t="n">
        <v>0</v>
      </c>
      <c r="P77" t="n">
        <v>0</v>
      </c>
      <c r="Q77" t="n">
        <v>0</v>
      </c>
      <c r="R77" s="2" t="inlineStr"/>
    </row>
    <row r="78" ht="15" customHeight="1">
      <c r="A78" t="inlineStr">
        <is>
          <t>A 16857-2019</t>
        </is>
      </c>
      <c r="B78" s="1" t="n">
        <v>43549</v>
      </c>
      <c r="C78" s="1" t="n">
        <v>45357</v>
      </c>
      <c r="D78" t="inlineStr">
        <is>
          <t>VÄSTERNORRLANDS LÄN</t>
        </is>
      </c>
      <c r="E78" t="inlineStr">
        <is>
          <t>TIMRÅ</t>
        </is>
      </c>
      <c r="G78" t="n">
        <v>2.7</v>
      </c>
      <c r="H78" t="n">
        <v>0</v>
      </c>
      <c r="I78" t="n">
        <v>0</v>
      </c>
      <c r="J78" t="n">
        <v>0</v>
      </c>
      <c r="K78" t="n">
        <v>0</v>
      </c>
      <c r="L78" t="n">
        <v>0</v>
      </c>
      <c r="M78" t="n">
        <v>0</v>
      </c>
      <c r="N78" t="n">
        <v>0</v>
      </c>
      <c r="O78" t="n">
        <v>0</v>
      </c>
      <c r="P78" t="n">
        <v>0</v>
      </c>
      <c r="Q78" t="n">
        <v>0</v>
      </c>
      <c r="R78" s="2" t="inlineStr"/>
    </row>
    <row r="79" ht="15" customHeight="1">
      <c r="A79" t="inlineStr">
        <is>
          <t>A 16855-2019</t>
        </is>
      </c>
      <c r="B79" s="1" t="n">
        <v>43549</v>
      </c>
      <c r="C79" s="1" t="n">
        <v>45357</v>
      </c>
      <c r="D79" t="inlineStr">
        <is>
          <t>VÄSTERNORRLANDS LÄN</t>
        </is>
      </c>
      <c r="E79" t="inlineStr">
        <is>
          <t>TIMRÅ</t>
        </is>
      </c>
      <c r="G79" t="n">
        <v>3.7</v>
      </c>
      <c r="H79" t="n">
        <v>0</v>
      </c>
      <c r="I79" t="n">
        <v>0</v>
      </c>
      <c r="J79" t="n">
        <v>0</v>
      </c>
      <c r="K79" t="n">
        <v>0</v>
      </c>
      <c r="L79" t="n">
        <v>0</v>
      </c>
      <c r="M79" t="n">
        <v>0</v>
      </c>
      <c r="N79" t="n">
        <v>0</v>
      </c>
      <c r="O79" t="n">
        <v>0</v>
      </c>
      <c r="P79" t="n">
        <v>0</v>
      </c>
      <c r="Q79" t="n">
        <v>0</v>
      </c>
      <c r="R79" s="2" t="inlineStr"/>
    </row>
    <row r="80" ht="15" customHeight="1">
      <c r="A80" t="inlineStr">
        <is>
          <t>A 16847-2019</t>
        </is>
      </c>
      <c r="B80" s="1" t="n">
        <v>43549</v>
      </c>
      <c r="C80" s="1" t="n">
        <v>45357</v>
      </c>
      <c r="D80" t="inlineStr">
        <is>
          <t>VÄSTERNORRLANDS LÄN</t>
        </is>
      </c>
      <c r="E80" t="inlineStr">
        <is>
          <t>TIMRÅ</t>
        </is>
      </c>
      <c r="G80" t="n">
        <v>3.6</v>
      </c>
      <c r="H80" t="n">
        <v>0</v>
      </c>
      <c r="I80" t="n">
        <v>0</v>
      </c>
      <c r="J80" t="n">
        <v>0</v>
      </c>
      <c r="K80" t="n">
        <v>0</v>
      </c>
      <c r="L80" t="n">
        <v>0</v>
      </c>
      <c r="M80" t="n">
        <v>0</v>
      </c>
      <c r="N80" t="n">
        <v>0</v>
      </c>
      <c r="O80" t="n">
        <v>0</v>
      </c>
      <c r="P80" t="n">
        <v>0</v>
      </c>
      <c r="Q80" t="n">
        <v>0</v>
      </c>
      <c r="R80" s="2" t="inlineStr"/>
    </row>
    <row r="81" ht="15" customHeight="1">
      <c r="A81" t="inlineStr">
        <is>
          <t>A 17405-2019</t>
        </is>
      </c>
      <c r="B81" s="1" t="n">
        <v>43552</v>
      </c>
      <c r="C81" s="1" t="n">
        <v>45357</v>
      </c>
      <c r="D81" t="inlineStr">
        <is>
          <t>VÄSTERNORRLANDS LÄN</t>
        </is>
      </c>
      <c r="E81" t="inlineStr">
        <is>
          <t>TIMRÅ</t>
        </is>
      </c>
      <c r="F81" t="inlineStr">
        <is>
          <t>SCA</t>
        </is>
      </c>
      <c r="G81" t="n">
        <v>41.9</v>
      </c>
      <c r="H81" t="n">
        <v>0</v>
      </c>
      <c r="I81" t="n">
        <v>0</v>
      </c>
      <c r="J81" t="n">
        <v>0</v>
      </c>
      <c r="K81" t="n">
        <v>0</v>
      </c>
      <c r="L81" t="n">
        <v>0</v>
      </c>
      <c r="M81" t="n">
        <v>0</v>
      </c>
      <c r="N81" t="n">
        <v>0</v>
      </c>
      <c r="O81" t="n">
        <v>0</v>
      </c>
      <c r="P81" t="n">
        <v>0</v>
      </c>
      <c r="Q81" t="n">
        <v>0</v>
      </c>
      <c r="R81" s="2" t="inlineStr"/>
    </row>
    <row r="82" ht="15" customHeight="1">
      <c r="A82" t="inlineStr">
        <is>
          <t>A 17592-2019</t>
        </is>
      </c>
      <c r="B82" s="1" t="n">
        <v>43553</v>
      </c>
      <c r="C82" s="1" t="n">
        <v>45357</v>
      </c>
      <c r="D82" t="inlineStr">
        <is>
          <t>VÄSTERNORRLANDS LÄN</t>
        </is>
      </c>
      <c r="E82" t="inlineStr">
        <is>
          <t>TIMRÅ</t>
        </is>
      </c>
      <c r="G82" t="n">
        <v>7.2</v>
      </c>
      <c r="H82" t="n">
        <v>0</v>
      </c>
      <c r="I82" t="n">
        <v>0</v>
      </c>
      <c r="J82" t="n">
        <v>0</v>
      </c>
      <c r="K82" t="n">
        <v>0</v>
      </c>
      <c r="L82" t="n">
        <v>0</v>
      </c>
      <c r="M82" t="n">
        <v>0</v>
      </c>
      <c r="N82" t="n">
        <v>0</v>
      </c>
      <c r="O82" t="n">
        <v>0</v>
      </c>
      <c r="P82" t="n">
        <v>0</v>
      </c>
      <c r="Q82" t="n">
        <v>0</v>
      </c>
      <c r="R82" s="2" t="inlineStr"/>
    </row>
    <row r="83" ht="15" customHeight="1">
      <c r="A83" t="inlineStr">
        <is>
          <t>A 17858-2019</t>
        </is>
      </c>
      <c r="B83" s="1" t="n">
        <v>43556</v>
      </c>
      <c r="C83" s="1" t="n">
        <v>45357</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45357</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45357</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45357</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45357</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45357</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45357</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45357</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45357</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45357</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45357</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45357</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45357</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45357</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45357</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45357</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45357</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45357</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45357</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45357</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45357</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45357</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45357</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45357</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45357</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45357</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45357</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45357</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45357</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45357</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45357</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45357</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45357</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45357</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45357</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45357</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45357</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45357</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45357</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45357</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45357</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45357</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45357</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45357</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45357</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45357</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45357</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45357</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45357</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45357</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45357</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45357</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45357</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45357</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45357</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45357</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45357</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45357</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45357</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45357</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45357</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45357</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45357</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45357</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45357</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45357</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45357</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45357</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45357</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45357</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45357</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45357</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45357</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45357</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45357</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45357</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45357</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45357</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45357</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45357</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45357</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45357</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45357</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45357</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45357</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45357</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45357</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45357</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45357</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45357</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45357</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45357</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45357</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45357</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45357</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45357</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45357</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45357</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45357</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45357</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45357</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45357</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45357</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45357</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45357</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45357</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45357</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45357</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45357</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45357</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45357</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45357</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20679-2021</t>
        </is>
      </c>
      <c r="B195" s="1" t="n">
        <v>44316</v>
      </c>
      <c r="C195" s="1" t="n">
        <v>45357</v>
      </c>
      <c r="D195" t="inlineStr">
        <is>
          <t>VÄSTERNORRLANDS LÄN</t>
        </is>
      </c>
      <c r="E195" t="inlineStr">
        <is>
          <t>TIMRÅ</t>
        </is>
      </c>
      <c r="G195" t="n">
        <v>12.6</v>
      </c>
      <c r="H195" t="n">
        <v>0</v>
      </c>
      <c r="I195" t="n">
        <v>0</v>
      </c>
      <c r="J195" t="n">
        <v>0</v>
      </c>
      <c r="K195" t="n">
        <v>0</v>
      </c>
      <c r="L195" t="n">
        <v>0</v>
      </c>
      <c r="M195" t="n">
        <v>0</v>
      </c>
      <c r="N195" t="n">
        <v>0</v>
      </c>
      <c r="O195" t="n">
        <v>0</v>
      </c>
      <c r="P195" t="n">
        <v>0</v>
      </c>
      <c r="Q195" t="n">
        <v>0</v>
      </c>
      <c r="R195" s="2" t="inlineStr"/>
    </row>
    <row r="196" ht="15" customHeight="1">
      <c r="A196" t="inlineStr">
        <is>
          <t>A 20732-2021</t>
        </is>
      </c>
      <c r="B196" s="1" t="n">
        <v>44316</v>
      </c>
      <c r="C196" s="1" t="n">
        <v>45357</v>
      </c>
      <c r="D196" t="inlineStr">
        <is>
          <t>VÄSTERNORRLANDS LÄN</t>
        </is>
      </c>
      <c r="E196" t="inlineStr">
        <is>
          <t>TIMRÅ</t>
        </is>
      </c>
      <c r="G196" t="n">
        <v>3.8</v>
      </c>
      <c r="H196" t="n">
        <v>0</v>
      </c>
      <c r="I196" t="n">
        <v>0</v>
      </c>
      <c r="J196" t="n">
        <v>0</v>
      </c>
      <c r="K196" t="n">
        <v>0</v>
      </c>
      <c r="L196" t="n">
        <v>0</v>
      </c>
      <c r="M196" t="n">
        <v>0</v>
      </c>
      <c r="N196" t="n">
        <v>0</v>
      </c>
      <c r="O196" t="n">
        <v>0</v>
      </c>
      <c r="P196" t="n">
        <v>0</v>
      </c>
      <c r="Q196" t="n">
        <v>0</v>
      </c>
      <c r="R196" s="2" t="inlineStr"/>
    </row>
    <row r="197" ht="15" customHeight="1">
      <c r="A197" t="inlineStr">
        <is>
          <t>A 23611-2021</t>
        </is>
      </c>
      <c r="B197" s="1" t="n">
        <v>44334</v>
      </c>
      <c r="C197" s="1" t="n">
        <v>45357</v>
      </c>
      <c r="D197" t="inlineStr">
        <is>
          <t>VÄSTERNORRLANDS LÄN</t>
        </is>
      </c>
      <c r="E197" t="inlineStr">
        <is>
          <t>TIMRÅ</t>
        </is>
      </c>
      <c r="G197" t="n">
        <v>13.7</v>
      </c>
      <c r="H197" t="n">
        <v>0</v>
      </c>
      <c r="I197" t="n">
        <v>0</v>
      </c>
      <c r="J197" t="n">
        <v>0</v>
      </c>
      <c r="K197" t="n">
        <v>0</v>
      </c>
      <c r="L197" t="n">
        <v>0</v>
      </c>
      <c r="M197" t="n">
        <v>0</v>
      </c>
      <c r="N197" t="n">
        <v>0</v>
      </c>
      <c r="O197" t="n">
        <v>0</v>
      </c>
      <c r="P197" t="n">
        <v>0</v>
      </c>
      <c r="Q197" t="n">
        <v>0</v>
      </c>
      <c r="R197" s="2" t="inlineStr"/>
    </row>
    <row r="198" ht="15" customHeight="1">
      <c r="A198" t="inlineStr">
        <is>
          <t>A 24513-2021</t>
        </is>
      </c>
      <c r="B198" s="1" t="n">
        <v>44338</v>
      </c>
      <c r="C198" s="1" t="n">
        <v>45357</v>
      </c>
      <c r="D198" t="inlineStr">
        <is>
          <t>VÄSTERNORRLANDS LÄN</t>
        </is>
      </c>
      <c r="E198" t="inlineStr">
        <is>
          <t>TIMRÅ</t>
        </is>
      </c>
      <c r="G198" t="n">
        <v>2.6</v>
      </c>
      <c r="H198" t="n">
        <v>0</v>
      </c>
      <c r="I198" t="n">
        <v>0</v>
      </c>
      <c r="J198" t="n">
        <v>0</v>
      </c>
      <c r="K198" t="n">
        <v>0</v>
      </c>
      <c r="L198" t="n">
        <v>0</v>
      </c>
      <c r="M198" t="n">
        <v>0</v>
      </c>
      <c r="N198" t="n">
        <v>0</v>
      </c>
      <c r="O198" t="n">
        <v>0</v>
      </c>
      <c r="P198" t="n">
        <v>0</v>
      </c>
      <c r="Q198" t="n">
        <v>0</v>
      </c>
      <c r="R198" s="2" t="inlineStr"/>
    </row>
    <row r="199" ht="15" customHeight="1">
      <c r="A199" t="inlineStr">
        <is>
          <t>A 26588-2021</t>
        </is>
      </c>
      <c r="B199" s="1" t="n">
        <v>44348</v>
      </c>
      <c r="C199" s="1" t="n">
        <v>45357</v>
      </c>
      <c r="D199" t="inlineStr">
        <is>
          <t>VÄSTERNORRLANDS LÄN</t>
        </is>
      </c>
      <c r="E199" t="inlineStr">
        <is>
          <t>TIMRÅ</t>
        </is>
      </c>
      <c r="F199" t="inlineStr">
        <is>
          <t>Kyrkan</t>
        </is>
      </c>
      <c r="G199" t="n">
        <v>1.1</v>
      </c>
      <c r="H199" t="n">
        <v>0</v>
      </c>
      <c r="I199" t="n">
        <v>0</v>
      </c>
      <c r="J199" t="n">
        <v>0</v>
      </c>
      <c r="K199" t="n">
        <v>0</v>
      </c>
      <c r="L199" t="n">
        <v>0</v>
      </c>
      <c r="M199" t="n">
        <v>0</v>
      </c>
      <c r="N199" t="n">
        <v>0</v>
      </c>
      <c r="O199" t="n">
        <v>0</v>
      </c>
      <c r="P199" t="n">
        <v>0</v>
      </c>
      <c r="Q199" t="n">
        <v>0</v>
      </c>
      <c r="R199" s="2" t="inlineStr"/>
    </row>
    <row r="200" ht="15" customHeight="1">
      <c r="A200" t="inlineStr">
        <is>
          <t>A 26921-2021</t>
        </is>
      </c>
      <c r="B200" s="1" t="n">
        <v>44349</v>
      </c>
      <c r="C200" s="1" t="n">
        <v>45357</v>
      </c>
      <c r="D200" t="inlineStr">
        <is>
          <t>VÄSTERNORRLANDS LÄN</t>
        </is>
      </c>
      <c r="E200" t="inlineStr">
        <is>
          <t>TIMRÅ</t>
        </is>
      </c>
      <c r="G200" t="n">
        <v>6.6</v>
      </c>
      <c r="H200" t="n">
        <v>0</v>
      </c>
      <c r="I200" t="n">
        <v>0</v>
      </c>
      <c r="J200" t="n">
        <v>0</v>
      </c>
      <c r="K200" t="n">
        <v>0</v>
      </c>
      <c r="L200" t="n">
        <v>0</v>
      </c>
      <c r="M200" t="n">
        <v>0</v>
      </c>
      <c r="N200" t="n">
        <v>0</v>
      </c>
      <c r="O200" t="n">
        <v>0</v>
      </c>
      <c r="P200" t="n">
        <v>0</v>
      </c>
      <c r="Q200" t="n">
        <v>0</v>
      </c>
      <c r="R200" s="2" t="inlineStr"/>
    </row>
    <row r="201" ht="15" customHeight="1">
      <c r="A201" t="inlineStr">
        <is>
          <t>A 26936-2021</t>
        </is>
      </c>
      <c r="B201" s="1" t="n">
        <v>44349</v>
      </c>
      <c r="C201" s="1" t="n">
        <v>45357</v>
      </c>
      <c r="D201" t="inlineStr">
        <is>
          <t>VÄSTERNORRLANDS LÄN</t>
        </is>
      </c>
      <c r="E201" t="inlineStr">
        <is>
          <t>TIMRÅ</t>
        </is>
      </c>
      <c r="G201" t="n">
        <v>4.1</v>
      </c>
      <c r="H201" t="n">
        <v>0</v>
      </c>
      <c r="I201" t="n">
        <v>0</v>
      </c>
      <c r="J201" t="n">
        <v>0</v>
      </c>
      <c r="K201" t="n">
        <v>0</v>
      </c>
      <c r="L201" t="n">
        <v>0</v>
      </c>
      <c r="M201" t="n">
        <v>0</v>
      </c>
      <c r="N201" t="n">
        <v>0</v>
      </c>
      <c r="O201" t="n">
        <v>0</v>
      </c>
      <c r="P201" t="n">
        <v>0</v>
      </c>
      <c r="Q201" t="n">
        <v>0</v>
      </c>
      <c r="R201" s="2" t="inlineStr"/>
    </row>
    <row r="202" ht="15" customHeight="1">
      <c r="A202" t="inlineStr">
        <is>
          <t>A 27243-2021</t>
        </is>
      </c>
      <c r="B202" s="1" t="n">
        <v>44350</v>
      </c>
      <c r="C202" s="1" t="n">
        <v>45357</v>
      </c>
      <c r="D202" t="inlineStr">
        <is>
          <t>VÄSTERNORRLANDS LÄN</t>
        </is>
      </c>
      <c r="E202" t="inlineStr">
        <is>
          <t>TIMRÅ</t>
        </is>
      </c>
      <c r="G202" t="n">
        <v>1.4</v>
      </c>
      <c r="H202" t="n">
        <v>0</v>
      </c>
      <c r="I202" t="n">
        <v>0</v>
      </c>
      <c r="J202" t="n">
        <v>0</v>
      </c>
      <c r="K202" t="n">
        <v>0</v>
      </c>
      <c r="L202" t="n">
        <v>0</v>
      </c>
      <c r="M202" t="n">
        <v>0</v>
      </c>
      <c r="N202" t="n">
        <v>0</v>
      </c>
      <c r="O202" t="n">
        <v>0</v>
      </c>
      <c r="P202" t="n">
        <v>0</v>
      </c>
      <c r="Q202" t="n">
        <v>0</v>
      </c>
      <c r="R202" s="2" t="inlineStr"/>
    </row>
    <row r="203" ht="15" customHeight="1">
      <c r="A203" t="inlineStr">
        <is>
          <t>A 28695-2021</t>
        </is>
      </c>
      <c r="B203" s="1" t="n">
        <v>44357</v>
      </c>
      <c r="C203" s="1" t="n">
        <v>45357</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28706-2021</t>
        </is>
      </c>
      <c r="B204" s="1" t="n">
        <v>44357</v>
      </c>
      <c r="C204" s="1" t="n">
        <v>45357</v>
      </c>
      <c r="D204" t="inlineStr">
        <is>
          <t>VÄSTERNORRLANDS LÄN</t>
        </is>
      </c>
      <c r="E204" t="inlineStr">
        <is>
          <t>TIMRÅ</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28650-2021</t>
        </is>
      </c>
      <c r="B205" s="1" t="n">
        <v>44357</v>
      </c>
      <c r="C205" s="1" t="n">
        <v>45357</v>
      </c>
      <c r="D205" t="inlineStr">
        <is>
          <t>VÄSTERNORRLANDS LÄN</t>
        </is>
      </c>
      <c r="E205" t="inlineStr">
        <is>
          <t>TIMRÅ</t>
        </is>
      </c>
      <c r="G205" t="n">
        <v>1.7</v>
      </c>
      <c r="H205" t="n">
        <v>0</v>
      </c>
      <c r="I205" t="n">
        <v>0</v>
      </c>
      <c r="J205" t="n">
        <v>0</v>
      </c>
      <c r="K205" t="n">
        <v>0</v>
      </c>
      <c r="L205" t="n">
        <v>0</v>
      </c>
      <c r="M205" t="n">
        <v>0</v>
      </c>
      <c r="N205" t="n">
        <v>0</v>
      </c>
      <c r="O205" t="n">
        <v>0</v>
      </c>
      <c r="P205" t="n">
        <v>0</v>
      </c>
      <c r="Q205" t="n">
        <v>0</v>
      </c>
      <c r="R205" s="2" t="inlineStr"/>
    </row>
    <row r="206" ht="15" customHeight="1">
      <c r="A206" t="inlineStr">
        <is>
          <t>A 28702-2021</t>
        </is>
      </c>
      <c r="B206" s="1" t="n">
        <v>44357</v>
      </c>
      <c r="C206" s="1" t="n">
        <v>45357</v>
      </c>
      <c r="D206" t="inlineStr">
        <is>
          <t>VÄSTERNORRLANDS LÄN</t>
        </is>
      </c>
      <c r="E206" t="inlineStr">
        <is>
          <t>TIMRÅ</t>
        </is>
      </c>
      <c r="G206" t="n">
        <v>3.6</v>
      </c>
      <c r="H206" t="n">
        <v>0</v>
      </c>
      <c r="I206" t="n">
        <v>0</v>
      </c>
      <c r="J206" t="n">
        <v>0</v>
      </c>
      <c r="K206" t="n">
        <v>0</v>
      </c>
      <c r="L206" t="n">
        <v>0</v>
      </c>
      <c r="M206" t="n">
        <v>0</v>
      </c>
      <c r="N206" t="n">
        <v>0</v>
      </c>
      <c r="O206" t="n">
        <v>0</v>
      </c>
      <c r="P206" t="n">
        <v>0</v>
      </c>
      <c r="Q206" t="n">
        <v>0</v>
      </c>
      <c r="R206" s="2" t="inlineStr"/>
    </row>
    <row r="207" ht="15" customHeight="1">
      <c r="A207" t="inlineStr">
        <is>
          <t>A 30098-2021</t>
        </is>
      </c>
      <c r="B207" s="1" t="n">
        <v>44363</v>
      </c>
      <c r="C207" s="1" t="n">
        <v>45357</v>
      </c>
      <c r="D207" t="inlineStr">
        <is>
          <t>VÄSTERNORRLANDS LÄN</t>
        </is>
      </c>
      <c r="E207" t="inlineStr">
        <is>
          <t>TIMRÅ</t>
        </is>
      </c>
      <c r="G207" t="n">
        <v>6.1</v>
      </c>
      <c r="H207" t="n">
        <v>0</v>
      </c>
      <c r="I207" t="n">
        <v>0</v>
      </c>
      <c r="J207" t="n">
        <v>0</v>
      </c>
      <c r="K207" t="n">
        <v>0</v>
      </c>
      <c r="L207" t="n">
        <v>0</v>
      </c>
      <c r="M207" t="n">
        <v>0</v>
      </c>
      <c r="N207" t="n">
        <v>0</v>
      </c>
      <c r="O207" t="n">
        <v>0</v>
      </c>
      <c r="P207" t="n">
        <v>0</v>
      </c>
      <c r="Q207" t="n">
        <v>0</v>
      </c>
      <c r="R207" s="2" t="inlineStr"/>
    </row>
    <row r="208" ht="15" customHeight="1">
      <c r="A208" t="inlineStr">
        <is>
          <t>A 30091-2021</t>
        </is>
      </c>
      <c r="B208" s="1" t="n">
        <v>44363</v>
      </c>
      <c r="C208" s="1" t="n">
        <v>45357</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30591-2021</t>
        </is>
      </c>
      <c r="B209" s="1" t="n">
        <v>44364</v>
      </c>
      <c r="C209" s="1" t="n">
        <v>45357</v>
      </c>
      <c r="D209" t="inlineStr">
        <is>
          <t>VÄSTERNORRLANDS LÄN</t>
        </is>
      </c>
      <c r="E209" t="inlineStr">
        <is>
          <t>TIMRÅ</t>
        </is>
      </c>
      <c r="G209" t="n">
        <v>0.8</v>
      </c>
      <c r="H209" t="n">
        <v>0</v>
      </c>
      <c r="I209" t="n">
        <v>0</v>
      </c>
      <c r="J209" t="n">
        <v>0</v>
      </c>
      <c r="K209" t="n">
        <v>0</v>
      </c>
      <c r="L209" t="n">
        <v>0</v>
      </c>
      <c r="M209" t="n">
        <v>0</v>
      </c>
      <c r="N209" t="n">
        <v>0</v>
      </c>
      <c r="O209" t="n">
        <v>0</v>
      </c>
      <c r="P209" t="n">
        <v>0</v>
      </c>
      <c r="Q209" t="n">
        <v>0</v>
      </c>
      <c r="R209" s="2" t="inlineStr"/>
    </row>
    <row r="210" ht="15" customHeight="1">
      <c r="A210" t="inlineStr">
        <is>
          <t>A 32287-2021</t>
        </is>
      </c>
      <c r="B210" s="1" t="n">
        <v>44371</v>
      </c>
      <c r="C210" s="1" t="n">
        <v>45357</v>
      </c>
      <c r="D210" t="inlineStr">
        <is>
          <t>VÄSTERNORRLANDS LÄN</t>
        </is>
      </c>
      <c r="E210" t="inlineStr">
        <is>
          <t>TIMRÅ</t>
        </is>
      </c>
      <c r="F210" t="inlineStr">
        <is>
          <t>Kyrkan</t>
        </is>
      </c>
      <c r="G210" t="n">
        <v>5</v>
      </c>
      <c r="H210" t="n">
        <v>0</v>
      </c>
      <c r="I210" t="n">
        <v>0</v>
      </c>
      <c r="J210" t="n">
        <v>0</v>
      </c>
      <c r="K210" t="n">
        <v>0</v>
      </c>
      <c r="L210" t="n">
        <v>0</v>
      </c>
      <c r="M210" t="n">
        <v>0</v>
      </c>
      <c r="N210" t="n">
        <v>0</v>
      </c>
      <c r="O210" t="n">
        <v>0</v>
      </c>
      <c r="P210" t="n">
        <v>0</v>
      </c>
      <c r="Q210" t="n">
        <v>0</v>
      </c>
      <c r="R210" s="2" t="inlineStr"/>
    </row>
    <row r="211" ht="15" customHeight="1">
      <c r="A211" t="inlineStr">
        <is>
          <t>A 32210-2021</t>
        </is>
      </c>
      <c r="B211" s="1" t="n">
        <v>44371</v>
      </c>
      <c r="C211" s="1" t="n">
        <v>45357</v>
      </c>
      <c r="D211" t="inlineStr">
        <is>
          <t>VÄSTERNORRLANDS LÄN</t>
        </is>
      </c>
      <c r="E211" t="inlineStr">
        <is>
          <t>TIMRÅ</t>
        </is>
      </c>
      <c r="G211" t="n">
        <v>4.9</v>
      </c>
      <c r="H211" t="n">
        <v>0</v>
      </c>
      <c r="I211" t="n">
        <v>0</v>
      </c>
      <c r="J211" t="n">
        <v>0</v>
      </c>
      <c r="K211" t="n">
        <v>0</v>
      </c>
      <c r="L211" t="n">
        <v>0</v>
      </c>
      <c r="M211" t="n">
        <v>0</v>
      </c>
      <c r="N211" t="n">
        <v>0</v>
      </c>
      <c r="O211" t="n">
        <v>0</v>
      </c>
      <c r="P211" t="n">
        <v>0</v>
      </c>
      <c r="Q211" t="n">
        <v>0</v>
      </c>
      <c r="R211" s="2" t="inlineStr"/>
    </row>
    <row r="212" ht="15" customHeight="1">
      <c r="A212" t="inlineStr">
        <is>
          <t>A 32484-2021</t>
        </is>
      </c>
      <c r="B212" s="1" t="n">
        <v>44371</v>
      </c>
      <c r="C212" s="1" t="n">
        <v>45357</v>
      </c>
      <c r="D212" t="inlineStr">
        <is>
          <t>VÄSTERNORRLANDS LÄN</t>
        </is>
      </c>
      <c r="E212" t="inlineStr">
        <is>
          <t>TIMRÅ</t>
        </is>
      </c>
      <c r="F212" t="inlineStr">
        <is>
          <t>SCA</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32487-2021</t>
        </is>
      </c>
      <c r="B213" s="1" t="n">
        <v>44371</v>
      </c>
      <c r="C213" s="1" t="n">
        <v>45357</v>
      </c>
      <c r="D213" t="inlineStr">
        <is>
          <t>VÄSTERNORRLANDS LÄN</t>
        </is>
      </c>
      <c r="E213" t="inlineStr">
        <is>
          <t>TIMRÅ</t>
        </is>
      </c>
      <c r="F213" t="inlineStr">
        <is>
          <t>Kyrkan</t>
        </is>
      </c>
      <c r="G213" t="n">
        <v>21</v>
      </c>
      <c r="H213" t="n">
        <v>0</v>
      </c>
      <c r="I213" t="n">
        <v>0</v>
      </c>
      <c r="J213" t="n">
        <v>0</v>
      </c>
      <c r="K213" t="n">
        <v>0</v>
      </c>
      <c r="L213" t="n">
        <v>0</v>
      </c>
      <c r="M213" t="n">
        <v>0</v>
      </c>
      <c r="N213" t="n">
        <v>0</v>
      </c>
      <c r="O213" t="n">
        <v>0</v>
      </c>
      <c r="P213" t="n">
        <v>0</v>
      </c>
      <c r="Q213" t="n">
        <v>0</v>
      </c>
      <c r="R213" s="2" t="inlineStr"/>
    </row>
    <row r="214" ht="15" customHeight="1">
      <c r="A214" t="inlineStr">
        <is>
          <t>A 32483-2021</t>
        </is>
      </c>
      <c r="B214" s="1" t="n">
        <v>44371</v>
      </c>
      <c r="C214" s="1" t="n">
        <v>45357</v>
      </c>
      <c r="D214" t="inlineStr">
        <is>
          <t>VÄSTERNORRLANDS LÄN</t>
        </is>
      </c>
      <c r="E214" t="inlineStr">
        <is>
          <t>TIMRÅ</t>
        </is>
      </c>
      <c r="F214" t="inlineStr">
        <is>
          <t>Kyrkan</t>
        </is>
      </c>
      <c r="G214" t="n">
        <v>6.3</v>
      </c>
      <c r="H214" t="n">
        <v>0</v>
      </c>
      <c r="I214" t="n">
        <v>0</v>
      </c>
      <c r="J214" t="n">
        <v>0</v>
      </c>
      <c r="K214" t="n">
        <v>0</v>
      </c>
      <c r="L214" t="n">
        <v>0</v>
      </c>
      <c r="M214" t="n">
        <v>0</v>
      </c>
      <c r="N214" t="n">
        <v>0</v>
      </c>
      <c r="O214" t="n">
        <v>0</v>
      </c>
      <c r="P214" t="n">
        <v>0</v>
      </c>
      <c r="Q214" t="n">
        <v>0</v>
      </c>
      <c r="R214" s="2" t="inlineStr"/>
    </row>
    <row r="215" ht="15" customHeight="1">
      <c r="A215" t="inlineStr">
        <is>
          <t>A 34035-2021</t>
        </is>
      </c>
      <c r="B215" s="1" t="n">
        <v>44378</v>
      </c>
      <c r="C215" s="1" t="n">
        <v>45357</v>
      </c>
      <c r="D215" t="inlineStr">
        <is>
          <t>VÄSTERNORRLANDS LÄN</t>
        </is>
      </c>
      <c r="E215" t="inlineStr">
        <is>
          <t>TIMRÅ</t>
        </is>
      </c>
      <c r="G215" t="n">
        <v>4</v>
      </c>
      <c r="H215" t="n">
        <v>0</v>
      </c>
      <c r="I215" t="n">
        <v>0</v>
      </c>
      <c r="J215" t="n">
        <v>0</v>
      </c>
      <c r="K215" t="n">
        <v>0</v>
      </c>
      <c r="L215" t="n">
        <v>0</v>
      </c>
      <c r="M215" t="n">
        <v>0</v>
      </c>
      <c r="N215" t="n">
        <v>0</v>
      </c>
      <c r="O215" t="n">
        <v>0</v>
      </c>
      <c r="P215" t="n">
        <v>0</v>
      </c>
      <c r="Q215" t="n">
        <v>0</v>
      </c>
      <c r="R215" s="2" t="inlineStr"/>
    </row>
    <row r="216" ht="15" customHeight="1">
      <c r="A216" t="inlineStr">
        <is>
          <t>A 34767-2021</t>
        </is>
      </c>
      <c r="B216" s="1" t="n">
        <v>44382</v>
      </c>
      <c r="C216" s="1" t="n">
        <v>45357</v>
      </c>
      <c r="D216" t="inlineStr">
        <is>
          <t>VÄSTERNORRLANDS LÄN</t>
        </is>
      </c>
      <c r="E216" t="inlineStr">
        <is>
          <t>TIMRÅ</t>
        </is>
      </c>
      <c r="G216" t="n">
        <v>2.4</v>
      </c>
      <c r="H216" t="n">
        <v>0</v>
      </c>
      <c r="I216" t="n">
        <v>0</v>
      </c>
      <c r="J216" t="n">
        <v>0</v>
      </c>
      <c r="K216" t="n">
        <v>0</v>
      </c>
      <c r="L216" t="n">
        <v>0</v>
      </c>
      <c r="M216" t="n">
        <v>0</v>
      </c>
      <c r="N216" t="n">
        <v>0</v>
      </c>
      <c r="O216" t="n">
        <v>0</v>
      </c>
      <c r="P216" t="n">
        <v>0</v>
      </c>
      <c r="Q216" t="n">
        <v>0</v>
      </c>
      <c r="R216" s="2" t="inlineStr"/>
    </row>
    <row r="217" ht="15" customHeight="1">
      <c r="A217" t="inlineStr">
        <is>
          <t>A 35262-2021</t>
        </is>
      </c>
      <c r="B217" s="1" t="n">
        <v>44384</v>
      </c>
      <c r="C217" s="1" t="n">
        <v>45357</v>
      </c>
      <c r="D217" t="inlineStr">
        <is>
          <t>VÄSTERNORRLANDS LÄN</t>
        </is>
      </c>
      <c r="E217" t="inlineStr">
        <is>
          <t>TIMRÅ</t>
        </is>
      </c>
      <c r="G217" t="n">
        <v>2.1</v>
      </c>
      <c r="H217" t="n">
        <v>0</v>
      </c>
      <c r="I217" t="n">
        <v>0</v>
      </c>
      <c r="J217" t="n">
        <v>0</v>
      </c>
      <c r="K217" t="n">
        <v>0</v>
      </c>
      <c r="L217" t="n">
        <v>0</v>
      </c>
      <c r="M217" t="n">
        <v>0</v>
      </c>
      <c r="N217" t="n">
        <v>0</v>
      </c>
      <c r="O217" t="n">
        <v>0</v>
      </c>
      <c r="P217" t="n">
        <v>0</v>
      </c>
      <c r="Q217" t="n">
        <v>0</v>
      </c>
      <c r="R217" s="2" t="inlineStr"/>
    </row>
    <row r="218" ht="15" customHeight="1">
      <c r="A218" t="inlineStr">
        <is>
          <t>A 35413-2021</t>
        </is>
      </c>
      <c r="B218" s="1" t="n">
        <v>44385</v>
      </c>
      <c r="C218" s="1" t="n">
        <v>45357</v>
      </c>
      <c r="D218" t="inlineStr">
        <is>
          <t>VÄSTERNORRLANDS LÄN</t>
        </is>
      </c>
      <c r="E218" t="inlineStr">
        <is>
          <t>TIMRÅ</t>
        </is>
      </c>
      <c r="G218" t="n">
        <v>1</v>
      </c>
      <c r="H218" t="n">
        <v>0</v>
      </c>
      <c r="I218" t="n">
        <v>0</v>
      </c>
      <c r="J218" t="n">
        <v>0</v>
      </c>
      <c r="K218" t="n">
        <v>0</v>
      </c>
      <c r="L218" t="n">
        <v>0</v>
      </c>
      <c r="M218" t="n">
        <v>0</v>
      </c>
      <c r="N218" t="n">
        <v>0</v>
      </c>
      <c r="O218" t="n">
        <v>0</v>
      </c>
      <c r="P218" t="n">
        <v>0</v>
      </c>
      <c r="Q218" t="n">
        <v>0</v>
      </c>
      <c r="R218" s="2" t="inlineStr"/>
    </row>
    <row r="219" ht="15" customHeight="1">
      <c r="A219" t="inlineStr">
        <is>
          <t>A 35417-2021</t>
        </is>
      </c>
      <c r="B219" s="1" t="n">
        <v>44385</v>
      </c>
      <c r="C219" s="1" t="n">
        <v>45357</v>
      </c>
      <c r="D219" t="inlineStr">
        <is>
          <t>VÄSTERNORRLANDS LÄN</t>
        </is>
      </c>
      <c r="E219" t="inlineStr">
        <is>
          <t>TIMRÅ</t>
        </is>
      </c>
      <c r="G219" t="n">
        <v>4.9</v>
      </c>
      <c r="H219" t="n">
        <v>0</v>
      </c>
      <c r="I219" t="n">
        <v>0</v>
      </c>
      <c r="J219" t="n">
        <v>0</v>
      </c>
      <c r="K219" t="n">
        <v>0</v>
      </c>
      <c r="L219" t="n">
        <v>0</v>
      </c>
      <c r="M219" t="n">
        <v>0</v>
      </c>
      <c r="N219" t="n">
        <v>0</v>
      </c>
      <c r="O219" t="n">
        <v>0</v>
      </c>
      <c r="P219" t="n">
        <v>0</v>
      </c>
      <c r="Q219" t="n">
        <v>0</v>
      </c>
      <c r="R219" s="2" t="inlineStr"/>
    </row>
    <row r="220" ht="15" customHeight="1">
      <c r="A220" t="inlineStr">
        <is>
          <t>A 36987-2021</t>
        </is>
      </c>
      <c r="B220" s="1" t="n">
        <v>44393</v>
      </c>
      <c r="C220" s="1" t="n">
        <v>45357</v>
      </c>
      <c r="D220" t="inlineStr">
        <is>
          <t>VÄSTERNORRLANDS LÄN</t>
        </is>
      </c>
      <c r="E220" t="inlineStr">
        <is>
          <t>TIMRÅ</t>
        </is>
      </c>
      <c r="G220" t="n">
        <v>1.6</v>
      </c>
      <c r="H220" t="n">
        <v>0</v>
      </c>
      <c r="I220" t="n">
        <v>0</v>
      </c>
      <c r="J220" t="n">
        <v>0</v>
      </c>
      <c r="K220" t="n">
        <v>0</v>
      </c>
      <c r="L220" t="n">
        <v>0</v>
      </c>
      <c r="M220" t="n">
        <v>0</v>
      </c>
      <c r="N220" t="n">
        <v>0</v>
      </c>
      <c r="O220" t="n">
        <v>0</v>
      </c>
      <c r="P220" t="n">
        <v>0</v>
      </c>
      <c r="Q220" t="n">
        <v>0</v>
      </c>
      <c r="R220" s="2" t="inlineStr"/>
    </row>
    <row r="221" ht="15" customHeight="1">
      <c r="A221" t="inlineStr">
        <is>
          <t>A 37165-2021</t>
        </is>
      </c>
      <c r="B221" s="1" t="n">
        <v>44396</v>
      </c>
      <c r="C221" s="1" t="n">
        <v>45357</v>
      </c>
      <c r="D221" t="inlineStr">
        <is>
          <t>VÄSTERNORRLANDS LÄN</t>
        </is>
      </c>
      <c r="E221" t="inlineStr">
        <is>
          <t>TIMRÅ</t>
        </is>
      </c>
      <c r="G221" t="n">
        <v>6.8</v>
      </c>
      <c r="H221" t="n">
        <v>0</v>
      </c>
      <c r="I221" t="n">
        <v>0</v>
      </c>
      <c r="J221" t="n">
        <v>0</v>
      </c>
      <c r="K221" t="n">
        <v>0</v>
      </c>
      <c r="L221" t="n">
        <v>0</v>
      </c>
      <c r="M221" t="n">
        <v>0</v>
      </c>
      <c r="N221" t="n">
        <v>0</v>
      </c>
      <c r="O221" t="n">
        <v>0</v>
      </c>
      <c r="P221" t="n">
        <v>0</v>
      </c>
      <c r="Q221" t="n">
        <v>0</v>
      </c>
      <c r="R221" s="2" t="inlineStr"/>
    </row>
    <row r="222" ht="15" customHeight="1">
      <c r="A222" t="inlineStr">
        <is>
          <t>A 39534-2021</t>
        </is>
      </c>
      <c r="B222" s="1" t="n">
        <v>44416</v>
      </c>
      <c r="C222" s="1" t="n">
        <v>45357</v>
      </c>
      <c r="D222" t="inlineStr">
        <is>
          <t>VÄSTERNORRLANDS LÄN</t>
        </is>
      </c>
      <c r="E222" t="inlineStr">
        <is>
          <t>TIMRÅ</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39821-2021</t>
        </is>
      </c>
      <c r="B223" s="1" t="n">
        <v>44417</v>
      </c>
      <c r="C223" s="1" t="n">
        <v>45357</v>
      </c>
      <c r="D223" t="inlineStr">
        <is>
          <t>VÄSTERNORRLANDS LÄN</t>
        </is>
      </c>
      <c r="E223" t="inlineStr">
        <is>
          <t>TIMRÅ</t>
        </is>
      </c>
      <c r="G223" t="n">
        <v>0.4</v>
      </c>
      <c r="H223" t="n">
        <v>0</v>
      </c>
      <c r="I223" t="n">
        <v>0</v>
      </c>
      <c r="J223" t="n">
        <v>0</v>
      </c>
      <c r="K223" t="n">
        <v>0</v>
      </c>
      <c r="L223" t="n">
        <v>0</v>
      </c>
      <c r="M223" t="n">
        <v>0</v>
      </c>
      <c r="N223" t="n">
        <v>0</v>
      </c>
      <c r="O223" t="n">
        <v>0</v>
      </c>
      <c r="P223" t="n">
        <v>0</v>
      </c>
      <c r="Q223" t="n">
        <v>0</v>
      </c>
      <c r="R223" s="2" t="inlineStr"/>
    </row>
    <row r="224" ht="15" customHeight="1">
      <c r="A224" t="inlineStr">
        <is>
          <t>A 40519-2021</t>
        </is>
      </c>
      <c r="B224" s="1" t="n">
        <v>44420</v>
      </c>
      <c r="C224" s="1" t="n">
        <v>45357</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43848-2021</t>
        </is>
      </c>
      <c r="B225" s="1" t="n">
        <v>44434</v>
      </c>
      <c r="C225" s="1" t="n">
        <v>45357</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45441-2021</t>
        </is>
      </c>
      <c r="B226" s="1" t="n">
        <v>44440</v>
      </c>
      <c r="C226" s="1" t="n">
        <v>45357</v>
      </c>
      <c r="D226" t="inlineStr">
        <is>
          <t>VÄSTERNORRLANDS LÄN</t>
        </is>
      </c>
      <c r="E226" t="inlineStr">
        <is>
          <t>TIMRÅ</t>
        </is>
      </c>
      <c r="G226" t="n">
        <v>2</v>
      </c>
      <c r="H226" t="n">
        <v>0</v>
      </c>
      <c r="I226" t="n">
        <v>0</v>
      </c>
      <c r="J226" t="n">
        <v>0</v>
      </c>
      <c r="K226" t="n">
        <v>0</v>
      </c>
      <c r="L226" t="n">
        <v>0</v>
      </c>
      <c r="M226" t="n">
        <v>0</v>
      </c>
      <c r="N226" t="n">
        <v>0</v>
      </c>
      <c r="O226" t="n">
        <v>0</v>
      </c>
      <c r="P226" t="n">
        <v>0</v>
      </c>
      <c r="Q226" t="n">
        <v>0</v>
      </c>
      <c r="R226" s="2" t="inlineStr"/>
    </row>
    <row r="227" ht="15" customHeight="1">
      <c r="A227" t="inlineStr">
        <is>
          <t>A 47203-2021</t>
        </is>
      </c>
      <c r="B227" s="1" t="n">
        <v>44447</v>
      </c>
      <c r="C227" s="1" t="n">
        <v>45357</v>
      </c>
      <c r="D227" t="inlineStr">
        <is>
          <t>VÄSTERNORRLANDS LÄN</t>
        </is>
      </c>
      <c r="E227" t="inlineStr">
        <is>
          <t>TIMRÅ</t>
        </is>
      </c>
      <c r="G227" t="n">
        <v>1.3</v>
      </c>
      <c r="H227" t="n">
        <v>0</v>
      </c>
      <c r="I227" t="n">
        <v>0</v>
      </c>
      <c r="J227" t="n">
        <v>0</v>
      </c>
      <c r="K227" t="n">
        <v>0</v>
      </c>
      <c r="L227" t="n">
        <v>0</v>
      </c>
      <c r="M227" t="n">
        <v>0</v>
      </c>
      <c r="N227" t="n">
        <v>0</v>
      </c>
      <c r="O227" t="n">
        <v>0</v>
      </c>
      <c r="P227" t="n">
        <v>0</v>
      </c>
      <c r="Q227" t="n">
        <v>0</v>
      </c>
      <c r="R227" s="2" t="inlineStr"/>
    </row>
    <row r="228" ht="15" customHeight="1">
      <c r="A228" t="inlineStr">
        <is>
          <t>A 47569-2021</t>
        </is>
      </c>
      <c r="B228" s="1" t="n">
        <v>44447</v>
      </c>
      <c r="C228" s="1" t="n">
        <v>45357</v>
      </c>
      <c r="D228" t="inlineStr">
        <is>
          <t>VÄSTERNORRLANDS LÄN</t>
        </is>
      </c>
      <c r="E228" t="inlineStr">
        <is>
          <t>TIMRÅ</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47570-2021</t>
        </is>
      </c>
      <c r="B229" s="1" t="n">
        <v>44448</v>
      </c>
      <c r="C229" s="1" t="n">
        <v>45357</v>
      </c>
      <c r="D229" t="inlineStr">
        <is>
          <t>VÄSTERNORRLANDS LÄN</t>
        </is>
      </c>
      <c r="E229" t="inlineStr">
        <is>
          <t>TIMRÅ</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49056-2021</t>
        </is>
      </c>
      <c r="B230" s="1" t="n">
        <v>44453</v>
      </c>
      <c r="C230" s="1" t="n">
        <v>45357</v>
      </c>
      <c r="D230" t="inlineStr">
        <is>
          <t>VÄSTERNORRLANDS LÄN</t>
        </is>
      </c>
      <c r="E230" t="inlineStr">
        <is>
          <t>TIMRÅ</t>
        </is>
      </c>
      <c r="G230" t="n">
        <v>3.4</v>
      </c>
      <c r="H230" t="n">
        <v>0</v>
      </c>
      <c r="I230" t="n">
        <v>0</v>
      </c>
      <c r="J230" t="n">
        <v>0</v>
      </c>
      <c r="K230" t="n">
        <v>0</v>
      </c>
      <c r="L230" t="n">
        <v>0</v>
      </c>
      <c r="M230" t="n">
        <v>0</v>
      </c>
      <c r="N230" t="n">
        <v>0</v>
      </c>
      <c r="O230" t="n">
        <v>0</v>
      </c>
      <c r="P230" t="n">
        <v>0</v>
      </c>
      <c r="Q230" t="n">
        <v>0</v>
      </c>
      <c r="R230" s="2" t="inlineStr"/>
    </row>
    <row r="231" ht="15" customHeight="1">
      <c r="A231" t="inlineStr">
        <is>
          <t>A 49486-2021</t>
        </is>
      </c>
      <c r="B231" s="1" t="n">
        <v>44455</v>
      </c>
      <c r="C231" s="1" t="n">
        <v>45357</v>
      </c>
      <c r="D231" t="inlineStr">
        <is>
          <t>VÄSTERNORRLANDS LÄN</t>
        </is>
      </c>
      <c r="E231" t="inlineStr">
        <is>
          <t>TIMRÅ</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53305-2021</t>
        </is>
      </c>
      <c r="B232" s="1" t="n">
        <v>44467</v>
      </c>
      <c r="C232" s="1" t="n">
        <v>45357</v>
      </c>
      <c r="D232" t="inlineStr">
        <is>
          <t>VÄSTERNORRLANDS LÄN</t>
        </is>
      </c>
      <c r="E232" t="inlineStr">
        <is>
          <t>TIMRÅ</t>
        </is>
      </c>
      <c r="G232" t="n">
        <v>1.7</v>
      </c>
      <c r="H232" t="n">
        <v>0</v>
      </c>
      <c r="I232" t="n">
        <v>0</v>
      </c>
      <c r="J232" t="n">
        <v>0</v>
      </c>
      <c r="K232" t="n">
        <v>0</v>
      </c>
      <c r="L232" t="n">
        <v>0</v>
      </c>
      <c r="M232" t="n">
        <v>0</v>
      </c>
      <c r="N232" t="n">
        <v>0</v>
      </c>
      <c r="O232" t="n">
        <v>0</v>
      </c>
      <c r="P232" t="n">
        <v>0</v>
      </c>
      <c r="Q232" t="n">
        <v>0</v>
      </c>
      <c r="R232" s="2" t="inlineStr"/>
    </row>
    <row r="233" ht="15" customHeight="1">
      <c r="A233" t="inlineStr">
        <is>
          <t>A 53699-2021</t>
        </is>
      </c>
      <c r="B233" s="1" t="n">
        <v>44469</v>
      </c>
      <c r="C233" s="1" t="n">
        <v>45357</v>
      </c>
      <c r="D233" t="inlineStr">
        <is>
          <t>VÄSTERNORRLANDS LÄN</t>
        </is>
      </c>
      <c r="E233" t="inlineStr">
        <is>
          <t>TIMRÅ</t>
        </is>
      </c>
      <c r="G233" t="n">
        <v>2.4</v>
      </c>
      <c r="H233" t="n">
        <v>0</v>
      </c>
      <c r="I233" t="n">
        <v>0</v>
      </c>
      <c r="J233" t="n">
        <v>0</v>
      </c>
      <c r="K233" t="n">
        <v>0</v>
      </c>
      <c r="L233" t="n">
        <v>0</v>
      </c>
      <c r="M233" t="n">
        <v>0</v>
      </c>
      <c r="N233" t="n">
        <v>0</v>
      </c>
      <c r="O233" t="n">
        <v>0</v>
      </c>
      <c r="P233" t="n">
        <v>0</v>
      </c>
      <c r="Q233" t="n">
        <v>0</v>
      </c>
      <c r="R233" s="2" t="inlineStr"/>
    </row>
    <row r="234" ht="15" customHeight="1">
      <c r="A234" t="inlineStr">
        <is>
          <t>A 53703-2021</t>
        </is>
      </c>
      <c r="B234" s="1" t="n">
        <v>44469</v>
      </c>
      <c r="C234" s="1" t="n">
        <v>45357</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57553-2021</t>
        </is>
      </c>
      <c r="B235" s="1" t="n">
        <v>44484</v>
      </c>
      <c r="C235" s="1" t="n">
        <v>45357</v>
      </c>
      <c r="D235" t="inlineStr">
        <is>
          <t>VÄSTERNORRLANDS LÄN</t>
        </is>
      </c>
      <c r="E235" t="inlineStr">
        <is>
          <t>TIMRÅ</t>
        </is>
      </c>
      <c r="F235" t="inlineStr">
        <is>
          <t>SCA</t>
        </is>
      </c>
      <c r="G235" t="n">
        <v>17.9</v>
      </c>
      <c r="H235" t="n">
        <v>0</v>
      </c>
      <c r="I235" t="n">
        <v>0</v>
      </c>
      <c r="J235" t="n">
        <v>0</v>
      </c>
      <c r="K235" t="n">
        <v>0</v>
      </c>
      <c r="L235" t="n">
        <v>0</v>
      </c>
      <c r="M235" t="n">
        <v>0</v>
      </c>
      <c r="N235" t="n">
        <v>0</v>
      </c>
      <c r="O235" t="n">
        <v>0</v>
      </c>
      <c r="P235" t="n">
        <v>0</v>
      </c>
      <c r="Q235" t="n">
        <v>0</v>
      </c>
      <c r="R235" s="2" t="inlineStr"/>
    </row>
    <row r="236" ht="15" customHeight="1">
      <c r="A236" t="inlineStr">
        <is>
          <t>A 59570-2021</t>
        </is>
      </c>
      <c r="B236" s="1" t="n">
        <v>44491</v>
      </c>
      <c r="C236" s="1" t="n">
        <v>45357</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59964-2021</t>
        </is>
      </c>
      <c r="B237" s="1" t="n">
        <v>44494</v>
      </c>
      <c r="C237" s="1" t="n">
        <v>45357</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64433-2021</t>
        </is>
      </c>
      <c r="B238" s="1" t="n">
        <v>44511</v>
      </c>
      <c r="C238" s="1" t="n">
        <v>45357</v>
      </c>
      <c r="D238" t="inlineStr">
        <is>
          <t>VÄSTERNORRLANDS LÄN</t>
        </is>
      </c>
      <c r="E238" t="inlineStr">
        <is>
          <t>TIMRÅ</t>
        </is>
      </c>
      <c r="G238" t="n">
        <v>0.6</v>
      </c>
      <c r="H238" t="n">
        <v>0</v>
      </c>
      <c r="I238" t="n">
        <v>0</v>
      </c>
      <c r="J238" t="n">
        <v>0</v>
      </c>
      <c r="K238" t="n">
        <v>0</v>
      </c>
      <c r="L238" t="n">
        <v>0</v>
      </c>
      <c r="M238" t="n">
        <v>0</v>
      </c>
      <c r="N238" t="n">
        <v>0</v>
      </c>
      <c r="O238" t="n">
        <v>0</v>
      </c>
      <c r="P238" t="n">
        <v>0</v>
      </c>
      <c r="Q238" t="n">
        <v>0</v>
      </c>
      <c r="R238" s="2" t="inlineStr"/>
    </row>
    <row r="239" ht="15" customHeight="1">
      <c r="A239" t="inlineStr">
        <is>
          <t>A 66154-2021</t>
        </is>
      </c>
      <c r="B239" s="1" t="n">
        <v>44517</v>
      </c>
      <c r="C239" s="1" t="n">
        <v>45357</v>
      </c>
      <c r="D239" t="inlineStr">
        <is>
          <t>VÄSTERNORRLANDS LÄN</t>
        </is>
      </c>
      <c r="E239" t="inlineStr">
        <is>
          <t>TIMRÅ</t>
        </is>
      </c>
      <c r="G239" t="n">
        <v>5.6</v>
      </c>
      <c r="H239" t="n">
        <v>0</v>
      </c>
      <c r="I239" t="n">
        <v>0</v>
      </c>
      <c r="J239" t="n">
        <v>0</v>
      </c>
      <c r="K239" t="n">
        <v>0</v>
      </c>
      <c r="L239" t="n">
        <v>0</v>
      </c>
      <c r="M239" t="n">
        <v>0</v>
      </c>
      <c r="N239" t="n">
        <v>0</v>
      </c>
      <c r="O239" t="n">
        <v>0</v>
      </c>
      <c r="P239" t="n">
        <v>0</v>
      </c>
      <c r="Q239" t="n">
        <v>0</v>
      </c>
      <c r="R239" s="2" t="inlineStr"/>
    </row>
    <row r="240" ht="15" customHeight="1">
      <c r="A240" t="inlineStr">
        <is>
          <t>A 66409-2021</t>
        </is>
      </c>
      <c r="B240" s="1" t="n">
        <v>44518</v>
      </c>
      <c r="C240" s="1" t="n">
        <v>45357</v>
      </c>
      <c r="D240" t="inlineStr">
        <is>
          <t>VÄSTERNORRLANDS LÄN</t>
        </is>
      </c>
      <c r="E240" t="inlineStr">
        <is>
          <t>TIMRÅ</t>
        </is>
      </c>
      <c r="G240" t="n">
        <v>0.5</v>
      </c>
      <c r="H240" t="n">
        <v>0</v>
      </c>
      <c r="I240" t="n">
        <v>0</v>
      </c>
      <c r="J240" t="n">
        <v>0</v>
      </c>
      <c r="K240" t="n">
        <v>0</v>
      </c>
      <c r="L240" t="n">
        <v>0</v>
      </c>
      <c r="M240" t="n">
        <v>0</v>
      </c>
      <c r="N240" t="n">
        <v>0</v>
      </c>
      <c r="O240" t="n">
        <v>0</v>
      </c>
      <c r="P240" t="n">
        <v>0</v>
      </c>
      <c r="Q240" t="n">
        <v>0</v>
      </c>
      <c r="R240" s="2" t="inlineStr"/>
    </row>
    <row r="241" ht="15" customHeight="1">
      <c r="A241" t="inlineStr">
        <is>
          <t>A 67065-2021</t>
        </is>
      </c>
      <c r="B241" s="1" t="n">
        <v>44522</v>
      </c>
      <c r="C241" s="1" t="n">
        <v>45357</v>
      </c>
      <c r="D241" t="inlineStr">
        <is>
          <t>VÄSTERNORRLANDS LÄN</t>
        </is>
      </c>
      <c r="E241" t="inlineStr">
        <is>
          <t>TIMRÅ</t>
        </is>
      </c>
      <c r="G241" t="n">
        <v>2.6</v>
      </c>
      <c r="H241" t="n">
        <v>0</v>
      </c>
      <c r="I241" t="n">
        <v>0</v>
      </c>
      <c r="J241" t="n">
        <v>0</v>
      </c>
      <c r="K241" t="n">
        <v>0</v>
      </c>
      <c r="L241" t="n">
        <v>0</v>
      </c>
      <c r="M241" t="n">
        <v>0</v>
      </c>
      <c r="N241" t="n">
        <v>0</v>
      </c>
      <c r="O241" t="n">
        <v>0</v>
      </c>
      <c r="P241" t="n">
        <v>0</v>
      </c>
      <c r="Q241" t="n">
        <v>0</v>
      </c>
      <c r="R241" s="2" t="inlineStr"/>
    </row>
    <row r="242" ht="15" customHeight="1">
      <c r="A242" t="inlineStr">
        <is>
          <t>A 67063-2021</t>
        </is>
      </c>
      <c r="B242" s="1" t="n">
        <v>44522</v>
      </c>
      <c r="C242" s="1" t="n">
        <v>45357</v>
      </c>
      <c r="D242" t="inlineStr">
        <is>
          <t>VÄSTERNORRLANDS LÄN</t>
        </is>
      </c>
      <c r="E242" t="inlineStr">
        <is>
          <t>TIMRÅ</t>
        </is>
      </c>
      <c r="G242" t="n">
        <v>1.9</v>
      </c>
      <c r="H242" t="n">
        <v>0</v>
      </c>
      <c r="I242" t="n">
        <v>0</v>
      </c>
      <c r="J242" t="n">
        <v>0</v>
      </c>
      <c r="K242" t="n">
        <v>0</v>
      </c>
      <c r="L242" t="n">
        <v>0</v>
      </c>
      <c r="M242" t="n">
        <v>0</v>
      </c>
      <c r="N242" t="n">
        <v>0</v>
      </c>
      <c r="O242" t="n">
        <v>0</v>
      </c>
      <c r="P242" t="n">
        <v>0</v>
      </c>
      <c r="Q242" t="n">
        <v>0</v>
      </c>
      <c r="R242" s="2" t="inlineStr"/>
    </row>
    <row r="243" ht="15" customHeight="1">
      <c r="A243" t="inlineStr">
        <is>
          <t>A 67673-2021</t>
        </is>
      </c>
      <c r="B243" s="1" t="n">
        <v>44524</v>
      </c>
      <c r="C243" s="1" t="n">
        <v>45357</v>
      </c>
      <c r="D243" t="inlineStr">
        <is>
          <t>VÄSTERNORRLANDS LÄN</t>
        </is>
      </c>
      <c r="E243" t="inlineStr">
        <is>
          <t>TIMRÅ</t>
        </is>
      </c>
      <c r="G243" t="n">
        <v>6.8</v>
      </c>
      <c r="H243" t="n">
        <v>0</v>
      </c>
      <c r="I243" t="n">
        <v>0</v>
      </c>
      <c r="J243" t="n">
        <v>0</v>
      </c>
      <c r="K243" t="n">
        <v>0</v>
      </c>
      <c r="L243" t="n">
        <v>0</v>
      </c>
      <c r="M243" t="n">
        <v>0</v>
      </c>
      <c r="N243" t="n">
        <v>0</v>
      </c>
      <c r="O243" t="n">
        <v>0</v>
      </c>
      <c r="P243" t="n">
        <v>0</v>
      </c>
      <c r="Q243" t="n">
        <v>0</v>
      </c>
      <c r="R243" s="2" t="inlineStr"/>
    </row>
    <row r="244" ht="15" customHeight="1">
      <c r="A244" t="inlineStr">
        <is>
          <t>A 68391-2021</t>
        </is>
      </c>
      <c r="B244" s="1" t="n">
        <v>44526</v>
      </c>
      <c r="C244" s="1" t="n">
        <v>45357</v>
      </c>
      <c r="D244" t="inlineStr">
        <is>
          <t>VÄSTERNORRLANDS LÄN</t>
        </is>
      </c>
      <c r="E244" t="inlineStr">
        <is>
          <t>TIMRÅ</t>
        </is>
      </c>
      <c r="G244" t="n">
        <v>2.2</v>
      </c>
      <c r="H244" t="n">
        <v>0</v>
      </c>
      <c r="I244" t="n">
        <v>0</v>
      </c>
      <c r="J244" t="n">
        <v>0</v>
      </c>
      <c r="K244" t="n">
        <v>0</v>
      </c>
      <c r="L244" t="n">
        <v>0</v>
      </c>
      <c r="M244" t="n">
        <v>0</v>
      </c>
      <c r="N244" t="n">
        <v>0</v>
      </c>
      <c r="O244" t="n">
        <v>0</v>
      </c>
      <c r="P244" t="n">
        <v>0</v>
      </c>
      <c r="Q244" t="n">
        <v>0</v>
      </c>
      <c r="R244" s="2" t="inlineStr"/>
    </row>
    <row r="245" ht="15" customHeight="1">
      <c r="A245" t="inlineStr">
        <is>
          <t>A 68774-2021</t>
        </is>
      </c>
      <c r="B245" s="1" t="n">
        <v>44529</v>
      </c>
      <c r="C245" s="1" t="n">
        <v>45357</v>
      </c>
      <c r="D245" t="inlineStr">
        <is>
          <t>VÄSTERNORRLANDS LÄN</t>
        </is>
      </c>
      <c r="E245" t="inlineStr">
        <is>
          <t>TIMRÅ</t>
        </is>
      </c>
      <c r="G245" t="n">
        <v>0.5</v>
      </c>
      <c r="H245" t="n">
        <v>0</v>
      </c>
      <c r="I245" t="n">
        <v>0</v>
      </c>
      <c r="J245" t="n">
        <v>0</v>
      </c>
      <c r="K245" t="n">
        <v>0</v>
      </c>
      <c r="L245" t="n">
        <v>0</v>
      </c>
      <c r="M245" t="n">
        <v>0</v>
      </c>
      <c r="N245" t="n">
        <v>0</v>
      </c>
      <c r="O245" t="n">
        <v>0</v>
      </c>
      <c r="P245" t="n">
        <v>0</v>
      </c>
      <c r="Q245" t="n">
        <v>0</v>
      </c>
      <c r="R245" s="2" t="inlineStr"/>
    </row>
    <row r="246" ht="15" customHeight="1">
      <c r="A246" t="inlineStr">
        <is>
          <t>A 69274-2021</t>
        </is>
      </c>
      <c r="B246" s="1" t="n">
        <v>44530</v>
      </c>
      <c r="C246" s="1" t="n">
        <v>45357</v>
      </c>
      <c r="D246" t="inlineStr">
        <is>
          <t>VÄSTERNORRLANDS LÄN</t>
        </is>
      </c>
      <c r="E246" t="inlineStr">
        <is>
          <t>TIMRÅ</t>
        </is>
      </c>
      <c r="G246" t="n">
        <v>0.3</v>
      </c>
      <c r="H246" t="n">
        <v>0</v>
      </c>
      <c r="I246" t="n">
        <v>0</v>
      </c>
      <c r="J246" t="n">
        <v>0</v>
      </c>
      <c r="K246" t="n">
        <v>0</v>
      </c>
      <c r="L246" t="n">
        <v>0</v>
      </c>
      <c r="M246" t="n">
        <v>0</v>
      </c>
      <c r="N246" t="n">
        <v>0</v>
      </c>
      <c r="O246" t="n">
        <v>0</v>
      </c>
      <c r="P246" t="n">
        <v>0</v>
      </c>
      <c r="Q246" t="n">
        <v>0</v>
      </c>
      <c r="R246" s="2" t="inlineStr"/>
    </row>
    <row r="247" ht="15" customHeight="1">
      <c r="A247" t="inlineStr">
        <is>
          <t>A 69266-2021</t>
        </is>
      </c>
      <c r="B247" s="1" t="n">
        <v>44530</v>
      </c>
      <c r="C247" s="1" t="n">
        <v>45357</v>
      </c>
      <c r="D247" t="inlineStr">
        <is>
          <t>VÄSTERNORRLANDS LÄN</t>
        </is>
      </c>
      <c r="E247" t="inlineStr">
        <is>
          <t>TIMRÅ</t>
        </is>
      </c>
      <c r="G247" t="n">
        <v>0.3</v>
      </c>
      <c r="H247" t="n">
        <v>0</v>
      </c>
      <c r="I247" t="n">
        <v>0</v>
      </c>
      <c r="J247" t="n">
        <v>0</v>
      </c>
      <c r="K247" t="n">
        <v>0</v>
      </c>
      <c r="L247" t="n">
        <v>0</v>
      </c>
      <c r="M247" t="n">
        <v>0</v>
      </c>
      <c r="N247" t="n">
        <v>0</v>
      </c>
      <c r="O247" t="n">
        <v>0</v>
      </c>
      <c r="P247" t="n">
        <v>0</v>
      </c>
      <c r="Q247" t="n">
        <v>0</v>
      </c>
      <c r="R247" s="2" t="inlineStr"/>
    </row>
    <row r="248" ht="15" customHeight="1">
      <c r="A248" t="inlineStr">
        <is>
          <t>A 69278-2021</t>
        </is>
      </c>
      <c r="B248" s="1" t="n">
        <v>44531</v>
      </c>
      <c r="C248" s="1" t="n">
        <v>45357</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69663-2021</t>
        </is>
      </c>
      <c r="B249" s="1" t="n">
        <v>44531</v>
      </c>
      <c r="C249" s="1" t="n">
        <v>45357</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70507-2021</t>
        </is>
      </c>
      <c r="B250" s="1" t="n">
        <v>44536</v>
      </c>
      <c r="C250" s="1" t="n">
        <v>45357</v>
      </c>
      <c r="D250" t="inlineStr">
        <is>
          <t>VÄSTERNORRLANDS LÄN</t>
        </is>
      </c>
      <c r="E250" t="inlineStr">
        <is>
          <t>TIMRÅ</t>
        </is>
      </c>
      <c r="G250" t="n">
        <v>2.5</v>
      </c>
      <c r="H250" t="n">
        <v>0</v>
      </c>
      <c r="I250" t="n">
        <v>0</v>
      </c>
      <c r="J250" t="n">
        <v>0</v>
      </c>
      <c r="K250" t="n">
        <v>0</v>
      </c>
      <c r="L250" t="n">
        <v>0</v>
      </c>
      <c r="M250" t="n">
        <v>0</v>
      </c>
      <c r="N250" t="n">
        <v>0</v>
      </c>
      <c r="O250" t="n">
        <v>0</v>
      </c>
      <c r="P250" t="n">
        <v>0</v>
      </c>
      <c r="Q250" t="n">
        <v>0</v>
      </c>
      <c r="R250" s="2" t="inlineStr"/>
    </row>
    <row r="251" ht="15" customHeight="1">
      <c r="A251" t="inlineStr">
        <is>
          <t>A 70906-2021</t>
        </is>
      </c>
      <c r="B251" s="1" t="n">
        <v>44537</v>
      </c>
      <c r="C251" s="1" t="n">
        <v>45357</v>
      </c>
      <c r="D251" t="inlineStr">
        <is>
          <t>VÄSTERNORRLANDS LÄN</t>
        </is>
      </c>
      <c r="E251" t="inlineStr">
        <is>
          <t>TIMRÅ</t>
        </is>
      </c>
      <c r="G251" t="n">
        <v>3.9</v>
      </c>
      <c r="H251" t="n">
        <v>0</v>
      </c>
      <c r="I251" t="n">
        <v>0</v>
      </c>
      <c r="J251" t="n">
        <v>0</v>
      </c>
      <c r="K251" t="n">
        <v>0</v>
      </c>
      <c r="L251" t="n">
        <v>0</v>
      </c>
      <c r="M251" t="n">
        <v>0</v>
      </c>
      <c r="N251" t="n">
        <v>0</v>
      </c>
      <c r="O251" t="n">
        <v>0</v>
      </c>
      <c r="P251" t="n">
        <v>0</v>
      </c>
      <c r="Q251" t="n">
        <v>0</v>
      </c>
      <c r="R251" s="2" t="inlineStr"/>
    </row>
    <row r="252" ht="15" customHeight="1">
      <c r="A252" t="inlineStr">
        <is>
          <t>A 71213-2021</t>
        </is>
      </c>
      <c r="B252" s="1" t="n">
        <v>44539</v>
      </c>
      <c r="C252" s="1" t="n">
        <v>45357</v>
      </c>
      <c r="D252" t="inlineStr">
        <is>
          <t>VÄSTERNORRLANDS LÄN</t>
        </is>
      </c>
      <c r="E252" t="inlineStr">
        <is>
          <t>TIMRÅ</t>
        </is>
      </c>
      <c r="G252" t="n">
        <v>0.8</v>
      </c>
      <c r="H252" t="n">
        <v>0</v>
      </c>
      <c r="I252" t="n">
        <v>0</v>
      </c>
      <c r="J252" t="n">
        <v>0</v>
      </c>
      <c r="K252" t="n">
        <v>0</v>
      </c>
      <c r="L252" t="n">
        <v>0</v>
      </c>
      <c r="M252" t="n">
        <v>0</v>
      </c>
      <c r="N252" t="n">
        <v>0</v>
      </c>
      <c r="O252" t="n">
        <v>0</v>
      </c>
      <c r="P252" t="n">
        <v>0</v>
      </c>
      <c r="Q252" t="n">
        <v>0</v>
      </c>
      <c r="R252" s="2" t="inlineStr"/>
    </row>
    <row r="253" ht="15" customHeight="1">
      <c r="A253" t="inlineStr">
        <is>
          <t>A 73225-2021</t>
        </is>
      </c>
      <c r="B253" s="1" t="n">
        <v>44550</v>
      </c>
      <c r="C253" s="1" t="n">
        <v>45357</v>
      </c>
      <c r="D253" t="inlineStr">
        <is>
          <t>VÄSTERNORRLANDS LÄN</t>
        </is>
      </c>
      <c r="E253" t="inlineStr">
        <is>
          <t>TIMRÅ</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74020-2021</t>
        </is>
      </c>
      <c r="B254" s="1" t="n">
        <v>44557</v>
      </c>
      <c r="C254" s="1" t="n">
        <v>45357</v>
      </c>
      <c r="D254" t="inlineStr">
        <is>
          <t>VÄSTERNORRLANDS LÄN</t>
        </is>
      </c>
      <c r="E254" t="inlineStr">
        <is>
          <t>TIMRÅ</t>
        </is>
      </c>
      <c r="G254" t="n">
        <v>1.4</v>
      </c>
      <c r="H254" t="n">
        <v>0</v>
      </c>
      <c r="I254" t="n">
        <v>0</v>
      </c>
      <c r="J254" t="n">
        <v>0</v>
      </c>
      <c r="K254" t="n">
        <v>0</v>
      </c>
      <c r="L254" t="n">
        <v>0</v>
      </c>
      <c r="M254" t="n">
        <v>0</v>
      </c>
      <c r="N254" t="n">
        <v>0</v>
      </c>
      <c r="O254" t="n">
        <v>0</v>
      </c>
      <c r="P254" t="n">
        <v>0</v>
      </c>
      <c r="Q254" t="n">
        <v>0</v>
      </c>
      <c r="R254" s="2" t="inlineStr"/>
    </row>
    <row r="255" ht="15" customHeight="1">
      <c r="A255" t="inlineStr">
        <is>
          <t>A 74043-2021</t>
        </is>
      </c>
      <c r="B255" s="1" t="n">
        <v>44557</v>
      </c>
      <c r="C255" s="1" t="n">
        <v>45357</v>
      </c>
      <c r="D255" t="inlineStr">
        <is>
          <t>VÄSTERNORRLANDS LÄN</t>
        </is>
      </c>
      <c r="E255" t="inlineStr">
        <is>
          <t>TIMRÅ</t>
        </is>
      </c>
      <c r="G255" t="n">
        <v>0.1</v>
      </c>
      <c r="H255" t="n">
        <v>0</v>
      </c>
      <c r="I255" t="n">
        <v>0</v>
      </c>
      <c r="J255" t="n">
        <v>0</v>
      </c>
      <c r="K255" t="n">
        <v>0</v>
      </c>
      <c r="L255" t="n">
        <v>0</v>
      </c>
      <c r="M255" t="n">
        <v>0</v>
      </c>
      <c r="N255" t="n">
        <v>0</v>
      </c>
      <c r="O255" t="n">
        <v>0</v>
      </c>
      <c r="P255" t="n">
        <v>0</v>
      </c>
      <c r="Q255" t="n">
        <v>0</v>
      </c>
      <c r="R255" s="2" t="inlineStr"/>
    </row>
    <row r="256" ht="15" customHeight="1">
      <c r="A256" t="inlineStr">
        <is>
          <t>A 74044-2021</t>
        </is>
      </c>
      <c r="B256" s="1" t="n">
        <v>44557</v>
      </c>
      <c r="C256" s="1" t="n">
        <v>45357</v>
      </c>
      <c r="D256" t="inlineStr">
        <is>
          <t>VÄSTERNORRLANDS LÄN</t>
        </is>
      </c>
      <c r="E256" t="inlineStr">
        <is>
          <t>TIMRÅ</t>
        </is>
      </c>
      <c r="G256" t="n">
        <v>0.2</v>
      </c>
      <c r="H256" t="n">
        <v>0</v>
      </c>
      <c r="I256" t="n">
        <v>0</v>
      </c>
      <c r="J256" t="n">
        <v>0</v>
      </c>
      <c r="K256" t="n">
        <v>0</v>
      </c>
      <c r="L256" t="n">
        <v>0</v>
      </c>
      <c r="M256" t="n">
        <v>0</v>
      </c>
      <c r="N256" t="n">
        <v>0</v>
      </c>
      <c r="O256" t="n">
        <v>0</v>
      </c>
      <c r="P256" t="n">
        <v>0</v>
      </c>
      <c r="Q256" t="n">
        <v>0</v>
      </c>
      <c r="R256" s="2" t="inlineStr"/>
    </row>
    <row r="257" ht="15" customHeight="1">
      <c r="A257" t="inlineStr">
        <is>
          <t>A 74148-2021</t>
        </is>
      </c>
      <c r="B257" s="1" t="n">
        <v>44557</v>
      </c>
      <c r="C257" s="1" t="n">
        <v>45357</v>
      </c>
      <c r="D257" t="inlineStr">
        <is>
          <t>VÄSTERNORRLANDS LÄN</t>
        </is>
      </c>
      <c r="E257" t="inlineStr">
        <is>
          <t>TIMRÅ</t>
        </is>
      </c>
      <c r="G257" t="n">
        <v>0.7</v>
      </c>
      <c r="H257" t="n">
        <v>0</v>
      </c>
      <c r="I257" t="n">
        <v>0</v>
      </c>
      <c r="J257" t="n">
        <v>0</v>
      </c>
      <c r="K257" t="n">
        <v>0</v>
      </c>
      <c r="L257" t="n">
        <v>0</v>
      </c>
      <c r="M257" t="n">
        <v>0</v>
      </c>
      <c r="N257" t="n">
        <v>0</v>
      </c>
      <c r="O257" t="n">
        <v>0</v>
      </c>
      <c r="P257" t="n">
        <v>0</v>
      </c>
      <c r="Q257" t="n">
        <v>0</v>
      </c>
      <c r="R257" s="2" t="inlineStr"/>
    </row>
    <row r="258" ht="15" customHeight="1">
      <c r="A258" t="inlineStr">
        <is>
          <t>A 74150-2021</t>
        </is>
      </c>
      <c r="B258" s="1" t="n">
        <v>44557</v>
      </c>
      <c r="C258" s="1" t="n">
        <v>45357</v>
      </c>
      <c r="D258" t="inlineStr">
        <is>
          <t>VÄSTERNORRLANDS LÄN</t>
        </is>
      </c>
      <c r="E258" t="inlineStr">
        <is>
          <t>TIMRÅ</t>
        </is>
      </c>
      <c r="G258" t="n">
        <v>1.8</v>
      </c>
      <c r="H258" t="n">
        <v>0</v>
      </c>
      <c r="I258" t="n">
        <v>0</v>
      </c>
      <c r="J258" t="n">
        <v>0</v>
      </c>
      <c r="K258" t="n">
        <v>0</v>
      </c>
      <c r="L258" t="n">
        <v>0</v>
      </c>
      <c r="M258" t="n">
        <v>0</v>
      </c>
      <c r="N258" t="n">
        <v>0</v>
      </c>
      <c r="O258" t="n">
        <v>0</v>
      </c>
      <c r="P258" t="n">
        <v>0</v>
      </c>
      <c r="Q258" t="n">
        <v>0</v>
      </c>
      <c r="R258" s="2" t="inlineStr"/>
    </row>
    <row r="259" ht="15" customHeight="1">
      <c r="A259" t="inlineStr">
        <is>
          <t>A 74177-2021</t>
        </is>
      </c>
      <c r="B259" s="1" t="n">
        <v>44558</v>
      </c>
      <c r="C259" s="1" t="n">
        <v>45357</v>
      </c>
      <c r="D259" t="inlineStr">
        <is>
          <t>VÄSTERNORRLANDS LÄN</t>
        </is>
      </c>
      <c r="E259" t="inlineStr">
        <is>
          <t>TIMRÅ</t>
        </is>
      </c>
      <c r="G259" t="n">
        <v>1.8</v>
      </c>
      <c r="H259" t="n">
        <v>0</v>
      </c>
      <c r="I259" t="n">
        <v>0</v>
      </c>
      <c r="J259" t="n">
        <v>0</v>
      </c>
      <c r="K259" t="n">
        <v>0</v>
      </c>
      <c r="L259" t="n">
        <v>0</v>
      </c>
      <c r="M259" t="n">
        <v>0</v>
      </c>
      <c r="N259" t="n">
        <v>0</v>
      </c>
      <c r="O259" t="n">
        <v>0</v>
      </c>
      <c r="P259" t="n">
        <v>0</v>
      </c>
      <c r="Q259" t="n">
        <v>0</v>
      </c>
      <c r="R259" s="2" t="inlineStr"/>
    </row>
    <row r="260" ht="15" customHeight="1">
      <c r="A260" t="inlineStr">
        <is>
          <t>A 580-2022</t>
        </is>
      </c>
      <c r="B260" s="1" t="n">
        <v>44566</v>
      </c>
      <c r="C260" s="1" t="n">
        <v>45357</v>
      </c>
      <c r="D260" t="inlineStr">
        <is>
          <t>VÄSTERNORRLANDS LÄN</t>
        </is>
      </c>
      <c r="E260" t="inlineStr">
        <is>
          <t>TIMRÅ</t>
        </is>
      </c>
      <c r="F260" t="inlineStr">
        <is>
          <t>SCA</t>
        </is>
      </c>
      <c r="G260" t="n">
        <v>5.9</v>
      </c>
      <c r="H260" t="n">
        <v>0</v>
      </c>
      <c r="I260" t="n">
        <v>0</v>
      </c>
      <c r="J260" t="n">
        <v>0</v>
      </c>
      <c r="K260" t="n">
        <v>0</v>
      </c>
      <c r="L260" t="n">
        <v>0</v>
      </c>
      <c r="M260" t="n">
        <v>0</v>
      </c>
      <c r="N260" t="n">
        <v>0</v>
      </c>
      <c r="O260" t="n">
        <v>0</v>
      </c>
      <c r="P260" t="n">
        <v>0</v>
      </c>
      <c r="Q260" t="n">
        <v>0</v>
      </c>
      <c r="R260" s="2" t="inlineStr"/>
    </row>
    <row r="261" ht="15" customHeight="1">
      <c r="A261" t="inlineStr">
        <is>
          <t>A 1078-2022</t>
        </is>
      </c>
      <c r="B261" s="1" t="n">
        <v>44571</v>
      </c>
      <c r="C261" s="1" t="n">
        <v>45357</v>
      </c>
      <c r="D261" t="inlineStr">
        <is>
          <t>VÄSTERNORRLANDS LÄN</t>
        </is>
      </c>
      <c r="E261" t="inlineStr">
        <is>
          <t>TIMRÅ</t>
        </is>
      </c>
      <c r="G261" t="n">
        <v>1.6</v>
      </c>
      <c r="H261" t="n">
        <v>0</v>
      </c>
      <c r="I261" t="n">
        <v>0</v>
      </c>
      <c r="J261" t="n">
        <v>0</v>
      </c>
      <c r="K261" t="n">
        <v>0</v>
      </c>
      <c r="L261" t="n">
        <v>0</v>
      </c>
      <c r="M261" t="n">
        <v>0</v>
      </c>
      <c r="N261" t="n">
        <v>0</v>
      </c>
      <c r="O261" t="n">
        <v>0</v>
      </c>
      <c r="P261" t="n">
        <v>0</v>
      </c>
      <c r="Q261" t="n">
        <v>0</v>
      </c>
      <c r="R261" s="2" t="inlineStr"/>
    </row>
    <row r="262" ht="15" customHeight="1">
      <c r="A262" t="inlineStr">
        <is>
          <t>A 1855-2022</t>
        </is>
      </c>
      <c r="B262" s="1" t="n">
        <v>44574</v>
      </c>
      <c r="C262" s="1" t="n">
        <v>45357</v>
      </c>
      <c r="D262" t="inlineStr">
        <is>
          <t>VÄSTERNORRLANDS LÄN</t>
        </is>
      </c>
      <c r="E262" t="inlineStr">
        <is>
          <t>TIMRÅ</t>
        </is>
      </c>
      <c r="G262" t="n">
        <v>3.1</v>
      </c>
      <c r="H262" t="n">
        <v>0</v>
      </c>
      <c r="I262" t="n">
        <v>0</v>
      </c>
      <c r="J262" t="n">
        <v>0</v>
      </c>
      <c r="K262" t="n">
        <v>0</v>
      </c>
      <c r="L262" t="n">
        <v>0</v>
      </c>
      <c r="M262" t="n">
        <v>0</v>
      </c>
      <c r="N262" t="n">
        <v>0</v>
      </c>
      <c r="O262" t="n">
        <v>0</v>
      </c>
      <c r="P262" t="n">
        <v>0</v>
      </c>
      <c r="Q262" t="n">
        <v>0</v>
      </c>
      <c r="R262" s="2" t="inlineStr"/>
    </row>
    <row r="263" ht="15" customHeight="1">
      <c r="A263" t="inlineStr">
        <is>
          <t>A 2073-2022</t>
        </is>
      </c>
      <c r="B263" s="1" t="n">
        <v>44575</v>
      </c>
      <c r="C263" s="1" t="n">
        <v>45357</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2226-2022</t>
        </is>
      </c>
      <c r="B264" s="1" t="n">
        <v>44578</v>
      </c>
      <c r="C264" s="1" t="n">
        <v>45357</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5649-2022</t>
        </is>
      </c>
      <c r="B265" s="1" t="n">
        <v>44595</v>
      </c>
      <c r="C265" s="1" t="n">
        <v>45357</v>
      </c>
      <c r="D265" t="inlineStr">
        <is>
          <t>VÄSTERNORRLANDS LÄN</t>
        </is>
      </c>
      <c r="E265" t="inlineStr">
        <is>
          <t>TIMRÅ</t>
        </is>
      </c>
      <c r="G265" t="n">
        <v>1.5</v>
      </c>
      <c r="H265" t="n">
        <v>0</v>
      </c>
      <c r="I265" t="n">
        <v>0</v>
      </c>
      <c r="J265" t="n">
        <v>0</v>
      </c>
      <c r="K265" t="n">
        <v>0</v>
      </c>
      <c r="L265" t="n">
        <v>0</v>
      </c>
      <c r="M265" t="n">
        <v>0</v>
      </c>
      <c r="N265" t="n">
        <v>0</v>
      </c>
      <c r="O265" t="n">
        <v>0</v>
      </c>
      <c r="P265" t="n">
        <v>0</v>
      </c>
      <c r="Q265" t="n">
        <v>0</v>
      </c>
      <c r="R265" s="2" t="inlineStr"/>
    </row>
    <row r="266" ht="15" customHeight="1">
      <c r="A266" t="inlineStr">
        <is>
          <t>A 7152-2022</t>
        </is>
      </c>
      <c r="B266" s="1" t="n">
        <v>44603</v>
      </c>
      <c r="C266" s="1" t="n">
        <v>45357</v>
      </c>
      <c r="D266" t="inlineStr">
        <is>
          <t>VÄSTERNORRLANDS LÄN</t>
        </is>
      </c>
      <c r="E266" t="inlineStr">
        <is>
          <t>TIMRÅ</t>
        </is>
      </c>
      <c r="G266" t="n">
        <v>2.4</v>
      </c>
      <c r="H266" t="n">
        <v>0</v>
      </c>
      <c r="I266" t="n">
        <v>0</v>
      </c>
      <c r="J266" t="n">
        <v>0</v>
      </c>
      <c r="K266" t="n">
        <v>0</v>
      </c>
      <c r="L266" t="n">
        <v>0</v>
      </c>
      <c r="M266" t="n">
        <v>0</v>
      </c>
      <c r="N266" t="n">
        <v>0</v>
      </c>
      <c r="O266" t="n">
        <v>0</v>
      </c>
      <c r="P266" t="n">
        <v>0</v>
      </c>
      <c r="Q266" t="n">
        <v>0</v>
      </c>
      <c r="R266" s="2" t="inlineStr"/>
    </row>
    <row r="267" ht="15" customHeight="1">
      <c r="A267" t="inlineStr">
        <is>
          <t>A 7670-2022</t>
        </is>
      </c>
      <c r="B267" s="1" t="n">
        <v>44607</v>
      </c>
      <c r="C267" s="1" t="n">
        <v>45357</v>
      </c>
      <c r="D267" t="inlineStr">
        <is>
          <t>VÄSTERNORRLANDS LÄN</t>
        </is>
      </c>
      <c r="E267" t="inlineStr">
        <is>
          <t>TIMRÅ</t>
        </is>
      </c>
      <c r="G267" t="n">
        <v>3.6</v>
      </c>
      <c r="H267" t="n">
        <v>0</v>
      </c>
      <c r="I267" t="n">
        <v>0</v>
      </c>
      <c r="J267" t="n">
        <v>0</v>
      </c>
      <c r="K267" t="n">
        <v>0</v>
      </c>
      <c r="L267" t="n">
        <v>0</v>
      </c>
      <c r="M267" t="n">
        <v>0</v>
      </c>
      <c r="N267" t="n">
        <v>0</v>
      </c>
      <c r="O267" t="n">
        <v>0</v>
      </c>
      <c r="P267" t="n">
        <v>0</v>
      </c>
      <c r="Q267" t="n">
        <v>0</v>
      </c>
      <c r="R267" s="2" t="inlineStr"/>
    </row>
    <row r="268" ht="15" customHeight="1">
      <c r="A268" t="inlineStr">
        <is>
          <t>A 7966-2022</t>
        </is>
      </c>
      <c r="B268" s="1" t="n">
        <v>44608</v>
      </c>
      <c r="C268" s="1" t="n">
        <v>45357</v>
      </c>
      <c r="D268" t="inlineStr">
        <is>
          <t>VÄSTERNORRLANDS LÄN</t>
        </is>
      </c>
      <c r="E268" t="inlineStr">
        <is>
          <t>TIMRÅ</t>
        </is>
      </c>
      <c r="F268" t="inlineStr">
        <is>
          <t>SCA</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8336-2022</t>
        </is>
      </c>
      <c r="B269" s="1" t="n">
        <v>44610</v>
      </c>
      <c r="C269" s="1" t="n">
        <v>45357</v>
      </c>
      <c r="D269" t="inlineStr">
        <is>
          <t>VÄSTERNORRLANDS LÄN</t>
        </is>
      </c>
      <c r="E269" t="inlineStr">
        <is>
          <t>TIMRÅ</t>
        </is>
      </c>
      <c r="F269" t="inlineStr">
        <is>
          <t>Kommuner</t>
        </is>
      </c>
      <c r="G269" t="n">
        <v>1.2</v>
      </c>
      <c r="H269" t="n">
        <v>0</v>
      </c>
      <c r="I269" t="n">
        <v>0</v>
      </c>
      <c r="J269" t="n">
        <v>0</v>
      </c>
      <c r="K269" t="n">
        <v>0</v>
      </c>
      <c r="L269" t="n">
        <v>0</v>
      </c>
      <c r="M269" t="n">
        <v>0</v>
      </c>
      <c r="N269" t="n">
        <v>0</v>
      </c>
      <c r="O269" t="n">
        <v>0</v>
      </c>
      <c r="P269" t="n">
        <v>0</v>
      </c>
      <c r="Q269" t="n">
        <v>0</v>
      </c>
      <c r="R269" s="2" t="inlineStr"/>
    </row>
    <row r="270" ht="15" customHeight="1">
      <c r="A270" t="inlineStr">
        <is>
          <t>A 9203-2022</t>
        </is>
      </c>
      <c r="B270" s="1" t="n">
        <v>44615</v>
      </c>
      <c r="C270" s="1" t="n">
        <v>45357</v>
      </c>
      <c r="D270" t="inlineStr">
        <is>
          <t>VÄSTERNORRLANDS LÄN</t>
        </is>
      </c>
      <c r="E270" t="inlineStr">
        <is>
          <t>TIMRÅ</t>
        </is>
      </c>
      <c r="G270" t="n">
        <v>5.5</v>
      </c>
      <c r="H270" t="n">
        <v>0</v>
      </c>
      <c r="I270" t="n">
        <v>0</v>
      </c>
      <c r="J270" t="n">
        <v>0</v>
      </c>
      <c r="K270" t="n">
        <v>0</v>
      </c>
      <c r="L270" t="n">
        <v>0</v>
      </c>
      <c r="M270" t="n">
        <v>0</v>
      </c>
      <c r="N270" t="n">
        <v>0</v>
      </c>
      <c r="O270" t="n">
        <v>0</v>
      </c>
      <c r="P270" t="n">
        <v>0</v>
      </c>
      <c r="Q270" t="n">
        <v>0</v>
      </c>
      <c r="R270" s="2" t="inlineStr"/>
    </row>
    <row r="271" ht="15" customHeight="1">
      <c r="A271" t="inlineStr">
        <is>
          <t>A 9202-2022</t>
        </is>
      </c>
      <c r="B271" s="1" t="n">
        <v>44615</v>
      </c>
      <c r="C271" s="1" t="n">
        <v>45357</v>
      </c>
      <c r="D271" t="inlineStr">
        <is>
          <t>VÄSTERNORRLANDS LÄN</t>
        </is>
      </c>
      <c r="E271" t="inlineStr">
        <is>
          <t>TIMRÅ</t>
        </is>
      </c>
      <c r="G271" t="n">
        <v>2.1</v>
      </c>
      <c r="H271" t="n">
        <v>0</v>
      </c>
      <c r="I271" t="n">
        <v>0</v>
      </c>
      <c r="J271" t="n">
        <v>0</v>
      </c>
      <c r="K271" t="n">
        <v>0</v>
      </c>
      <c r="L271" t="n">
        <v>0</v>
      </c>
      <c r="M271" t="n">
        <v>0</v>
      </c>
      <c r="N271" t="n">
        <v>0</v>
      </c>
      <c r="O271" t="n">
        <v>0</v>
      </c>
      <c r="P271" t="n">
        <v>0</v>
      </c>
      <c r="Q271" t="n">
        <v>0</v>
      </c>
      <c r="R271" s="2" t="inlineStr"/>
    </row>
    <row r="272" ht="15" customHeight="1">
      <c r="A272" t="inlineStr">
        <is>
          <t>A 9256-2022</t>
        </is>
      </c>
      <c r="B272" s="1" t="n">
        <v>44616</v>
      </c>
      <c r="C272" s="1" t="n">
        <v>45357</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9317-2022</t>
        </is>
      </c>
      <c r="B273" s="1" t="n">
        <v>44616</v>
      </c>
      <c r="C273" s="1" t="n">
        <v>45357</v>
      </c>
      <c r="D273" t="inlineStr">
        <is>
          <t>VÄSTERNORRLANDS LÄN</t>
        </is>
      </c>
      <c r="E273" t="inlineStr">
        <is>
          <t>TIMRÅ</t>
        </is>
      </c>
      <c r="G273" t="n">
        <v>1.1</v>
      </c>
      <c r="H273" t="n">
        <v>0</v>
      </c>
      <c r="I273" t="n">
        <v>0</v>
      </c>
      <c r="J273" t="n">
        <v>0</v>
      </c>
      <c r="K273" t="n">
        <v>0</v>
      </c>
      <c r="L273" t="n">
        <v>0</v>
      </c>
      <c r="M273" t="n">
        <v>0</v>
      </c>
      <c r="N273" t="n">
        <v>0</v>
      </c>
      <c r="O273" t="n">
        <v>0</v>
      </c>
      <c r="P273" t="n">
        <v>0</v>
      </c>
      <c r="Q273" t="n">
        <v>0</v>
      </c>
      <c r="R273" s="2" t="inlineStr"/>
    </row>
    <row r="274" ht="15" customHeight="1">
      <c r="A274" t="inlineStr">
        <is>
          <t>A 11269-2022</t>
        </is>
      </c>
      <c r="B274" s="1" t="n">
        <v>44629</v>
      </c>
      <c r="C274" s="1" t="n">
        <v>45357</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11479-2022</t>
        </is>
      </c>
      <c r="B275" s="1" t="n">
        <v>44630</v>
      </c>
      <c r="C275" s="1" t="n">
        <v>45357</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12205-2022</t>
        </is>
      </c>
      <c r="B276" s="1" t="n">
        <v>44636</v>
      </c>
      <c r="C276" s="1" t="n">
        <v>45357</v>
      </c>
      <c r="D276" t="inlineStr">
        <is>
          <t>VÄSTERNORRLANDS LÄN</t>
        </is>
      </c>
      <c r="E276" t="inlineStr">
        <is>
          <t>TIMRÅ</t>
        </is>
      </c>
      <c r="F276" t="inlineStr">
        <is>
          <t>SCA</t>
        </is>
      </c>
      <c r="G276" t="n">
        <v>4.1</v>
      </c>
      <c r="H276" t="n">
        <v>0</v>
      </c>
      <c r="I276" t="n">
        <v>0</v>
      </c>
      <c r="J276" t="n">
        <v>0</v>
      </c>
      <c r="K276" t="n">
        <v>0</v>
      </c>
      <c r="L276" t="n">
        <v>0</v>
      </c>
      <c r="M276" t="n">
        <v>0</v>
      </c>
      <c r="N276" t="n">
        <v>0</v>
      </c>
      <c r="O276" t="n">
        <v>0</v>
      </c>
      <c r="P276" t="n">
        <v>0</v>
      </c>
      <c r="Q276" t="n">
        <v>0</v>
      </c>
      <c r="R276" s="2" t="inlineStr"/>
    </row>
    <row r="277" ht="15" customHeight="1">
      <c r="A277" t="inlineStr">
        <is>
          <t>A 12782-2022</t>
        </is>
      </c>
      <c r="B277" s="1" t="n">
        <v>44641</v>
      </c>
      <c r="C277" s="1" t="n">
        <v>45357</v>
      </c>
      <c r="D277" t="inlineStr">
        <is>
          <t>VÄSTERNORRLANDS LÄN</t>
        </is>
      </c>
      <c r="E277" t="inlineStr">
        <is>
          <t>TIMRÅ</t>
        </is>
      </c>
      <c r="G277" t="n">
        <v>1</v>
      </c>
      <c r="H277" t="n">
        <v>0</v>
      </c>
      <c r="I277" t="n">
        <v>0</v>
      </c>
      <c r="J277" t="n">
        <v>0</v>
      </c>
      <c r="K277" t="n">
        <v>0</v>
      </c>
      <c r="L277" t="n">
        <v>0</v>
      </c>
      <c r="M277" t="n">
        <v>0</v>
      </c>
      <c r="N277" t="n">
        <v>0</v>
      </c>
      <c r="O277" t="n">
        <v>0</v>
      </c>
      <c r="P277" t="n">
        <v>0</v>
      </c>
      <c r="Q277" t="n">
        <v>0</v>
      </c>
      <c r="R277" s="2" t="inlineStr"/>
    </row>
    <row r="278" ht="15" customHeight="1">
      <c r="A278" t="inlineStr">
        <is>
          <t>A 12780-2022</t>
        </is>
      </c>
      <c r="B278" s="1" t="n">
        <v>44641</v>
      </c>
      <c r="C278" s="1" t="n">
        <v>45357</v>
      </c>
      <c r="D278" t="inlineStr">
        <is>
          <t>VÄSTERNORRLANDS LÄN</t>
        </is>
      </c>
      <c r="E278" t="inlineStr">
        <is>
          <t>TIMRÅ</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12779-2022</t>
        </is>
      </c>
      <c r="B279" s="1" t="n">
        <v>44641</v>
      </c>
      <c r="C279" s="1" t="n">
        <v>45357</v>
      </c>
      <c r="D279" t="inlineStr">
        <is>
          <t>VÄSTERNORRLANDS LÄN</t>
        </is>
      </c>
      <c r="E279" t="inlineStr">
        <is>
          <t>TIMRÅ</t>
        </is>
      </c>
      <c r="G279" t="n">
        <v>0.9</v>
      </c>
      <c r="H279" t="n">
        <v>0</v>
      </c>
      <c r="I279" t="n">
        <v>0</v>
      </c>
      <c r="J279" t="n">
        <v>0</v>
      </c>
      <c r="K279" t="n">
        <v>0</v>
      </c>
      <c r="L279" t="n">
        <v>0</v>
      </c>
      <c r="M279" t="n">
        <v>0</v>
      </c>
      <c r="N279" t="n">
        <v>0</v>
      </c>
      <c r="O279" t="n">
        <v>0</v>
      </c>
      <c r="P279" t="n">
        <v>0</v>
      </c>
      <c r="Q279" t="n">
        <v>0</v>
      </c>
      <c r="R279" s="2" t="inlineStr"/>
    </row>
    <row r="280" ht="15" customHeight="1">
      <c r="A280" t="inlineStr">
        <is>
          <t>A 12882-2022</t>
        </is>
      </c>
      <c r="B280" s="1" t="n">
        <v>44642</v>
      </c>
      <c r="C280" s="1" t="n">
        <v>45357</v>
      </c>
      <c r="D280" t="inlineStr">
        <is>
          <t>VÄSTERNORRLANDS LÄN</t>
        </is>
      </c>
      <c r="E280" t="inlineStr">
        <is>
          <t>TIMRÅ</t>
        </is>
      </c>
      <c r="G280" t="n">
        <v>0.4</v>
      </c>
      <c r="H280" t="n">
        <v>0</v>
      </c>
      <c r="I280" t="n">
        <v>0</v>
      </c>
      <c r="J280" t="n">
        <v>0</v>
      </c>
      <c r="K280" t="n">
        <v>0</v>
      </c>
      <c r="L280" t="n">
        <v>0</v>
      </c>
      <c r="M280" t="n">
        <v>0</v>
      </c>
      <c r="N280" t="n">
        <v>0</v>
      </c>
      <c r="O280" t="n">
        <v>0</v>
      </c>
      <c r="P280" t="n">
        <v>0</v>
      </c>
      <c r="Q280" t="n">
        <v>0</v>
      </c>
      <c r="R280" s="2" t="inlineStr"/>
    </row>
    <row r="281" ht="15" customHeight="1">
      <c r="A281" t="inlineStr">
        <is>
          <t>A 12880-2022</t>
        </is>
      </c>
      <c r="B281" s="1" t="n">
        <v>44642</v>
      </c>
      <c r="C281" s="1" t="n">
        <v>45357</v>
      </c>
      <c r="D281" t="inlineStr">
        <is>
          <t>VÄSTERNORRLANDS LÄN</t>
        </is>
      </c>
      <c r="E281" t="inlineStr">
        <is>
          <t>TIMRÅ</t>
        </is>
      </c>
      <c r="G281" t="n">
        <v>1.3</v>
      </c>
      <c r="H281" t="n">
        <v>0</v>
      </c>
      <c r="I281" t="n">
        <v>0</v>
      </c>
      <c r="J281" t="n">
        <v>0</v>
      </c>
      <c r="K281" t="n">
        <v>0</v>
      </c>
      <c r="L281" t="n">
        <v>0</v>
      </c>
      <c r="M281" t="n">
        <v>0</v>
      </c>
      <c r="N281" t="n">
        <v>0</v>
      </c>
      <c r="O281" t="n">
        <v>0</v>
      </c>
      <c r="P281" t="n">
        <v>0</v>
      </c>
      <c r="Q281" t="n">
        <v>0</v>
      </c>
      <c r="R281" s="2" t="inlineStr"/>
    </row>
    <row r="282" ht="15" customHeight="1">
      <c r="A282" t="inlineStr">
        <is>
          <t>A 12885-2022</t>
        </is>
      </c>
      <c r="B282" s="1" t="n">
        <v>44642</v>
      </c>
      <c r="C282" s="1" t="n">
        <v>45357</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14680-2022</t>
        </is>
      </c>
      <c r="B283" s="1" t="n">
        <v>44655</v>
      </c>
      <c r="C283" s="1" t="n">
        <v>45357</v>
      </c>
      <c r="D283" t="inlineStr">
        <is>
          <t>VÄSTERNORRLANDS LÄN</t>
        </is>
      </c>
      <c r="E283" t="inlineStr">
        <is>
          <t>TIMRÅ</t>
        </is>
      </c>
      <c r="G283" t="n">
        <v>8.9</v>
      </c>
      <c r="H283" t="n">
        <v>0</v>
      </c>
      <c r="I283" t="n">
        <v>0</v>
      </c>
      <c r="J283" t="n">
        <v>0</v>
      </c>
      <c r="K283" t="n">
        <v>0</v>
      </c>
      <c r="L283" t="n">
        <v>0</v>
      </c>
      <c r="M283" t="n">
        <v>0</v>
      </c>
      <c r="N283" t="n">
        <v>0</v>
      </c>
      <c r="O283" t="n">
        <v>0</v>
      </c>
      <c r="P283" t="n">
        <v>0</v>
      </c>
      <c r="Q283" t="n">
        <v>0</v>
      </c>
      <c r="R283" s="2" t="inlineStr"/>
    </row>
    <row r="284" ht="15" customHeight="1">
      <c r="A284" t="inlineStr">
        <is>
          <t>A 16519-2022</t>
        </is>
      </c>
      <c r="B284" s="1" t="n">
        <v>44672</v>
      </c>
      <c r="C284" s="1" t="n">
        <v>45357</v>
      </c>
      <c r="D284" t="inlineStr">
        <is>
          <t>VÄSTERNORRLANDS LÄN</t>
        </is>
      </c>
      <c r="E284" t="inlineStr">
        <is>
          <t>TIMRÅ</t>
        </is>
      </c>
      <c r="G284" t="n">
        <v>3</v>
      </c>
      <c r="H284" t="n">
        <v>0</v>
      </c>
      <c r="I284" t="n">
        <v>0</v>
      </c>
      <c r="J284" t="n">
        <v>0</v>
      </c>
      <c r="K284" t="n">
        <v>0</v>
      </c>
      <c r="L284" t="n">
        <v>0</v>
      </c>
      <c r="M284" t="n">
        <v>0</v>
      </c>
      <c r="N284" t="n">
        <v>0</v>
      </c>
      <c r="O284" t="n">
        <v>0</v>
      </c>
      <c r="P284" t="n">
        <v>0</v>
      </c>
      <c r="Q284" t="n">
        <v>0</v>
      </c>
      <c r="R284" s="2" t="inlineStr"/>
    </row>
    <row r="285" ht="15" customHeight="1">
      <c r="A285" t="inlineStr">
        <is>
          <t>A 17040-2022</t>
        </is>
      </c>
      <c r="B285" s="1" t="n">
        <v>44676</v>
      </c>
      <c r="C285" s="1" t="n">
        <v>45357</v>
      </c>
      <c r="D285" t="inlineStr">
        <is>
          <t>VÄSTERNORRLANDS LÄN</t>
        </is>
      </c>
      <c r="E285" t="inlineStr">
        <is>
          <t>TIMRÅ</t>
        </is>
      </c>
      <c r="G285" t="n">
        <v>3.5</v>
      </c>
      <c r="H285" t="n">
        <v>0</v>
      </c>
      <c r="I285" t="n">
        <v>0</v>
      </c>
      <c r="J285" t="n">
        <v>0</v>
      </c>
      <c r="K285" t="n">
        <v>0</v>
      </c>
      <c r="L285" t="n">
        <v>0</v>
      </c>
      <c r="M285" t="n">
        <v>0</v>
      </c>
      <c r="N285" t="n">
        <v>0</v>
      </c>
      <c r="O285" t="n">
        <v>0</v>
      </c>
      <c r="P285" t="n">
        <v>0</v>
      </c>
      <c r="Q285" t="n">
        <v>0</v>
      </c>
      <c r="R285" s="2" t="inlineStr"/>
    </row>
    <row r="286" ht="15" customHeight="1">
      <c r="A286" t="inlineStr">
        <is>
          <t>A 22194-2022</t>
        </is>
      </c>
      <c r="B286" s="1" t="n">
        <v>44712</v>
      </c>
      <c r="C286" s="1" t="n">
        <v>45357</v>
      </c>
      <c r="D286" t="inlineStr">
        <is>
          <t>VÄSTERNORRLANDS LÄN</t>
        </is>
      </c>
      <c r="E286" t="inlineStr">
        <is>
          <t>TIMRÅ</t>
        </is>
      </c>
      <c r="G286" t="n">
        <v>0.9</v>
      </c>
      <c r="H286" t="n">
        <v>0</v>
      </c>
      <c r="I286" t="n">
        <v>0</v>
      </c>
      <c r="J286" t="n">
        <v>0</v>
      </c>
      <c r="K286" t="n">
        <v>0</v>
      </c>
      <c r="L286" t="n">
        <v>0</v>
      </c>
      <c r="M286" t="n">
        <v>0</v>
      </c>
      <c r="N286" t="n">
        <v>0</v>
      </c>
      <c r="O286" t="n">
        <v>0</v>
      </c>
      <c r="P286" t="n">
        <v>0</v>
      </c>
      <c r="Q286" t="n">
        <v>0</v>
      </c>
      <c r="R286" s="2" t="inlineStr"/>
    </row>
    <row r="287" ht="15" customHeight="1">
      <c r="A287" t="inlineStr">
        <is>
          <t>A 23670-2022</t>
        </is>
      </c>
      <c r="B287" s="1" t="n">
        <v>44722</v>
      </c>
      <c r="C287" s="1" t="n">
        <v>45357</v>
      </c>
      <c r="D287" t="inlineStr">
        <is>
          <t>VÄSTERNORRLANDS LÄN</t>
        </is>
      </c>
      <c r="E287" t="inlineStr">
        <is>
          <t>TIMRÅ</t>
        </is>
      </c>
      <c r="G287" t="n">
        <v>4.9</v>
      </c>
      <c r="H287" t="n">
        <v>0</v>
      </c>
      <c r="I287" t="n">
        <v>0</v>
      </c>
      <c r="J287" t="n">
        <v>0</v>
      </c>
      <c r="K287" t="n">
        <v>0</v>
      </c>
      <c r="L287" t="n">
        <v>0</v>
      </c>
      <c r="M287" t="n">
        <v>0</v>
      </c>
      <c r="N287" t="n">
        <v>0</v>
      </c>
      <c r="O287" t="n">
        <v>0</v>
      </c>
      <c r="P287" t="n">
        <v>0</v>
      </c>
      <c r="Q287" t="n">
        <v>0</v>
      </c>
      <c r="R287" s="2" t="inlineStr"/>
    </row>
    <row r="288" ht="15" customHeight="1">
      <c r="A288" t="inlineStr">
        <is>
          <t>A 23693-2022</t>
        </is>
      </c>
      <c r="B288" s="1" t="n">
        <v>44721</v>
      </c>
      <c r="C288" s="1" t="n">
        <v>45357</v>
      </c>
      <c r="D288" t="inlineStr">
        <is>
          <t>VÄSTERNORRLANDS LÄN</t>
        </is>
      </c>
      <c r="E288" t="inlineStr">
        <is>
          <t>TIMRÅ</t>
        </is>
      </c>
      <c r="F288" t="inlineStr">
        <is>
          <t>SCA</t>
        </is>
      </c>
      <c r="G288" t="n">
        <v>5</v>
      </c>
      <c r="H288" t="n">
        <v>0</v>
      </c>
      <c r="I288" t="n">
        <v>0</v>
      </c>
      <c r="J288" t="n">
        <v>0</v>
      </c>
      <c r="K288" t="n">
        <v>0</v>
      </c>
      <c r="L288" t="n">
        <v>0</v>
      </c>
      <c r="M288" t="n">
        <v>0</v>
      </c>
      <c r="N288" t="n">
        <v>0</v>
      </c>
      <c r="O288" t="n">
        <v>0</v>
      </c>
      <c r="P288" t="n">
        <v>0</v>
      </c>
      <c r="Q288" t="n">
        <v>0</v>
      </c>
      <c r="R288" s="2" t="inlineStr"/>
    </row>
    <row r="289" ht="15" customHeight="1">
      <c r="A289" t="inlineStr">
        <is>
          <t>A 23676-2022</t>
        </is>
      </c>
      <c r="B289" s="1" t="n">
        <v>44721</v>
      </c>
      <c r="C289" s="1" t="n">
        <v>45357</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24304-2022</t>
        </is>
      </c>
      <c r="B290" s="1" t="n">
        <v>44725</v>
      </c>
      <c r="C290" s="1" t="n">
        <v>45357</v>
      </c>
      <c r="D290" t="inlineStr">
        <is>
          <t>VÄSTERNORRLANDS LÄN</t>
        </is>
      </c>
      <c r="E290" t="inlineStr">
        <is>
          <t>TIMRÅ</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24306-2022</t>
        </is>
      </c>
      <c r="B291" s="1" t="n">
        <v>44726</v>
      </c>
      <c r="C291" s="1" t="n">
        <v>45357</v>
      </c>
      <c r="D291" t="inlineStr">
        <is>
          <t>VÄSTERNORRLANDS LÄN</t>
        </is>
      </c>
      <c r="E291" t="inlineStr">
        <is>
          <t>TIMRÅ</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24305-2022</t>
        </is>
      </c>
      <c r="B292" s="1" t="n">
        <v>44726</v>
      </c>
      <c r="C292" s="1" t="n">
        <v>45357</v>
      </c>
      <c r="D292" t="inlineStr">
        <is>
          <t>VÄSTERNORRLANDS LÄN</t>
        </is>
      </c>
      <c r="E292" t="inlineStr">
        <is>
          <t>TIMRÅ</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24988-2022</t>
        </is>
      </c>
      <c r="B293" s="1" t="n">
        <v>44728</v>
      </c>
      <c r="C293" s="1" t="n">
        <v>45357</v>
      </c>
      <c r="D293" t="inlineStr">
        <is>
          <t>VÄSTERNORRLANDS LÄN</t>
        </is>
      </c>
      <c r="E293" t="inlineStr">
        <is>
          <t>TIMRÅ</t>
        </is>
      </c>
      <c r="G293" t="n">
        <v>1.7</v>
      </c>
      <c r="H293" t="n">
        <v>0</v>
      </c>
      <c r="I293" t="n">
        <v>0</v>
      </c>
      <c r="J293" t="n">
        <v>0</v>
      </c>
      <c r="K293" t="n">
        <v>0</v>
      </c>
      <c r="L293" t="n">
        <v>0</v>
      </c>
      <c r="M293" t="n">
        <v>0</v>
      </c>
      <c r="N293" t="n">
        <v>0</v>
      </c>
      <c r="O293" t="n">
        <v>0</v>
      </c>
      <c r="P293" t="n">
        <v>0</v>
      </c>
      <c r="Q293" t="n">
        <v>0</v>
      </c>
      <c r="R293" s="2" t="inlineStr"/>
    </row>
    <row r="294" ht="15" customHeight="1">
      <c r="A294" t="inlineStr">
        <is>
          <t>A 25414-2022</t>
        </is>
      </c>
      <c r="B294" s="1" t="n">
        <v>44732</v>
      </c>
      <c r="C294" s="1" t="n">
        <v>45357</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25644-2022</t>
        </is>
      </c>
      <c r="B295" s="1" t="n">
        <v>44732</v>
      </c>
      <c r="C295" s="1" t="n">
        <v>45357</v>
      </c>
      <c r="D295" t="inlineStr">
        <is>
          <t>VÄSTERNORRLANDS LÄN</t>
        </is>
      </c>
      <c r="E295" t="inlineStr">
        <is>
          <t>TIMRÅ</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29308-2022</t>
        </is>
      </c>
      <c r="B296" s="1" t="n">
        <v>44750</v>
      </c>
      <c r="C296" s="1" t="n">
        <v>45357</v>
      </c>
      <c r="D296" t="inlineStr">
        <is>
          <t>VÄSTERNORRLANDS LÄN</t>
        </is>
      </c>
      <c r="E296" t="inlineStr">
        <is>
          <t>TIMRÅ</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29306-2022</t>
        </is>
      </c>
      <c r="B297" s="1" t="n">
        <v>44751</v>
      </c>
      <c r="C297" s="1" t="n">
        <v>45357</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31489-2022</t>
        </is>
      </c>
      <c r="B298" s="1" t="n">
        <v>44774</v>
      </c>
      <c r="C298" s="1" t="n">
        <v>45357</v>
      </c>
      <c r="D298" t="inlineStr">
        <is>
          <t>VÄSTERNORRLANDS LÄN</t>
        </is>
      </c>
      <c r="E298" t="inlineStr">
        <is>
          <t>TIMRÅ</t>
        </is>
      </c>
      <c r="F298" t="inlineStr">
        <is>
          <t>SCA</t>
        </is>
      </c>
      <c r="G298" t="n">
        <v>5.6</v>
      </c>
      <c r="H298" t="n">
        <v>0</v>
      </c>
      <c r="I298" t="n">
        <v>0</v>
      </c>
      <c r="J298" t="n">
        <v>0</v>
      </c>
      <c r="K298" t="n">
        <v>0</v>
      </c>
      <c r="L298" t="n">
        <v>0</v>
      </c>
      <c r="M298" t="n">
        <v>0</v>
      </c>
      <c r="N298" t="n">
        <v>0</v>
      </c>
      <c r="O298" t="n">
        <v>0</v>
      </c>
      <c r="P298" t="n">
        <v>0</v>
      </c>
      <c r="Q298" t="n">
        <v>0</v>
      </c>
      <c r="R298" s="2" t="inlineStr"/>
    </row>
    <row r="299" ht="15" customHeight="1">
      <c r="A299" t="inlineStr">
        <is>
          <t>A 31981-2022</t>
        </is>
      </c>
      <c r="B299" s="1" t="n">
        <v>44778</v>
      </c>
      <c r="C299" s="1" t="n">
        <v>45357</v>
      </c>
      <c r="D299" t="inlineStr">
        <is>
          <t>VÄSTERNORRLANDS LÄN</t>
        </is>
      </c>
      <c r="E299" t="inlineStr">
        <is>
          <t>TIMRÅ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32519-2022</t>
        </is>
      </c>
      <c r="B300" s="1" t="n">
        <v>44782</v>
      </c>
      <c r="C300" s="1" t="n">
        <v>45357</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33719-2022</t>
        </is>
      </c>
      <c r="B301" s="1" t="n">
        <v>44790</v>
      </c>
      <c r="C301" s="1" t="n">
        <v>45357</v>
      </c>
      <c r="D301" t="inlineStr">
        <is>
          <t>VÄSTERNORRLANDS LÄN</t>
        </is>
      </c>
      <c r="E301" t="inlineStr">
        <is>
          <t>TIMRÅ</t>
        </is>
      </c>
      <c r="G301" t="n">
        <v>2.3</v>
      </c>
      <c r="H301" t="n">
        <v>0</v>
      </c>
      <c r="I301" t="n">
        <v>0</v>
      </c>
      <c r="J301" t="n">
        <v>0</v>
      </c>
      <c r="K301" t="n">
        <v>0</v>
      </c>
      <c r="L301" t="n">
        <v>0</v>
      </c>
      <c r="M301" t="n">
        <v>0</v>
      </c>
      <c r="N301" t="n">
        <v>0</v>
      </c>
      <c r="O301" t="n">
        <v>0</v>
      </c>
      <c r="P301" t="n">
        <v>0</v>
      </c>
      <c r="Q301" t="n">
        <v>0</v>
      </c>
      <c r="R301" s="2" t="inlineStr"/>
    </row>
    <row r="302" ht="15" customHeight="1">
      <c r="A302" t="inlineStr">
        <is>
          <t>A 34041-2022</t>
        </is>
      </c>
      <c r="B302" s="1" t="n">
        <v>44790</v>
      </c>
      <c r="C302" s="1" t="n">
        <v>45357</v>
      </c>
      <c r="D302" t="inlineStr">
        <is>
          <t>VÄSTERNORRLANDS LÄN</t>
        </is>
      </c>
      <c r="E302" t="inlineStr">
        <is>
          <t>TIMRÅ</t>
        </is>
      </c>
      <c r="G302" t="n">
        <v>1.8</v>
      </c>
      <c r="H302" t="n">
        <v>0</v>
      </c>
      <c r="I302" t="n">
        <v>0</v>
      </c>
      <c r="J302" t="n">
        <v>0</v>
      </c>
      <c r="K302" t="n">
        <v>0</v>
      </c>
      <c r="L302" t="n">
        <v>0</v>
      </c>
      <c r="M302" t="n">
        <v>0</v>
      </c>
      <c r="N302" t="n">
        <v>0</v>
      </c>
      <c r="O302" t="n">
        <v>0</v>
      </c>
      <c r="P302" t="n">
        <v>0</v>
      </c>
      <c r="Q302" t="n">
        <v>0</v>
      </c>
      <c r="R302" s="2" t="inlineStr"/>
    </row>
    <row r="303" ht="15" customHeight="1">
      <c r="A303" t="inlineStr">
        <is>
          <t>A 34053-2022</t>
        </is>
      </c>
      <c r="B303" s="1" t="n">
        <v>44790</v>
      </c>
      <c r="C303" s="1" t="n">
        <v>45357</v>
      </c>
      <c r="D303" t="inlineStr">
        <is>
          <t>VÄSTERNORRLANDS LÄN</t>
        </is>
      </c>
      <c r="E303" t="inlineStr">
        <is>
          <t>TIMRÅ</t>
        </is>
      </c>
      <c r="G303" t="n">
        <v>1</v>
      </c>
      <c r="H303" t="n">
        <v>0</v>
      </c>
      <c r="I303" t="n">
        <v>0</v>
      </c>
      <c r="J303" t="n">
        <v>0</v>
      </c>
      <c r="K303" t="n">
        <v>0</v>
      </c>
      <c r="L303" t="n">
        <v>0</v>
      </c>
      <c r="M303" t="n">
        <v>0</v>
      </c>
      <c r="N303" t="n">
        <v>0</v>
      </c>
      <c r="O303" t="n">
        <v>0</v>
      </c>
      <c r="P303" t="n">
        <v>0</v>
      </c>
      <c r="Q303" t="n">
        <v>0</v>
      </c>
      <c r="R303" s="2" t="inlineStr"/>
    </row>
    <row r="304" ht="15" customHeight="1">
      <c r="A304" t="inlineStr">
        <is>
          <t>A 34038-2022</t>
        </is>
      </c>
      <c r="B304" s="1" t="n">
        <v>44791</v>
      </c>
      <c r="C304" s="1" t="n">
        <v>45357</v>
      </c>
      <c r="D304" t="inlineStr">
        <is>
          <t>VÄSTERNORRLANDS LÄN</t>
        </is>
      </c>
      <c r="E304" t="inlineStr">
        <is>
          <t>TIMRÅ</t>
        </is>
      </c>
      <c r="G304" t="n">
        <v>2.5</v>
      </c>
      <c r="H304" t="n">
        <v>0</v>
      </c>
      <c r="I304" t="n">
        <v>0</v>
      </c>
      <c r="J304" t="n">
        <v>0</v>
      </c>
      <c r="K304" t="n">
        <v>0</v>
      </c>
      <c r="L304" t="n">
        <v>0</v>
      </c>
      <c r="M304" t="n">
        <v>0</v>
      </c>
      <c r="N304" t="n">
        <v>0</v>
      </c>
      <c r="O304" t="n">
        <v>0</v>
      </c>
      <c r="P304" t="n">
        <v>0</v>
      </c>
      <c r="Q304" t="n">
        <v>0</v>
      </c>
      <c r="R304" s="2" t="inlineStr"/>
    </row>
    <row r="305" ht="15" customHeight="1">
      <c r="A305" t="inlineStr">
        <is>
          <t>A 34099-2022</t>
        </is>
      </c>
      <c r="B305" s="1" t="n">
        <v>44791</v>
      </c>
      <c r="C305" s="1" t="n">
        <v>45357</v>
      </c>
      <c r="D305" t="inlineStr">
        <is>
          <t>VÄSTERNORRLANDS LÄN</t>
        </is>
      </c>
      <c r="E305" t="inlineStr">
        <is>
          <t>TIMRÅ</t>
        </is>
      </c>
      <c r="G305" t="n">
        <v>2.7</v>
      </c>
      <c r="H305" t="n">
        <v>0</v>
      </c>
      <c r="I305" t="n">
        <v>0</v>
      </c>
      <c r="J305" t="n">
        <v>0</v>
      </c>
      <c r="K305" t="n">
        <v>0</v>
      </c>
      <c r="L305" t="n">
        <v>0</v>
      </c>
      <c r="M305" t="n">
        <v>0</v>
      </c>
      <c r="N305" t="n">
        <v>0</v>
      </c>
      <c r="O305" t="n">
        <v>0</v>
      </c>
      <c r="P305" t="n">
        <v>0</v>
      </c>
      <c r="Q305" t="n">
        <v>0</v>
      </c>
      <c r="R305" s="2" t="inlineStr"/>
    </row>
    <row r="306" ht="15" customHeight="1">
      <c r="A306" t="inlineStr">
        <is>
          <t>A 34246-2022</t>
        </is>
      </c>
      <c r="B306" s="1" t="n">
        <v>44791</v>
      </c>
      <c r="C306" s="1" t="n">
        <v>45357</v>
      </c>
      <c r="D306" t="inlineStr">
        <is>
          <t>VÄSTERNORRLANDS LÄN</t>
        </is>
      </c>
      <c r="E306" t="inlineStr">
        <is>
          <t>TIMRÅ</t>
        </is>
      </c>
      <c r="G306" t="n">
        <v>7.7</v>
      </c>
      <c r="H306" t="n">
        <v>0</v>
      </c>
      <c r="I306" t="n">
        <v>0</v>
      </c>
      <c r="J306" t="n">
        <v>0</v>
      </c>
      <c r="K306" t="n">
        <v>0</v>
      </c>
      <c r="L306" t="n">
        <v>0</v>
      </c>
      <c r="M306" t="n">
        <v>0</v>
      </c>
      <c r="N306" t="n">
        <v>0</v>
      </c>
      <c r="O306" t="n">
        <v>0</v>
      </c>
      <c r="P306" t="n">
        <v>0</v>
      </c>
      <c r="Q306" t="n">
        <v>0</v>
      </c>
      <c r="R306" s="2" t="inlineStr"/>
    </row>
    <row r="307" ht="15" customHeight="1">
      <c r="A307" t="inlineStr">
        <is>
          <t>A 35477-2022</t>
        </is>
      </c>
      <c r="B307" s="1" t="n">
        <v>44799</v>
      </c>
      <c r="C307" s="1" t="n">
        <v>45357</v>
      </c>
      <c r="D307" t="inlineStr">
        <is>
          <t>VÄSTERNORRLANDS LÄN</t>
        </is>
      </c>
      <c r="E307" t="inlineStr">
        <is>
          <t>TIMRÅ</t>
        </is>
      </c>
      <c r="G307" t="n">
        <v>1</v>
      </c>
      <c r="H307" t="n">
        <v>0</v>
      </c>
      <c r="I307" t="n">
        <v>0</v>
      </c>
      <c r="J307" t="n">
        <v>0</v>
      </c>
      <c r="K307" t="n">
        <v>0</v>
      </c>
      <c r="L307" t="n">
        <v>0</v>
      </c>
      <c r="M307" t="n">
        <v>0</v>
      </c>
      <c r="N307" t="n">
        <v>0</v>
      </c>
      <c r="O307" t="n">
        <v>0</v>
      </c>
      <c r="P307" t="n">
        <v>0</v>
      </c>
      <c r="Q307" t="n">
        <v>0</v>
      </c>
      <c r="R307" s="2" t="inlineStr"/>
    </row>
    <row r="308" ht="15" customHeight="1">
      <c r="A308" t="inlineStr">
        <is>
          <t>A 35448-2022</t>
        </is>
      </c>
      <c r="B308" s="1" t="n">
        <v>44798</v>
      </c>
      <c r="C308" s="1" t="n">
        <v>45357</v>
      </c>
      <c r="D308" t="inlineStr">
        <is>
          <t>VÄSTERNORRLANDS LÄN</t>
        </is>
      </c>
      <c r="E308" t="inlineStr">
        <is>
          <t>TIMRÅ</t>
        </is>
      </c>
      <c r="G308" t="n">
        <v>2.8</v>
      </c>
      <c r="H308" t="n">
        <v>0</v>
      </c>
      <c r="I308" t="n">
        <v>0</v>
      </c>
      <c r="J308" t="n">
        <v>0</v>
      </c>
      <c r="K308" t="n">
        <v>0</v>
      </c>
      <c r="L308" t="n">
        <v>0</v>
      </c>
      <c r="M308" t="n">
        <v>0</v>
      </c>
      <c r="N308" t="n">
        <v>0</v>
      </c>
      <c r="O308" t="n">
        <v>0</v>
      </c>
      <c r="P308" t="n">
        <v>0</v>
      </c>
      <c r="Q308" t="n">
        <v>0</v>
      </c>
      <c r="R308" s="2" t="inlineStr"/>
    </row>
    <row r="309" ht="15" customHeight="1">
      <c r="A309" t="inlineStr">
        <is>
          <t>A 35758-2022</t>
        </is>
      </c>
      <c r="B309" s="1" t="n">
        <v>44799</v>
      </c>
      <c r="C309" s="1" t="n">
        <v>45357</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36564-2022</t>
        </is>
      </c>
      <c r="B310" s="1" t="n">
        <v>44804</v>
      </c>
      <c r="C310" s="1" t="n">
        <v>45357</v>
      </c>
      <c r="D310" t="inlineStr">
        <is>
          <t>VÄSTERNORRLANDS LÄN</t>
        </is>
      </c>
      <c r="E310" t="inlineStr">
        <is>
          <t>TIMRÅ</t>
        </is>
      </c>
      <c r="G310" t="n">
        <v>16.6</v>
      </c>
      <c r="H310" t="n">
        <v>0</v>
      </c>
      <c r="I310" t="n">
        <v>0</v>
      </c>
      <c r="J310" t="n">
        <v>0</v>
      </c>
      <c r="K310" t="n">
        <v>0</v>
      </c>
      <c r="L310" t="n">
        <v>0</v>
      </c>
      <c r="M310" t="n">
        <v>0</v>
      </c>
      <c r="N310" t="n">
        <v>0</v>
      </c>
      <c r="O310" t="n">
        <v>0</v>
      </c>
      <c r="P310" t="n">
        <v>0</v>
      </c>
      <c r="Q310" t="n">
        <v>0</v>
      </c>
      <c r="R310" s="2" t="inlineStr"/>
    </row>
    <row r="311" ht="15" customHeight="1">
      <c r="A311" t="inlineStr">
        <is>
          <t>A 38445-2022</t>
        </is>
      </c>
      <c r="B311" s="1" t="n">
        <v>44813</v>
      </c>
      <c r="C311" s="1" t="n">
        <v>45357</v>
      </c>
      <c r="D311" t="inlineStr">
        <is>
          <t>VÄSTERNORRLANDS LÄN</t>
        </is>
      </c>
      <c r="E311" t="inlineStr">
        <is>
          <t>TIMRÅ</t>
        </is>
      </c>
      <c r="G311" t="n">
        <v>0.7</v>
      </c>
      <c r="H311" t="n">
        <v>0</v>
      </c>
      <c r="I311" t="n">
        <v>0</v>
      </c>
      <c r="J311" t="n">
        <v>0</v>
      </c>
      <c r="K311" t="n">
        <v>0</v>
      </c>
      <c r="L311" t="n">
        <v>0</v>
      </c>
      <c r="M311" t="n">
        <v>0</v>
      </c>
      <c r="N311" t="n">
        <v>0</v>
      </c>
      <c r="O311" t="n">
        <v>0</v>
      </c>
      <c r="P311" t="n">
        <v>0</v>
      </c>
      <c r="Q311" t="n">
        <v>0</v>
      </c>
      <c r="R311" s="2" t="inlineStr"/>
    </row>
    <row r="312" ht="15" customHeight="1">
      <c r="A312" t="inlineStr">
        <is>
          <t>A 39108-2022</t>
        </is>
      </c>
      <c r="B312" s="1" t="n">
        <v>44817</v>
      </c>
      <c r="C312" s="1" t="n">
        <v>45357</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39691-2022</t>
        </is>
      </c>
      <c r="B313" s="1" t="n">
        <v>44819</v>
      </c>
      <c r="C313" s="1" t="n">
        <v>45357</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40270-2022</t>
        </is>
      </c>
      <c r="B314" s="1" t="n">
        <v>44821</v>
      </c>
      <c r="C314" s="1" t="n">
        <v>45357</v>
      </c>
      <c r="D314" t="inlineStr">
        <is>
          <t>VÄSTERNORRLANDS LÄN</t>
        </is>
      </c>
      <c r="E314" t="inlineStr">
        <is>
          <t>TIMRÅ</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41465-2022</t>
        </is>
      </c>
      <c r="B315" s="1" t="n">
        <v>44827</v>
      </c>
      <c r="C315" s="1" t="n">
        <v>45357</v>
      </c>
      <c r="D315" t="inlineStr">
        <is>
          <t>VÄSTERNORRLANDS LÄN</t>
        </is>
      </c>
      <c r="E315" t="inlineStr">
        <is>
          <t>TIMRÅ</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41457-2022</t>
        </is>
      </c>
      <c r="B316" s="1" t="n">
        <v>44826</v>
      </c>
      <c r="C316" s="1" t="n">
        <v>45357</v>
      </c>
      <c r="D316" t="inlineStr">
        <is>
          <t>VÄSTERNORRLANDS LÄN</t>
        </is>
      </c>
      <c r="E316" t="inlineStr">
        <is>
          <t>TIMRÅ</t>
        </is>
      </c>
      <c r="G316" t="n">
        <v>2.9</v>
      </c>
      <c r="H316" t="n">
        <v>0</v>
      </c>
      <c r="I316" t="n">
        <v>0</v>
      </c>
      <c r="J316" t="n">
        <v>0</v>
      </c>
      <c r="K316" t="n">
        <v>0</v>
      </c>
      <c r="L316" t="n">
        <v>0</v>
      </c>
      <c r="M316" t="n">
        <v>0</v>
      </c>
      <c r="N316" t="n">
        <v>0</v>
      </c>
      <c r="O316" t="n">
        <v>0</v>
      </c>
      <c r="P316" t="n">
        <v>0</v>
      </c>
      <c r="Q316" t="n">
        <v>0</v>
      </c>
      <c r="R316" s="2" t="inlineStr"/>
    </row>
    <row r="317" ht="15" customHeight="1">
      <c r="A317" t="inlineStr">
        <is>
          <t>A 42281-2022</t>
        </is>
      </c>
      <c r="B317" s="1" t="n">
        <v>44830</v>
      </c>
      <c r="C317" s="1" t="n">
        <v>45357</v>
      </c>
      <c r="D317" t="inlineStr">
        <is>
          <t>VÄSTERNORRLANDS LÄN</t>
        </is>
      </c>
      <c r="E317" t="inlineStr">
        <is>
          <t>TIMRÅ</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43233-2022</t>
        </is>
      </c>
      <c r="B318" s="1" t="n">
        <v>44833</v>
      </c>
      <c r="C318" s="1" t="n">
        <v>45357</v>
      </c>
      <c r="D318" t="inlineStr">
        <is>
          <t>VÄSTERNORRLANDS LÄN</t>
        </is>
      </c>
      <c r="E318" t="inlineStr">
        <is>
          <t>TIMRÅ</t>
        </is>
      </c>
      <c r="G318" t="n">
        <v>1.7</v>
      </c>
      <c r="H318" t="n">
        <v>0</v>
      </c>
      <c r="I318" t="n">
        <v>0</v>
      </c>
      <c r="J318" t="n">
        <v>0</v>
      </c>
      <c r="K318" t="n">
        <v>0</v>
      </c>
      <c r="L318" t="n">
        <v>0</v>
      </c>
      <c r="M318" t="n">
        <v>0</v>
      </c>
      <c r="N318" t="n">
        <v>0</v>
      </c>
      <c r="O318" t="n">
        <v>0</v>
      </c>
      <c r="P318" t="n">
        <v>0</v>
      </c>
      <c r="Q318" t="n">
        <v>0</v>
      </c>
      <c r="R318" s="2" t="inlineStr"/>
    </row>
    <row r="319" ht="15" customHeight="1">
      <c r="A319" t="inlineStr">
        <is>
          <t>A 43135-2022</t>
        </is>
      </c>
      <c r="B319" s="1" t="n">
        <v>44833</v>
      </c>
      <c r="C319" s="1" t="n">
        <v>45357</v>
      </c>
      <c r="D319" t="inlineStr">
        <is>
          <t>VÄSTERNORRLANDS LÄN</t>
        </is>
      </c>
      <c r="E319" t="inlineStr">
        <is>
          <t>TIMRÅ</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43162-2022</t>
        </is>
      </c>
      <c r="B320" s="1" t="n">
        <v>44834</v>
      </c>
      <c r="C320" s="1" t="n">
        <v>45357</v>
      </c>
      <c r="D320" t="inlineStr">
        <is>
          <t>VÄSTERNORRLANDS LÄN</t>
        </is>
      </c>
      <c r="E320" t="inlineStr">
        <is>
          <t>TIMRÅ</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43237-2022</t>
        </is>
      </c>
      <c r="B321" s="1" t="n">
        <v>44833</v>
      </c>
      <c r="C321" s="1" t="n">
        <v>45357</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44432-2022</t>
        </is>
      </c>
      <c r="B322" s="1" t="n">
        <v>44839</v>
      </c>
      <c r="C322" s="1" t="n">
        <v>45357</v>
      </c>
      <c r="D322" t="inlineStr">
        <is>
          <t>VÄSTERNORRLANDS LÄN</t>
        </is>
      </c>
      <c r="E322" t="inlineStr">
        <is>
          <t>TIMRÅ</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44759-2022</t>
        </is>
      </c>
      <c r="B323" s="1" t="n">
        <v>44840</v>
      </c>
      <c r="C323" s="1" t="n">
        <v>45357</v>
      </c>
      <c r="D323" t="inlineStr">
        <is>
          <t>VÄSTERNORRLANDS LÄN</t>
        </is>
      </c>
      <c r="E323" t="inlineStr">
        <is>
          <t>TIMRÅ</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45688-2022</t>
        </is>
      </c>
      <c r="B324" s="1" t="n">
        <v>44845</v>
      </c>
      <c r="C324" s="1" t="n">
        <v>45357</v>
      </c>
      <c r="D324" t="inlineStr">
        <is>
          <t>VÄSTERNORRLANDS LÄN</t>
        </is>
      </c>
      <c r="E324" t="inlineStr">
        <is>
          <t>TIMRÅ</t>
        </is>
      </c>
      <c r="G324" t="n">
        <v>1.1</v>
      </c>
      <c r="H324" t="n">
        <v>0</v>
      </c>
      <c r="I324" t="n">
        <v>0</v>
      </c>
      <c r="J324" t="n">
        <v>0</v>
      </c>
      <c r="K324" t="n">
        <v>0</v>
      </c>
      <c r="L324" t="n">
        <v>0</v>
      </c>
      <c r="M324" t="n">
        <v>0</v>
      </c>
      <c r="N324" t="n">
        <v>0</v>
      </c>
      <c r="O324" t="n">
        <v>0</v>
      </c>
      <c r="P324" t="n">
        <v>0</v>
      </c>
      <c r="Q324" t="n">
        <v>0</v>
      </c>
      <c r="R324" s="2" t="inlineStr"/>
    </row>
    <row r="325" ht="15" customHeight="1">
      <c r="A325" t="inlineStr">
        <is>
          <t>A 45695-2022</t>
        </is>
      </c>
      <c r="B325" s="1" t="n">
        <v>44846</v>
      </c>
      <c r="C325" s="1" t="n">
        <v>45357</v>
      </c>
      <c r="D325" t="inlineStr">
        <is>
          <t>VÄSTERNORRLANDS LÄN</t>
        </is>
      </c>
      <c r="E325" t="inlineStr">
        <is>
          <t>TIMRÅ</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46021-2022</t>
        </is>
      </c>
      <c r="B326" s="1" t="n">
        <v>44846</v>
      </c>
      <c r="C326" s="1" t="n">
        <v>45357</v>
      </c>
      <c r="D326" t="inlineStr">
        <is>
          <t>VÄSTERNORRLANDS LÄN</t>
        </is>
      </c>
      <c r="E326" t="inlineStr">
        <is>
          <t>TIMRÅ</t>
        </is>
      </c>
      <c r="F326" t="inlineStr">
        <is>
          <t>Kyrkan</t>
        </is>
      </c>
      <c r="G326" t="n">
        <v>18</v>
      </c>
      <c r="H326" t="n">
        <v>0</v>
      </c>
      <c r="I326" t="n">
        <v>0</v>
      </c>
      <c r="J326" t="n">
        <v>0</v>
      </c>
      <c r="K326" t="n">
        <v>0</v>
      </c>
      <c r="L326" t="n">
        <v>0</v>
      </c>
      <c r="M326" t="n">
        <v>0</v>
      </c>
      <c r="N326" t="n">
        <v>0</v>
      </c>
      <c r="O326" t="n">
        <v>0</v>
      </c>
      <c r="P326" t="n">
        <v>0</v>
      </c>
      <c r="Q326" t="n">
        <v>0</v>
      </c>
      <c r="R326" s="2" t="inlineStr"/>
    </row>
    <row r="327" ht="15" customHeight="1">
      <c r="A327" t="inlineStr">
        <is>
          <t>A 46028-2022</t>
        </is>
      </c>
      <c r="B327" s="1" t="n">
        <v>44846</v>
      </c>
      <c r="C327" s="1" t="n">
        <v>45357</v>
      </c>
      <c r="D327" t="inlineStr">
        <is>
          <t>VÄSTERNORRLANDS LÄN</t>
        </is>
      </c>
      <c r="E327" t="inlineStr">
        <is>
          <t>TIMRÅ</t>
        </is>
      </c>
      <c r="F327" t="inlineStr">
        <is>
          <t>Kyrkan</t>
        </is>
      </c>
      <c r="G327" t="n">
        <v>7.9</v>
      </c>
      <c r="H327" t="n">
        <v>0</v>
      </c>
      <c r="I327" t="n">
        <v>0</v>
      </c>
      <c r="J327" t="n">
        <v>0</v>
      </c>
      <c r="K327" t="n">
        <v>0</v>
      </c>
      <c r="L327" t="n">
        <v>0</v>
      </c>
      <c r="M327" t="n">
        <v>0</v>
      </c>
      <c r="N327" t="n">
        <v>0</v>
      </c>
      <c r="O327" t="n">
        <v>0</v>
      </c>
      <c r="P327" t="n">
        <v>0</v>
      </c>
      <c r="Q327" t="n">
        <v>0</v>
      </c>
      <c r="R327" s="2" t="inlineStr"/>
    </row>
    <row r="328" ht="15" customHeight="1">
      <c r="A328" t="inlineStr">
        <is>
          <t>A 46650-2022</t>
        </is>
      </c>
      <c r="B328" s="1" t="n">
        <v>44849</v>
      </c>
      <c r="C328" s="1" t="n">
        <v>45357</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46971-2022</t>
        </is>
      </c>
      <c r="B329" s="1" t="n">
        <v>44852</v>
      </c>
      <c r="C329" s="1" t="n">
        <v>45357</v>
      </c>
      <c r="D329" t="inlineStr">
        <is>
          <t>VÄSTERNORRLANDS LÄN</t>
        </is>
      </c>
      <c r="E329" t="inlineStr">
        <is>
          <t>TIMRÅ</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47293-2022</t>
        </is>
      </c>
      <c r="B330" s="1" t="n">
        <v>44853</v>
      </c>
      <c r="C330" s="1" t="n">
        <v>45357</v>
      </c>
      <c r="D330" t="inlineStr">
        <is>
          <t>VÄSTERNORRLANDS LÄN</t>
        </is>
      </c>
      <c r="E330" t="inlineStr">
        <is>
          <t>TIMRÅ</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47347-2022</t>
        </is>
      </c>
      <c r="B331" s="1" t="n">
        <v>44852</v>
      </c>
      <c r="C331" s="1" t="n">
        <v>45357</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47562-2022</t>
        </is>
      </c>
      <c r="B332" s="1" t="n">
        <v>44853</v>
      </c>
      <c r="C332" s="1" t="n">
        <v>45357</v>
      </c>
      <c r="D332" t="inlineStr">
        <is>
          <t>VÄSTERNORRLANDS LÄN</t>
        </is>
      </c>
      <c r="E332" t="inlineStr">
        <is>
          <t>TIMRÅ</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47588-2022</t>
        </is>
      </c>
      <c r="B333" s="1" t="n">
        <v>44854</v>
      </c>
      <c r="C333" s="1" t="n">
        <v>45357</v>
      </c>
      <c r="D333" t="inlineStr">
        <is>
          <t>VÄSTERNORRLANDS LÄN</t>
        </is>
      </c>
      <c r="E333" t="inlineStr">
        <is>
          <t>TIMRÅ</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47697-2022</t>
        </is>
      </c>
      <c r="B334" s="1" t="n">
        <v>44854</v>
      </c>
      <c r="C334" s="1" t="n">
        <v>45357</v>
      </c>
      <c r="D334" t="inlineStr">
        <is>
          <t>VÄSTERNORRLANDS LÄN</t>
        </is>
      </c>
      <c r="E334" t="inlineStr">
        <is>
          <t>TIMRÅ</t>
        </is>
      </c>
      <c r="G334" t="n">
        <v>3.4</v>
      </c>
      <c r="H334" t="n">
        <v>0</v>
      </c>
      <c r="I334" t="n">
        <v>0</v>
      </c>
      <c r="J334" t="n">
        <v>0</v>
      </c>
      <c r="K334" t="n">
        <v>0</v>
      </c>
      <c r="L334" t="n">
        <v>0</v>
      </c>
      <c r="M334" t="n">
        <v>0</v>
      </c>
      <c r="N334" t="n">
        <v>0</v>
      </c>
      <c r="O334" t="n">
        <v>0</v>
      </c>
      <c r="P334" t="n">
        <v>0</v>
      </c>
      <c r="Q334" t="n">
        <v>0</v>
      </c>
      <c r="R334" s="2" t="inlineStr"/>
    </row>
    <row r="335" ht="15" customHeight="1">
      <c r="A335" t="inlineStr">
        <is>
          <t>A 47815-2022</t>
        </is>
      </c>
      <c r="B335" s="1" t="n">
        <v>44854</v>
      </c>
      <c r="C335" s="1" t="n">
        <v>45357</v>
      </c>
      <c r="D335" t="inlineStr">
        <is>
          <t>VÄSTERNORRLANDS LÄN</t>
        </is>
      </c>
      <c r="E335" t="inlineStr">
        <is>
          <t>TIMRÅ</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48083-2022</t>
        </is>
      </c>
      <c r="B336" s="1" t="n">
        <v>44855</v>
      </c>
      <c r="C336" s="1" t="n">
        <v>45357</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48916-2022</t>
        </is>
      </c>
      <c r="B337" s="1" t="n">
        <v>44860</v>
      </c>
      <c r="C337" s="1" t="n">
        <v>45357</v>
      </c>
      <c r="D337" t="inlineStr">
        <is>
          <t>VÄSTERNORRLANDS LÄN</t>
        </is>
      </c>
      <c r="E337" t="inlineStr">
        <is>
          <t>TIMRÅ</t>
        </is>
      </c>
      <c r="F337" t="inlineStr">
        <is>
          <t>SCA</t>
        </is>
      </c>
      <c r="G337" t="n">
        <v>4.9</v>
      </c>
      <c r="H337" t="n">
        <v>0</v>
      </c>
      <c r="I337" t="n">
        <v>0</v>
      </c>
      <c r="J337" t="n">
        <v>0</v>
      </c>
      <c r="K337" t="n">
        <v>0</v>
      </c>
      <c r="L337" t="n">
        <v>0</v>
      </c>
      <c r="M337" t="n">
        <v>0</v>
      </c>
      <c r="N337" t="n">
        <v>0</v>
      </c>
      <c r="O337" t="n">
        <v>0</v>
      </c>
      <c r="P337" t="n">
        <v>0</v>
      </c>
      <c r="Q337" t="n">
        <v>0</v>
      </c>
      <c r="R337" s="2" t="inlineStr"/>
    </row>
    <row r="338" ht="15" customHeight="1">
      <c r="A338" t="inlineStr">
        <is>
          <t>A 48918-2022</t>
        </is>
      </c>
      <c r="B338" s="1" t="n">
        <v>44859</v>
      </c>
      <c r="C338" s="1" t="n">
        <v>45357</v>
      </c>
      <c r="D338" t="inlineStr">
        <is>
          <t>VÄSTERNORRLANDS LÄN</t>
        </is>
      </c>
      <c r="E338" t="inlineStr">
        <is>
          <t>TIMRÅ</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49203-2022</t>
        </is>
      </c>
      <c r="B339" s="1" t="n">
        <v>44860</v>
      </c>
      <c r="C339" s="1" t="n">
        <v>45357</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50660-2022</t>
        </is>
      </c>
      <c r="B340" s="1" t="n">
        <v>44866</v>
      </c>
      <c r="C340" s="1" t="n">
        <v>45357</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52096-2022</t>
        </is>
      </c>
      <c r="B341" s="1" t="n">
        <v>44868</v>
      </c>
      <c r="C341" s="1" t="n">
        <v>45357</v>
      </c>
      <c r="D341" t="inlineStr">
        <is>
          <t>VÄSTERNORRLANDS LÄN</t>
        </is>
      </c>
      <c r="E341" t="inlineStr">
        <is>
          <t>TIMRÅ</t>
        </is>
      </c>
      <c r="G341" t="n">
        <v>1.4</v>
      </c>
      <c r="H341" t="n">
        <v>0</v>
      </c>
      <c r="I341" t="n">
        <v>0</v>
      </c>
      <c r="J341" t="n">
        <v>0</v>
      </c>
      <c r="K341" t="n">
        <v>0</v>
      </c>
      <c r="L341" t="n">
        <v>0</v>
      </c>
      <c r="M341" t="n">
        <v>0</v>
      </c>
      <c r="N341" t="n">
        <v>0</v>
      </c>
      <c r="O341" t="n">
        <v>0</v>
      </c>
      <c r="P341" t="n">
        <v>0</v>
      </c>
      <c r="Q341" t="n">
        <v>0</v>
      </c>
      <c r="R341" s="2" t="inlineStr"/>
    </row>
    <row r="342" ht="15" customHeight="1">
      <c r="A342" t="inlineStr">
        <is>
          <t>A 51564-2022</t>
        </is>
      </c>
      <c r="B342" s="1" t="n">
        <v>44869</v>
      </c>
      <c r="C342" s="1" t="n">
        <v>45357</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51546-2022</t>
        </is>
      </c>
      <c r="B343" s="1" t="n">
        <v>44869</v>
      </c>
      <c r="C343" s="1" t="n">
        <v>45357</v>
      </c>
      <c r="D343" t="inlineStr">
        <is>
          <t>VÄSTERNORRLANDS LÄN</t>
        </is>
      </c>
      <c r="E343" t="inlineStr">
        <is>
          <t>TIMRÅ</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52213-2022</t>
        </is>
      </c>
      <c r="B344" s="1" t="n">
        <v>44869</v>
      </c>
      <c r="C344" s="1" t="n">
        <v>45357</v>
      </c>
      <c r="D344" t="inlineStr">
        <is>
          <t>VÄSTERNORRLANDS LÄN</t>
        </is>
      </c>
      <c r="E344" t="inlineStr">
        <is>
          <t>TIMRÅ</t>
        </is>
      </c>
      <c r="G344" t="n">
        <v>11.4</v>
      </c>
      <c r="H344" t="n">
        <v>0</v>
      </c>
      <c r="I344" t="n">
        <v>0</v>
      </c>
      <c r="J344" t="n">
        <v>0</v>
      </c>
      <c r="K344" t="n">
        <v>0</v>
      </c>
      <c r="L344" t="n">
        <v>0</v>
      </c>
      <c r="M344" t="n">
        <v>0</v>
      </c>
      <c r="N344" t="n">
        <v>0</v>
      </c>
      <c r="O344" t="n">
        <v>0</v>
      </c>
      <c r="P344" t="n">
        <v>0</v>
      </c>
      <c r="Q344" t="n">
        <v>0</v>
      </c>
      <c r="R344" s="2" t="inlineStr"/>
    </row>
    <row r="345" ht="15" customHeight="1">
      <c r="A345" t="inlineStr">
        <is>
          <t>A 52232-2022</t>
        </is>
      </c>
      <c r="B345" s="1" t="n">
        <v>44869</v>
      </c>
      <c r="C345" s="1" t="n">
        <v>45357</v>
      </c>
      <c r="D345" t="inlineStr">
        <is>
          <t>VÄSTERNORRLANDS LÄN</t>
        </is>
      </c>
      <c r="E345" t="inlineStr">
        <is>
          <t>TIMRÅ</t>
        </is>
      </c>
      <c r="G345" t="n">
        <v>7.9</v>
      </c>
      <c r="H345" t="n">
        <v>0</v>
      </c>
      <c r="I345" t="n">
        <v>0</v>
      </c>
      <c r="J345" t="n">
        <v>0</v>
      </c>
      <c r="K345" t="n">
        <v>0</v>
      </c>
      <c r="L345" t="n">
        <v>0</v>
      </c>
      <c r="M345" t="n">
        <v>0</v>
      </c>
      <c r="N345" t="n">
        <v>0</v>
      </c>
      <c r="O345" t="n">
        <v>0</v>
      </c>
      <c r="P345" t="n">
        <v>0</v>
      </c>
      <c r="Q345" t="n">
        <v>0</v>
      </c>
      <c r="R345" s="2" t="inlineStr"/>
    </row>
    <row r="346" ht="15" customHeight="1">
      <c r="A346" t="inlineStr">
        <is>
          <t>A 52220-2022</t>
        </is>
      </c>
      <c r="B346" s="1" t="n">
        <v>44869</v>
      </c>
      <c r="C346" s="1" t="n">
        <v>45357</v>
      </c>
      <c r="D346" t="inlineStr">
        <is>
          <t>VÄSTERNORRLANDS LÄN</t>
        </is>
      </c>
      <c r="E346" t="inlineStr">
        <is>
          <t>TIMRÅ</t>
        </is>
      </c>
      <c r="G346" t="n">
        <v>5.5</v>
      </c>
      <c r="H346" t="n">
        <v>0</v>
      </c>
      <c r="I346" t="n">
        <v>0</v>
      </c>
      <c r="J346" t="n">
        <v>0</v>
      </c>
      <c r="K346" t="n">
        <v>0</v>
      </c>
      <c r="L346" t="n">
        <v>0</v>
      </c>
      <c r="M346" t="n">
        <v>0</v>
      </c>
      <c r="N346" t="n">
        <v>0</v>
      </c>
      <c r="O346" t="n">
        <v>0</v>
      </c>
      <c r="P346" t="n">
        <v>0</v>
      </c>
      <c r="Q346" t="n">
        <v>0</v>
      </c>
      <c r="R346" s="2" t="inlineStr"/>
    </row>
    <row r="347" ht="15" customHeight="1">
      <c r="A347" t="inlineStr">
        <is>
          <t>A 51999-2022</t>
        </is>
      </c>
      <c r="B347" s="1" t="n">
        <v>44872</v>
      </c>
      <c r="C347" s="1" t="n">
        <v>45357</v>
      </c>
      <c r="D347" t="inlineStr">
        <is>
          <t>VÄSTERNORRLANDS LÄN</t>
        </is>
      </c>
      <c r="E347" t="inlineStr">
        <is>
          <t>TIMRÅ</t>
        </is>
      </c>
      <c r="G347" t="n">
        <v>4.7</v>
      </c>
      <c r="H347" t="n">
        <v>0</v>
      </c>
      <c r="I347" t="n">
        <v>0</v>
      </c>
      <c r="J347" t="n">
        <v>0</v>
      </c>
      <c r="K347" t="n">
        <v>0</v>
      </c>
      <c r="L347" t="n">
        <v>0</v>
      </c>
      <c r="M347" t="n">
        <v>0</v>
      </c>
      <c r="N347" t="n">
        <v>0</v>
      </c>
      <c r="O347" t="n">
        <v>0</v>
      </c>
      <c r="P347" t="n">
        <v>0</v>
      </c>
      <c r="Q347" t="n">
        <v>0</v>
      </c>
      <c r="R347" s="2" t="inlineStr"/>
    </row>
    <row r="348" ht="15" customHeight="1">
      <c r="A348" t="inlineStr">
        <is>
          <t>A 52010-2022</t>
        </is>
      </c>
      <c r="B348" s="1" t="n">
        <v>44872</v>
      </c>
      <c r="C348" s="1" t="n">
        <v>45357</v>
      </c>
      <c r="D348" t="inlineStr">
        <is>
          <t>VÄSTERNORRLANDS LÄN</t>
        </is>
      </c>
      <c r="E348" t="inlineStr">
        <is>
          <t>TIMRÅ</t>
        </is>
      </c>
      <c r="G348" t="n">
        <v>1.4</v>
      </c>
      <c r="H348" t="n">
        <v>0</v>
      </c>
      <c r="I348" t="n">
        <v>0</v>
      </c>
      <c r="J348" t="n">
        <v>0</v>
      </c>
      <c r="K348" t="n">
        <v>0</v>
      </c>
      <c r="L348" t="n">
        <v>0</v>
      </c>
      <c r="M348" t="n">
        <v>0</v>
      </c>
      <c r="N348" t="n">
        <v>0</v>
      </c>
      <c r="O348" t="n">
        <v>0</v>
      </c>
      <c r="P348" t="n">
        <v>0</v>
      </c>
      <c r="Q348" t="n">
        <v>0</v>
      </c>
      <c r="R348" s="2" t="inlineStr"/>
    </row>
    <row r="349" ht="15" customHeight="1">
      <c r="A349" t="inlineStr">
        <is>
          <t>A 52474-2022</t>
        </is>
      </c>
      <c r="B349" s="1" t="n">
        <v>44874</v>
      </c>
      <c r="C349" s="1" t="n">
        <v>45357</v>
      </c>
      <c r="D349" t="inlineStr">
        <is>
          <t>VÄSTERNORRLANDS LÄN</t>
        </is>
      </c>
      <c r="E349" t="inlineStr">
        <is>
          <t>TIMRÅ</t>
        </is>
      </c>
      <c r="G349" t="n">
        <v>0.7</v>
      </c>
      <c r="H349" t="n">
        <v>0</v>
      </c>
      <c r="I349" t="n">
        <v>0</v>
      </c>
      <c r="J349" t="n">
        <v>0</v>
      </c>
      <c r="K349" t="n">
        <v>0</v>
      </c>
      <c r="L349" t="n">
        <v>0</v>
      </c>
      <c r="M349" t="n">
        <v>0</v>
      </c>
      <c r="N349" t="n">
        <v>0</v>
      </c>
      <c r="O349" t="n">
        <v>0</v>
      </c>
      <c r="P349" t="n">
        <v>0</v>
      </c>
      <c r="Q349" t="n">
        <v>0</v>
      </c>
      <c r="R349" s="2" t="inlineStr"/>
    </row>
    <row r="350" ht="15" customHeight="1">
      <c r="A350" t="inlineStr">
        <is>
          <t>A 52448-2022</t>
        </is>
      </c>
      <c r="B350" s="1" t="n">
        <v>44874</v>
      </c>
      <c r="C350" s="1" t="n">
        <v>45357</v>
      </c>
      <c r="D350" t="inlineStr">
        <is>
          <t>VÄSTERNORRLANDS LÄN</t>
        </is>
      </c>
      <c r="E350" t="inlineStr">
        <is>
          <t>TIMRÅ</t>
        </is>
      </c>
      <c r="G350" t="n">
        <v>2.3</v>
      </c>
      <c r="H350" t="n">
        <v>0</v>
      </c>
      <c r="I350" t="n">
        <v>0</v>
      </c>
      <c r="J350" t="n">
        <v>0</v>
      </c>
      <c r="K350" t="n">
        <v>0</v>
      </c>
      <c r="L350" t="n">
        <v>0</v>
      </c>
      <c r="M350" t="n">
        <v>0</v>
      </c>
      <c r="N350" t="n">
        <v>0</v>
      </c>
      <c r="O350" t="n">
        <v>0</v>
      </c>
      <c r="P350" t="n">
        <v>0</v>
      </c>
      <c r="Q350" t="n">
        <v>0</v>
      </c>
      <c r="R350" s="2" t="inlineStr"/>
    </row>
    <row r="351" ht="15" customHeight="1">
      <c r="A351" t="inlineStr">
        <is>
          <t>A 52705-2022</t>
        </is>
      </c>
      <c r="B351" s="1" t="n">
        <v>44874</v>
      </c>
      <c r="C351" s="1" t="n">
        <v>45357</v>
      </c>
      <c r="D351" t="inlineStr">
        <is>
          <t>VÄSTERNORRLANDS LÄN</t>
        </is>
      </c>
      <c r="E351" t="inlineStr">
        <is>
          <t>TIMRÅ</t>
        </is>
      </c>
      <c r="G351" t="n">
        <v>1.6</v>
      </c>
      <c r="H351" t="n">
        <v>0</v>
      </c>
      <c r="I351" t="n">
        <v>0</v>
      </c>
      <c r="J351" t="n">
        <v>0</v>
      </c>
      <c r="K351" t="n">
        <v>0</v>
      </c>
      <c r="L351" t="n">
        <v>0</v>
      </c>
      <c r="M351" t="n">
        <v>0</v>
      </c>
      <c r="N351" t="n">
        <v>0</v>
      </c>
      <c r="O351" t="n">
        <v>0</v>
      </c>
      <c r="P351" t="n">
        <v>0</v>
      </c>
      <c r="Q351" t="n">
        <v>0</v>
      </c>
      <c r="R351" s="2" t="inlineStr"/>
    </row>
    <row r="352" ht="15" customHeight="1">
      <c r="A352" t="inlineStr">
        <is>
          <t>A 53659-2022</t>
        </is>
      </c>
      <c r="B352" s="1" t="n">
        <v>44879</v>
      </c>
      <c r="C352" s="1" t="n">
        <v>45357</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53957-2022</t>
        </is>
      </c>
      <c r="B353" s="1" t="n">
        <v>44880</v>
      </c>
      <c r="C353" s="1" t="n">
        <v>45357</v>
      </c>
      <c r="D353" t="inlineStr">
        <is>
          <t>VÄSTERNORRLANDS LÄN</t>
        </is>
      </c>
      <c r="E353" t="inlineStr">
        <is>
          <t>TIMRÅ</t>
        </is>
      </c>
      <c r="F353" t="inlineStr">
        <is>
          <t>SCA</t>
        </is>
      </c>
      <c r="G353" t="n">
        <v>6.4</v>
      </c>
      <c r="H353" t="n">
        <v>0</v>
      </c>
      <c r="I353" t="n">
        <v>0</v>
      </c>
      <c r="J353" t="n">
        <v>0</v>
      </c>
      <c r="K353" t="n">
        <v>0</v>
      </c>
      <c r="L353" t="n">
        <v>0</v>
      </c>
      <c r="M353" t="n">
        <v>0</v>
      </c>
      <c r="N353" t="n">
        <v>0</v>
      </c>
      <c r="O353" t="n">
        <v>0</v>
      </c>
      <c r="P353" t="n">
        <v>0</v>
      </c>
      <c r="Q353" t="n">
        <v>0</v>
      </c>
      <c r="R353" s="2" t="inlineStr"/>
    </row>
    <row r="354" ht="15" customHeight="1">
      <c r="A354" t="inlineStr">
        <is>
          <t>A 55357-2022</t>
        </is>
      </c>
      <c r="B354" s="1" t="n">
        <v>44882</v>
      </c>
      <c r="C354" s="1" t="n">
        <v>45357</v>
      </c>
      <c r="D354" t="inlineStr">
        <is>
          <t>VÄSTERNORRLANDS LÄN</t>
        </is>
      </c>
      <c r="E354" t="inlineStr">
        <is>
          <t>TIMRÅ</t>
        </is>
      </c>
      <c r="G354" t="n">
        <v>17.3</v>
      </c>
      <c r="H354" t="n">
        <v>0</v>
      </c>
      <c r="I354" t="n">
        <v>0</v>
      </c>
      <c r="J354" t="n">
        <v>0</v>
      </c>
      <c r="K354" t="n">
        <v>0</v>
      </c>
      <c r="L354" t="n">
        <v>0</v>
      </c>
      <c r="M354" t="n">
        <v>0</v>
      </c>
      <c r="N354" t="n">
        <v>0</v>
      </c>
      <c r="O354" t="n">
        <v>0</v>
      </c>
      <c r="P354" t="n">
        <v>0</v>
      </c>
      <c r="Q354" t="n">
        <v>0</v>
      </c>
      <c r="R354" s="2" t="inlineStr"/>
    </row>
    <row r="355" ht="15" customHeight="1">
      <c r="A355" t="inlineStr">
        <is>
          <t>A 54747-2022</t>
        </is>
      </c>
      <c r="B355" s="1" t="n">
        <v>44883</v>
      </c>
      <c r="C355" s="1" t="n">
        <v>45357</v>
      </c>
      <c r="D355" t="inlineStr">
        <is>
          <t>VÄSTERNORRLANDS LÄN</t>
        </is>
      </c>
      <c r="E355" t="inlineStr">
        <is>
          <t>TIMRÅ</t>
        </is>
      </c>
      <c r="G355" t="n">
        <v>0.9</v>
      </c>
      <c r="H355" t="n">
        <v>0</v>
      </c>
      <c r="I355" t="n">
        <v>0</v>
      </c>
      <c r="J355" t="n">
        <v>0</v>
      </c>
      <c r="K355" t="n">
        <v>0</v>
      </c>
      <c r="L355" t="n">
        <v>0</v>
      </c>
      <c r="M355" t="n">
        <v>0</v>
      </c>
      <c r="N355" t="n">
        <v>0</v>
      </c>
      <c r="O355" t="n">
        <v>0</v>
      </c>
      <c r="P355" t="n">
        <v>0</v>
      </c>
      <c r="Q355" t="n">
        <v>0</v>
      </c>
      <c r="R355" s="2" t="inlineStr"/>
    </row>
    <row r="356" ht="15" customHeight="1">
      <c r="A356" t="inlineStr">
        <is>
          <t>A 55179-2022</t>
        </is>
      </c>
      <c r="B356" s="1" t="n">
        <v>44886</v>
      </c>
      <c r="C356" s="1" t="n">
        <v>45357</v>
      </c>
      <c r="D356" t="inlineStr">
        <is>
          <t>VÄSTERNORRLANDS LÄN</t>
        </is>
      </c>
      <c r="E356" t="inlineStr">
        <is>
          <t>TIMRÅ</t>
        </is>
      </c>
      <c r="G356" t="n">
        <v>0.4</v>
      </c>
      <c r="H356" t="n">
        <v>0</v>
      </c>
      <c r="I356" t="n">
        <v>0</v>
      </c>
      <c r="J356" t="n">
        <v>0</v>
      </c>
      <c r="K356" t="n">
        <v>0</v>
      </c>
      <c r="L356" t="n">
        <v>0</v>
      </c>
      <c r="M356" t="n">
        <v>0</v>
      </c>
      <c r="N356" t="n">
        <v>0</v>
      </c>
      <c r="O356" t="n">
        <v>0</v>
      </c>
      <c r="P356" t="n">
        <v>0</v>
      </c>
      <c r="Q356" t="n">
        <v>0</v>
      </c>
      <c r="R356" s="2" t="inlineStr"/>
    </row>
    <row r="357" ht="15" customHeight="1">
      <c r="A357" t="inlineStr">
        <is>
          <t>A 55240-2022</t>
        </is>
      </c>
      <c r="B357" s="1" t="n">
        <v>44887</v>
      </c>
      <c r="C357" s="1" t="n">
        <v>45357</v>
      </c>
      <c r="D357" t="inlineStr">
        <is>
          <t>VÄSTERNORRLANDS LÄN</t>
        </is>
      </c>
      <c r="E357" t="inlineStr">
        <is>
          <t>TIMRÅ</t>
        </is>
      </c>
      <c r="F357" t="inlineStr">
        <is>
          <t>SCA</t>
        </is>
      </c>
      <c r="G357" t="n">
        <v>3.5</v>
      </c>
      <c r="H357" t="n">
        <v>0</v>
      </c>
      <c r="I357" t="n">
        <v>0</v>
      </c>
      <c r="J357" t="n">
        <v>0</v>
      </c>
      <c r="K357" t="n">
        <v>0</v>
      </c>
      <c r="L357" t="n">
        <v>0</v>
      </c>
      <c r="M357" t="n">
        <v>0</v>
      </c>
      <c r="N357" t="n">
        <v>0</v>
      </c>
      <c r="O357" t="n">
        <v>0</v>
      </c>
      <c r="P357" t="n">
        <v>0</v>
      </c>
      <c r="Q357" t="n">
        <v>0</v>
      </c>
      <c r="R357" s="2" t="inlineStr"/>
    </row>
    <row r="358" ht="15" customHeight="1">
      <c r="A358" t="inlineStr">
        <is>
          <t>A 55521-2022</t>
        </is>
      </c>
      <c r="B358" s="1" t="n">
        <v>44887</v>
      </c>
      <c r="C358" s="1" t="n">
        <v>45357</v>
      </c>
      <c r="D358" t="inlineStr">
        <is>
          <t>VÄSTERNORRLANDS LÄN</t>
        </is>
      </c>
      <c r="E358" t="inlineStr">
        <is>
          <t>TIMRÅ</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55511-2022</t>
        </is>
      </c>
      <c r="B359" s="1" t="n">
        <v>44887</v>
      </c>
      <c r="C359" s="1" t="n">
        <v>45357</v>
      </c>
      <c r="D359" t="inlineStr">
        <is>
          <t>VÄSTERNORRLANDS LÄN</t>
        </is>
      </c>
      <c r="E359" t="inlineStr">
        <is>
          <t>TIMRÅ</t>
        </is>
      </c>
      <c r="G359" t="n">
        <v>0.5</v>
      </c>
      <c r="H359" t="n">
        <v>0</v>
      </c>
      <c r="I359" t="n">
        <v>0</v>
      </c>
      <c r="J359" t="n">
        <v>0</v>
      </c>
      <c r="K359" t="n">
        <v>0</v>
      </c>
      <c r="L359" t="n">
        <v>0</v>
      </c>
      <c r="M359" t="n">
        <v>0</v>
      </c>
      <c r="N359" t="n">
        <v>0</v>
      </c>
      <c r="O359" t="n">
        <v>0</v>
      </c>
      <c r="P359" t="n">
        <v>0</v>
      </c>
      <c r="Q359" t="n">
        <v>0</v>
      </c>
      <c r="R359" s="2" t="inlineStr"/>
    </row>
    <row r="360" ht="15" customHeight="1">
      <c r="A360" t="inlineStr">
        <is>
          <t>A 55510-2022</t>
        </is>
      </c>
      <c r="B360" s="1" t="n">
        <v>44887</v>
      </c>
      <c r="C360" s="1" t="n">
        <v>45357</v>
      </c>
      <c r="D360" t="inlineStr">
        <is>
          <t>VÄSTERNORRLANDS LÄN</t>
        </is>
      </c>
      <c r="E360" t="inlineStr">
        <is>
          <t>TIMRÅ</t>
        </is>
      </c>
      <c r="G360" t="n">
        <v>0.8</v>
      </c>
      <c r="H360" t="n">
        <v>0</v>
      </c>
      <c r="I360" t="n">
        <v>0</v>
      </c>
      <c r="J360" t="n">
        <v>0</v>
      </c>
      <c r="K360" t="n">
        <v>0</v>
      </c>
      <c r="L360" t="n">
        <v>0</v>
      </c>
      <c r="M360" t="n">
        <v>0</v>
      </c>
      <c r="N360" t="n">
        <v>0</v>
      </c>
      <c r="O360" t="n">
        <v>0</v>
      </c>
      <c r="P360" t="n">
        <v>0</v>
      </c>
      <c r="Q360" t="n">
        <v>0</v>
      </c>
      <c r="R360" s="2" t="inlineStr"/>
    </row>
    <row r="361" ht="15" customHeight="1">
      <c r="A361" t="inlineStr">
        <is>
          <t>A 55517-2022</t>
        </is>
      </c>
      <c r="B361" s="1" t="n">
        <v>44887</v>
      </c>
      <c r="C361" s="1" t="n">
        <v>45357</v>
      </c>
      <c r="D361" t="inlineStr">
        <is>
          <t>VÄSTERNORRLANDS LÄN</t>
        </is>
      </c>
      <c r="E361" t="inlineStr">
        <is>
          <t>TIMRÅ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55872-2022</t>
        </is>
      </c>
      <c r="B362" s="1" t="n">
        <v>44888</v>
      </c>
      <c r="C362" s="1" t="n">
        <v>45357</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55886-2022</t>
        </is>
      </c>
      <c r="B363" s="1" t="n">
        <v>44888</v>
      </c>
      <c r="C363" s="1" t="n">
        <v>45357</v>
      </c>
      <c r="D363" t="inlineStr">
        <is>
          <t>VÄSTERNORRLANDS LÄN</t>
        </is>
      </c>
      <c r="E363" t="inlineStr">
        <is>
          <t>TIMRÅ</t>
        </is>
      </c>
      <c r="G363" t="n">
        <v>0.6</v>
      </c>
      <c r="H363" t="n">
        <v>0</v>
      </c>
      <c r="I363" t="n">
        <v>0</v>
      </c>
      <c r="J363" t="n">
        <v>0</v>
      </c>
      <c r="K363" t="n">
        <v>0</v>
      </c>
      <c r="L363" t="n">
        <v>0</v>
      </c>
      <c r="M363" t="n">
        <v>0</v>
      </c>
      <c r="N363" t="n">
        <v>0</v>
      </c>
      <c r="O363" t="n">
        <v>0</v>
      </c>
      <c r="P363" t="n">
        <v>0</v>
      </c>
      <c r="Q363" t="n">
        <v>0</v>
      </c>
      <c r="R363" s="2" t="inlineStr"/>
    </row>
    <row r="364" ht="15" customHeight="1">
      <c r="A364" t="inlineStr">
        <is>
          <t>A 56170-2022</t>
        </is>
      </c>
      <c r="B364" s="1" t="n">
        <v>44889</v>
      </c>
      <c r="C364" s="1" t="n">
        <v>45357</v>
      </c>
      <c r="D364" t="inlineStr">
        <is>
          <t>VÄSTERNORRLANDS LÄN</t>
        </is>
      </c>
      <c r="E364" t="inlineStr">
        <is>
          <t>TIMRÅ</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57403-2022</t>
        </is>
      </c>
      <c r="B365" s="1" t="n">
        <v>44889</v>
      </c>
      <c r="C365" s="1" t="n">
        <v>45357</v>
      </c>
      <c r="D365" t="inlineStr">
        <is>
          <t>VÄSTERNORRLANDS LÄN</t>
        </is>
      </c>
      <c r="E365" t="inlineStr">
        <is>
          <t>TIMRÅ</t>
        </is>
      </c>
      <c r="G365" t="n">
        <v>9.6</v>
      </c>
      <c r="H365" t="n">
        <v>0</v>
      </c>
      <c r="I365" t="n">
        <v>0</v>
      </c>
      <c r="J365" t="n">
        <v>0</v>
      </c>
      <c r="K365" t="n">
        <v>0</v>
      </c>
      <c r="L365" t="n">
        <v>0</v>
      </c>
      <c r="M365" t="n">
        <v>0</v>
      </c>
      <c r="N365" t="n">
        <v>0</v>
      </c>
      <c r="O365" t="n">
        <v>0</v>
      </c>
      <c r="P365" t="n">
        <v>0</v>
      </c>
      <c r="Q365" t="n">
        <v>0</v>
      </c>
      <c r="R365" s="2" t="inlineStr"/>
    </row>
    <row r="366" ht="15" customHeight="1">
      <c r="A366" t="inlineStr">
        <is>
          <t>A 57380-2022</t>
        </is>
      </c>
      <c r="B366" s="1" t="n">
        <v>44889</v>
      </c>
      <c r="C366" s="1" t="n">
        <v>45357</v>
      </c>
      <c r="D366" t="inlineStr">
        <is>
          <t>VÄSTERNORRLANDS LÄN</t>
        </is>
      </c>
      <c r="E366" t="inlineStr">
        <is>
          <t>TIMRÅ</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56410-2022</t>
        </is>
      </c>
      <c r="B367" s="1" t="n">
        <v>44890</v>
      </c>
      <c r="C367" s="1" t="n">
        <v>45357</v>
      </c>
      <c r="D367" t="inlineStr">
        <is>
          <t>VÄSTERNORRLANDS LÄN</t>
        </is>
      </c>
      <c r="E367" t="inlineStr">
        <is>
          <t>TIMRÅ</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56723-2022</t>
        </is>
      </c>
      <c r="B368" s="1" t="n">
        <v>44893</v>
      </c>
      <c r="C368" s="1" t="n">
        <v>45357</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57268-2022</t>
        </is>
      </c>
      <c r="B369" s="1" t="n">
        <v>44895</v>
      </c>
      <c r="C369" s="1" t="n">
        <v>45357</v>
      </c>
      <c r="D369" t="inlineStr">
        <is>
          <t>VÄSTERNORRLANDS LÄN</t>
        </is>
      </c>
      <c r="E369" t="inlineStr">
        <is>
          <t>TIMRÅ</t>
        </is>
      </c>
      <c r="G369" t="n">
        <v>0.6</v>
      </c>
      <c r="H369" t="n">
        <v>0</v>
      </c>
      <c r="I369" t="n">
        <v>0</v>
      </c>
      <c r="J369" t="n">
        <v>0</v>
      </c>
      <c r="K369" t="n">
        <v>0</v>
      </c>
      <c r="L369" t="n">
        <v>0</v>
      </c>
      <c r="M369" t="n">
        <v>0</v>
      </c>
      <c r="N369" t="n">
        <v>0</v>
      </c>
      <c r="O369" t="n">
        <v>0</v>
      </c>
      <c r="P369" t="n">
        <v>0</v>
      </c>
      <c r="Q369" t="n">
        <v>0</v>
      </c>
      <c r="R369" s="2" t="inlineStr"/>
    </row>
    <row r="370" ht="15" customHeight="1">
      <c r="A370" t="inlineStr">
        <is>
          <t>A 57841-2022</t>
        </is>
      </c>
      <c r="B370" s="1" t="n">
        <v>44897</v>
      </c>
      <c r="C370" s="1" t="n">
        <v>45357</v>
      </c>
      <c r="D370" t="inlineStr">
        <is>
          <t>VÄSTERNORRLANDS LÄN</t>
        </is>
      </c>
      <c r="E370" t="inlineStr">
        <is>
          <t>TIMRÅ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57840-2022</t>
        </is>
      </c>
      <c r="B371" s="1" t="n">
        <v>44897</v>
      </c>
      <c r="C371" s="1" t="n">
        <v>45357</v>
      </c>
      <c r="D371" t="inlineStr">
        <is>
          <t>VÄSTERNORRLANDS LÄN</t>
        </is>
      </c>
      <c r="E371" t="inlineStr">
        <is>
          <t>TIMRÅ</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58188-2022</t>
        </is>
      </c>
      <c r="B372" s="1" t="n">
        <v>44900</v>
      </c>
      <c r="C372" s="1" t="n">
        <v>45357</v>
      </c>
      <c r="D372" t="inlineStr">
        <is>
          <t>VÄSTERNORRLANDS LÄN</t>
        </is>
      </c>
      <c r="E372" t="inlineStr">
        <is>
          <t>TIMRÅ</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59942-2022</t>
        </is>
      </c>
      <c r="B373" s="1" t="n">
        <v>44901</v>
      </c>
      <c r="C373" s="1" t="n">
        <v>45357</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59128-2022</t>
        </is>
      </c>
      <c r="B374" s="1" t="n">
        <v>44904</v>
      </c>
      <c r="C374" s="1" t="n">
        <v>45357</v>
      </c>
      <c r="D374" t="inlineStr">
        <is>
          <t>VÄSTERNORRLANDS LÄN</t>
        </is>
      </c>
      <c r="E374" t="inlineStr">
        <is>
          <t>TIMRÅ</t>
        </is>
      </c>
      <c r="G374" t="n">
        <v>9</v>
      </c>
      <c r="H374" t="n">
        <v>0</v>
      </c>
      <c r="I374" t="n">
        <v>0</v>
      </c>
      <c r="J374" t="n">
        <v>0</v>
      </c>
      <c r="K374" t="n">
        <v>0</v>
      </c>
      <c r="L374" t="n">
        <v>0</v>
      </c>
      <c r="M374" t="n">
        <v>0</v>
      </c>
      <c r="N374" t="n">
        <v>0</v>
      </c>
      <c r="O374" t="n">
        <v>0</v>
      </c>
      <c r="P374" t="n">
        <v>0</v>
      </c>
      <c r="Q374" t="n">
        <v>0</v>
      </c>
      <c r="R374" s="2" t="inlineStr"/>
    </row>
    <row r="375" ht="15" customHeight="1">
      <c r="A375" t="inlineStr">
        <is>
          <t>A 60166-2022</t>
        </is>
      </c>
      <c r="B375" s="1" t="n">
        <v>44909</v>
      </c>
      <c r="C375" s="1" t="n">
        <v>45357</v>
      </c>
      <c r="D375" t="inlineStr">
        <is>
          <t>VÄSTERNORRLANDS LÄN</t>
        </is>
      </c>
      <c r="E375" t="inlineStr">
        <is>
          <t>TIMRÅ</t>
        </is>
      </c>
      <c r="G375" t="n">
        <v>1.8</v>
      </c>
      <c r="H375" t="n">
        <v>0</v>
      </c>
      <c r="I375" t="n">
        <v>0</v>
      </c>
      <c r="J375" t="n">
        <v>0</v>
      </c>
      <c r="K375" t="n">
        <v>0</v>
      </c>
      <c r="L375" t="n">
        <v>0</v>
      </c>
      <c r="M375" t="n">
        <v>0</v>
      </c>
      <c r="N375" t="n">
        <v>0</v>
      </c>
      <c r="O375" t="n">
        <v>0</v>
      </c>
      <c r="P375" t="n">
        <v>0</v>
      </c>
      <c r="Q375" t="n">
        <v>0</v>
      </c>
      <c r="R375" s="2" t="inlineStr"/>
    </row>
    <row r="376" ht="15" customHeight="1">
      <c r="A376" t="inlineStr">
        <is>
          <t>A 61576-2022</t>
        </is>
      </c>
      <c r="B376" s="1" t="n">
        <v>44910</v>
      </c>
      <c r="C376" s="1" t="n">
        <v>45357</v>
      </c>
      <c r="D376" t="inlineStr">
        <is>
          <t>VÄSTERNORRLANDS LÄN</t>
        </is>
      </c>
      <c r="E376" t="inlineStr">
        <is>
          <t>TIMRÅ</t>
        </is>
      </c>
      <c r="G376" t="n">
        <v>4</v>
      </c>
      <c r="H376" t="n">
        <v>0</v>
      </c>
      <c r="I376" t="n">
        <v>0</v>
      </c>
      <c r="J376" t="n">
        <v>0</v>
      </c>
      <c r="K376" t="n">
        <v>0</v>
      </c>
      <c r="L376" t="n">
        <v>0</v>
      </c>
      <c r="M376" t="n">
        <v>0</v>
      </c>
      <c r="N376" t="n">
        <v>0</v>
      </c>
      <c r="O376" t="n">
        <v>0</v>
      </c>
      <c r="P376" t="n">
        <v>0</v>
      </c>
      <c r="Q376" t="n">
        <v>0</v>
      </c>
      <c r="R376" s="2" t="inlineStr"/>
    </row>
    <row r="377" ht="15" customHeight="1">
      <c r="A377" t="inlineStr">
        <is>
          <t>A 61373-2022</t>
        </is>
      </c>
      <c r="B377" s="1" t="n">
        <v>44915</v>
      </c>
      <c r="C377" s="1" t="n">
        <v>45357</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62113-2022</t>
        </is>
      </c>
      <c r="B378" s="1" t="n">
        <v>44921</v>
      </c>
      <c r="C378" s="1" t="n">
        <v>45357</v>
      </c>
      <c r="D378" t="inlineStr">
        <is>
          <t>VÄSTERNORRLANDS LÄN</t>
        </is>
      </c>
      <c r="E378" t="inlineStr">
        <is>
          <t>TIMRÅ</t>
        </is>
      </c>
      <c r="G378" t="n">
        <v>1</v>
      </c>
      <c r="H378" t="n">
        <v>0</v>
      </c>
      <c r="I378" t="n">
        <v>0</v>
      </c>
      <c r="J378" t="n">
        <v>0</v>
      </c>
      <c r="K378" t="n">
        <v>0</v>
      </c>
      <c r="L378" t="n">
        <v>0</v>
      </c>
      <c r="M378" t="n">
        <v>0</v>
      </c>
      <c r="N378" t="n">
        <v>0</v>
      </c>
      <c r="O378" t="n">
        <v>0</v>
      </c>
      <c r="P378" t="n">
        <v>0</v>
      </c>
      <c r="Q378" t="n">
        <v>0</v>
      </c>
      <c r="R378" s="2" t="inlineStr"/>
    </row>
    <row r="379" ht="15" customHeight="1">
      <c r="A379" t="inlineStr">
        <is>
          <t>A 528-2023</t>
        </is>
      </c>
      <c r="B379" s="1" t="n">
        <v>44924</v>
      </c>
      <c r="C379" s="1" t="n">
        <v>45357</v>
      </c>
      <c r="D379" t="inlineStr">
        <is>
          <t>VÄSTERNORRLANDS LÄN</t>
        </is>
      </c>
      <c r="E379" t="inlineStr">
        <is>
          <t>TIMRÅ</t>
        </is>
      </c>
      <c r="G379" t="n">
        <v>0.9</v>
      </c>
      <c r="H379" t="n">
        <v>0</v>
      </c>
      <c r="I379" t="n">
        <v>0</v>
      </c>
      <c r="J379" t="n">
        <v>0</v>
      </c>
      <c r="K379" t="n">
        <v>0</v>
      </c>
      <c r="L379" t="n">
        <v>0</v>
      </c>
      <c r="M379" t="n">
        <v>0</v>
      </c>
      <c r="N379" t="n">
        <v>0</v>
      </c>
      <c r="O379" t="n">
        <v>0</v>
      </c>
      <c r="P379" t="n">
        <v>0</v>
      </c>
      <c r="Q379" t="n">
        <v>0</v>
      </c>
      <c r="R379" s="2" t="inlineStr"/>
    </row>
    <row r="380" ht="15" customHeight="1">
      <c r="A380" t="inlineStr">
        <is>
          <t>A 524-2023</t>
        </is>
      </c>
      <c r="B380" s="1" t="n">
        <v>44924</v>
      </c>
      <c r="C380" s="1" t="n">
        <v>45357</v>
      </c>
      <c r="D380" t="inlineStr">
        <is>
          <t>VÄSTERNORRLANDS LÄN</t>
        </is>
      </c>
      <c r="E380" t="inlineStr">
        <is>
          <t>TIMRÅ</t>
        </is>
      </c>
      <c r="G380" t="n">
        <v>3</v>
      </c>
      <c r="H380" t="n">
        <v>0</v>
      </c>
      <c r="I380" t="n">
        <v>0</v>
      </c>
      <c r="J380" t="n">
        <v>0</v>
      </c>
      <c r="K380" t="n">
        <v>0</v>
      </c>
      <c r="L380" t="n">
        <v>0</v>
      </c>
      <c r="M380" t="n">
        <v>0</v>
      </c>
      <c r="N380" t="n">
        <v>0</v>
      </c>
      <c r="O380" t="n">
        <v>0</v>
      </c>
      <c r="P380" t="n">
        <v>0</v>
      </c>
      <c r="Q380" t="n">
        <v>0</v>
      </c>
      <c r="R380" s="2" t="inlineStr"/>
    </row>
    <row r="381" ht="15" customHeight="1">
      <c r="A381" t="inlineStr">
        <is>
          <t>A 704-2023</t>
        </is>
      </c>
      <c r="B381" s="1" t="n">
        <v>44930</v>
      </c>
      <c r="C381" s="1" t="n">
        <v>45357</v>
      </c>
      <c r="D381" t="inlineStr">
        <is>
          <t>VÄSTERNORRLANDS LÄN</t>
        </is>
      </c>
      <c r="E381" t="inlineStr">
        <is>
          <t>TIMRÅ</t>
        </is>
      </c>
      <c r="G381" t="n">
        <v>1.6</v>
      </c>
      <c r="H381" t="n">
        <v>0</v>
      </c>
      <c r="I381" t="n">
        <v>0</v>
      </c>
      <c r="J381" t="n">
        <v>0</v>
      </c>
      <c r="K381" t="n">
        <v>0</v>
      </c>
      <c r="L381" t="n">
        <v>0</v>
      </c>
      <c r="M381" t="n">
        <v>0</v>
      </c>
      <c r="N381" t="n">
        <v>0</v>
      </c>
      <c r="O381" t="n">
        <v>0</v>
      </c>
      <c r="P381" t="n">
        <v>0</v>
      </c>
      <c r="Q381" t="n">
        <v>0</v>
      </c>
      <c r="R381" s="2" t="inlineStr"/>
    </row>
    <row r="382" ht="15" customHeight="1">
      <c r="A382" t="inlineStr">
        <is>
          <t>A 1416-2023</t>
        </is>
      </c>
      <c r="B382" s="1" t="n">
        <v>44936</v>
      </c>
      <c r="C382" s="1" t="n">
        <v>45357</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1415-2023</t>
        </is>
      </c>
      <c r="B383" s="1" t="n">
        <v>44936</v>
      </c>
      <c r="C383" s="1" t="n">
        <v>45357</v>
      </c>
      <c r="D383" t="inlineStr">
        <is>
          <t>VÄSTERNORRLANDS LÄN</t>
        </is>
      </c>
      <c r="E383" t="inlineStr">
        <is>
          <t>TIMRÅ</t>
        </is>
      </c>
      <c r="G383" t="n">
        <v>1.4</v>
      </c>
      <c r="H383" t="n">
        <v>0</v>
      </c>
      <c r="I383" t="n">
        <v>0</v>
      </c>
      <c r="J383" t="n">
        <v>0</v>
      </c>
      <c r="K383" t="n">
        <v>0</v>
      </c>
      <c r="L383" t="n">
        <v>0</v>
      </c>
      <c r="M383" t="n">
        <v>0</v>
      </c>
      <c r="N383" t="n">
        <v>0</v>
      </c>
      <c r="O383" t="n">
        <v>0</v>
      </c>
      <c r="P383" t="n">
        <v>0</v>
      </c>
      <c r="Q383" t="n">
        <v>0</v>
      </c>
      <c r="R383" s="2" t="inlineStr"/>
    </row>
    <row r="384" ht="15" customHeight="1">
      <c r="A384" t="inlineStr">
        <is>
          <t>A 1896-2023</t>
        </is>
      </c>
      <c r="B384" s="1" t="n">
        <v>44939</v>
      </c>
      <c r="C384" s="1" t="n">
        <v>45357</v>
      </c>
      <c r="D384" t="inlineStr">
        <is>
          <t>VÄSTERNORRLANDS LÄN</t>
        </is>
      </c>
      <c r="E384" t="inlineStr">
        <is>
          <t>TIMRÅ</t>
        </is>
      </c>
      <c r="G384" t="n">
        <v>7.6</v>
      </c>
      <c r="H384" t="n">
        <v>0</v>
      </c>
      <c r="I384" t="n">
        <v>0</v>
      </c>
      <c r="J384" t="n">
        <v>0</v>
      </c>
      <c r="K384" t="n">
        <v>0</v>
      </c>
      <c r="L384" t="n">
        <v>0</v>
      </c>
      <c r="M384" t="n">
        <v>0</v>
      </c>
      <c r="N384" t="n">
        <v>0</v>
      </c>
      <c r="O384" t="n">
        <v>0</v>
      </c>
      <c r="P384" t="n">
        <v>0</v>
      </c>
      <c r="Q384" t="n">
        <v>0</v>
      </c>
      <c r="R384" s="2" t="inlineStr"/>
    </row>
    <row r="385" ht="15" customHeight="1">
      <c r="A385" t="inlineStr">
        <is>
          <t>A 1935-2023</t>
        </is>
      </c>
      <c r="B385" s="1" t="n">
        <v>44939</v>
      </c>
      <c r="C385" s="1" t="n">
        <v>45357</v>
      </c>
      <c r="D385" t="inlineStr">
        <is>
          <t>VÄSTERNORRLANDS LÄN</t>
        </is>
      </c>
      <c r="E385" t="inlineStr">
        <is>
          <t>TIMRÅ</t>
        </is>
      </c>
      <c r="G385" t="n">
        <v>5</v>
      </c>
      <c r="H385" t="n">
        <v>0</v>
      </c>
      <c r="I385" t="n">
        <v>0</v>
      </c>
      <c r="J385" t="n">
        <v>0</v>
      </c>
      <c r="K385" t="n">
        <v>0</v>
      </c>
      <c r="L385" t="n">
        <v>0</v>
      </c>
      <c r="M385" t="n">
        <v>0</v>
      </c>
      <c r="N385" t="n">
        <v>0</v>
      </c>
      <c r="O385" t="n">
        <v>0</v>
      </c>
      <c r="P385" t="n">
        <v>0</v>
      </c>
      <c r="Q385" t="n">
        <v>0</v>
      </c>
      <c r="R385" s="2" t="inlineStr"/>
    </row>
    <row r="386" ht="15" customHeight="1">
      <c r="A386" t="inlineStr">
        <is>
          <t>A 2434-2023</t>
        </is>
      </c>
      <c r="B386" s="1" t="n">
        <v>44943</v>
      </c>
      <c r="C386" s="1" t="n">
        <v>45357</v>
      </c>
      <c r="D386" t="inlineStr">
        <is>
          <t>VÄSTERNORRLANDS LÄN</t>
        </is>
      </c>
      <c r="E386" t="inlineStr">
        <is>
          <t>TIMRÅ</t>
        </is>
      </c>
      <c r="G386" t="n">
        <v>6.6</v>
      </c>
      <c r="H386" t="n">
        <v>0</v>
      </c>
      <c r="I386" t="n">
        <v>0</v>
      </c>
      <c r="J386" t="n">
        <v>0</v>
      </c>
      <c r="K386" t="n">
        <v>0</v>
      </c>
      <c r="L386" t="n">
        <v>0</v>
      </c>
      <c r="M386" t="n">
        <v>0</v>
      </c>
      <c r="N386" t="n">
        <v>0</v>
      </c>
      <c r="O386" t="n">
        <v>0</v>
      </c>
      <c r="P386" t="n">
        <v>0</v>
      </c>
      <c r="Q386" t="n">
        <v>0</v>
      </c>
      <c r="R386" s="2" t="inlineStr"/>
    </row>
    <row r="387" ht="15" customHeight="1">
      <c r="A387" t="inlineStr">
        <is>
          <t>A 4124-2023</t>
        </is>
      </c>
      <c r="B387" s="1" t="n">
        <v>44952</v>
      </c>
      <c r="C387" s="1" t="n">
        <v>45357</v>
      </c>
      <c r="D387" t="inlineStr">
        <is>
          <t>VÄSTERNORRLANDS LÄN</t>
        </is>
      </c>
      <c r="E387" t="inlineStr">
        <is>
          <t>TIMRÅ</t>
        </is>
      </c>
      <c r="G387" t="n">
        <v>4.4</v>
      </c>
      <c r="H387" t="n">
        <v>0</v>
      </c>
      <c r="I387" t="n">
        <v>0</v>
      </c>
      <c r="J387" t="n">
        <v>0</v>
      </c>
      <c r="K387" t="n">
        <v>0</v>
      </c>
      <c r="L387" t="n">
        <v>0</v>
      </c>
      <c r="M387" t="n">
        <v>0</v>
      </c>
      <c r="N387" t="n">
        <v>0</v>
      </c>
      <c r="O387" t="n">
        <v>0</v>
      </c>
      <c r="P387" t="n">
        <v>0</v>
      </c>
      <c r="Q387" t="n">
        <v>0</v>
      </c>
      <c r="R387" s="2" t="inlineStr"/>
    </row>
    <row r="388" ht="15" customHeight="1">
      <c r="A388" t="inlineStr">
        <is>
          <t>A 4123-2023</t>
        </is>
      </c>
      <c r="B388" s="1" t="n">
        <v>44952</v>
      </c>
      <c r="C388" s="1" t="n">
        <v>45357</v>
      </c>
      <c r="D388" t="inlineStr">
        <is>
          <t>VÄSTERNORRLANDS LÄN</t>
        </is>
      </c>
      <c r="E388" t="inlineStr">
        <is>
          <t>TIMRÅ</t>
        </is>
      </c>
      <c r="G388" t="n">
        <v>9.5</v>
      </c>
      <c r="H388" t="n">
        <v>0</v>
      </c>
      <c r="I388" t="n">
        <v>0</v>
      </c>
      <c r="J388" t="n">
        <v>0</v>
      </c>
      <c r="K388" t="n">
        <v>0</v>
      </c>
      <c r="L388" t="n">
        <v>0</v>
      </c>
      <c r="M388" t="n">
        <v>0</v>
      </c>
      <c r="N388" t="n">
        <v>0</v>
      </c>
      <c r="O388" t="n">
        <v>0</v>
      </c>
      <c r="P388" t="n">
        <v>0</v>
      </c>
      <c r="Q388" t="n">
        <v>0</v>
      </c>
      <c r="R388" s="2" t="inlineStr"/>
    </row>
    <row r="389" ht="15" customHeight="1">
      <c r="A389" t="inlineStr">
        <is>
          <t>A 4126-2023</t>
        </is>
      </c>
      <c r="B389" s="1" t="n">
        <v>44952</v>
      </c>
      <c r="C389" s="1" t="n">
        <v>45357</v>
      </c>
      <c r="D389" t="inlineStr">
        <is>
          <t>VÄSTERNORRLANDS LÄN</t>
        </is>
      </c>
      <c r="E389" t="inlineStr">
        <is>
          <t>TIMRÅ</t>
        </is>
      </c>
      <c r="G389" t="n">
        <v>1.7</v>
      </c>
      <c r="H389" t="n">
        <v>0</v>
      </c>
      <c r="I389" t="n">
        <v>0</v>
      </c>
      <c r="J389" t="n">
        <v>0</v>
      </c>
      <c r="K389" t="n">
        <v>0</v>
      </c>
      <c r="L389" t="n">
        <v>0</v>
      </c>
      <c r="M389" t="n">
        <v>0</v>
      </c>
      <c r="N389" t="n">
        <v>0</v>
      </c>
      <c r="O389" t="n">
        <v>0</v>
      </c>
      <c r="P389" t="n">
        <v>0</v>
      </c>
      <c r="Q389" t="n">
        <v>0</v>
      </c>
      <c r="R389" s="2" t="inlineStr"/>
    </row>
    <row r="390" ht="15" customHeight="1">
      <c r="A390" t="inlineStr">
        <is>
          <t>A 4125-2023</t>
        </is>
      </c>
      <c r="B390" s="1" t="n">
        <v>44952</v>
      </c>
      <c r="C390" s="1" t="n">
        <v>45357</v>
      </c>
      <c r="D390" t="inlineStr">
        <is>
          <t>VÄSTERNORRLANDS LÄN</t>
        </is>
      </c>
      <c r="E390" t="inlineStr">
        <is>
          <t>TIMRÅ</t>
        </is>
      </c>
      <c r="G390" t="n">
        <v>2.3</v>
      </c>
      <c r="H390" t="n">
        <v>0</v>
      </c>
      <c r="I390" t="n">
        <v>0</v>
      </c>
      <c r="J390" t="n">
        <v>0</v>
      </c>
      <c r="K390" t="n">
        <v>0</v>
      </c>
      <c r="L390" t="n">
        <v>0</v>
      </c>
      <c r="M390" t="n">
        <v>0</v>
      </c>
      <c r="N390" t="n">
        <v>0</v>
      </c>
      <c r="O390" t="n">
        <v>0</v>
      </c>
      <c r="P390" t="n">
        <v>0</v>
      </c>
      <c r="Q390" t="n">
        <v>0</v>
      </c>
      <c r="R390" s="2" t="inlineStr"/>
    </row>
    <row r="391" ht="15" customHeight="1">
      <c r="A391" t="inlineStr">
        <is>
          <t>A 4129-2023</t>
        </is>
      </c>
      <c r="B391" s="1" t="n">
        <v>44952</v>
      </c>
      <c r="C391" s="1" t="n">
        <v>45357</v>
      </c>
      <c r="D391" t="inlineStr">
        <is>
          <t>VÄSTERNORRLANDS LÄN</t>
        </is>
      </c>
      <c r="E391" t="inlineStr">
        <is>
          <t>TIMRÅ</t>
        </is>
      </c>
      <c r="G391" t="n">
        <v>13.3</v>
      </c>
      <c r="H391" t="n">
        <v>0</v>
      </c>
      <c r="I391" t="n">
        <v>0</v>
      </c>
      <c r="J391" t="n">
        <v>0</v>
      </c>
      <c r="K391" t="n">
        <v>0</v>
      </c>
      <c r="L391" t="n">
        <v>0</v>
      </c>
      <c r="M391" t="n">
        <v>0</v>
      </c>
      <c r="N391" t="n">
        <v>0</v>
      </c>
      <c r="O391" t="n">
        <v>0</v>
      </c>
      <c r="P391" t="n">
        <v>0</v>
      </c>
      <c r="Q391" t="n">
        <v>0</v>
      </c>
      <c r="R391" s="2" t="inlineStr"/>
    </row>
    <row r="392" ht="15" customHeight="1">
      <c r="A392" t="inlineStr">
        <is>
          <t>A 6772-2023</t>
        </is>
      </c>
      <c r="B392" s="1" t="n">
        <v>44966</v>
      </c>
      <c r="C392" s="1" t="n">
        <v>45357</v>
      </c>
      <c r="D392" t="inlineStr">
        <is>
          <t>VÄSTERNORRLANDS LÄN</t>
        </is>
      </c>
      <c r="E392" t="inlineStr">
        <is>
          <t>TIMRÅ</t>
        </is>
      </c>
      <c r="G392" t="n">
        <v>1.9</v>
      </c>
      <c r="H392" t="n">
        <v>0</v>
      </c>
      <c r="I392" t="n">
        <v>0</v>
      </c>
      <c r="J392" t="n">
        <v>0</v>
      </c>
      <c r="K392" t="n">
        <v>0</v>
      </c>
      <c r="L392" t="n">
        <v>0</v>
      </c>
      <c r="M392" t="n">
        <v>0</v>
      </c>
      <c r="N392" t="n">
        <v>0</v>
      </c>
      <c r="O392" t="n">
        <v>0</v>
      </c>
      <c r="P392" t="n">
        <v>0</v>
      </c>
      <c r="Q392" t="n">
        <v>0</v>
      </c>
      <c r="R392" s="2" t="inlineStr"/>
    </row>
    <row r="393" ht="15" customHeight="1">
      <c r="A393" t="inlineStr">
        <is>
          <t>A 6770-2023</t>
        </is>
      </c>
      <c r="B393" s="1" t="n">
        <v>44966</v>
      </c>
      <c r="C393" s="1" t="n">
        <v>45357</v>
      </c>
      <c r="D393" t="inlineStr">
        <is>
          <t>VÄSTERNORRLANDS LÄN</t>
        </is>
      </c>
      <c r="E393" t="inlineStr">
        <is>
          <t>TIMRÅ</t>
        </is>
      </c>
      <c r="G393" t="n">
        <v>3.3</v>
      </c>
      <c r="H393" t="n">
        <v>0</v>
      </c>
      <c r="I393" t="n">
        <v>0</v>
      </c>
      <c r="J393" t="n">
        <v>0</v>
      </c>
      <c r="K393" t="n">
        <v>0</v>
      </c>
      <c r="L393" t="n">
        <v>0</v>
      </c>
      <c r="M393" t="n">
        <v>0</v>
      </c>
      <c r="N393" t="n">
        <v>0</v>
      </c>
      <c r="O393" t="n">
        <v>0</v>
      </c>
      <c r="P393" t="n">
        <v>0</v>
      </c>
      <c r="Q393" t="n">
        <v>0</v>
      </c>
      <c r="R393" s="2" t="inlineStr"/>
    </row>
    <row r="394" ht="15" customHeight="1">
      <c r="A394" t="inlineStr">
        <is>
          <t>A 6771-2023</t>
        </is>
      </c>
      <c r="B394" s="1" t="n">
        <v>44966</v>
      </c>
      <c r="C394" s="1" t="n">
        <v>45357</v>
      </c>
      <c r="D394" t="inlineStr">
        <is>
          <t>VÄSTERNORRLANDS LÄN</t>
        </is>
      </c>
      <c r="E394" t="inlineStr">
        <is>
          <t>TIMRÅ</t>
        </is>
      </c>
      <c r="G394" t="n">
        <v>3</v>
      </c>
      <c r="H394" t="n">
        <v>0</v>
      </c>
      <c r="I394" t="n">
        <v>0</v>
      </c>
      <c r="J394" t="n">
        <v>0</v>
      </c>
      <c r="K394" t="n">
        <v>0</v>
      </c>
      <c r="L394" t="n">
        <v>0</v>
      </c>
      <c r="M394" t="n">
        <v>0</v>
      </c>
      <c r="N394" t="n">
        <v>0</v>
      </c>
      <c r="O394" t="n">
        <v>0</v>
      </c>
      <c r="P394" t="n">
        <v>0</v>
      </c>
      <c r="Q394" t="n">
        <v>0</v>
      </c>
      <c r="R394" s="2" t="inlineStr"/>
    </row>
    <row r="395" ht="15" customHeight="1">
      <c r="A395" t="inlineStr">
        <is>
          <t>A 8632-2023</t>
        </is>
      </c>
      <c r="B395" s="1" t="n">
        <v>44977</v>
      </c>
      <c r="C395" s="1" t="n">
        <v>45357</v>
      </c>
      <c r="D395" t="inlineStr">
        <is>
          <t>VÄSTERNORRLANDS LÄN</t>
        </is>
      </c>
      <c r="E395" t="inlineStr">
        <is>
          <t>TIMRÅ</t>
        </is>
      </c>
      <c r="G395" t="n">
        <v>0.8</v>
      </c>
      <c r="H395" t="n">
        <v>0</v>
      </c>
      <c r="I395" t="n">
        <v>0</v>
      </c>
      <c r="J395" t="n">
        <v>0</v>
      </c>
      <c r="K395" t="n">
        <v>0</v>
      </c>
      <c r="L395" t="n">
        <v>0</v>
      </c>
      <c r="M395" t="n">
        <v>0</v>
      </c>
      <c r="N395" t="n">
        <v>0</v>
      </c>
      <c r="O395" t="n">
        <v>0</v>
      </c>
      <c r="P395" t="n">
        <v>0</v>
      </c>
      <c r="Q395" t="n">
        <v>0</v>
      </c>
      <c r="R395" s="2" t="inlineStr"/>
    </row>
    <row r="396" ht="15" customHeight="1">
      <c r="A396" t="inlineStr">
        <is>
          <t>A 9612-2023</t>
        </is>
      </c>
      <c r="B396" s="1" t="n">
        <v>44983</v>
      </c>
      <c r="C396" s="1" t="n">
        <v>45357</v>
      </c>
      <c r="D396" t="inlineStr">
        <is>
          <t>VÄSTERNORRLANDS LÄN</t>
        </is>
      </c>
      <c r="E396" t="inlineStr">
        <is>
          <t>TIMRÅ</t>
        </is>
      </c>
      <c r="F396" t="inlineStr">
        <is>
          <t>SCA</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9880-2023</t>
        </is>
      </c>
      <c r="B397" s="1" t="n">
        <v>44984</v>
      </c>
      <c r="C397" s="1" t="n">
        <v>45357</v>
      </c>
      <c r="D397" t="inlineStr">
        <is>
          <t>VÄSTERNORRLANDS LÄN</t>
        </is>
      </c>
      <c r="E397" t="inlineStr">
        <is>
          <t>TIMRÅ</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10103-2023</t>
        </is>
      </c>
      <c r="B398" s="1" t="n">
        <v>44985</v>
      </c>
      <c r="C398" s="1" t="n">
        <v>45357</v>
      </c>
      <c r="D398" t="inlineStr">
        <is>
          <t>VÄSTERNORRLANDS LÄN</t>
        </is>
      </c>
      <c r="E398" t="inlineStr">
        <is>
          <t>TIMRÅ</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10104-2023</t>
        </is>
      </c>
      <c r="B399" s="1" t="n">
        <v>44985</v>
      </c>
      <c r="C399" s="1" t="n">
        <v>45357</v>
      </c>
      <c r="D399" t="inlineStr">
        <is>
          <t>VÄSTERNORRLANDS LÄN</t>
        </is>
      </c>
      <c r="E399" t="inlineStr">
        <is>
          <t>TIMRÅ</t>
        </is>
      </c>
      <c r="F399" t="inlineStr">
        <is>
          <t>SCA</t>
        </is>
      </c>
      <c r="G399" t="n">
        <v>10.5</v>
      </c>
      <c r="H399" t="n">
        <v>0</v>
      </c>
      <c r="I399" t="n">
        <v>0</v>
      </c>
      <c r="J399" t="n">
        <v>0</v>
      </c>
      <c r="K399" t="n">
        <v>0</v>
      </c>
      <c r="L399" t="n">
        <v>0</v>
      </c>
      <c r="M399" t="n">
        <v>0</v>
      </c>
      <c r="N399" t="n">
        <v>0</v>
      </c>
      <c r="O399" t="n">
        <v>0</v>
      </c>
      <c r="P399" t="n">
        <v>0</v>
      </c>
      <c r="Q399" t="n">
        <v>0</v>
      </c>
      <c r="R399" s="2" t="inlineStr"/>
    </row>
    <row r="400" ht="15" customHeight="1">
      <c r="A400" t="inlineStr">
        <is>
          <t>A 10312-2023</t>
        </is>
      </c>
      <c r="B400" s="1" t="n">
        <v>44986</v>
      </c>
      <c r="C400" s="1" t="n">
        <v>45357</v>
      </c>
      <c r="D400" t="inlineStr">
        <is>
          <t>VÄSTERNORRLANDS LÄN</t>
        </is>
      </c>
      <c r="E400" t="inlineStr">
        <is>
          <t>TIMRÅ</t>
        </is>
      </c>
      <c r="F400" t="inlineStr">
        <is>
          <t>SCA</t>
        </is>
      </c>
      <c r="G400" t="n">
        <v>38.4</v>
      </c>
      <c r="H400" t="n">
        <v>0</v>
      </c>
      <c r="I400" t="n">
        <v>0</v>
      </c>
      <c r="J400" t="n">
        <v>0</v>
      </c>
      <c r="K400" t="n">
        <v>0</v>
      </c>
      <c r="L400" t="n">
        <v>0</v>
      </c>
      <c r="M400" t="n">
        <v>0</v>
      </c>
      <c r="N400" t="n">
        <v>0</v>
      </c>
      <c r="O400" t="n">
        <v>0</v>
      </c>
      <c r="P400" t="n">
        <v>0</v>
      </c>
      <c r="Q400" t="n">
        <v>0</v>
      </c>
      <c r="R400" s="2" t="inlineStr"/>
    </row>
    <row r="401" ht="15" customHeight="1">
      <c r="A401" t="inlineStr">
        <is>
          <t>A 10556-2023</t>
        </is>
      </c>
      <c r="B401" s="1" t="n">
        <v>44987</v>
      </c>
      <c r="C401" s="1" t="n">
        <v>45357</v>
      </c>
      <c r="D401" t="inlineStr">
        <is>
          <t>VÄSTERNORRLANDS LÄN</t>
        </is>
      </c>
      <c r="E401" t="inlineStr">
        <is>
          <t>TIMRÅ</t>
        </is>
      </c>
      <c r="F401" t="inlineStr">
        <is>
          <t>SCA</t>
        </is>
      </c>
      <c r="G401" t="n">
        <v>9.5</v>
      </c>
      <c r="H401" t="n">
        <v>0</v>
      </c>
      <c r="I401" t="n">
        <v>0</v>
      </c>
      <c r="J401" t="n">
        <v>0</v>
      </c>
      <c r="K401" t="n">
        <v>0</v>
      </c>
      <c r="L401" t="n">
        <v>0</v>
      </c>
      <c r="M401" t="n">
        <v>0</v>
      </c>
      <c r="N401" t="n">
        <v>0</v>
      </c>
      <c r="O401" t="n">
        <v>0</v>
      </c>
      <c r="P401" t="n">
        <v>0</v>
      </c>
      <c r="Q401" t="n">
        <v>0</v>
      </c>
      <c r="R401" s="2" t="inlineStr"/>
    </row>
    <row r="402" ht="15" customHeight="1">
      <c r="A402" t="inlineStr">
        <is>
          <t>A 10773-2023</t>
        </is>
      </c>
      <c r="B402" s="1" t="n">
        <v>44988</v>
      </c>
      <c r="C402" s="1" t="n">
        <v>45357</v>
      </c>
      <c r="D402" t="inlineStr">
        <is>
          <t>VÄSTERNORRLANDS LÄN</t>
        </is>
      </c>
      <c r="E402" t="inlineStr">
        <is>
          <t>TIMRÅ</t>
        </is>
      </c>
      <c r="F402" t="inlineStr">
        <is>
          <t>SCA</t>
        </is>
      </c>
      <c r="G402" t="n">
        <v>17.3</v>
      </c>
      <c r="H402" t="n">
        <v>0</v>
      </c>
      <c r="I402" t="n">
        <v>0</v>
      </c>
      <c r="J402" t="n">
        <v>0</v>
      </c>
      <c r="K402" t="n">
        <v>0</v>
      </c>
      <c r="L402" t="n">
        <v>0</v>
      </c>
      <c r="M402" t="n">
        <v>0</v>
      </c>
      <c r="N402" t="n">
        <v>0</v>
      </c>
      <c r="O402" t="n">
        <v>0</v>
      </c>
      <c r="P402" t="n">
        <v>0</v>
      </c>
      <c r="Q402" t="n">
        <v>0</v>
      </c>
      <c r="R402" s="2" t="inlineStr"/>
    </row>
    <row r="403" ht="15" customHeight="1">
      <c r="A403" t="inlineStr">
        <is>
          <t>A 13256-2023</t>
        </is>
      </c>
      <c r="B403" s="1" t="n">
        <v>45002</v>
      </c>
      <c r="C403" s="1" t="n">
        <v>45357</v>
      </c>
      <c r="D403" t="inlineStr">
        <is>
          <t>VÄSTERNORRLANDS LÄN</t>
        </is>
      </c>
      <c r="E403" t="inlineStr">
        <is>
          <t>TIMRÅ</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13254-2023</t>
        </is>
      </c>
      <c r="B404" s="1" t="n">
        <v>45002</v>
      </c>
      <c r="C404" s="1" t="n">
        <v>45357</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13255-2023</t>
        </is>
      </c>
      <c r="B405" s="1" t="n">
        <v>45002</v>
      </c>
      <c r="C405" s="1" t="n">
        <v>45357</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13253-2023</t>
        </is>
      </c>
      <c r="B406" s="1" t="n">
        <v>45002</v>
      </c>
      <c r="C406" s="1" t="n">
        <v>45357</v>
      </c>
      <c r="D406" t="inlineStr">
        <is>
          <t>VÄSTERNORRLANDS LÄN</t>
        </is>
      </c>
      <c r="E406" t="inlineStr">
        <is>
          <t>TIMRÅ</t>
        </is>
      </c>
      <c r="F406" t="inlineStr">
        <is>
          <t>SCA</t>
        </is>
      </c>
      <c r="G406" t="n">
        <v>10.1</v>
      </c>
      <c r="H406" t="n">
        <v>0</v>
      </c>
      <c r="I406" t="n">
        <v>0</v>
      </c>
      <c r="J406" t="n">
        <v>0</v>
      </c>
      <c r="K406" t="n">
        <v>0</v>
      </c>
      <c r="L406" t="n">
        <v>0</v>
      </c>
      <c r="M406" t="n">
        <v>0</v>
      </c>
      <c r="N406" t="n">
        <v>0</v>
      </c>
      <c r="O406" t="n">
        <v>0</v>
      </c>
      <c r="P406" t="n">
        <v>0</v>
      </c>
      <c r="Q406" t="n">
        <v>0</v>
      </c>
      <c r="R406" s="2" t="inlineStr"/>
    </row>
    <row r="407" ht="15" customHeight="1">
      <c r="A407" t="inlineStr">
        <is>
          <t>A 13446-2023</t>
        </is>
      </c>
      <c r="B407" s="1" t="n">
        <v>45005</v>
      </c>
      <c r="C407" s="1" t="n">
        <v>45357</v>
      </c>
      <c r="D407" t="inlineStr">
        <is>
          <t>VÄSTERNORRLANDS LÄN</t>
        </is>
      </c>
      <c r="E407" t="inlineStr">
        <is>
          <t>TIMRÅ</t>
        </is>
      </c>
      <c r="G407" t="n">
        <v>1.6</v>
      </c>
      <c r="H407" t="n">
        <v>0</v>
      </c>
      <c r="I407" t="n">
        <v>0</v>
      </c>
      <c r="J407" t="n">
        <v>0</v>
      </c>
      <c r="K407" t="n">
        <v>0</v>
      </c>
      <c r="L407" t="n">
        <v>0</v>
      </c>
      <c r="M407" t="n">
        <v>0</v>
      </c>
      <c r="N407" t="n">
        <v>0</v>
      </c>
      <c r="O407" t="n">
        <v>0</v>
      </c>
      <c r="P407" t="n">
        <v>0</v>
      </c>
      <c r="Q407" t="n">
        <v>0</v>
      </c>
      <c r="R407" s="2" t="inlineStr"/>
    </row>
    <row r="408" ht="15" customHeight="1">
      <c r="A408" t="inlineStr">
        <is>
          <t>A 14865-2023</t>
        </is>
      </c>
      <c r="B408" s="1" t="n">
        <v>45015</v>
      </c>
      <c r="C408" s="1" t="n">
        <v>45357</v>
      </c>
      <c r="D408" t="inlineStr">
        <is>
          <t>VÄSTERNORRLANDS LÄN</t>
        </is>
      </c>
      <c r="E408" t="inlineStr">
        <is>
          <t>TIMRÅ</t>
        </is>
      </c>
      <c r="F408" t="inlineStr">
        <is>
          <t>SCA</t>
        </is>
      </c>
      <c r="G408" t="n">
        <v>20.1</v>
      </c>
      <c r="H408" t="n">
        <v>0</v>
      </c>
      <c r="I408" t="n">
        <v>0</v>
      </c>
      <c r="J408" t="n">
        <v>0</v>
      </c>
      <c r="K408" t="n">
        <v>0</v>
      </c>
      <c r="L408" t="n">
        <v>0</v>
      </c>
      <c r="M408" t="n">
        <v>0</v>
      </c>
      <c r="N408" t="n">
        <v>0</v>
      </c>
      <c r="O408" t="n">
        <v>0</v>
      </c>
      <c r="P408" t="n">
        <v>0</v>
      </c>
      <c r="Q408" t="n">
        <v>0</v>
      </c>
      <c r="R408" s="2" t="inlineStr"/>
    </row>
    <row r="409" ht="15" customHeight="1">
      <c r="A409" t="inlineStr">
        <is>
          <t>A 14863-2023</t>
        </is>
      </c>
      <c r="B409" s="1" t="n">
        <v>45015</v>
      </c>
      <c r="C409" s="1" t="n">
        <v>45357</v>
      </c>
      <c r="D409" t="inlineStr">
        <is>
          <t>VÄSTERNORRLANDS LÄN</t>
        </is>
      </c>
      <c r="E409" t="inlineStr">
        <is>
          <t>TIMRÅ</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14864-2023</t>
        </is>
      </c>
      <c r="B410" s="1" t="n">
        <v>45015</v>
      </c>
      <c r="C410" s="1" t="n">
        <v>45357</v>
      </c>
      <c r="D410" t="inlineStr">
        <is>
          <t>VÄSTERNORRLANDS LÄN</t>
        </is>
      </c>
      <c r="E410" t="inlineStr">
        <is>
          <t>TIMRÅ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15815-2023</t>
        </is>
      </c>
      <c r="B411" s="1" t="n">
        <v>45022</v>
      </c>
      <c r="C411" s="1" t="n">
        <v>45357</v>
      </c>
      <c r="D411" t="inlineStr">
        <is>
          <t>VÄSTERNORRLANDS LÄN</t>
        </is>
      </c>
      <c r="E411" t="inlineStr">
        <is>
          <t>TIMRÅ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15820-2023</t>
        </is>
      </c>
      <c r="B412" s="1" t="n">
        <v>45022</v>
      </c>
      <c r="C412" s="1" t="n">
        <v>45357</v>
      </c>
      <c r="D412" t="inlineStr">
        <is>
          <t>VÄSTERNORRLANDS LÄN</t>
        </is>
      </c>
      <c r="E412" t="inlineStr">
        <is>
          <t>TIMRÅ</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15816-2023</t>
        </is>
      </c>
      <c r="B413" s="1" t="n">
        <v>45021</v>
      </c>
      <c r="C413" s="1" t="n">
        <v>45357</v>
      </c>
      <c r="D413" t="inlineStr">
        <is>
          <t>VÄSTERNORRLANDS LÄN</t>
        </is>
      </c>
      <c r="E413" t="inlineStr">
        <is>
          <t>TIMRÅ</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15821-2023</t>
        </is>
      </c>
      <c r="B414" s="1" t="n">
        <v>45022</v>
      </c>
      <c r="C414" s="1" t="n">
        <v>45357</v>
      </c>
      <c r="D414" t="inlineStr">
        <is>
          <t>VÄSTERNORRLANDS LÄN</t>
        </is>
      </c>
      <c r="E414" t="inlineStr">
        <is>
          <t>TIMRÅ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15823-2023</t>
        </is>
      </c>
      <c r="B415" s="1" t="n">
        <v>45021</v>
      </c>
      <c r="C415" s="1" t="n">
        <v>45357</v>
      </c>
      <c r="D415" t="inlineStr">
        <is>
          <t>VÄSTERNORRLANDS LÄN</t>
        </is>
      </c>
      <c r="E415" t="inlineStr">
        <is>
          <t>TIMRÅ</t>
        </is>
      </c>
      <c r="F415" t="inlineStr">
        <is>
          <t>SCA</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16554-2023</t>
        </is>
      </c>
      <c r="B416" s="1" t="n">
        <v>45029</v>
      </c>
      <c r="C416" s="1" t="n">
        <v>45357</v>
      </c>
      <c r="D416" t="inlineStr">
        <is>
          <t>VÄSTERNORRLANDS LÄN</t>
        </is>
      </c>
      <c r="E416" t="inlineStr">
        <is>
          <t>TIMRÅ</t>
        </is>
      </c>
      <c r="G416" t="n">
        <v>3.8</v>
      </c>
      <c r="H416" t="n">
        <v>0</v>
      </c>
      <c r="I416" t="n">
        <v>0</v>
      </c>
      <c r="J416" t="n">
        <v>0</v>
      </c>
      <c r="K416" t="n">
        <v>0</v>
      </c>
      <c r="L416" t="n">
        <v>0</v>
      </c>
      <c r="M416" t="n">
        <v>0</v>
      </c>
      <c r="N416" t="n">
        <v>0</v>
      </c>
      <c r="O416" t="n">
        <v>0</v>
      </c>
      <c r="P416" t="n">
        <v>0</v>
      </c>
      <c r="Q416" t="n">
        <v>0</v>
      </c>
      <c r="R416" s="2" t="inlineStr"/>
    </row>
    <row r="417" ht="15" customHeight="1">
      <c r="A417" t="inlineStr">
        <is>
          <t>A 16555-2023</t>
        </is>
      </c>
      <c r="B417" s="1" t="n">
        <v>45029</v>
      </c>
      <c r="C417" s="1" t="n">
        <v>45357</v>
      </c>
      <c r="D417" t="inlineStr">
        <is>
          <t>VÄSTERNORRLANDS LÄN</t>
        </is>
      </c>
      <c r="E417" t="inlineStr">
        <is>
          <t>TIMRÅ</t>
        </is>
      </c>
      <c r="G417" t="n">
        <v>0.7</v>
      </c>
      <c r="H417" t="n">
        <v>0</v>
      </c>
      <c r="I417" t="n">
        <v>0</v>
      </c>
      <c r="J417" t="n">
        <v>0</v>
      </c>
      <c r="K417" t="n">
        <v>0</v>
      </c>
      <c r="L417" t="n">
        <v>0</v>
      </c>
      <c r="M417" t="n">
        <v>0</v>
      </c>
      <c r="N417" t="n">
        <v>0</v>
      </c>
      <c r="O417" t="n">
        <v>0</v>
      </c>
      <c r="P417" t="n">
        <v>0</v>
      </c>
      <c r="Q417" t="n">
        <v>0</v>
      </c>
      <c r="R417" s="2" t="inlineStr"/>
    </row>
    <row r="418" ht="15" customHeight="1">
      <c r="A418" t="inlineStr">
        <is>
          <t>A 16786-2023</t>
        </is>
      </c>
      <c r="B418" s="1" t="n">
        <v>45032</v>
      </c>
      <c r="C418" s="1" t="n">
        <v>45357</v>
      </c>
      <c r="D418" t="inlineStr">
        <is>
          <t>VÄSTERNORRLANDS LÄN</t>
        </is>
      </c>
      <c r="E418" t="inlineStr">
        <is>
          <t>TIMRÅ</t>
        </is>
      </c>
      <c r="F418" t="inlineStr">
        <is>
          <t>SCA</t>
        </is>
      </c>
      <c r="G418" t="n">
        <v>6.1</v>
      </c>
      <c r="H418" t="n">
        <v>0</v>
      </c>
      <c r="I418" t="n">
        <v>0</v>
      </c>
      <c r="J418" t="n">
        <v>0</v>
      </c>
      <c r="K418" t="n">
        <v>0</v>
      </c>
      <c r="L418" t="n">
        <v>0</v>
      </c>
      <c r="M418" t="n">
        <v>0</v>
      </c>
      <c r="N418" t="n">
        <v>0</v>
      </c>
      <c r="O418" t="n">
        <v>0</v>
      </c>
      <c r="P418" t="n">
        <v>0</v>
      </c>
      <c r="Q418" t="n">
        <v>0</v>
      </c>
      <c r="R418" s="2" t="inlineStr"/>
    </row>
    <row r="419" ht="15" customHeight="1">
      <c r="A419" t="inlineStr">
        <is>
          <t>A 17002-2023</t>
        </is>
      </c>
      <c r="B419" s="1" t="n">
        <v>45033</v>
      </c>
      <c r="C419" s="1" t="n">
        <v>45357</v>
      </c>
      <c r="D419" t="inlineStr">
        <is>
          <t>VÄSTERNORRLANDS LÄN</t>
        </is>
      </c>
      <c r="E419" t="inlineStr">
        <is>
          <t>TIMRÅ</t>
        </is>
      </c>
      <c r="F419" t="inlineStr">
        <is>
          <t>SCA</t>
        </is>
      </c>
      <c r="G419" t="n">
        <v>12.7</v>
      </c>
      <c r="H419" t="n">
        <v>0</v>
      </c>
      <c r="I419" t="n">
        <v>0</v>
      </c>
      <c r="J419" t="n">
        <v>0</v>
      </c>
      <c r="K419" t="n">
        <v>0</v>
      </c>
      <c r="L419" t="n">
        <v>0</v>
      </c>
      <c r="M419" t="n">
        <v>0</v>
      </c>
      <c r="N419" t="n">
        <v>0</v>
      </c>
      <c r="O419" t="n">
        <v>0</v>
      </c>
      <c r="P419" t="n">
        <v>0</v>
      </c>
      <c r="Q419" t="n">
        <v>0</v>
      </c>
      <c r="R419" s="2" t="inlineStr"/>
    </row>
    <row r="420" ht="15" customHeight="1">
      <c r="A420" t="inlineStr">
        <is>
          <t>A 17441-2023</t>
        </is>
      </c>
      <c r="B420" s="1" t="n">
        <v>45036</v>
      </c>
      <c r="C420" s="1" t="n">
        <v>45357</v>
      </c>
      <c r="D420" t="inlineStr">
        <is>
          <t>VÄSTERNORRLANDS LÄN</t>
        </is>
      </c>
      <c r="E420" t="inlineStr">
        <is>
          <t>TIMRÅ</t>
        </is>
      </c>
      <c r="F420" t="inlineStr">
        <is>
          <t>SCA</t>
        </is>
      </c>
      <c r="G420" t="n">
        <v>7.4</v>
      </c>
      <c r="H420" t="n">
        <v>0</v>
      </c>
      <c r="I420" t="n">
        <v>0</v>
      </c>
      <c r="J420" t="n">
        <v>0</v>
      </c>
      <c r="K420" t="n">
        <v>0</v>
      </c>
      <c r="L420" t="n">
        <v>0</v>
      </c>
      <c r="M420" t="n">
        <v>0</v>
      </c>
      <c r="N420" t="n">
        <v>0</v>
      </c>
      <c r="O420" t="n">
        <v>0</v>
      </c>
      <c r="P420" t="n">
        <v>0</v>
      </c>
      <c r="Q420" t="n">
        <v>0</v>
      </c>
      <c r="R420" s="2" t="inlineStr"/>
    </row>
    <row r="421" ht="15" customHeight="1">
      <c r="A421" t="inlineStr">
        <is>
          <t>A 17865-2023</t>
        </is>
      </c>
      <c r="B421" s="1" t="n">
        <v>45038</v>
      </c>
      <c r="C421" s="1" t="n">
        <v>45357</v>
      </c>
      <c r="D421" t="inlineStr">
        <is>
          <t>VÄSTERNORRLANDS LÄN</t>
        </is>
      </c>
      <c r="E421" t="inlineStr">
        <is>
          <t>TIMRÅ</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17936-2023</t>
        </is>
      </c>
      <c r="B422" s="1" t="n">
        <v>45040</v>
      </c>
      <c r="C422" s="1" t="n">
        <v>45357</v>
      </c>
      <c r="D422" t="inlineStr">
        <is>
          <t>VÄSTERNORRLANDS LÄN</t>
        </is>
      </c>
      <c r="E422" t="inlineStr">
        <is>
          <t>TIMRÅ</t>
        </is>
      </c>
      <c r="G422" t="n">
        <v>4.8</v>
      </c>
      <c r="H422" t="n">
        <v>0</v>
      </c>
      <c r="I422" t="n">
        <v>0</v>
      </c>
      <c r="J422" t="n">
        <v>0</v>
      </c>
      <c r="K422" t="n">
        <v>0</v>
      </c>
      <c r="L422" t="n">
        <v>0</v>
      </c>
      <c r="M422" t="n">
        <v>0</v>
      </c>
      <c r="N422" t="n">
        <v>0</v>
      </c>
      <c r="O422" t="n">
        <v>0</v>
      </c>
      <c r="P422" t="n">
        <v>0</v>
      </c>
      <c r="Q422" t="n">
        <v>0</v>
      </c>
      <c r="R422" s="2" t="inlineStr"/>
    </row>
    <row r="423" ht="15" customHeight="1">
      <c r="A423" t="inlineStr">
        <is>
          <t>A 18289-2023</t>
        </is>
      </c>
      <c r="B423" s="1" t="n">
        <v>45040</v>
      </c>
      <c r="C423" s="1" t="n">
        <v>45357</v>
      </c>
      <c r="D423" t="inlineStr">
        <is>
          <t>VÄSTERNORRLANDS LÄN</t>
        </is>
      </c>
      <c r="E423" t="inlineStr">
        <is>
          <t>TIMRÅ</t>
        </is>
      </c>
      <c r="G423" t="n">
        <v>4.5</v>
      </c>
      <c r="H423" t="n">
        <v>0</v>
      </c>
      <c r="I423" t="n">
        <v>0</v>
      </c>
      <c r="J423" t="n">
        <v>0</v>
      </c>
      <c r="K423" t="n">
        <v>0</v>
      </c>
      <c r="L423" t="n">
        <v>0</v>
      </c>
      <c r="M423" t="n">
        <v>0</v>
      </c>
      <c r="N423" t="n">
        <v>0</v>
      </c>
      <c r="O423" t="n">
        <v>0</v>
      </c>
      <c r="P423" t="n">
        <v>0</v>
      </c>
      <c r="Q423" t="n">
        <v>0</v>
      </c>
      <c r="R423" s="2" t="inlineStr"/>
    </row>
    <row r="424" ht="15" customHeight="1">
      <c r="A424" t="inlineStr">
        <is>
          <t>A 18684-2023</t>
        </is>
      </c>
      <c r="B424" s="1" t="n">
        <v>45042</v>
      </c>
      <c r="C424" s="1" t="n">
        <v>45357</v>
      </c>
      <c r="D424" t="inlineStr">
        <is>
          <t>VÄSTERNORRLANDS LÄN</t>
        </is>
      </c>
      <c r="E424" t="inlineStr">
        <is>
          <t>TIMRÅ</t>
        </is>
      </c>
      <c r="G424" t="n">
        <v>5.7</v>
      </c>
      <c r="H424" t="n">
        <v>0</v>
      </c>
      <c r="I424" t="n">
        <v>0</v>
      </c>
      <c r="J424" t="n">
        <v>0</v>
      </c>
      <c r="K424" t="n">
        <v>0</v>
      </c>
      <c r="L424" t="n">
        <v>0</v>
      </c>
      <c r="M424" t="n">
        <v>0</v>
      </c>
      <c r="N424" t="n">
        <v>0</v>
      </c>
      <c r="O424" t="n">
        <v>0</v>
      </c>
      <c r="P424" t="n">
        <v>0</v>
      </c>
      <c r="Q424" t="n">
        <v>0</v>
      </c>
      <c r="R424" s="2" t="inlineStr"/>
    </row>
    <row r="425" ht="15" customHeight="1">
      <c r="A425" t="inlineStr">
        <is>
          <t>A 18778-2023</t>
        </is>
      </c>
      <c r="B425" s="1" t="n">
        <v>45043</v>
      </c>
      <c r="C425" s="1" t="n">
        <v>45357</v>
      </c>
      <c r="D425" t="inlineStr">
        <is>
          <t>VÄSTERNORRLANDS LÄN</t>
        </is>
      </c>
      <c r="E425" t="inlineStr">
        <is>
          <t>TIMRÅ</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19244-2023</t>
        </is>
      </c>
      <c r="B426" s="1" t="n">
        <v>45048</v>
      </c>
      <c r="C426" s="1" t="n">
        <v>45357</v>
      </c>
      <c r="D426" t="inlineStr">
        <is>
          <t>VÄSTERNORRLANDS LÄN</t>
        </is>
      </c>
      <c r="E426" t="inlineStr">
        <is>
          <t>TIMRÅ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19440-2023</t>
        </is>
      </c>
      <c r="B427" s="1" t="n">
        <v>45049</v>
      </c>
      <c r="C427" s="1" t="n">
        <v>45357</v>
      </c>
      <c r="D427" t="inlineStr">
        <is>
          <t>VÄSTERNORRLANDS LÄN</t>
        </is>
      </c>
      <c r="E427" t="inlineStr">
        <is>
          <t>TIMRÅ</t>
        </is>
      </c>
      <c r="F427" t="inlineStr">
        <is>
          <t>SCA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20097-2023</t>
        </is>
      </c>
      <c r="B428" s="1" t="n">
        <v>45055</v>
      </c>
      <c r="C428" s="1" t="n">
        <v>45357</v>
      </c>
      <c r="D428" t="inlineStr">
        <is>
          <t>VÄSTERNORRLANDS LÄN</t>
        </is>
      </c>
      <c r="E428" t="inlineStr">
        <is>
          <t>TIMRÅ</t>
        </is>
      </c>
      <c r="F428" t="inlineStr">
        <is>
          <t>SCA</t>
        </is>
      </c>
      <c r="G428" t="n">
        <v>4.6</v>
      </c>
      <c r="H428" t="n">
        <v>0</v>
      </c>
      <c r="I428" t="n">
        <v>0</v>
      </c>
      <c r="J428" t="n">
        <v>0</v>
      </c>
      <c r="K428" t="n">
        <v>0</v>
      </c>
      <c r="L428" t="n">
        <v>0</v>
      </c>
      <c r="M428" t="n">
        <v>0</v>
      </c>
      <c r="N428" t="n">
        <v>0</v>
      </c>
      <c r="O428" t="n">
        <v>0</v>
      </c>
      <c r="P428" t="n">
        <v>0</v>
      </c>
      <c r="Q428" t="n">
        <v>0</v>
      </c>
      <c r="R428" s="2" t="inlineStr"/>
    </row>
    <row r="429" ht="15" customHeight="1">
      <c r="A429" t="inlineStr">
        <is>
          <t>A 20835-2023</t>
        </is>
      </c>
      <c r="B429" s="1" t="n">
        <v>45058</v>
      </c>
      <c r="C429" s="1" t="n">
        <v>45357</v>
      </c>
      <c r="D429" t="inlineStr">
        <is>
          <t>VÄSTERNORRLANDS LÄN</t>
        </is>
      </c>
      <c r="E429" t="inlineStr">
        <is>
          <t>TIMRÅ</t>
        </is>
      </c>
      <c r="G429" t="n">
        <v>4.4</v>
      </c>
      <c r="H429" t="n">
        <v>0</v>
      </c>
      <c r="I429" t="n">
        <v>0</v>
      </c>
      <c r="J429" t="n">
        <v>0</v>
      </c>
      <c r="K429" t="n">
        <v>0</v>
      </c>
      <c r="L429" t="n">
        <v>0</v>
      </c>
      <c r="M429" t="n">
        <v>0</v>
      </c>
      <c r="N429" t="n">
        <v>0</v>
      </c>
      <c r="O429" t="n">
        <v>0</v>
      </c>
      <c r="P429" t="n">
        <v>0</v>
      </c>
      <c r="Q429" t="n">
        <v>0</v>
      </c>
      <c r="R429" s="2" t="inlineStr"/>
    </row>
    <row r="430" ht="15" customHeight="1">
      <c r="A430" t="inlineStr">
        <is>
          <t>A 20839-2023</t>
        </is>
      </c>
      <c r="B430" s="1" t="n">
        <v>45058</v>
      </c>
      <c r="C430" s="1" t="n">
        <v>45357</v>
      </c>
      <c r="D430" t="inlineStr">
        <is>
          <t>VÄSTERNORRLANDS LÄN</t>
        </is>
      </c>
      <c r="E430" t="inlineStr">
        <is>
          <t>TIMRÅ</t>
        </is>
      </c>
      <c r="G430" t="n">
        <v>7.2</v>
      </c>
      <c r="H430" t="n">
        <v>0</v>
      </c>
      <c r="I430" t="n">
        <v>0</v>
      </c>
      <c r="J430" t="n">
        <v>0</v>
      </c>
      <c r="K430" t="n">
        <v>0</v>
      </c>
      <c r="L430" t="n">
        <v>0</v>
      </c>
      <c r="M430" t="n">
        <v>0</v>
      </c>
      <c r="N430" t="n">
        <v>0</v>
      </c>
      <c r="O430" t="n">
        <v>0</v>
      </c>
      <c r="P430" t="n">
        <v>0</v>
      </c>
      <c r="Q430" t="n">
        <v>0</v>
      </c>
      <c r="R430" s="2" t="inlineStr"/>
    </row>
    <row r="431" ht="15" customHeight="1">
      <c r="A431" t="inlineStr">
        <is>
          <t>A 20837-2023</t>
        </is>
      </c>
      <c r="B431" s="1" t="n">
        <v>45058</v>
      </c>
      <c r="C431" s="1" t="n">
        <v>45357</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20841-2023</t>
        </is>
      </c>
      <c r="B432" s="1" t="n">
        <v>45058</v>
      </c>
      <c r="C432" s="1" t="n">
        <v>45357</v>
      </c>
      <c r="D432" t="inlineStr">
        <is>
          <t>VÄSTERNORRLANDS LÄN</t>
        </is>
      </c>
      <c r="E432" t="inlineStr">
        <is>
          <t>TIMRÅ</t>
        </is>
      </c>
      <c r="G432" t="n">
        <v>2.1</v>
      </c>
      <c r="H432" t="n">
        <v>0</v>
      </c>
      <c r="I432" t="n">
        <v>0</v>
      </c>
      <c r="J432" t="n">
        <v>0</v>
      </c>
      <c r="K432" t="n">
        <v>0</v>
      </c>
      <c r="L432" t="n">
        <v>0</v>
      </c>
      <c r="M432" t="n">
        <v>0</v>
      </c>
      <c r="N432" t="n">
        <v>0</v>
      </c>
      <c r="O432" t="n">
        <v>0</v>
      </c>
      <c r="P432" t="n">
        <v>0</v>
      </c>
      <c r="Q432" t="n">
        <v>0</v>
      </c>
      <c r="R432" s="2" t="inlineStr"/>
    </row>
    <row r="433" ht="15" customHeight="1">
      <c r="A433" t="inlineStr">
        <is>
          <t>A 20834-2023</t>
        </is>
      </c>
      <c r="B433" s="1" t="n">
        <v>45058</v>
      </c>
      <c r="C433" s="1" t="n">
        <v>45357</v>
      </c>
      <c r="D433" t="inlineStr">
        <is>
          <t>VÄSTERNORRLANDS LÄN</t>
        </is>
      </c>
      <c r="E433" t="inlineStr">
        <is>
          <t>TIMRÅ</t>
        </is>
      </c>
      <c r="G433" t="n">
        <v>5</v>
      </c>
      <c r="H433" t="n">
        <v>0</v>
      </c>
      <c r="I433" t="n">
        <v>0</v>
      </c>
      <c r="J433" t="n">
        <v>0</v>
      </c>
      <c r="K433" t="n">
        <v>0</v>
      </c>
      <c r="L433" t="n">
        <v>0</v>
      </c>
      <c r="M433" t="n">
        <v>0</v>
      </c>
      <c r="N433" t="n">
        <v>0</v>
      </c>
      <c r="O433" t="n">
        <v>0</v>
      </c>
      <c r="P433" t="n">
        <v>0</v>
      </c>
      <c r="Q433" t="n">
        <v>0</v>
      </c>
      <c r="R433" s="2" t="inlineStr"/>
    </row>
    <row r="434" ht="15" customHeight="1">
      <c r="A434" t="inlineStr">
        <is>
          <t>A 20843-2023</t>
        </is>
      </c>
      <c r="B434" s="1" t="n">
        <v>45058</v>
      </c>
      <c r="C434" s="1" t="n">
        <v>45357</v>
      </c>
      <c r="D434" t="inlineStr">
        <is>
          <t>VÄSTERNORRLANDS LÄN</t>
        </is>
      </c>
      <c r="E434" t="inlineStr">
        <is>
          <t>TIMRÅ</t>
        </is>
      </c>
      <c r="G434" t="n">
        <v>1.6</v>
      </c>
      <c r="H434" t="n">
        <v>0</v>
      </c>
      <c r="I434" t="n">
        <v>0</v>
      </c>
      <c r="J434" t="n">
        <v>0</v>
      </c>
      <c r="K434" t="n">
        <v>0</v>
      </c>
      <c r="L434" t="n">
        <v>0</v>
      </c>
      <c r="M434" t="n">
        <v>0</v>
      </c>
      <c r="N434" t="n">
        <v>0</v>
      </c>
      <c r="O434" t="n">
        <v>0</v>
      </c>
      <c r="P434" t="n">
        <v>0</v>
      </c>
      <c r="Q434" t="n">
        <v>0</v>
      </c>
      <c r="R434" s="2" t="inlineStr"/>
    </row>
    <row r="435" ht="15" customHeight="1">
      <c r="A435" t="inlineStr">
        <is>
          <t>A 20840-2023</t>
        </is>
      </c>
      <c r="B435" s="1" t="n">
        <v>45058</v>
      </c>
      <c r="C435" s="1" t="n">
        <v>45357</v>
      </c>
      <c r="D435" t="inlineStr">
        <is>
          <t>VÄSTERNORRLANDS LÄN</t>
        </is>
      </c>
      <c r="E435" t="inlineStr">
        <is>
          <t>TIMRÅ</t>
        </is>
      </c>
      <c r="G435" t="n">
        <v>3.1</v>
      </c>
      <c r="H435" t="n">
        <v>0</v>
      </c>
      <c r="I435" t="n">
        <v>0</v>
      </c>
      <c r="J435" t="n">
        <v>0</v>
      </c>
      <c r="K435" t="n">
        <v>0</v>
      </c>
      <c r="L435" t="n">
        <v>0</v>
      </c>
      <c r="M435" t="n">
        <v>0</v>
      </c>
      <c r="N435" t="n">
        <v>0</v>
      </c>
      <c r="O435" t="n">
        <v>0</v>
      </c>
      <c r="P435" t="n">
        <v>0</v>
      </c>
      <c r="Q435" t="n">
        <v>0</v>
      </c>
      <c r="R435" s="2" t="inlineStr"/>
    </row>
    <row r="436" ht="15" customHeight="1">
      <c r="A436" t="inlineStr">
        <is>
          <t>A 20844-2023</t>
        </is>
      </c>
      <c r="B436" s="1" t="n">
        <v>45058</v>
      </c>
      <c r="C436" s="1" t="n">
        <v>45357</v>
      </c>
      <c r="D436" t="inlineStr">
        <is>
          <t>VÄSTERNORRLANDS LÄN</t>
        </is>
      </c>
      <c r="E436" t="inlineStr">
        <is>
          <t>TIMRÅ</t>
        </is>
      </c>
      <c r="G436" t="n">
        <v>1.8</v>
      </c>
      <c r="H436" t="n">
        <v>0</v>
      </c>
      <c r="I436" t="n">
        <v>0</v>
      </c>
      <c r="J436" t="n">
        <v>0</v>
      </c>
      <c r="K436" t="n">
        <v>0</v>
      </c>
      <c r="L436" t="n">
        <v>0</v>
      </c>
      <c r="M436" t="n">
        <v>0</v>
      </c>
      <c r="N436" t="n">
        <v>0</v>
      </c>
      <c r="O436" t="n">
        <v>0</v>
      </c>
      <c r="P436" t="n">
        <v>0</v>
      </c>
      <c r="Q436" t="n">
        <v>0</v>
      </c>
      <c r="R436" s="2" t="inlineStr"/>
    </row>
    <row r="437" ht="15" customHeight="1">
      <c r="A437" t="inlineStr">
        <is>
          <t>A 20880-2023</t>
        </is>
      </c>
      <c r="B437" s="1" t="n">
        <v>45058</v>
      </c>
      <c r="C437" s="1" t="n">
        <v>45357</v>
      </c>
      <c r="D437" t="inlineStr">
        <is>
          <t>VÄSTERNORRLANDS LÄN</t>
        </is>
      </c>
      <c r="E437" t="inlineStr">
        <is>
          <t>TIMRÅ</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21356-2023</t>
        </is>
      </c>
      <c r="B438" s="1" t="n">
        <v>45063</v>
      </c>
      <c r="C438" s="1" t="n">
        <v>45357</v>
      </c>
      <c r="D438" t="inlineStr">
        <is>
          <t>VÄSTERNORRLANDS LÄN</t>
        </is>
      </c>
      <c r="E438" t="inlineStr">
        <is>
          <t>TIMRÅ</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24305-2023</t>
        </is>
      </c>
      <c r="B439" s="1" t="n">
        <v>45080</v>
      </c>
      <c r="C439" s="1" t="n">
        <v>45357</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24304-2023</t>
        </is>
      </c>
      <c r="B440" s="1" t="n">
        <v>45079</v>
      </c>
      <c r="C440" s="1" t="n">
        <v>45357</v>
      </c>
      <c r="D440" t="inlineStr">
        <is>
          <t>VÄSTERNORRLANDS LÄN</t>
        </is>
      </c>
      <c r="E440" t="inlineStr">
        <is>
          <t>TIMRÅ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25301-2023</t>
        </is>
      </c>
      <c r="B441" s="1" t="n">
        <v>45086</v>
      </c>
      <c r="C441" s="1" t="n">
        <v>45357</v>
      </c>
      <c r="D441" t="inlineStr">
        <is>
          <t>VÄSTERNORRLANDS LÄN</t>
        </is>
      </c>
      <c r="E441" t="inlineStr">
        <is>
          <t>TIMRÅ</t>
        </is>
      </c>
      <c r="G441" t="n">
        <v>1.7</v>
      </c>
      <c r="H441" t="n">
        <v>0</v>
      </c>
      <c r="I441" t="n">
        <v>0</v>
      </c>
      <c r="J441" t="n">
        <v>0</v>
      </c>
      <c r="K441" t="n">
        <v>0</v>
      </c>
      <c r="L441" t="n">
        <v>0</v>
      </c>
      <c r="M441" t="n">
        <v>0</v>
      </c>
      <c r="N441" t="n">
        <v>0</v>
      </c>
      <c r="O441" t="n">
        <v>0</v>
      </c>
      <c r="P441" t="n">
        <v>0</v>
      </c>
      <c r="Q441" t="n">
        <v>0</v>
      </c>
      <c r="R441" s="2" t="inlineStr"/>
    </row>
    <row r="442" ht="15" customHeight="1">
      <c r="A442" t="inlineStr">
        <is>
          <t>A 27495-2023</t>
        </is>
      </c>
      <c r="B442" s="1" t="n">
        <v>45092</v>
      </c>
      <c r="C442" s="1" t="n">
        <v>45357</v>
      </c>
      <c r="D442" t="inlineStr">
        <is>
          <t>VÄSTERNORRLANDS LÄN</t>
        </is>
      </c>
      <c r="E442" t="inlineStr">
        <is>
          <t>TIMRÅ</t>
        </is>
      </c>
      <c r="G442" t="n">
        <v>2.6</v>
      </c>
      <c r="H442" t="n">
        <v>0</v>
      </c>
      <c r="I442" t="n">
        <v>0</v>
      </c>
      <c r="J442" t="n">
        <v>0</v>
      </c>
      <c r="K442" t="n">
        <v>0</v>
      </c>
      <c r="L442" t="n">
        <v>0</v>
      </c>
      <c r="M442" t="n">
        <v>0</v>
      </c>
      <c r="N442" t="n">
        <v>0</v>
      </c>
      <c r="O442" t="n">
        <v>0</v>
      </c>
      <c r="P442" t="n">
        <v>0</v>
      </c>
      <c r="Q442" t="n">
        <v>0</v>
      </c>
      <c r="R442" s="2" t="inlineStr"/>
    </row>
    <row r="443" ht="15" customHeight="1">
      <c r="A443" t="inlineStr">
        <is>
          <t>A 27489-2023</t>
        </is>
      </c>
      <c r="B443" s="1" t="n">
        <v>45092</v>
      </c>
      <c r="C443" s="1" t="n">
        <v>45357</v>
      </c>
      <c r="D443" t="inlineStr">
        <is>
          <t>VÄSTERNORRLANDS LÄN</t>
        </is>
      </c>
      <c r="E443" t="inlineStr">
        <is>
          <t>TIMRÅ</t>
        </is>
      </c>
      <c r="G443" t="n">
        <v>1.1</v>
      </c>
      <c r="H443" t="n">
        <v>0</v>
      </c>
      <c r="I443" t="n">
        <v>0</v>
      </c>
      <c r="J443" t="n">
        <v>0</v>
      </c>
      <c r="K443" t="n">
        <v>0</v>
      </c>
      <c r="L443" t="n">
        <v>0</v>
      </c>
      <c r="M443" t="n">
        <v>0</v>
      </c>
      <c r="N443" t="n">
        <v>0</v>
      </c>
      <c r="O443" t="n">
        <v>0</v>
      </c>
      <c r="P443" t="n">
        <v>0</v>
      </c>
      <c r="Q443" t="n">
        <v>0</v>
      </c>
      <c r="R443" s="2" t="inlineStr"/>
    </row>
    <row r="444" ht="15" customHeight="1">
      <c r="A444" t="inlineStr">
        <is>
          <t>A 26996-2023</t>
        </is>
      </c>
      <c r="B444" s="1" t="n">
        <v>45093</v>
      </c>
      <c r="C444" s="1" t="n">
        <v>45357</v>
      </c>
      <c r="D444" t="inlineStr">
        <is>
          <t>VÄSTERNORRLANDS LÄN</t>
        </is>
      </c>
      <c r="E444" t="inlineStr">
        <is>
          <t>TIMRÅ</t>
        </is>
      </c>
      <c r="G444" t="n">
        <v>8.4</v>
      </c>
      <c r="H444" t="n">
        <v>0</v>
      </c>
      <c r="I444" t="n">
        <v>0</v>
      </c>
      <c r="J444" t="n">
        <v>0</v>
      </c>
      <c r="K444" t="n">
        <v>0</v>
      </c>
      <c r="L444" t="n">
        <v>0</v>
      </c>
      <c r="M444" t="n">
        <v>0</v>
      </c>
      <c r="N444" t="n">
        <v>0</v>
      </c>
      <c r="O444" t="n">
        <v>0</v>
      </c>
      <c r="P444" t="n">
        <v>0</v>
      </c>
      <c r="Q444" t="n">
        <v>0</v>
      </c>
      <c r="R444" s="2" t="inlineStr"/>
    </row>
    <row r="445" ht="15" customHeight="1">
      <c r="A445" t="inlineStr">
        <is>
          <t>A 28007-2023</t>
        </is>
      </c>
      <c r="B445" s="1" t="n">
        <v>45098</v>
      </c>
      <c r="C445" s="1" t="n">
        <v>45357</v>
      </c>
      <c r="D445" t="inlineStr">
        <is>
          <t>VÄSTERNORRLANDS LÄN</t>
        </is>
      </c>
      <c r="E445" t="inlineStr">
        <is>
          <t>TIMRÅ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28373-2023</t>
        </is>
      </c>
      <c r="B446" s="1" t="n">
        <v>45100</v>
      </c>
      <c r="C446" s="1" t="n">
        <v>45357</v>
      </c>
      <c r="D446" t="inlineStr">
        <is>
          <t>VÄSTERNORRLANDS LÄN</t>
        </is>
      </c>
      <c r="E446" t="inlineStr">
        <is>
          <t>TIMRÅ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28372-2023</t>
        </is>
      </c>
      <c r="B447" s="1" t="n">
        <v>45100</v>
      </c>
      <c r="C447" s="1" t="n">
        <v>45357</v>
      </c>
      <c r="D447" t="inlineStr">
        <is>
          <t>VÄSTERNORRLANDS LÄN</t>
        </is>
      </c>
      <c r="E447" t="inlineStr">
        <is>
          <t>TIMRÅ</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28370-2023</t>
        </is>
      </c>
      <c r="B448" s="1" t="n">
        <v>45100</v>
      </c>
      <c r="C448" s="1" t="n">
        <v>45357</v>
      </c>
      <c r="D448" t="inlineStr">
        <is>
          <t>VÄSTERNORRLANDS LÄN</t>
        </is>
      </c>
      <c r="E448" t="inlineStr">
        <is>
          <t>TIMRÅ</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28381-2023</t>
        </is>
      </c>
      <c r="B449" s="1" t="n">
        <v>45099</v>
      </c>
      <c r="C449" s="1" t="n">
        <v>45357</v>
      </c>
      <c r="D449" t="inlineStr">
        <is>
          <t>VÄSTERNORRLANDS LÄN</t>
        </is>
      </c>
      <c r="E449" t="inlineStr">
        <is>
          <t>TIMRÅ</t>
        </is>
      </c>
      <c r="F449" t="inlineStr">
        <is>
          <t>SCA</t>
        </is>
      </c>
      <c r="G449" t="n">
        <v>5.8</v>
      </c>
      <c r="H449" t="n">
        <v>0</v>
      </c>
      <c r="I449" t="n">
        <v>0</v>
      </c>
      <c r="J449" t="n">
        <v>0</v>
      </c>
      <c r="K449" t="n">
        <v>0</v>
      </c>
      <c r="L449" t="n">
        <v>0</v>
      </c>
      <c r="M449" t="n">
        <v>0</v>
      </c>
      <c r="N449" t="n">
        <v>0</v>
      </c>
      <c r="O449" t="n">
        <v>0</v>
      </c>
      <c r="P449" t="n">
        <v>0</v>
      </c>
      <c r="Q449" t="n">
        <v>0</v>
      </c>
      <c r="R449" s="2" t="inlineStr"/>
    </row>
    <row r="450" ht="15" customHeight="1">
      <c r="A450" t="inlineStr">
        <is>
          <t>A 28369-2023</t>
        </is>
      </c>
      <c r="B450" s="1" t="n">
        <v>45099</v>
      </c>
      <c r="C450" s="1" t="n">
        <v>45357</v>
      </c>
      <c r="D450" t="inlineStr">
        <is>
          <t>VÄSTERNORRLANDS LÄN</t>
        </is>
      </c>
      <c r="E450" t="inlineStr">
        <is>
          <t>TIMRÅ</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28371-2023</t>
        </is>
      </c>
      <c r="B451" s="1" t="n">
        <v>45100</v>
      </c>
      <c r="C451" s="1" t="n">
        <v>45357</v>
      </c>
      <c r="D451" t="inlineStr">
        <is>
          <t>VÄSTERNORRLANDS LÄN</t>
        </is>
      </c>
      <c r="E451" t="inlineStr">
        <is>
          <t>TIMRÅ</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28734-2023</t>
        </is>
      </c>
      <c r="B452" s="1" t="n">
        <v>45104</v>
      </c>
      <c r="C452" s="1" t="n">
        <v>45357</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28750-2023</t>
        </is>
      </c>
      <c r="B453" s="1" t="n">
        <v>45104</v>
      </c>
      <c r="C453" s="1" t="n">
        <v>45357</v>
      </c>
      <c r="D453" t="inlineStr">
        <is>
          <t>VÄSTERNORRLANDS LÄN</t>
        </is>
      </c>
      <c r="E453" t="inlineStr">
        <is>
          <t>TIMRÅ</t>
        </is>
      </c>
      <c r="F453" t="inlineStr">
        <is>
          <t>SCA</t>
        </is>
      </c>
      <c r="G453" t="n">
        <v>8.5</v>
      </c>
      <c r="H453" t="n">
        <v>0</v>
      </c>
      <c r="I453" t="n">
        <v>0</v>
      </c>
      <c r="J453" t="n">
        <v>0</v>
      </c>
      <c r="K453" t="n">
        <v>0</v>
      </c>
      <c r="L453" t="n">
        <v>0</v>
      </c>
      <c r="M453" t="n">
        <v>0</v>
      </c>
      <c r="N453" t="n">
        <v>0</v>
      </c>
      <c r="O453" t="n">
        <v>0</v>
      </c>
      <c r="P453" t="n">
        <v>0</v>
      </c>
      <c r="Q453" t="n">
        <v>0</v>
      </c>
      <c r="R453" s="2" t="inlineStr"/>
    </row>
    <row r="454" ht="15" customHeight="1">
      <c r="A454" t="inlineStr">
        <is>
          <t>A 31148-2023</t>
        </is>
      </c>
      <c r="B454" s="1" t="n">
        <v>45103</v>
      </c>
      <c r="C454" s="1" t="n">
        <v>45357</v>
      </c>
      <c r="D454" t="inlineStr">
        <is>
          <t>VÄSTERNORRLANDS LÄN</t>
        </is>
      </c>
      <c r="E454" t="inlineStr">
        <is>
          <t>TIMRÅ</t>
        </is>
      </c>
      <c r="G454" t="n">
        <v>1.5</v>
      </c>
      <c r="H454" t="n">
        <v>0</v>
      </c>
      <c r="I454" t="n">
        <v>0</v>
      </c>
      <c r="J454" t="n">
        <v>0</v>
      </c>
      <c r="K454" t="n">
        <v>0</v>
      </c>
      <c r="L454" t="n">
        <v>0</v>
      </c>
      <c r="M454" t="n">
        <v>0</v>
      </c>
      <c r="N454" t="n">
        <v>0</v>
      </c>
      <c r="O454" t="n">
        <v>0</v>
      </c>
      <c r="P454" t="n">
        <v>0</v>
      </c>
      <c r="Q454" t="n">
        <v>0</v>
      </c>
      <c r="R454" s="2" t="inlineStr"/>
    </row>
    <row r="455" ht="15" customHeight="1">
      <c r="A455" t="inlineStr">
        <is>
          <t>A 31150-2023</t>
        </is>
      </c>
      <c r="B455" s="1" t="n">
        <v>45103</v>
      </c>
      <c r="C455" s="1" t="n">
        <v>45357</v>
      </c>
      <c r="D455" t="inlineStr">
        <is>
          <t>VÄSTERNORRLANDS LÄN</t>
        </is>
      </c>
      <c r="E455" t="inlineStr">
        <is>
          <t>TIMRÅ</t>
        </is>
      </c>
      <c r="G455" t="n">
        <v>0.3</v>
      </c>
      <c r="H455" t="n">
        <v>0</v>
      </c>
      <c r="I455" t="n">
        <v>0</v>
      </c>
      <c r="J455" t="n">
        <v>0</v>
      </c>
      <c r="K455" t="n">
        <v>0</v>
      </c>
      <c r="L455" t="n">
        <v>0</v>
      </c>
      <c r="M455" t="n">
        <v>0</v>
      </c>
      <c r="N455" t="n">
        <v>0</v>
      </c>
      <c r="O455" t="n">
        <v>0</v>
      </c>
      <c r="P455" t="n">
        <v>0</v>
      </c>
      <c r="Q455" t="n">
        <v>0</v>
      </c>
      <c r="R455" s="2" t="inlineStr"/>
    </row>
    <row r="456" ht="15" customHeight="1">
      <c r="A456" t="inlineStr">
        <is>
          <t>A 31154-2023</t>
        </is>
      </c>
      <c r="B456" s="1" t="n">
        <v>45103</v>
      </c>
      <c r="C456" s="1" t="n">
        <v>45357</v>
      </c>
      <c r="D456" t="inlineStr">
        <is>
          <t>VÄSTERNORRLANDS LÄN</t>
        </is>
      </c>
      <c r="E456" t="inlineStr">
        <is>
          <t>TIMRÅ</t>
        </is>
      </c>
      <c r="G456" t="n">
        <v>0.6</v>
      </c>
      <c r="H456" t="n">
        <v>0</v>
      </c>
      <c r="I456" t="n">
        <v>0</v>
      </c>
      <c r="J456" t="n">
        <v>0</v>
      </c>
      <c r="K456" t="n">
        <v>0</v>
      </c>
      <c r="L456" t="n">
        <v>0</v>
      </c>
      <c r="M456" t="n">
        <v>0</v>
      </c>
      <c r="N456" t="n">
        <v>0</v>
      </c>
      <c r="O456" t="n">
        <v>0</v>
      </c>
      <c r="P456" t="n">
        <v>0</v>
      </c>
      <c r="Q456" t="n">
        <v>0</v>
      </c>
      <c r="R456" s="2" t="inlineStr"/>
    </row>
    <row r="457" ht="15" customHeight="1">
      <c r="A457" t="inlineStr">
        <is>
          <t>A 31381-2023</t>
        </is>
      </c>
      <c r="B457" s="1" t="n">
        <v>45104</v>
      </c>
      <c r="C457" s="1" t="n">
        <v>45357</v>
      </c>
      <c r="D457" t="inlineStr">
        <is>
          <t>VÄSTERNORRLANDS LÄN</t>
        </is>
      </c>
      <c r="E457" t="inlineStr">
        <is>
          <t>TIMRÅ</t>
        </is>
      </c>
      <c r="G457" t="n">
        <v>5.6</v>
      </c>
      <c r="H457" t="n">
        <v>0</v>
      </c>
      <c r="I457" t="n">
        <v>0</v>
      </c>
      <c r="J457" t="n">
        <v>0</v>
      </c>
      <c r="K457" t="n">
        <v>0</v>
      </c>
      <c r="L457" t="n">
        <v>0</v>
      </c>
      <c r="M457" t="n">
        <v>0</v>
      </c>
      <c r="N457" t="n">
        <v>0</v>
      </c>
      <c r="O457" t="n">
        <v>0</v>
      </c>
      <c r="P457" t="n">
        <v>0</v>
      </c>
      <c r="Q457" t="n">
        <v>0</v>
      </c>
      <c r="R457" s="2" t="inlineStr"/>
    </row>
    <row r="458" ht="15" customHeight="1">
      <c r="A458" t="inlineStr">
        <is>
          <t>A 31474-2023</t>
        </is>
      </c>
      <c r="B458" s="1" t="n">
        <v>45104</v>
      </c>
      <c r="C458" s="1" t="n">
        <v>45357</v>
      </c>
      <c r="D458" t="inlineStr">
        <is>
          <t>VÄSTERNORRLANDS LÄN</t>
        </is>
      </c>
      <c r="E458" t="inlineStr">
        <is>
          <t>TIMRÅ</t>
        </is>
      </c>
      <c r="G458" t="n">
        <v>1.3</v>
      </c>
      <c r="H458" t="n">
        <v>0</v>
      </c>
      <c r="I458" t="n">
        <v>0</v>
      </c>
      <c r="J458" t="n">
        <v>0</v>
      </c>
      <c r="K458" t="n">
        <v>0</v>
      </c>
      <c r="L458" t="n">
        <v>0</v>
      </c>
      <c r="M458" t="n">
        <v>0</v>
      </c>
      <c r="N458" t="n">
        <v>0</v>
      </c>
      <c r="O458" t="n">
        <v>0</v>
      </c>
      <c r="P458" t="n">
        <v>0</v>
      </c>
      <c r="Q458" t="n">
        <v>0</v>
      </c>
      <c r="R458" s="2" t="inlineStr"/>
    </row>
    <row r="459" ht="15" customHeight="1">
      <c r="A459" t="inlineStr">
        <is>
          <t>A 31378-2023</t>
        </is>
      </c>
      <c r="B459" s="1" t="n">
        <v>45104</v>
      </c>
      <c r="C459" s="1" t="n">
        <v>45357</v>
      </c>
      <c r="D459" t="inlineStr">
        <is>
          <t>VÄSTERNORRLANDS LÄN</t>
        </is>
      </c>
      <c r="E459" t="inlineStr">
        <is>
          <t>TIMRÅ</t>
        </is>
      </c>
      <c r="G459" t="n">
        <v>2.8</v>
      </c>
      <c r="H459" t="n">
        <v>0</v>
      </c>
      <c r="I459" t="n">
        <v>0</v>
      </c>
      <c r="J459" t="n">
        <v>0</v>
      </c>
      <c r="K459" t="n">
        <v>0</v>
      </c>
      <c r="L459" t="n">
        <v>0</v>
      </c>
      <c r="M459" t="n">
        <v>0</v>
      </c>
      <c r="N459" t="n">
        <v>0</v>
      </c>
      <c r="O459" t="n">
        <v>0</v>
      </c>
      <c r="P459" t="n">
        <v>0</v>
      </c>
      <c r="Q459" t="n">
        <v>0</v>
      </c>
      <c r="R459" s="2" t="inlineStr"/>
    </row>
    <row r="460" ht="15" customHeight="1">
      <c r="A460" t="inlineStr">
        <is>
          <t>A 31343-2023</t>
        </is>
      </c>
      <c r="B460" s="1" t="n">
        <v>45104</v>
      </c>
      <c r="C460" s="1" t="n">
        <v>45357</v>
      </c>
      <c r="D460" t="inlineStr">
        <is>
          <t>VÄSTERNORRLANDS LÄN</t>
        </is>
      </c>
      <c r="E460" t="inlineStr">
        <is>
          <t>TIMRÅ</t>
        </is>
      </c>
      <c r="G460" t="n">
        <v>7.1</v>
      </c>
      <c r="H460" t="n">
        <v>0</v>
      </c>
      <c r="I460" t="n">
        <v>0</v>
      </c>
      <c r="J460" t="n">
        <v>0</v>
      </c>
      <c r="K460" t="n">
        <v>0</v>
      </c>
      <c r="L460" t="n">
        <v>0</v>
      </c>
      <c r="M460" t="n">
        <v>0</v>
      </c>
      <c r="N460" t="n">
        <v>0</v>
      </c>
      <c r="O460" t="n">
        <v>0</v>
      </c>
      <c r="P460" t="n">
        <v>0</v>
      </c>
      <c r="Q460" t="n">
        <v>0</v>
      </c>
      <c r="R460" s="2" t="inlineStr"/>
    </row>
    <row r="461" ht="15" customHeight="1">
      <c r="A461" t="inlineStr">
        <is>
          <t>A 31472-2023</t>
        </is>
      </c>
      <c r="B461" s="1" t="n">
        <v>45104</v>
      </c>
      <c r="C461" s="1" t="n">
        <v>45357</v>
      </c>
      <c r="D461" t="inlineStr">
        <is>
          <t>VÄSTERNORRLANDS LÄN</t>
        </is>
      </c>
      <c r="E461" t="inlineStr">
        <is>
          <t>TIMRÅ</t>
        </is>
      </c>
      <c r="G461" t="n">
        <v>2.1</v>
      </c>
      <c r="H461" t="n">
        <v>0</v>
      </c>
      <c r="I461" t="n">
        <v>0</v>
      </c>
      <c r="J461" t="n">
        <v>0</v>
      </c>
      <c r="K461" t="n">
        <v>0</v>
      </c>
      <c r="L461" t="n">
        <v>0</v>
      </c>
      <c r="M461" t="n">
        <v>0</v>
      </c>
      <c r="N461" t="n">
        <v>0</v>
      </c>
      <c r="O461" t="n">
        <v>0</v>
      </c>
      <c r="P461" t="n">
        <v>0</v>
      </c>
      <c r="Q461" t="n">
        <v>0</v>
      </c>
      <c r="R461" s="2" t="inlineStr"/>
    </row>
    <row r="462" ht="15" customHeight="1">
      <c r="A462" t="inlineStr">
        <is>
          <t>A 29599-2023</t>
        </is>
      </c>
      <c r="B462" s="1" t="n">
        <v>45106</v>
      </c>
      <c r="C462" s="1" t="n">
        <v>45357</v>
      </c>
      <c r="D462" t="inlineStr">
        <is>
          <t>VÄSTERNORRLANDS LÄN</t>
        </is>
      </c>
      <c r="E462" t="inlineStr">
        <is>
          <t>TIMRÅ</t>
        </is>
      </c>
      <c r="F462" t="inlineStr">
        <is>
          <t>Kyrkan</t>
        </is>
      </c>
      <c r="G462" t="n">
        <v>2.1</v>
      </c>
      <c r="H462" t="n">
        <v>0</v>
      </c>
      <c r="I462" t="n">
        <v>0</v>
      </c>
      <c r="J462" t="n">
        <v>0</v>
      </c>
      <c r="K462" t="n">
        <v>0</v>
      </c>
      <c r="L462" t="n">
        <v>0</v>
      </c>
      <c r="M462" t="n">
        <v>0</v>
      </c>
      <c r="N462" t="n">
        <v>0</v>
      </c>
      <c r="O462" t="n">
        <v>0</v>
      </c>
      <c r="P462" t="n">
        <v>0</v>
      </c>
      <c r="Q462" t="n">
        <v>0</v>
      </c>
      <c r="R462" s="2" t="inlineStr"/>
    </row>
    <row r="463" ht="15" customHeight="1">
      <c r="A463" t="inlineStr">
        <is>
          <t>A 29948-2023</t>
        </is>
      </c>
      <c r="B463" s="1" t="n">
        <v>45107</v>
      </c>
      <c r="C463" s="1" t="n">
        <v>45357</v>
      </c>
      <c r="D463" t="inlineStr">
        <is>
          <t>VÄSTERNORRLANDS LÄN</t>
        </is>
      </c>
      <c r="E463" t="inlineStr">
        <is>
          <t>TIMRÅ</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32070-2023</t>
        </is>
      </c>
      <c r="B464" s="1" t="n">
        <v>45107</v>
      </c>
      <c r="C464" s="1" t="n">
        <v>45357</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30315-2023</t>
        </is>
      </c>
      <c r="B465" s="1" t="n">
        <v>45110</v>
      </c>
      <c r="C465" s="1" t="n">
        <v>45357</v>
      </c>
      <c r="D465" t="inlineStr">
        <is>
          <t>VÄSTERNORRLANDS LÄN</t>
        </is>
      </c>
      <c r="E465" t="inlineStr">
        <is>
          <t>TIMRÅ</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30298-2023</t>
        </is>
      </c>
      <c r="B466" s="1" t="n">
        <v>45110</v>
      </c>
      <c r="C466" s="1" t="n">
        <v>45357</v>
      </c>
      <c r="D466" t="inlineStr">
        <is>
          <t>VÄSTERNORRLANDS LÄN</t>
        </is>
      </c>
      <c r="E466" t="inlineStr">
        <is>
          <t>TIMRÅ</t>
        </is>
      </c>
      <c r="F466" t="inlineStr">
        <is>
          <t>SCA</t>
        </is>
      </c>
      <c r="G466" t="n">
        <v>4.9</v>
      </c>
      <c r="H466" t="n">
        <v>0</v>
      </c>
      <c r="I466" t="n">
        <v>0</v>
      </c>
      <c r="J466" t="n">
        <v>0</v>
      </c>
      <c r="K466" t="n">
        <v>0</v>
      </c>
      <c r="L466" t="n">
        <v>0</v>
      </c>
      <c r="M466" t="n">
        <v>0</v>
      </c>
      <c r="N466" t="n">
        <v>0</v>
      </c>
      <c r="O466" t="n">
        <v>0</v>
      </c>
      <c r="P466" t="n">
        <v>0</v>
      </c>
      <c r="Q466" t="n">
        <v>0</v>
      </c>
      <c r="R466" s="2" t="inlineStr"/>
    </row>
    <row r="467" ht="15" customHeight="1">
      <c r="A467" t="inlineStr">
        <is>
          <t>A 30850-2023</t>
        </is>
      </c>
      <c r="B467" s="1" t="n">
        <v>45112</v>
      </c>
      <c r="C467" s="1" t="n">
        <v>45357</v>
      </c>
      <c r="D467" t="inlineStr">
        <is>
          <t>VÄSTERNORRLANDS LÄN</t>
        </is>
      </c>
      <c r="E467" t="inlineStr">
        <is>
          <t>TIMRÅ</t>
        </is>
      </c>
      <c r="F467" t="inlineStr">
        <is>
          <t>SCA</t>
        </is>
      </c>
      <c r="G467" t="n">
        <v>16.1</v>
      </c>
      <c r="H467" t="n">
        <v>0</v>
      </c>
      <c r="I467" t="n">
        <v>0</v>
      </c>
      <c r="J467" t="n">
        <v>0</v>
      </c>
      <c r="K467" t="n">
        <v>0</v>
      </c>
      <c r="L467" t="n">
        <v>0</v>
      </c>
      <c r="M467" t="n">
        <v>0</v>
      </c>
      <c r="N467" t="n">
        <v>0</v>
      </c>
      <c r="O467" t="n">
        <v>0</v>
      </c>
      <c r="P467" t="n">
        <v>0</v>
      </c>
      <c r="Q467" t="n">
        <v>0</v>
      </c>
      <c r="R467" s="2" t="inlineStr"/>
    </row>
    <row r="468" ht="15" customHeight="1">
      <c r="A468" t="inlineStr">
        <is>
          <t>A 30835-2023</t>
        </is>
      </c>
      <c r="B468" s="1" t="n">
        <v>45113</v>
      </c>
      <c r="C468" s="1" t="n">
        <v>45357</v>
      </c>
      <c r="D468" t="inlineStr">
        <is>
          <t>VÄSTERNORRLANDS LÄN</t>
        </is>
      </c>
      <c r="E468" t="inlineStr">
        <is>
          <t>TIMRÅ</t>
        </is>
      </c>
      <c r="F468" t="inlineStr">
        <is>
          <t>SCA</t>
        </is>
      </c>
      <c r="G468" t="n">
        <v>4.6</v>
      </c>
      <c r="H468" t="n">
        <v>0</v>
      </c>
      <c r="I468" t="n">
        <v>0</v>
      </c>
      <c r="J468" t="n">
        <v>0</v>
      </c>
      <c r="K468" t="n">
        <v>0</v>
      </c>
      <c r="L468" t="n">
        <v>0</v>
      </c>
      <c r="M468" t="n">
        <v>0</v>
      </c>
      <c r="N468" t="n">
        <v>0</v>
      </c>
      <c r="O468" t="n">
        <v>0</v>
      </c>
      <c r="P468" t="n">
        <v>0</v>
      </c>
      <c r="Q468" t="n">
        <v>0</v>
      </c>
      <c r="R468" s="2" t="inlineStr"/>
    </row>
    <row r="469" ht="15" customHeight="1">
      <c r="A469" t="inlineStr">
        <is>
          <t>A 31562-2023</t>
        </is>
      </c>
      <c r="B469" s="1" t="n">
        <v>45117</v>
      </c>
      <c r="C469" s="1" t="n">
        <v>45357</v>
      </c>
      <c r="D469" t="inlineStr">
        <is>
          <t>VÄSTERNORRLANDS LÄN</t>
        </is>
      </c>
      <c r="E469" t="inlineStr">
        <is>
          <t>TIMRÅ</t>
        </is>
      </c>
      <c r="G469" t="n">
        <v>3.7</v>
      </c>
      <c r="H469" t="n">
        <v>0</v>
      </c>
      <c r="I469" t="n">
        <v>0</v>
      </c>
      <c r="J469" t="n">
        <v>0</v>
      </c>
      <c r="K469" t="n">
        <v>0</v>
      </c>
      <c r="L469" t="n">
        <v>0</v>
      </c>
      <c r="M469" t="n">
        <v>0</v>
      </c>
      <c r="N469" t="n">
        <v>0</v>
      </c>
      <c r="O469" t="n">
        <v>0</v>
      </c>
      <c r="P469" t="n">
        <v>0</v>
      </c>
      <c r="Q469" t="n">
        <v>0</v>
      </c>
      <c r="R469" s="2" t="inlineStr"/>
    </row>
    <row r="470" ht="15" customHeight="1">
      <c r="A470" t="inlineStr">
        <is>
          <t>A 31736-2023</t>
        </is>
      </c>
      <c r="B470" s="1" t="n">
        <v>45117</v>
      </c>
      <c r="C470" s="1" t="n">
        <v>45357</v>
      </c>
      <c r="D470" t="inlineStr">
        <is>
          <t>VÄSTERNORRLANDS LÄN</t>
        </is>
      </c>
      <c r="E470" t="inlineStr">
        <is>
          <t>TIMRÅ</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31741-2023</t>
        </is>
      </c>
      <c r="B471" s="1" t="n">
        <v>45117</v>
      </c>
      <c r="C471" s="1" t="n">
        <v>45357</v>
      </c>
      <c r="D471" t="inlineStr">
        <is>
          <t>VÄSTERNORRLANDS LÄN</t>
        </is>
      </c>
      <c r="E471" t="inlineStr">
        <is>
          <t>TIMRÅ</t>
        </is>
      </c>
      <c r="F471" t="inlineStr">
        <is>
          <t>SCA</t>
        </is>
      </c>
      <c r="G471" t="n">
        <v>4.5</v>
      </c>
      <c r="H471" t="n">
        <v>0</v>
      </c>
      <c r="I471" t="n">
        <v>0</v>
      </c>
      <c r="J471" t="n">
        <v>0</v>
      </c>
      <c r="K471" t="n">
        <v>0</v>
      </c>
      <c r="L471" t="n">
        <v>0</v>
      </c>
      <c r="M471" t="n">
        <v>0</v>
      </c>
      <c r="N471" t="n">
        <v>0</v>
      </c>
      <c r="O471" t="n">
        <v>0</v>
      </c>
      <c r="P471" t="n">
        <v>0</v>
      </c>
      <c r="Q471" t="n">
        <v>0</v>
      </c>
      <c r="R471" s="2" t="inlineStr"/>
    </row>
    <row r="472" ht="15" customHeight="1">
      <c r="A472" t="inlineStr">
        <is>
          <t>A 32224-2023</t>
        </is>
      </c>
      <c r="B472" s="1" t="n">
        <v>45119</v>
      </c>
      <c r="C472" s="1" t="n">
        <v>45357</v>
      </c>
      <c r="D472" t="inlineStr">
        <is>
          <t>VÄSTERNORRLANDS LÄN</t>
        </is>
      </c>
      <c r="E472" t="inlineStr">
        <is>
          <t>TIMRÅ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32225-2023</t>
        </is>
      </c>
      <c r="B473" s="1" t="n">
        <v>45119</v>
      </c>
      <c r="C473" s="1" t="n">
        <v>45357</v>
      </c>
      <c r="D473" t="inlineStr">
        <is>
          <t>VÄSTERNORRLANDS LÄN</t>
        </is>
      </c>
      <c r="E473" t="inlineStr">
        <is>
          <t>TIMRÅ</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32223-2023</t>
        </is>
      </c>
      <c r="B474" s="1" t="n">
        <v>45119</v>
      </c>
      <c r="C474" s="1" t="n">
        <v>45357</v>
      </c>
      <c r="D474" t="inlineStr">
        <is>
          <t>VÄSTERNORRLANDS LÄN</t>
        </is>
      </c>
      <c r="E474" t="inlineStr">
        <is>
          <t>TIMRÅ</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32226-2023</t>
        </is>
      </c>
      <c r="B475" s="1" t="n">
        <v>45119</v>
      </c>
      <c r="C475" s="1" t="n">
        <v>45357</v>
      </c>
      <c r="D475" t="inlineStr">
        <is>
          <t>VÄSTERNORRLANDS LÄN</t>
        </is>
      </c>
      <c r="E475" t="inlineStr">
        <is>
          <t>TIMRÅ</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32230-2023</t>
        </is>
      </c>
      <c r="B476" s="1" t="n">
        <v>45120</v>
      </c>
      <c r="C476" s="1" t="n">
        <v>45357</v>
      </c>
      <c r="D476" t="inlineStr">
        <is>
          <t>VÄSTERNORRLANDS LÄN</t>
        </is>
      </c>
      <c r="E476" t="inlineStr">
        <is>
          <t>TIMRÅ</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33667-2023</t>
        </is>
      </c>
      <c r="B477" s="1" t="n">
        <v>45119</v>
      </c>
      <c r="C477" s="1" t="n">
        <v>45357</v>
      </c>
      <c r="D477" t="inlineStr">
        <is>
          <t>VÄSTERNORRLANDS LÄN</t>
        </is>
      </c>
      <c r="E477" t="inlineStr">
        <is>
          <t>TIMRÅ</t>
        </is>
      </c>
      <c r="G477" t="n">
        <v>4.8</v>
      </c>
      <c r="H477" t="n">
        <v>0</v>
      </c>
      <c r="I477" t="n">
        <v>0</v>
      </c>
      <c r="J477" t="n">
        <v>0</v>
      </c>
      <c r="K477" t="n">
        <v>0</v>
      </c>
      <c r="L477" t="n">
        <v>0</v>
      </c>
      <c r="M477" t="n">
        <v>0</v>
      </c>
      <c r="N477" t="n">
        <v>0</v>
      </c>
      <c r="O477" t="n">
        <v>0</v>
      </c>
      <c r="P477" t="n">
        <v>0</v>
      </c>
      <c r="Q477" t="n">
        <v>0</v>
      </c>
      <c r="R477" s="2" t="inlineStr"/>
    </row>
    <row r="478" ht="15" customHeight="1">
      <c r="A478" t="inlineStr">
        <is>
          <t>A 33756-2023</t>
        </is>
      </c>
      <c r="B478" s="1" t="n">
        <v>45120</v>
      </c>
      <c r="C478" s="1" t="n">
        <v>45357</v>
      </c>
      <c r="D478" t="inlineStr">
        <is>
          <t>VÄSTERNORRLANDS LÄN</t>
        </is>
      </c>
      <c r="E478" t="inlineStr">
        <is>
          <t>TIMRÅ</t>
        </is>
      </c>
      <c r="G478" t="n">
        <v>10.5</v>
      </c>
      <c r="H478" t="n">
        <v>0</v>
      </c>
      <c r="I478" t="n">
        <v>0</v>
      </c>
      <c r="J478" t="n">
        <v>0</v>
      </c>
      <c r="K478" t="n">
        <v>0</v>
      </c>
      <c r="L478" t="n">
        <v>0</v>
      </c>
      <c r="M478" t="n">
        <v>0</v>
      </c>
      <c r="N478" t="n">
        <v>0</v>
      </c>
      <c r="O478" t="n">
        <v>0</v>
      </c>
      <c r="P478" t="n">
        <v>0</v>
      </c>
      <c r="Q478" t="n">
        <v>0</v>
      </c>
      <c r="R478" s="2" t="inlineStr"/>
    </row>
    <row r="479" ht="15" customHeight="1">
      <c r="A479" t="inlineStr">
        <is>
          <t>A 33043-2023</t>
        </is>
      </c>
      <c r="B479" s="1" t="n">
        <v>45125</v>
      </c>
      <c r="C479" s="1" t="n">
        <v>45357</v>
      </c>
      <c r="D479" t="inlineStr">
        <is>
          <t>VÄSTERNORRLANDS LÄN</t>
        </is>
      </c>
      <c r="E479" t="inlineStr">
        <is>
          <t>TIMRÅ</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34172-2023</t>
        </is>
      </c>
      <c r="B480" s="1" t="n">
        <v>45126</v>
      </c>
      <c r="C480" s="1" t="n">
        <v>45357</v>
      </c>
      <c r="D480" t="inlineStr">
        <is>
          <t>VÄSTERNORRLANDS LÄN</t>
        </is>
      </c>
      <c r="E480" t="inlineStr">
        <is>
          <t>TIMRÅ</t>
        </is>
      </c>
      <c r="G480" t="n">
        <v>4</v>
      </c>
      <c r="H480" t="n">
        <v>0</v>
      </c>
      <c r="I480" t="n">
        <v>0</v>
      </c>
      <c r="J480" t="n">
        <v>0</v>
      </c>
      <c r="K480" t="n">
        <v>0</v>
      </c>
      <c r="L480" t="n">
        <v>0</v>
      </c>
      <c r="M480" t="n">
        <v>0</v>
      </c>
      <c r="N480" t="n">
        <v>0</v>
      </c>
      <c r="O480" t="n">
        <v>0</v>
      </c>
      <c r="P480" t="n">
        <v>0</v>
      </c>
      <c r="Q480" t="n">
        <v>0</v>
      </c>
      <c r="R480" s="2" t="inlineStr"/>
    </row>
    <row r="481" ht="15" customHeight="1">
      <c r="A481" t="inlineStr">
        <is>
          <t>A 35342-2023</t>
        </is>
      </c>
      <c r="B481" s="1" t="n">
        <v>45145</v>
      </c>
      <c r="C481" s="1" t="n">
        <v>45357</v>
      </c>
      <c r="D481" t="inlineStr">
        <is>
          <t>VÄSTERNORRLANDS LÄN</t>
        </is>
      </c>
      <c r="E481" t="inlineStr">
        <is>
          <t>TIMRÅ</t>
        </is>
      </c>
      <c r="G481" t="n">
        <v>3.2</v>
      </c>
      <c r="H481" t="n">
        <v>0</v>
      </c>
      <c r="I481" t="n">
        <v>0</v>
      </c>
      <c r="J481" t="n">
        <v>0</v>
      </c>
      <c r="K481" t="n">
        <v>0</v>
      </c>
      <c r="L481" t="n">
        <v>0</v>
      </c>
      <c r="M481" t="n">
        <v>0</v>
      </c>
      <c r="N481" t="n">
        <v>0</v>
      </c>
      <c r="O481" t="n">
        <v>0</v>
      </c>
      <c r="P481" t="n">
        <v>0</v>
      </c>
      <c r="Q481" t="n">
        <v>0</v>
      </c>
      <c r="R481" s="2" t="inlineStr"/>
    </row>
    <row r="482" ht="15" customHeight="1">
      <c r="A482" t="inlineStr">
        <is>
          <t>A 35568-2023</t>
        </is>
      </c>
      <c r="B482" s="1" t="n">
        <v>45146</v>
      </c>
      <c r="C482" s="1" t="n">
        <v>45357</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35763-2023</t>
        </is>
      </c>
      <c r="B483" s="1" t="n">
        <v>45147</v>
      </c>
      <c r="C483" s="1" t="n">
        <v>45357</v>
      </c>
      <c r="D483" t="inlineStr">
        <is>
          <t>VÄSTERNORRLANDS LÄN</t>
        </is>
      </c>
      <c r="E483" t="inlineStr">
        <is>
          <t>TIMRÅ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35939-2023</t>
        </is>
      </c>
      <c r="B484" s="1" t="n">
        <v>45148</v>
      </c>
      <c r="C484" s="1" t="n">
        <v>45357</v>
      </c>
      <c r="D484" t="inlineStr">
        <is>
          <t>VÄSTERNORRLANDS LÄN</t>
        </is>
      </c>
      <c r="E484" t="inlineStr">
        <is>
          <t>TIMRÅ</t>
        </is>
      </c>
      <c r="G484" t="n">
        <v>1.1</v>
      </c>
      <c r="H484" t="n">
        <v>0</v>
      </c>
      <c r="I484" t="n">
        <v>0</v>
      </c>
      <c r="J484" t="n">
        <v>0</v>
      </c>
      <c r="K484" t="n">
        <v>0</v>
      </c>
      <c r="L484" t="n">
        <v>0</v>
      </c>
      <c r="M484" t="n">
        <v>0</v>
      </c>
      <c r="N484" t="n">
        <v>0</v>
      </c>
      <c r="O484" t="n">
        <v>0</v>
      </c>
      <c r="P484" t="n">
        <v>0</v>
      </c>
      <c r="Q484" t="n">
        <v>0</v>
      </c>
      <c r="R484" s="2" t="inlineStr"/>
    </row>
    <row r="485" ht="15" customHeight="1">
      <c r="A485" t="inlineStr">
        <is>
          <t>A 36228-2023</t>
        </is>
      </c>
      <c r="B485" s="1" t="n">
        <v>45149</v>
      </c>
      <c r="C485" s="1" t="n">
        <v>45357</v>
      </c>
      <c r="D485" t="inlineStr">
        <is>
          <t>VÄSTERNORRLANDS LÄN</t>
        </is>
      </c>
      <c r="E485" t="inlineStr">
        <is>
          <t>TIMRÅ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36992-2023</t>
        </is>
      </c>
      <c r="B486" s="1" t="n">
        <v>45154</v>
      </c>
      <c r="C486" s="1" t="n">
        <v>45357</v>
      </c>
      <c r="D486" t="inlineStr">
        <is>
          <t>VÄSTERNORRLANDS LÄN</t>
        </is>
      </c>
      <c r="E486" t="inlineStr">
        <is>
          <t>TIMRÅ</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36997-2023</t>
        </is>
      </c>
      <c r="B487" s="1" t="n">
        <v>45154</v>
      </c>
      <c r="C487" s="1" t="n">
        <v>45357</v>
      </c>
      <c r="D487" t="inlineStr">
        <is>
          <t>VÄSTERNORRLANDS LÄN</t>
        </is>
      </c>
      <c r="E487" t="inlineStr">
        <is>
          <t>TIMRÅ</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37259-2023</t>
        </is>
      </c>
      <c r="B488" s="1" t="n">
        <v>45156</v>
      </c>
      <c r="C488" s="1" t="n">
        <v>45357</v>
      </c>
      <c r="D488" t="inlineStr">
        <is>
          <t>VÄSTERNORRLANDS LÄN</t>
        </is>
      </c>
      <c r="E488" t="inlineStr">
        <is>
          <t>TIMRÅ</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37808-2023</t>
        </is>
      </c>
      <c r="B489" s="1" t="n">
        <v>45160</v>
      </c>
      <c r="C489" s="1" t="n">
        <v>45357</v>
      </c>
      <c r="D489" t="inlineStr">
        <is>
          <t>VÄSTERNORRLANDS LÄN</t>
        </is>
      </c>
      <c r="E489" t="inlineStr">
        <is>
          <t>TIMRÅ</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38423-2023</t>
        </is>
      </c>
      <c r="B490" s="1" t="n">
        <v>45160</v>
      </c>
      <c r="C490" s="1" t="n">
        <v>45357</v>
      </c>
      <c r="D490" t="inlineStr">
        <is>
          <t>VÄSTERNORRLANDS LÄN</t>
        </is>
      </c>
      <c r="E490" t="inlineStr">
        <is>
          <t>TIMRÅ</t>
        </is>
      </c>
      <c r="G490" t="n">
        <v>6.4</v>
      </c>
      <c r="H490" t="n">
        <v>0</v>
      </c>
      <c r="I490" t="n">
        <v>0</v>
      </c>
      <c r="J490" t="n">
        <v>0</v>
      </c>
      <c r="K490" t="n">
        <v>0</v>
      </c>
      <c r="L490" t="n">
        <v>0</v>
      </c>
      <c r="M490" t="n">
        <v>0</v>
      </c>
      <c r="N490" t="n">
        <v>0</v>
      </c>
      <c r="O490" t="n">
        <v>0</v>
      </c>
      <c r="P490" t="n">
        <v>0</v>
      </c>
      <c r="Q490" t="n">
        <v>0</v>
      </c>
      <c r="R490" s="2" t="inlineStr"/>
    </row>
    <row r="491" ht="15" customHeight="1">
      <c r="A491" t="inlineStr">
        <is>
          <t>A 38360-2023</t>
        </is>
      </c>
      <c r="B491" s="1" t="n">
        <v>45162</v>
      </c>
      <c r="C491" s="1" t="n">
        <v>45357</v>
      </c>
      <c r="D491" t="inlineStr">
        <is>
          <t>VÄSTERNORRLANDS LÄN</t>
        </is>
      </c>
      <c r="E491" t="inlineStr">
        <is>
          <t>TIMRÅ</t>
        </is>
      </c>
      <c r="F491" t="inlineStr">
        <is>
          <t>SCA</t>
        </is>
      </c>
      <c r="G491" t="n">
        <v>6.2</v>
      </c>
      <c r="H491" t="n">
        <v>0</v>
      </c>
      <c r="I491" t="n">
        <v>0</v>
      </c>
      <c r="J491" t="n">
        <v>0</v>
      </c>
      <c r="K491" t="n">
        <v>0</v>
      </c>
      <c r="L491" t="n">
        <v>0</v>
      </c>
      <c r="M491" t="n">
        <v>0</v>
      </c>
      <c r="N491" t="n">
        <v>0</v>
      </c>
      <c r="O491" t="n">
        <v>0</v>
      </c>
      <c r="P491" t="n">
        <v>0</v>
      </c>
      <c r="Q491" t="n">
        <v>0</v>
      </c>
      <c r="R491" s="2" t="inlineStr"/>
    </row>
    <row r="492" ht="15" customHeight="1">
      <c r="A492" t="inlineStr">
        <is>
          <t>A 39073-2023</t>
        </is>
      </c>
      <c r="B492" s="1" t="n">
        <v>45163</v>
      </c>
      <c r="C492" s="1" t="n">
        <v>45357</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39081-2023</t>
        </is>
      </c>
      <c r="B493" s="1" t="n">
        <v>45163</v>
      </c>
      <c r="C493" s="1" t="n">
        <v>45357</v>
      </c>
      <c r="D493" t="inlineStr">
        <is>
          <t>VÄSTERNORRLANDS LÄN</t>
        </is>
      </c>
      <c r="E493" t="inlineStr">
        <is>
          <t>TIMRÅ</t>
        </is>
      </c>
      <c r="F493" t="inlineStr">
        <is>
          <t>SCA</t>
        </is>
      </c>
      <c r="G493" t="n">
        <v>11.6</v>
      </c>
      <c r="H493" t="n">
        <v>0</v>
      </c>
      <c r="I493" t="n">
        <v>0</v>
      </c>
      <c r="J493" t="n">
        <v>0</v>
      </c>
      <c r="K493" t="n">
        <v>0</v>
      </c>
      <c r="L493" t="n">
        <v>0</v>
      </c>
      <c r="M493" t="n">
        <v>0</v>
      </c>
      <c r="N493" t="n">
        <v>0</v>
      </c>
      <c r="O493" t="n">
        <v>0</v>
      </c>
      <c r="P493" t="n">
        <v>0</v>
      </c>
      <c r="Q493" t="n">
        <v>0</v>
      </c>
      <c r="R493" s="2" t="inlineStr"/>
    </row>
    <row r="494" ht="15" customHeight="1">
      <c r="A494" t="inlineStr">
        <is>
          <t>A 39046-2023</t>
        </is>
      </c>
      <c r="B494" s="1" t="n">
        <v>45163</v>
      </c>
      <c r="C494" s="1" t="n">
        <v>45357</v>
      </c>
      <c r="D494" t="inlineStr">
        <is>
          <t>VÄSTERNORRLANDS LÄN</t>
        </is>
      </c>
      <c r="E494" t="inlineStr">
        <is>
          <t>TIMRÅ</t>
        </is>
      </c>
      <c r="G494" t="n">
        <v>1.8</v>
      </c>
      <c r="H494" t="n">
        <v>0</v>
      </c>
      <c r="I494" t="n">
        <v>0</v>
      </c>
      <c r="J494" t="n">
        <v>0</v>
      </c>
      <c r="K494" t="n">
        <v>0</v>
      </c>
      <c r="L494" t="n">
        <v>0</v>
      </c>
      <c r="M494" t="n">
        <v>0</v>
      </c>
      <c r="N494" t="n">
        <v>0</v>
      </c>
      <c r="O494" t="n">
        <v>0</v>
      </c>
      <c r="P494" t="n">
        <v>0</v>
      </c>
      <c r="Q494" t="n">
        <v>0</v>
      </c>
      <c r="R494" s="2" t="inlineStr"/>
    </row>
    <row r="495" ht="15" customHeight="1">
      <c r="A495" t="inlineStr">
        <is>
          <t>A 39048-2023</t>
        </is>
      </c>
      <c r="B495" s="1" t="n">
        <v>45164</v>
      </c>
      <c r="C495" s="1" t="n">
        <v>45357</v>
      </c>
      <c r="D495" t="inlineStr">
        <is>
          <t>VÄSTERNORRLANDS LÄN</t>
        </is>
      </c>
      <c r="E495" t="inlineStr">
        <is>
          <t>TIMRÅ</t>
        </is>
      </c>
      <c r="G495" t="n">
        <v>5.1</v>
      </c>
      <c r="H495" t="n">
        <v>0</v>
      </c>
      <c r="I495" t="n">
        <v>0</v>
      </c>
      <c r="J495" t="n">
        <v>0</v>
      </c>
      <c r="K495" t="n">
        <v>0</v>
      </c>
      <c r="L495" t="n">
        <v>0</v>
      </c>
      <c r="M495" t="n">
        <v>0</v>
      </c>
      <c r="N495" t="n">
        <v>0</v>
      </c>
      <c r="O495" t="n">
        <v>0</v>
      </c>
      <c r="P495" t="n">
        <v>0</v>
      </c>
      <c r="Q495" t="n">
        <v>0</v>
      </c>
      <c r="R495" s="2" t="inlineStr"/>
    </row>
    <row r="496" ht="15" customHeight="1">
      <c r="A496" t="inlineStr">
        <is>
          <t>A 39072-2023</t>
        </is>
      </c>
      <c r="B496" s="1" t="n">
        <v>45163</v>
      </c>
      <c r="C496" s="1" t="n">
        <v>45357</v>
      </c>
      <c r="D496" t="inlineStr">
        <is>
          <t>VÄSTERNORRLANDS LÄN</t>
        </is>
      </c>
      <c r="E496" t="inlineStr">
        <is>
          <t>TIMRÅ</t>
        </is>
      </c>
      <c r="F496" t="inlineStr">
        <is>
          <t>SCA</t>
        </is>
      </c>
      <c r="G496" t="n">
        <v>10.1</v>
      </c>
      <c r="H496" t="n">
        <v>0</v>
      </c>
      <c r="I496" t="n">
        <v>0</v>
      </c>
      <c r="J496" t="n">
        <v>0</v>
      </c>
      <c r="K496" t="n">
        <v>0</v>
      </c>
      <c r="L496" t="n">
        <v>0</v>
      </c>
      <c r="M496" t="n">
        <v>0</v>
      </c>
      <c r="N496" t="n">
        <v>0</v>
      </c>
      <c r="O496" t="n">
        <v>0</v>
      </c>
      <c r="P496" t="n">
        <v>0</v>
      </c>
      <c r="Q496" t="n">
        <v>0</v>
      </c>
      <c r="R496" s="2" t="inlineStr"/>
    </row>
    <row r="497" ht="15" customHeight="1">
      <c r="A497" t="inlineStr">
        <is>
          <t>A 39143-2023</t>
        </is>
      </c>
      <c r="B497" s="1" t="n">
        <v>45165</v>
      </c>
      <c r="C497" s="1" t="n">
        <v>45357</v>
      </c>
      <c r="D497" t="inlineStr">
        <is>
          <t>VÄSTERNORRLANDS LÄN</t>
        </is>
      </c>
      <c r="E497" t="inlineStr">
        <is>
          <t>TIMRÅ</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39142-2023</t>
        </is>
      </c>
      <c r="B498" s="1" t="n">
        <v>45165</v>
      </c>
      <c r="C498" s="1" t="n">
        <v>45357</v>
      </c>
      <c r="D498" t="inlineStr">
        <is>
          <t>VÄSTERNORRLANDS LÄN</t>
        </is>
      </c>
      <c r="E498" t="inlineStr">
        <is>
          <t>TIMRÅ</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39693-2023</t>
        </is>
      </c>
      <c r="B499" s="1" t="n">
        <v>45166</v>
      </c>
      <c r="C499" s="1" t="n">
        <v>45357</v>
      </c>
      <c r="D499" t="inlineStr">
        <is>
          <t>VÄSTERNORRLANDS LÄN</t>
        </is>
      </c>
      <c r="E499" t="inlineStr">
        <is>
          <t>TIMRÅ</t>
        </is>
      </c>
      <c r="G499" t="n">
        <v>5.8</v>
      </c>
      <c r="H499" t="n">
        <v>0</v>
      </c>
      <c r="I499" t="n">
        <v>0</v>
      </c>
      <c r="J499" t="n">
        <v>0</v>
      </c>
      <c r="K499" t="n">
        <v>0</v>
      </c>
      <c r="L499" t="n">
        <v>0</v>
      </c>
      <c r="M499" t="n">
        <v>0</v>
      </c>
      <c r="N499" t="n">
        <v>0</v>
      </c>
      <c r="O499" t="n">
        <v>0</v>
      </c>
      <c r="P499" t="n">
        <v>0</v>
      </c>
      <c r="Q499" t="n">
        <v>0</v>
      </c>
      <c r="R499" s="2" t="inlineStr"/>
    </row>
    <row r="500" ht="15" customHeight="1">
      <c r="A500" t="inlineStr">
        <is>
          <t>A 39819-2023</t>
        </is>
      </c>
      <c r="B500" s="1" t="n">
        <v>45167</v>
      </c>
      <c r="C500" s="1" t="n">
        <v>45357</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40112-2023</t>
        </is>
      </c>
      <c r="B501" s="1" t="n">
        <v>45168</v>
      </c>
      <c r="C501" s="1" t="n">
        <v>45357</v>
      </c>
      <c r="D501" t="inlineStr">
        <is>
          <t>VÄSTERNORRLANDS LÄN</t>
        </is>
      </c>
      <c r="E501" t="inlineStr">
        <is>
          <t>TIMRÅ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40769-2023</t>
        </is>
      </c>
      <c r="B502" s="1" t="n">
        <v>45170</v>
      </c>
      <c r="C502" s="1" t="n">
        <v>45357</v>
      </c>
      <c r="D502" t="inlineStr">
        <is>
          <t>VÄSTERNORRLANDS LÄN</t>
        </is>
      </c>
      <c r="E502" t="inlineStr">
        <is>
          <t>TIMRÅ</t>
        </is>
      </c>
      <c r="F502" t="inlineStr">
        <is>
          <t>SCA</t>
        </is>
      </c>
      <c r="G502" t="n">
        <v>10.9</v>
      </c>
      <c r="H502" t="n">
        <v>0</v>
      </c>
      <c r="I502" t="n">
        <v>0</v>
      </c>
      <c r="J502" t="n">
        <v>0</v>
      </c>
      <c r="K502" t="n">
        <v>0</v>
      </c>
      <c r="L502" t="n">
        <v>0</v>
      </c>
      <c r="M502" t="n">
        <v>0</v>
      </c>
      <c r="N502" t="n">
        <v>0</v>
      </c>
      <c r="O502" t="n">
        <v>0</v>
      </c>
      <c r="P502" t="n">
        <v>0</v>
      </c>
      <c r="Q502" t="n">
        <v>0</v>
      </c>
      <c r="R502" s="2" t="inlineStr"/>
    </row>
    <row r="503" ht="15" customHeight="1">
      <c r="A503" t="inlineStr">
        <is>
          <t>A 40773-2023</t>
        </is>
      </c>
      <c r="B503" s="1" t="n">
        <v>45171</v>
      </c>
      <c r="C503" s="1" t="n">
        <v>45357</v>
      </c>
      <c r="D503" t="inlineStr">
        <is>
          <t>VÄSTERNORRLANDS LÄN</t>
        </is>
      </c>
      <c r="E503" t="inlineStr">
        <is>
          <t>TIMRÅ</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40774-2023</t>
        </is>
      </c>
      <c r="B504" s="1" t="n">
        <v>45171</v>
      </c>
      <c r="C504" s="1" t="n">
        <v>45357</v>
      </c>
      <c r="D504" t="inlineStr">
        <is>
          <t>VÄSTERNORRLANDS LÄN</t>
        </is>
      </c>
      <c r="E504" t="inlineStr">
        <is>
          <t>TIMRÅ</t>
        </is>
      </c>
      <c r="F504" t="inlineStr">
        <is>
          <t>SCA</t>
        </is>
      </c>
      <c r="G504" t="n">
        <v>12.6</v>
      </c>
      <c r="H504" t="n">
        <v>0</v>
      </c>
      <c r="I504" t="n">
        <v>0</v>
      </c>
      <c r="J504" t="n">
        <v>0</v>
      </c>
      <c r="K504" t="n">
        <v>0</v>
      </c>
      <c r="L504" t="n">
        <v>0</v>
      </c>
      <c r="M504" t="n">
        <v>0</v>
      </c>
      <c r="N504" t="n">
        <v>0</v>
      </c>
      <c r="O504" t="n">
        <v>0</v>
      </c>
      <c r="P504" t="n">
        <v>0</v>
      </c>
      <c r="Q504" t="n">
        <v>0</v>
      </c>
      <c r="R504" s="2" t="inlineStr"/>
    </row>
    <row r="505" ht="15" customHeight="1">
      <c r="A505" t="inlineStr">
        <is>
          <t>A 40767-2023</t>
        </is>
      </c>
      <c r="B505" s="1" t="n">
        <v>45171</v>
      </c>
      <c r="C505" s="1" t="n">
        <v>45357</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40768-2023</t>
        </is>
      </c>
      <c r="B506" s="1" t="n">
        <v>45171</v>
      </c>
      <c r="C506" s="1" t="n">
        <v>45357</v>
      </c>
      <c r="D506" t="inlineStr">
        <is>
          <t>VÄSTERNORRLANDS LÄN</t>
        </is>
      </c>
      <c r="E506" t="inlineStr">
        <is>
          <t>TIMRÅ</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41605-2023</t>
        </is>
      </c>
      <c r="B507" s="1" t="n">
        <v>45175</v>
      </c>
      <c r="C507" s="1" t="n">
        <v>45357</v>
      </c>
      <c r="D507" t="inlineStr">
        <is>
          <t>VÄSTERNORRLANDS LÄN</t>
        </is>
      </c>
      <c r="E507" t="inlineStr">
        <is>
          <t>TIMRÅ</t>
        </is>
      </c>
      <c r="G507" t="n">
        <v>1.6</v>
      </c>
      <c r="H507" t="n">
        <v>0</v>
      </c>
      <c r="I507" t="n">
        <v>0</v>
      </c>
      <c r="J507" t="n">
        <v>0</v>
      </c>
      <c r="K507" t="n">
        <v>0</v>
      </c>
      <c r="L507" t="n">
        <v>0</v>
      </c>
      <c r="M507" t="n">
        <v>0</v>
      </c>
      <c r="N507" t="n">
        <v>0</v>
      </c>
      <c r="O507" t="n">
        <v>0</v>
      </c>
      <c r="P507" t="n">
        <v>0</v>
      </c>
      <c r="Q507" t="n">
        <v>0</v>
      </c>
      <c r="R507" s="2" t="inlineStr"/>
    </row>
    <row r="508" ht="15" customHeight="1">
      <c r="A508" t="inlineStr">
        <is>
          <t>A 42161-2023</t>
        </is>
      </c>
      <c r="B508" s="1" t="n">
        <v>45178</v>
      </c>
      <c r="C508" s="1" t="n">
        <v>45357</v>
      </c>
      <c r="D508" t="inlineStr">
        <is>
          <t>VÄSTERNORRLANDS LÄN</t>
        </is>
      </c>
      <c r="E508" t="inlineStr">
        <is>
          <t>TIMRÅ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42513-2023</t>
        </is>
      </c>
      <c r="B509" s="1" t="n">
        <v>45180</v>
      </c>
      <c r="C509" s="1" t="n">
        <v>45357</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42516-2023</t>
        </is>
      </c>
      <c r="B510" s="1" t="n">
        <v>45180</v>
      </c>
      <c r="C510" s="1" t="n">
        <v>45357</v>
      </c>
      <c r="D510" t="inlineStr">
        <is>
          <t>VÄSTERNORRLANDS LÄN</t>
        </is>
      </c>
      <c r="E510" t="inlineStr">
        <is>
          <t>TIMRÅ</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43124-2023</t>
        </is>
      </c>
      <c r="B511" s="1" t="n">
        <v>45182</v>
      </c>
      <c r="C511" s="1" t="n">
        <v>45357</v>
      </c>
      <c r="D511" t="inlineStr">
        <is>
          <t>VÄSTERNORRLANDS LÄN</t>
        </is>
      </c>
      <c r="E511" t="inlineStr">
        <is>
          <t>TIMRÅ</t>
        </is>
      </c>
      <c r="F511" t="inlineStr">
        <is>
          <t>SCA</t>
        </is>
      </c>
      <c r="G511" t="n">
        <v>6.8</v>
      </c>
      <c r="H511" t="n">
        <v>0</v>
      </c>
      <c r="I511" t="n">
        <v>0</v>
      </c>
      <c r="J511" t="n">
        <v>0</v>
      </c>
      <c r="K511" t="n">
        <v>0</v>
      </c>
      <c r="L511" t="n">
        <v>0</v>
      </c>
      <c r="M511" t="n">
        <v>0</v>
      </c>
      <c r="N511" t="n">
        <v>0</v>
      </c>
      <c r="O511" t="n">
        <v>0</v>
      </c>
      <c r="P511" t="n">
        <v>0</v>
      </c>
      <c r="Q511" t="n">
        <v>0</v>
      </c>
      <c r="R511" s="2" t="inlineStr"/>
    </row>
    <row r="512" ht="15" customHeight="1">
      <c r="A512" t="inlineStr">
        <is>
          <t>A 43130-2023</t>
        </is>
      </c>
      <c r="B512" s="1" t="n">
        <v>45183</v>
      </c>
      <c r="C512" s="1" t="n">
        <v>45357</v>
      </c>
      <c r="D512" t="inlineStr">
        <is>
          <t>VÄSTERNORRLANDS LÄN</t>
        </is>
      </c>
      <c r="E512" t="inlineStr">
        <is>
          <t>TIMRÅ</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43128-2023</t>
        </is>
      </c>
      <c r="B513" s="1" t="n">
        <v>45182</v>
      </c>
      <c r="C513" s="1" t="n">
        <v>45357</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43113-2023</t>
        </is>
      </c>
      <c r="B514" s="1" t="n">
        <v>45182</v>
      </c>
      <c r="C514" s="1" t="n">
        <v>45357</v>
      </c>
      <c r="D514" t="inlineStr">
        <is>
          <t>VÄSTERNORRLANDS LÄN</t>
        </is>
      </c>
      <c r="E514" t="inlineStr">
        <is>
          <t>TIMRÅ</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43129-2023</t>
        </is>
      </c>
      <c r="B515" s="1" t="n">
        <v>45182</v>
      </c>
      <c r="C515" s="1" t="n">
        <v>45357</v>
      </c>
      <c r="D515" t="inlineStr">
        <is>
          <t>VÄSTERNORRLANDS LÄN</t>
        </is>
      </c>
      <c r="E515" t="inlineStr">
        <is>
          <t>TIMRÅ</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43411-2023</t>
        </is>
      </c>
      <c r="B516" s="1" t="n">
        <v>45183</v>
      </c>
      <c r="C516" s="1" t="n">
        <v>45357</v>
      </c>
      <c r="D516" t="inlineStr">
        <is>
          <t>VÄSTERNORRLANDS LÄN</t>
        </is>
      </c>
      <c r="E516" t="inlineStr">
        <is>
          <t>TIMRÅ</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43412-2023</t>
        </is>
      </c>
      <c r="B517" s="1" t="n">
        <v>45184</v>
      </c>
      <c r="C517" s="1" t="n">
        <v>45357</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43959-2023</t>
        </is>
      </c>
      <c r="B518" s="1" t="n">
        <v>45188</v>
      </c>
      <c r="C518" s="1" t="n">
        <v>45357</v>
      </c>
      <c r="D518" t="inlineStr">
        <is>
          <t>VÄSTERNORRLANDS LÄN</t>
        </is>
      </c>
      <c r="E518" t="inlineStr">
        <is>
          <t>TIMRÅ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43964-2023</t>
        </is>
      </c>
      <c r="B519" s="1" t="n">
        <v>45187</v>
      </c>
      <c r="C519" s="1" t="n">
        <v>45357</v>
      </c>
      <c r="D519" t="inlineStr">
        <is>
          <t>VÄSTERNORRLANDS LÄN</t>
        </is>
      </c>
      <c r="E519" t="inlineStr">
        <is>
          <t>TIMRÅ</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43983-2023</t>
        </is>
      </c>
      <c r="B520" s="1" t="n">
        <v>45188</v>
      </c>
      <c r="C520" s="1" t="n">
        <v>45357</v>
      </c>
      <c r="D520" t="inlineStr">
        <is>
          <t>VÄSTERNORRLANDS LÄN</t>
        </is>
      </c>
      <c r="E520" t="inlineStr">
        <is>
          <t>TIMRÅ</t>
        </is>
      </c>
      <c r="F520" t="inlineStr">
        <is>
          <t>SCA</t>
        </is>
      </c>
      <c r="G520" t="n">
        <v>6.7</v>
      </c>
      <c r="H520" t="n">
        <v>0</v>
      </c>
      <c r="I520" t="n">
        <v>0</v>
      </c>
      <c r="J520" t="n">
        <v>0</v>
      </c>
      <c r="K520" t="n">
        <v>0</v>
      </c>
      <c r="L520" t="n">
        <v>0</v>
      </c>
      <c r="M520" t="n">
        <v>0</v>
      </c>
      <c r="N520" t="n">
        <v>0</v>
      </c>
      <c r="O520" t="n">
        <v>0</v>
      </c>
      <c r="P520" t="n">
        <v>0</v>
      </c>
      <c r="Q520" t="n">
        <v>0</v>
      </c>
      <c r="R520" s="2" t="inlineStr"/>
    </row>
    <row r="521" ht="15" customHeight="1">
      <c r="A521" t="inlineStr">
        <is>
          <t>A 43962-2023</t>
        </is>
      </c>
      <c r="B521" s="1" t="n">
        <v>45187</v>
      </c>
      <c r="C521" s="1" t="n">
        <v>45357</v>
      </c>
      <c r="D521" t="inlineStr">
        <is>
          <t>VÄSTERNORRLANDS LÄN</t>
        </is>
      </c>
      <c r="E521" t="inlineStr">
        <is>
          <t>TIMRÅ</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43994-2023</t>
        </is>
      </c>
      <c r="B522" s="1" t="n">
        <v>45187</v>
      </c>
      <c r="C522" s="1" t="n">
        <v>45357</v>
      </c>
      <c r="D522" t="inlineStr">
        <is>
          <t>VÄSTERNORRLANDS LÄN</t>
        </is>
      </c>
      <c r="E522" t="inlineStr">
        <is>
          <t>TIMRÅ</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44405-2023</t>
        </is>
      </c>
      <c r="B523" s="1" t="n">
        <v>45188</v>
      </c>
      <c r="C523" s="1" t="n">
        <v>45357</v>
      </c>
      <c r="D523" t="inlineStr">
        <is>
          <t>VÄSTERNORRLANDS LÄN</t>
        </is>
      </c>
      <c r="E523" t="inlineStr">
        <is>
          <t>TIMRÅ</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44404-2023</t>
        </is>
      </c>
      <c r="B524" s="1" t="n">
        <v>45188</v>
      </c>
      <c r="C524" s="1" t="n">
        <v>45357</v>
      </c>
      <c r="D524" t="inlineStr">
        <is>
          <t>VÄSTERNORRLANDS LÄN</t>
        </is>
      </c>
      <c r="E524" t="inlineStr">
        <is>
          <t>TIMRÅ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44379-2023</t>
        </is>
      </c>
      <c r="B525" s="1" t="n">
        <v>45188</v>
      </c>
      <c r="C525" s="1" t="n">
        <v>45357</v>
      </c>
      <c r="D525" t="inlineStr">
        <is>
          <t>VÄSTERNORRLANDS LÄN</t>
        </is>
      </c>
      <c r="E525" t="inlineStr">
        <is>
          <t>TIMRÅ</t>
        </is>
      </c>
      <c r="G525" t="n">
        <v>0.6</v>
      </c>
      <c r="H525" t="n">
        <v>0</v>
      </c>
      <c r="I525" t="n">
        <v>0</v>
      </c>
      <c r="J525" t="n">
        <v>0</v>
      </c>
      <c r="K525" t="n">
        <v>0</v>
      </c>
      <c r="L525" t="n">
        <v>0</v>
      </c>
      <c r="M525" t="n">
        <v>0</v>
      </c>
      <c r="N525" t="n">
        <v>0</v>
      </c>
      <c r="O525" t="n">
        <v>0</v>
      </c>
      <c r="P525" t="n">
        <v>0</v>
      </c>
      <c r="Q525" t="n">
        <v>0</v>
      </c>
      <c r="R525" s="2" t="inlineStr"/>
    </row>
    <row r="526" ht="15" customHeight="1">
      <c r="A526" t="inlineStr">
        <is>
          <t>A 44378-2023</t>
        </is>
      </c>
      <c r="B526" s="1" t="n">
        <v>45189</v>
      </c>
      <c r="C526" s="1" t="n">
        <v>45357</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45774-2023</t>
        </is>
      </c>
      <c r="B527" s="1" t="n">
        <v>45189</v>
      </c>
      <c r="C527" s="1" t="n">
        <v>45357</v>
      </c>
      <c r="D527" t="inlineStr">
        <is>
          <t>VÄSTERNORRLANDS LÄN</t>
        </is>
      </c>
      <c r="E527" t="inlineStr">
        <is>
          <t>TIMRÅ</t>
        </is>
      </c>
      <c r="G527" t="n">
        <v>2.8</v>
      </c>
      <c r="H527" t="n">
        <v>0</v>
      </c>
      <c r="I527" t="n">
        <v>0</v>
      </c>
      <c r="J527" t="n">
        <v>0</v>
      </c>
      <c r="K527" t="n">
        <v>0</v>
      </c>
      <c r="L527" t="n">
        <v>0</v>
      </c>
      <c r="M527" t="n">
        <v>0</v>
      </c>
      <c r="N527" t="n">
        <v>0</v>
      </c>
      <c r="O527" t="n">
        <v>0</v>
      </c>
      <c r="P527" t="n">
        <v>0</v>
      </c>
      <c r="Q527" t="n">
        <v>0</v>
      </c>
      <c r="R527" s="2" t="inlineStr"/>
    </row>
    <row r="528" ht="15" customHeight="1">
      <c r="A528" t="inlineStr">
        <is>
          <t>A 44991-2023</t>
        </is>
      </c>
      <c r="B528" s="1" t="n">
        <v>45190</v>
      </c>
      <c r="C528" s="1" t="n">
        <v>45357</v>
      </c>
      <c r="D528" t="inlineStr">
        <is>
          <t>VÄSTERNORRLANDS LÄN</t>
        </is>
      </c>
      <c r="E528" t="inlineStr">
        <is>
          <t>TIMRÅ</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44990-2023</t>
        </is>
      </c>
      <c r="B529" s="1" t="n">
        <v>45190</v>
      </c>
      <c r="C529" s="1" t="n">
        <v>45357</v>
      </c>
      <c r="D529" t="inlineStr">
        <is>
          <t>VÄSTERNORRLANDS LÄN</t>
        </is>
      </c>
      <c r="E529" t="inlineStr">
        <is>
          <t>TIMRÅ</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45723-2023</t>
        </is>
      </c>
      <c r="B530" s="1" t="n">
        <v>45195</v>
      </c>
      <c r="C530" s="1" t="n">
        <v>45357</v>
      </c>
      <c r="D530" t="inlineStr">
        <is>
          <t>VÄSTERNORRLANDS LÄN</t>
        </is>
      </c>
      <c r="E530" t="inlineStr">
        <is>
          <t>TIMRÅ</t>
        </is>
      </c>
      <c r="G530" t="n">
        <v>0.9</v>
      </c>
      <c r="H530" t="n">
        <v>0</v>
      </c>
      <c r="I530" t="n">
        <v>0</v>
      </c>
      <c r="J530" t="n">
        <v>0</v>
      </c>
      <c r="K530" t="n">
        <v>0</v>
      </c>
      <c r="L530" t="n">
        <v>0</v>
      </c>
      <c r="M530" t="n">
        <v>0</v>
      </c>
      <c r="N530" t="n">
        <v>0</v>
      </c>
      <c r="O530" t="n">
        <v>0</v>
      </c>
      <c r="P530" t="n">
        <v>0</v>
      </c>
      <c r="Q530" t="n">
        <v>0</v>
      </c>
      <c r="R530" s="2" t="inlineStr"/>
    </row>
    <row r="531" ht="15" customHeight="1">
      <c r="A531" t="inlineStr">
        <is>
          <t>A 45739-2023</t>
        </is>
      </c>
      <c r="B531" s="1" t="n">
        <v>45195</v>
      </c>
      <c r="C531" s="1" t="n">
        <v>45357</v>
      </c>
      <c r="D531" t="inlineStr">
        <is>
          <t>VÄSTERNORRLANDS LÄN</t>
        </is>
      </c>
      <c r="E531" t="inlineStr">
        <is>
          <t>TIMRÅ</t>
        </is>
      </c>
      <c r="G531" t="n">
        <v>1.5</v>
      </c>
      <c r="H531" t="n">
        <v>0</v>
      </c>
      <c r="I531" t="n">
        <v>0</v>
      </c>
      <c r="J531" t="n">
        <v>0</v>
      </c>
      <c r="K531" t="n">
        <v>0</v>
      </c>
      <c r="L531" t="n">
        <v>0</v>
      </c>
      <c r="M531" t="n">
        <v>0</v>
      </c>
      <c r="N531" t="n">
        <v>0</v>
      </c>
      <c r="O531" t="n">
        <v>0</v>
      </c>
      <c r="P531" t="n">
        <v>0</v>
      </c>
      <c r="Q531" t="n">
        <v>0</v>
      </c>
      <c r="R531" s="2" t="inlineStr"/>
    </row>
    <row r="532" ht="15" customHeight="1">
      <c r="A532" t="inlineStr">
        <is>
          <t>A 47147-2023</t>
        </is>
      </c>
      <c r="B532" s="1" t="n">
        <v>45201</v>
      </c>
      <c r="C532" s="1" t="n">
        <v>45357</v>
      </c>
      <c r="D532" t="inlineStr">
        <is>
          <t>VÄSTERNORRLANDS LÄN</t>
        </is>
      </c>
      <c r="E532" t="inlineStr">
        <is>
          <t>TIMRÅ</t>
        </is>
      </c>
      <c r="G532" t="n">
        <v>1.1</v>
      </c>
      <c r="H532" t="n">
        <v>0</v>
      </c>
      <c r="I532" t="n">
        <v>0</v>
      </c>
      <c r="J532" t="n">
        <v>0</v>
      </c>
      <c r="K532" t="n">
        <v>0</v>
      </c>
      <c r="L532" t="n">
        <v>0</v>
      </c>
      <c r="M532" t="n">
        <v>0</v>
      </c>
      <c r="N532" t="n">
        <v>0</v>
      </c>
      <c r="O532" t="n">
        <v>0</v>
      </c>
      <c r="P532" t="n">
        <v>0</v>
      </c>
      <c r="Q532" t="n">
        <v>0</v>
      </c>
      <c r="R532" s="2" t="inlineStr"/>
    </row>
    <row r="533" ht="15" customHeight="1">
      <c r="A533" t="inlineStr">
        <is>
          <t>A 47150-2023</t>
        </is>
      </c>
      <c r="B533" s="1" t="n">
        <v>45201</v>
      </c>
      <c r="C533" s="1" t="n">
        <v>45357</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48769-2023</t>
        </is>
      </c>
      <c r="B534" s="1" t="n">
        <v>45208</v>
      </c>
      <c r="C534" s="1" t="n">
        <v>45357</v>
      </c>
      <c r="D534" t="inlineStr">
        <is>
          <t>VÄSTERNORRLANDS LÄN</t>
        </is>
      </c>
      <c r="E534" t="inlineStr">
        <is>
          <t>TIMRÅ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48786-2023</t>
        </is>
      </c>
      <c r="B535" s="1" t="n">
        <v>45208</v>
      </c>
      <c r="C535" s="1" t="n">
        <v>45357</v>
      </c>
      <c r="D535" t="inlineStr">
        <is>
          <t>VÄSTERNORRLANDS LÄN</t>
        </is>
      </c>
      <c r="E535" t="inlineStr">
        <is>
          <t>TIMRÅ</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48768-2023</t>
        </is>
      </c>
      <c r="B536" s="1" t="n">
        <v>45208</v>
      </c>
      <c r="C536" s="1" t="n">
        <v>45357</v>
      </c>
      <c r="D536" t="inlineStr">
        <is>
          <t>VÄSTERNORRLANDS LÄN</t>
        </is>
      </c>
      <c r="E536" t="inlineStr">
        <is>
          <t>TIMRÅ</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48785-2023</t>
        </is>
      </c>
      <c r="B537" s="1" t="n">
        <v>45208</v>
      </c>
      <c r="C537" s="1" t="n">
        <v>45357</v>
      </c>
      <c r="D537" t="inlineStr">
        <is>
          <t>VÄSTERNORRLANDS LÄN</t>
        </is>
      </c>
      <c r="E537" t="inlineStr">
        <is>
          <t>TIMRÅ</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48784-2023</t>
        </is>
      </c>
      <c r="B538" s="1" t="n">
        <v>45208</v>
      </c>
      <c r="C538" s="1" t="n">
        <v>45357</v>
      </c>
      <c r="D538" t="inlineStr">
        <is>
          <t>VÄSTERNORRLANDS LÄN</t>
        </is>
      </c>
      <c r="E538" t="inlineStr">
        <is>
          <t>TIMRÅ</t>
        </is>
      </c>
      <c r="F538" t="inlineStr">
        <is>
          <t>SCA</t>
        </is>
      </c>
      <c r="G538" t="n">
        <v>7.2</v>
      </c>
      <c r="H538" t="n">
        <v>0</v>
      </c>
      <c r="I538" t="n">
        <v>0</v>
      </c>
      <c r="J538" t="n">
        <v>0</v>
      </c>
      <c r="K538" t="n">
        <v>0</v>
      </c>
      <c r="L538" t="n">
        <v>0</v>
      </c>
      <c r="M538" t="n">
        <v>0</v>
      </c>
      <c r="N538" t="n">
        <v>0</v>
      </c>
      <c r="O538" t="n">
        <v>0</v>
      </c>
      <c r="P538" t="n">
        <v>0</v>
      </c>
      <c r="Q538" t="n">
        <v>0</v>
      </c>
      <c r="R538" s="2" t="inlineStr"/>
    </row>
    <row r="539" ht="15" customHeight="1">
      <c r="A539" t="inlineStr">
        <is>
          <t>A 50355-2023</t>
        </is>
      </c>
      <c r="B539" s="1" t="n">
        <v>45209</v>
      </c>
      <c r="C539" s="1" t="n">
        <v>45357</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50638-2023</t>
        </is>
      </c>
      <c r="B540" s="1" t="n">
        <v>45210</v>
      </c>
      <c r="C540" s="1" t="n">
        <v>45357</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50230-2023</t>
        </is>
      </c>
      <c r="B541" s="1" t="n">
        <v>45215</v>
      </c>
      <c r="C541" s="1" t="n">
        <v>45357</v>
      </c>
      <c r="D541" t="inlineStr">
        <is>
          <t>VÄSTERNORRLANDS LÄN</t>
        </is>
      </c>
      <c r="E541" t="inlineStr">
        <is>
          <t>TIMRÅ</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51735-2023</t>
        </is>
      </c>
      <c r="B542" s="1" t="n">
        <v>45215</v>
      </c>
      <c r="C542" s="1" t="n">
        <v>45357</v>
      </c>
      <c r="D542" t="inlineStr">
        <is>
          <t>VÄSTERNORRLANDS LÄN</t>
        </is>
      </c>
      <c r="E542" t="inlineStr">
        <is>
          <t>TIMRÅ</t>
        </is>
      </c>
      <c r="G542" t="n">
        <v>8.5</v>
      </c>
      <c r="H542" t="n">
        <v>0</v>
      </c>
      <c r="I542" t="n">
        <v>0</v>
      </c>
      <c r="J542" t="n">
        <v>0</v>
      </c>
      <c r="K542" t="n">
        <v>0</v>
      </c>
      <c r="L542" t="n">
        <v>0</v>
      </c>
      <c r="M542" t="n">
        <v>0</v>
      </c>
      <c r="N542" t="n">
        <v>0</v>
      </c>
      <c r="O542" t="n">
        <v>0</v>
      </c>
      <c r="P542" t="n">
        <v>0</v>
      </c>
      <c r="Q542" t="n">
        <v>0</v>
      </c>
      <c r="R542" s="2" t="inlineStr"/>
    </row>
    <row r="543" ht="15" customHeight="1">
      <c r="A543" t="inlineStr">
        <is>
          <t>A 51871-2023</t>
        </is>
      </c>
      <c r="B543" s="1" t="n">
        <v>45215</v>
      </c>
      <c r="C543" s="1" t="n">
        <v>45357</v>
      </c>
      <c r="D543" t="inlineStr">
        <is>
          <t>VÄSTERNORRLANDS LÄN</t>
        </is>
      </c>
      <c r="E543" t="inlineStr">
        <is>
          <t>TIMRÅ</t>
        </is>
      </c>
      <c r="G543" t="n">
        <v>7.3</v>
      </c>
      <c r="H543" t="n">
        <v>0</v>
      </c>
      <c r="I543" t="n">
        <v>0</v>
      </c>
      <c r="J543" t="n">
        <v>0</v>
      </c>
      <c r="K543" t="n">
        <v>0</v>
      </c>
      <c r="L543" t="n">
        <v>0</v>
      </c>
      <c r="M543" t="n">
        <v>0</v>
      </c>
      <c r="N543" t="n">
        <v>0</v>
      </c>
      <c r="O543" t="n">
        <v>0</v>
      </c>
      <c r="P543" t="n">
        <v>0</v>
      </c>
      <c r="Q543" t="n">
        <v>0</v>
      </c>
      <c r="R543" s="2" t="inlineStr"/>
    </row>
    <row r="544" ht="15" customHeight="1">
      <c r="A544" t="inlineStr">
        <is>
          <t>A 51113-2023</t>
        </is>
      </c>
      <c r="B544" s="1" t="n">
        <v>45218</v>
      </c>
      <c r="C544" s="1" t="n">
        <v>45357</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53033-2023</t>
        </is>
      </c>
      <c r="B545" s="1" t="n">
        <v>45227</v>
      </c>
      <c r="C545" s="1" t="n">
        <v>45357</v>
      </c>
      <c r="D545" t="inlineStr">
        <is>
          <t>VÄSTERNORRLANDS LÄN</t>
        </is>
      </c>
      <c r="E545" t="inlineStr">
        <is>
          <t>TIMRÅ</t>
        </is>
      </c>
      <c r="G545" t="n">
        <v>3.4</v>
      </c>
      <c r="H545" t="n">
        <v>0</v>
      </c>
      <c r="I545" t="n">
        <v>0</v>
      </c>
      <c r="J545" t="n">
        <v>0</v>
      </c>
      <c r="K545" t="n">
        <v>0</v>
      </c>
      <c r="L545" t="n">
        <v>0</v>
      </c>
      <c r="M545" t="n">
        <v>0</v>
      </c>
      <c r="N545" t="n">
        <v>0</v>
      </c>
      <c r="O545" t="n">
        <v>0</v>
      </c>
      <c r="P545" t="n">
        <v>0</v>
      </c>
      <c r="Q545" t="n">
        <v>0</v>
      </c>
      <c r="R545" s="2" t="inlineStr"/>
    </row>
    <row r="546" ht="15" customHeight="1">
      <c r="A546" t="inlineStr">
        <is>
          <t>A 53448-2023</t>
        </is>
      </c>
      <c r="B546" s="1" t="n">
        <v>45230</v>
      </c>
      <c r="C546" s="1" t="n">
        <v>45357</v>
      </c>
      <c r="D546" t="inlineStr">
        <is>
          <t>VÄSTERNORRLANDS LÄN</t>
        </is>
      </c>
      <c r="E546" t="inlineStr">
        <is>
          <t>TIMRÅ</t>
        </is>
      </c>
      <c r="F546" t="inlineStr">
        <is>
          <t>SCA</t>
        </is>
      </c>
      <c r="G546" t="n">
        <v>4.8</v>
      </c>
      <c r="H546" t="n">
        <v>0</v>
      </c>
      <c r="I546" t="n">
        <v>0</v>
      </c>
      <c r="J546" t="n">
        <v>0</v>
      </c>
      <c r="K546" t="n">
        <v>0</v>
      </c>
      <c r="L546" t="n">
        <v>0</v>
      </c>
      <c r="M546" t="n">
        <v>0</v>
      </c>
      <c r="N546" t="n">
        <v>0</v>
      </c>
      <c r="O546" t="n">
        <v>0</v>
      </c>
      <c r="P546" t="n">
        <v>0</v>
      </c>
      <c r="Q546" t="n">
        <v>0</v>
      </c>
      <c r="R546" s="2" t="inlineStr"/>
    </row>
    <row r="547" ht="15" customHeight="1">
      <c r="A547" t="inlineStr">
        <is>
          <t>A 53430-2023</t>
        </is>
      </c>
      <c r="B547" s="1" t="n">
        <v>45229</v>
      </c>
      <c r="C547" s="1" t="n">
        <v>45357</v>
      </c>
      <c r="D547" t="inlineStr">
        <is>
          <t>VÄSTERNORRLANDS LÄN</t>
        </is>
      </c>
      <c r="E547" t="inlineStr">
        <is>
          <t>TIMRÅ</t>
        </is>
      </c>
      <c r="G547" t="n">
        <v>2.6</v>
      </c>
      <c r="H547" t="n">
        <v>0</v>
      </c>
      <c r="I547" t="n">
        <v>0</v>
      </c>
      <c r="J547" t="n">
        <v>0</v>
      </c>
      <c r="K547" t="n">
        <v>0</v>
      </c>
      <c r="L547" t="n">
        <v>0</v>
      </c>
      <c r="M547" t="n">
        <v>0</v>
      </c>
      <c r="N547" t="n">
        <v>0</v>
      </c>
      <c r="O547" t="n">
        <v>0</v>
      </c>
      <c r="P547" t="n">
        <v>0</v>
      </c>
      <c r="Q547" t="n">
        <v>0</v>
      </c>
      <c r="R547" s="2" t="inlineStr"/>
    </row>
    <row r="548" ht="15" customHeight="1">
      <c r="A548" t="inlineStr">
        <is>
          <t>A 53755-2023</t>
        </is>
      </c>
      <c r="B548" s="1" t="n">
        <v>45230</v>
      </c>
      <c r="C548" s="1" t="n">
        <v>45357</v>
      </c>
      <c r="D548" t="inlineStr">
        <is>
          <t>VÄSTERNORRLANDS LÄN</t>
        </is>
      </c>
      <c r="E548" t="inlineStr">
        <is>
          <t>TIMRÅ</t>
        </is>
      </c>
      <c r="G548" t="n">
        <v>6.5</v>
      </c>
      <c r="H548" t="n">
        <v>0</v>
      </c>
      <c r="I548" t="n">
        <v>0</v>
      </c>
      <c r="J548" t="n">
        <v>0</v>
      </c>
      <c r="K548" t="n">
        <v>0</v>
      </c>
      <c r="L548" t="n">
        <v>0</v>
      </c>
      <c r="M548" t="n">
        <v>0</v>
      </c>
      <c r="N548" t="n">
        <v>0</v>
      </c>
      <c r="O548" t="n">
        <v>0</v>
      </c>
      <c r="P548" t="n">
        <v>0</v>
      </c>
      <c r="Q548" t="n">
        <v>0</v>
      </c>
      <c r="R548" s="2" t="inlineStr"/>
    </row>
    <row r="549" ht="15" customHeight="1">
      <c r="A549" t="inlineStr">
        <is>
          <t>A 54040-2023</t>
        </is>
      </c>
      <c r="B549" s="1" t="n">
        <v>45231</v>
      </c>
      <c r="C549" s="1" t="n">
        <v>45357</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54041-2023</t>
        </is>
      </c>
      <c r="B550" s="1" t="n">
        <v>45231</v>
      </c>
      <c r="C550" s="1" t="n">
        <v>45357</v>
      </c>
      <c r="D550" t="inlineStr">
        <is>
          <t>VÄSTERNORRLANDS LÄN</t>
        </is>
      </c>
      <c r="E550" t="inlineStr">
        <is>
          <t>TIMRÅ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55441-2023</t>
        </is>
      </c>
      <c r="B551" s="1" t="n">
        <v>45231</v>
      </c>
      <c r="C551" s="1" t="n">
        <v>45357</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54610-2023</t>
        </is>
      </c>
      <c r="B552" s="1" t="n">
        <v>45233</v>
      </c>
      <c r="C552" s="1" t="n">
        <v>45357</v>
      </c>
      <c r="D552" t="inlineStr">
        <is>
          <t>VÄSTERNORRLANDS LÄN</t>
        </is>
      </c>
      <c r="E552" t="inlineStr">
        <is>
          <t>TIMRÅ</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55673-2023</t>
        </is>
      </c>
      <c r="B553" s="1" t="n">
        <v>45238</v>
      </c>
      <c r="C553" s="1" t="n">
        <v>45357</v>
      </c>
      <c r="D553" t="inlineStr">
        <is>
          <t>VÄSTERNORRLANDS LÄN</t>
        </is>
      </c>
      <c r="E553" t="inlineStr">
        <is>
          <t>TIMRÅ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55930-2023</t>
        </is>
      </c>
      <c r="B554" s="1" t="n">
        <v>45240</v>
      </c>
      <c r="C554" s="1" t="n">
        <v>45357</v>
      </c>
      <c r="D554" t="inlineStr">
        <is>
          <t>VÄSTERNORRLANDS LÄN</t>
        </is>
      </c>
      <c r="E554" t="inlineStr">
        <is>
          <t>TIMRÅ</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56237-2023</t>
        </is>
      </c>
      <c r="B555" s="1" t="n">
        <v>45240</v>
      </c>
      <c r="C555" s="1" t="n">
        <v>45357</v>
      </c>
      <c r="D555" t="inlineStr">
        <is>
          <t>VÄSTERNORRLANDS LÄN</t>
        </is>
      </c>
      <c r="E555" t="inlineStr">
        <is>
          <t>TIMRÅ</t>
        </is>
      </c>
      <c r="G555" t="n">
        <v>0.7</v>
      </c>
      <c r="H555" t="n">
        <v>0</v>
      </c>
      <c r="I555" t="n">
        <v>0</v>
      </c>
      <c r="J555" t="n">
        <v>0</v>
      </c>
      <c r="K555" t="n">
        <v>0</v>
      </c>
      <c r="L555" t="n">
        <v>0</v>
      </c>
      <c r="M555" t="n">
        <v>0</v>
      </c>
      <c r="N555" t="n">
        <v>0</v>
      </c>
      <c r="O555" t="n">
        <v>0</v>
      </c>
      <c r="P555" t="n">
        <v>0</v>
      </c>
      <c r="Q555" t="n">
        <v>0</v>
      </c>
      <c r="R555" s="2" t="inlineStr"/>
    </row>
    <row r="556" ht="15" customHeight="1">
      <c r="A556" t="inlineStr">
        <is>
          <t>A 56701-2023</t>
        </is>
      </c>
      <c r="B556" s="1" t="n">
        <v>45243</v>
      </c>
      <c r="C556" s="1" t="n">
        <v>45357</v>
      </c>
      <c r="D556" t="inlineStr">
        <is>
          <t>VÄSTERNORRLANDS LÄN</t>
        </is>
      </c>
      <c r="E556" t="inlineStr">
        <is>
          <t>TIMRÅ</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56692-2023</t>
        </is>
      </c>
      <c r="B557" s="1" t="n">
        <v>45243</v>
      </c>
      <c r="C557" s="1" t="n">
        <v>45357</v>
      </c>
      <c r="D557" t="inlineStr">
        <is>
          <t>VÄSTERNORRLANDS LÄN</t>
        </is>
      </c>
      <c r="E557" t="inlineStr">
        <is>
          <t>TIMRÅ</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56765-2023</t>
        </is>
      </c>
      <c r="B558" s="1" t="n">
        <v>45244</v>
      </c>
      <c r="C558" s="1" t="n">
        <v>45357</v>
      </c>
      <c r="D558" t="inlineStr">
        <is>
          <t>VÄSTERNORRLANDS LÄN</t>
        </is>
      </c>
      <c r="E558" t="inlineStr">
        <is>
          <t>TIMRÅ</t>
        </is>
      </c>
      <c r="G558" t="n">
        <v>2</v>
      </c>
      <c r="H558" t="n">
        <v>0</v>
      </c>
      <c r="I558" t="n">
        <v>0</v>
      </c>
      <c r="J558" t="n">
        <v>0</v>
      </c>
      <c r="K558" t="n">
        <v>0</v>
      </c>
      <c r="L558" t="n">
        <v>0</v>
      </c>
      <c r="M558" t="n">
        <v>0</v>
      </c>
      <c r="N558" t="n">
        <v>0</v>
      </c>
      <c r="O558" t="n">
        <v>0</v>
      </c>
      <c r="P558" t="n">
        <v>0</v>
      </c>
      <c r="Q558" t="n">
        <v>0</v>
      </c>
      <c r="R558" s="2" t="inlineStr"/>
    </row>
    <row r="559" ht="15" customHeight="1">
      <c r="A559" t="inlineStr">
        <is>
          <t>A 57072-2023</t>
        </is>
      </c>
      <c r="B559" s="1" t="n">
        <v>45245</v>
      </c>
      <c r="C559" s="1" t="n">
        <v>45357</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57762-2023</t>
        </is>
      </c>
      <c r="B560" s="1" t="n">
        <v>45246</v>
      </c>
      <c r="C560" s="1" t="n">
        <v>45357</v>
      </c>
      <c r="D560" t="inlineStr">
        <is>
          <t>VÄSTERNORRLANDS LÄN</t>
        </is>
      </c>
      <c r="E560" t="inlineStr">
        <is>
          <t>TIMRÅ</t>
        </is>
      </c>
      <c r="G560" t="n">
        <v>2.5</v>
      </c>
      <c r="H560" t="n">
        <v>0</v>
      </c>
      <c r="I560" t="n">
        <v>0</v>
      </c>
      <c r="J560" t="n">
        <v>0</v>
      </c>
      <c r="K560" t="n">
        <v>0</v>
      </c>
      <c r="L560" t="n">
        <v>0</v>
      </c>
      <c r="M560" t="n">
        <v>0</v>
      </c>
      <c r="N560" t="n">
        <v>0</v>
      </c>
      <c r="O560" t="n">
        <v>0</v>
      </c>
      <c r="P560" t="n">
        <v>0</v>
      </c>
      <c r="Q560" t="n">
        <v>0</v>
      </c>
      <c r="R560" s="2" t="inlineStr"/>
    </row>
    <row r="561" ht="15" customHeight="1">
      <c r="A561" t="inlineStr">
        <is>
          <t>A 58062-2023</t>
        </is>
      </c>
      <c r="B561" s="1" t="n">
        <v>45247</v>
      </c>
      <c r="C561" s="1" t="n">
        <v>45357</v>
      </c>
      <c r="D561" t="inlineStr">
        <is>
          <t>VÄSTERNORRLANDS LÄN</t>
        </is>
      </c>
      <c r="E561" t="inlineStr">
        <is>
          <t>TIMRÅ</t>
        </is>
      </c>
      <c r="G561" t="n">
        <v>1.5</v>
      </c>
      <c r="H561" t="n">
        <v>0</v>
      </c>
      <c r="I561" t="n">
        <v>0</v>
      </c>
      <c r="J561" t="n">
        <v>0</v>
      </c>
      <c r="K561" t="n">
        <v>0</v>
      </c>
      <c r="L561" t="n">
        <v>0</v>
      </c>
      <c r="M561" t="n">
        <v>0</v>
      </c>
      <c r="N561" t="n">
        <v>0</v>
      </c>
      <c r="O561" t="n">
        <v>0</v>
      </c>
      <c r="P561" t="n">
        <v>0</v>
      </c>
      <c r="Q561" t="n">
        <v>0</v>
      </c>
      <c r="R561" s="2" t="inlineStr"/>
    </row>
    <row r="562" ht="15" customHeight="1">
      <c r="A562" t="inlineStr">
        <is>
          <t>A 58081-2023</t>
        </is>
      </c>
      <c r="B562" s="1" t="n">
        <v>45247</v>
      </c>
      <c r="C562" s="1" t="n">
        <v>45357</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58087-2023</t>
        </is>
      </c>
      <c r="B563" s="1" t="n">
        <v>45248</v>
      </c>
      <c r="C563" s="1" t="n">
        <v>45357</v>
      </c>
      <c r="D563" t="inlineStr">
        <is>
          <t>VÄSTERNORRLANDS LÄN</t>
        </is>
      </c>
      <c r="E563" t="inlineStr">
        <is>
          <t>TIMRÅ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58998-2023</t>
        </is>
      </c>
      <c r="B564" s="1" t="n">
        <v>45250</v>
      </c>
      <c r="C564" s="1" t="n">
        <v>45357</v>
      </c>
      <c r="D564" t="inlineStr">
        <is>
          <t>VÄSTERNORRLANDS LÄN</t>
        </is>
      </c>
      <c r="E564" t="inlineStr">
        <is>
          <t>TIMRÅ</t>
        </is>
      </c>
      <c r="G564" t="n">
        <v>1.3</v>
      </c>
      <c r="H564" t="n">
        <v>0</v>
      </c>
      <c r="I564" t="n">
        <v>0</v>
      </c>
      <c r="J564" t="n">
        <v>0</v>
      </c>
      <c r="K564" t="n">
        <v>0</v>
      </c>
      <c r="L564" t="n">
        <v>0</v>
      </c>
      <c r="M564" t="n">
        <v>0</v>
      </c>
      <c r="N564" t="n">
        <v>0</v>
      </c>
      <c r="O564" t="n">
        <v>0</v>
      </c>
      <c r="P564" t="n">
        <v>0</v>
      </c>
      <c r="Q564" t="n">
        <v>0</v>
      </c>
      <c r="R564" s="2" t="inlineStr"/>
    </row>
    <row r="565" ht="15" customHeight="1">
      <c r="A565" t="inlineStr">
        <is>
          <t>A 58766-2023</t>
        </is>
      </c>
      <c r="B565" s="1" t="n">
        <v>45252</v>
      </c>
      <c r="C565" s="1" t="n">
        <v>45357</v>
      </c>
      <c r="D565" t="inlineStr">
        <is>
          <t>VÄSTERNORRLANDS LÄN</t>
        </is>
      </c>
      <c r="E565" t="inlineStr">
        <is>
          <t>TIMRÅ</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58895-2023</t>
        </is>
      </c>
      <c r="B566" s="1" t="n">
        <v>45252</v>
      </c>
      <c r="C566" s="1" t="n">
        <v>45357</v>
      </c>
      <c r="D566" t="inlineStr">
        <is>
          <t>VÄSTERNORRLANDS LÄN</t>
        </is>
      </c>
      <c r="E566" t="inlineStr">
        <is>
          <t>TIMRÅ</t>
        </is>
      </c>
      <c r="G566" t="n">
        <v>3.7</v>
      </c>
      <c r="H566" t="n">
        <v>0</v>
      </c>
      <c r="I566" t="n">
        <v>0</v>
      </c>
      <c r="J566" t="n">
        <v>0</v>
      </c>
      <c r="K566" t="n">
        <v>0</v>
      </c>
      <c r="L566" t="n">
        <v>0</v>
      </c>
      <c r="M566" t="n">
        <v>0</v>
      </c>
      <c r="N566" t="n">
        <v>0</v>
      </c>
      <c r="O566" t="n">
        <v>0</v>
      </c>
      <c r="P566" t="n">
        <v>0</v>
      </c>
      <c r="Q566" t="n">
        <v>0</v>
      </c>
      <c r="R566" s="2" t="inlineStr"/>
    </row>
    <row r="567" ht="15" customHeight="1">
      <c r="A567" t="inlineStr">
        <is>
          <t>A 59401-2023</t>
        </is>
      </c>
      <c r="B567" s="1" t="n">
        <v>45253</v>
      </c>
      <c r="C567" s="1" t="n">
        <v>45357</v>
      </c>
      <c r="D567" t="inlineStr">
        <is>
          <t>VÄSTERNORRLANDS LÄN</t>
        </is>
      </c>
      <c r="E567" t="inlineStr">
        <is>
          <t>TIMRÅ</t>
        </is>
      </c>
      <c r="G567" t="n">
        <v>11.2</v>
      </c>
      <c r="H567" t="n">
        <v>0</v>
      </c>
      <c r="I567" t="n">
        <v>0</v>
      </c>
      <c r="J567" t="n">
        <v>0</v>
      </c>
      <c r="K567" t="n">
        <v>0</v>
      </c>
      <c r="L567" t="n">
        <v>0</v>
      </c>
      <c r="M567" t="n">
        <v>0</v>
      </c>
      <c r="N567" t="n">
        <v>0</v>
      </c>
      <c r="O567" t="n">
        <v>0</v>
      </c>
      <c r="P567" t="n">
        <v>0</v>
      </c>
      <c r="Q567" t="n">
        <v>0</v>
      </c>
      <c r="R567" s="2" t="inlineStr"/>
    </row>
    <row r="568" ht="15" customHeight="1">
      <c r="A568" t="inlineStr">
        <is>
          <t>A 60011-2023</t>
        </is>
      </c>
      <c r="B568" s="1" t="n">
        <v>45257</v>
      </c>
      <c r="C568" s="1" t="n">
        <v>45357</v>
      </c>
      <c r="D568" t="inlineStr">
        <is>
          <t>VÄSTERNORRLANDS LÄN</t>
        </is>
      </c>
      <c r="E568" t="inlineStr">
        <is>
          <t>TIMRÅ</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60074-2023</t>
        </is>
      </c>
      <c r="B569" s="1" t="n">
        <v>45258</v>
      </c>
      <c r="C569" s="1" t="n">
        <v>45357</v>
      </c>
      <c r="D569" t="inlineStr">
        <is>
          <t>VÄSTERNORRLANDS LÄN</t>
        </is>
      </c>
      <c r="E569" t="inlineStr">
        <is>
          <t>TIMRÅ</t>
        </is>
      </c>
      <c r="G569" t="n">
        <v>5</v>
      </c>
      <c r="H569" t="n">
        <v>0</v>
      </c>
      <c r="I569" t="n">
        <v>0</v>
      </c>
      <c r="J569" t="n">
        <v>0</v>
      </c>
      <c r="K569" t="n">
        <v>0</v>
      </c>
      <c r="L569" t="n">
        <v>0</v>
      </c>
      <c r="M569" t="n">
        <v>0</v>
      </c>
      <c r="N569" t="n">
        <v>0</v>
      </c>
      <c r="O569" t="n">
        <v>0</v>
      </c>
      <c r="P569" t="n">
        <v>0</v>
      </c>
      <c r="Q569" t="n">
        <v>0</v>
      </c>
      <c r="R569" s="2" t="inlineStr"/>
    </row>
    <row r="570" ht="15" customHeight="1">
      <c r="A570" t="inlineStr">
        <is>
          <t>A 61606-2023</t>
        </is>
      </c>
      <c r="B570" s="1" t="n">
        <v>45261</v>
      </c>
      <c r="C570" s="1" t="n">
        <v>45357</v>
      </c>
      <c r="D570" t="inlineStr">
        <is>
          <t>VÄSTERNORRLANDS LÄN</t>
        </is>
      </c>
      <c r="E570" t="inlineStr">
        <is>
          <t>TIMRÅ</t>
        </is>
      </c>
      <c r="G570" t="n">
        <v>0.3</v>
      </c>
      <c r="H570" t="n">
        <v>0</v>
      </c>
      <c r="I570" t="n">
        <v>0</v>
      </c>
      <c r="J570" t="n">
        <v>0</v>
      </c>
      <c r="K570" t="n">
        <v>0</v>
      </c>
      <c r="L570" t="n">
        <v>0</v>
      </c>
      <c r="M570" t="n">
        <v>0</v>
      </c>
      <c r="N570" t="n">
        <v>0</v>
      </c>
      <c r="O570" t="n">
        <v>0</v>
      </c>
      <c r="P570" t="n">
        <v>0</v>
      </c>
      <c r="Q570" t="n">
        <v>0</v>
      </c>
      <c r="R570" s="2" t="inlineStr"/>
    </row>
    <row r="571" ht="15" customHeight="1">
      <c r="A571" t="inlineStr">
        <is>
          <t>A 61613-2023</t>
        </is>
      </c>
      <c r="B571" s="1" t="n">
        <v>45261</v>
      </c>
      <c r="C571" s="1" t="n">
        <v>45357</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61484-2023</t>
        </is>
      </c>
      <c r="B572" s="1" t="n">
        <v>45264</v>
      </c>
      <c r="C572" s="1" t="n">
        <v>45357</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61463-2023</t>
        </is>
      </c>
      <c r="B573" s="1" t="n">
        <v>45264</v>
      </c>
      <c r="C573" s="1" t="n">
        <v>45357</v>
      </c>
      <c r="D573" t="inlineStr">
        <is>
          <t>VÄSTERNORRLANDS LÄN</t>
        </is>
      </c>
      <c r="E573" t="inlineStr">
        <is>
          <t>TIMRÅ</t>
        </is>
      </c>
      <c r="G573" t="n">
        <v>2.1</v>
      </c>
      <c r="H573" t="n">
        <v>0</v>
      </c>
      <c r="I573" t="n">
        <v>0</v>
      </c>
      <c r="J573" t="n">
        <v>0</v>
      </c>
      <c r="K573" t="n">
        <v>0</v>
      </c>
      <c r="L573" t="n">
        <v>0</v>
      </c>
      <c r="M573" t="n">
        <v>0</v>
      </c>
      <c r="N573" t="n">
        <v>0</v>
      </c>
      <c r="O573" t="n">
        <v>0</v>
      </c>
      <c r="P573" t="n">
        <v>0</v>
      </c>
      <c r="Q573" t="n">
        <v>0</v>
      </c>
      <c r="R573" s="2" t="inlineStr"/>
    </row>
    <row r="574" ht="15" customHeight="1">
      <c r="A574" t="inlineStr">
        <is>
          <t>A 61785-2023</t>
        </is>
      </c>
      <c r="B574" s="1" t="n">
        <v>45265</v>
      </c>
      <c r="C574" s="1" t="n">
        <v>45357</v>
      </c>
      <c r="D574" t="inlineStr">
        <is>
          <t>VÄSTERNORRLANDS LÄN</t>
        </is>
      </c>
      <c r="E574" t="inlineStr">
        <is>
          <t>TIMRÅ</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62474-2023</t>
        </is>
      </c>
      <c r="B575" s="1" t="n">
        <v>45267</v>
      </c>
      <c r="C575" s="1" t="n">
        <v>45357</v>
      </c>
      <c r="D575" t="inlineStr">
        <is>
          <t>VÄSTERNORRLANDS LÄN</t>
        </is>
      </c>
      <c r="E575" t="inlineStr">
        <is>
          <t>TIMRÅ</t>
        </is>
      </c>
      <c r="G575" t="n">
        <v>4</v>
      </c>
      <c r="H575" t="n">
        <v>0</v>
      </c>
      <c r="I575" t="n">
        <v>0</v>
      </c>
      <c r="J575" t="n">
        <v>0</v>
      </c>
      <c r="K575" t="n">
        <v>0</v>
      </c>
      <c r="L575" t="n">
        <v>0</v>
      </c>
      <c r="M575" t="n">
        <v>0</v>
      </c>
      <c r="N575" t="n">
        <v>0</v>
      </c>
      <c r="O575" t="n">
        <v>0</v>
      </c>
      <c r="P575" t="n">
        <v>0</v>
      </c>
      <c r="Q575" t="n">
        <v>0</v>
      </c>
      <c r="R575" s="2" t="inlineStr"/>
    </row>
    <row r="576" ht="15" customHeight="1">
      <c r="A576" t="inlineStr">
        <is>
          <t>A 63294-2023</t>
        </is>
      </c>
      <c r="B576" s="1" t="n">
        <v>45273</v>
      </c>
      <c r="C576" s="1" t="n">
        <v>45357</v>
      </c>
      <c r="D576" t="inlineStr">
        <is>
          <t>VÄSTERNORRLANDS LÄN</t>
        </is>
      </c>
      <c r="E576" t="inlineStr">
        <is>
          <t>TIMRÅ</t>
        </is>
      </c>
      <c r="F576" t="inlineStr">
        <is>
          <t>SCA</t>
        </is>
      </c>
      <c r="G576" t="n">
        <v>12.9</v>
      </c>
      <c r="H576" t="n">
        <v>0</v>
      </c>
      <c r="I576" t="n">
        <v>0</v>
      </c>
      <c r="J576" t="n">
        <v>0</v>
      </c>
      <c r="K576" t="n">
        <v>0</v>
      </c>
      <c r="L576" t="n">
        <v>0</v>
      </c>
      <c r="M576" t="n">
        <v>0</v>
      </c>
      <c r="N576" t="n">
        <v>0</v>
      </c>
      <c r="O576" t="n">
        <v>0</v>
      </c>
      <c r="P576" t="n">
        <v>0</v>
      </c>
      <c r="Q576" t="n">
        <v>0</v>
      </c>
      <c r="R576" s="2" t="inlineStr"/>
    </row>
    <row r="577" ht="15" customHeight="1">
      <c r="A577" t="inlineStr">
        <is>
          <t>A 63812-2023</t>
        </is>
      </c>
      <c r="B577" s="1" t="n">
        <v>45278</v>
      </c>
      <c r="C577" s="1" t="n">
        <v>45357</v>
      </c>
      <c r="D577" t="inlineStr">
        <is>
          <t>VÄSTERNORRLANDS LÄN</t>
        </is>
      </c>
      <c r="E577" t="inlineStr">
        <is>
          <t>TIMRÅ</t>
        </is>
      </c>
      <c r="G577" t="n">
        <v>3</v>
      </c>
      <c r="H577" t="n">
        <v>0</v>
      </c>
      <c r="I577" t="n">
        <v>0</v>
      </c>
      <c r="J577" t="n">
        <v>0</v>
      </c>
      <c r="K577" t="n">
        <v>0</v>
      </c>
      <c r="L577" t="n">
        <v>0</v>
      </c>
      <c r="M577" t="n">
        <v>0</v>
      </c>
      <c r="N577" t="n">
        <v>0</v>
      </c>
      <c r="O577" t="n">
        <v>0</v>
      </c>
      <c r="P577" t="n">
        <v>0</v>
      </c>
      <c r="Q577" t="n">
        <v>0</v>
      </c>
      <c r="R577" s="2" t="inlineStr"/>
    </row>
    <row r="578" ht="15" customHeight="1">
      <c r="A578" t="inlineStr">
        <is>
          <t>A 64031-2023</t>
        </is>
      </c>
      <c r="B578" s="1" t="n">
        <v>45278</v>
      </c>
      <c r="C578" s="1" t="n">
        <v>45357</v>
      </c>
      <c r="D578" t="inlineStr">
        <is>
          <t>VÄSTERNORRLANDS LÄN</t>
        </is>
      </c>
      <c r="E578" t="inlineStr">
        <is>
          <t>TIMRÅ</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64732-2023</t>
        </is>
      </c>
      <c r="B579" s="1" t="n">
        <v>45281</v>
      </c>
      <c r="C579" s="1" t="n">
        <v>45357</v>
      </c>
      <c r="D579" t="inlineStr">
        <is>
          <t>VÄSTERNORRLANDS LÄN</t>
        </is>
      </c>
      <c r="E579" t="inlineStr">
        <is>
          <t>TIMRÅ</t>
        </is>
      </c>
      <c r="G579" t="n">
        <v>2.3</v>
      </c>
      <c r="H579" t="n">
        <v>0</v>
      </c>
      <c r="I579" t="n">
        <v>0</v>
      </c>
      <c r="J579" t="n">
        <v>0</v>
      </c>
      <c r="K579" t="n">
        <v>0</v>
      </c>
      <c r="L579" t="n">
        <v>0</v>
      </c>
      <c r="M579" t="n">
        <v>0</v>
      </c>
      <c r="N579" t="n">
        <v>0</v>
      </c>
      <c r="O579" t="n">
        <v>0</v>
      </c>
      <c r="P579" t="n">
        <v>0</v>
      </c>
      <c r="Q579" t="n">
        <v>0</v>
      </c>
      <c r="R579" s="2" t="inlineStr"/>
    </row>
    <row r="580" ht="15" customHeight="1">
      <c r="A580" t="inlineStr">
        <is>
          <t>A 64756-2023</t>
        </is>
      </c>
      <c r="B580" s="1" t="n">
        <v>45281</v>
      </c>
      <c r="C580" s="1" t="n">
        <v>45357</v>
      </c>
      <c r="D580" t="inlineStr">
        <is>
          <t>VÄSTERNORRLANDS LÄN</t>
        </is>
      </c>
      <c r="E580" t="inlineStr">
        <is>
          <t>TIMRÅ</t>
        </is>
      </c>
      <c r="F580" t="inlineStr">
        <is>
          <t>SCA</t>
        </is>
      </c>
      <c r="G580" t="n">
        <v>5.9</v>
      </c>
      <c r="H580" t="n">
        <v>0</v>
      </c>
      <c r="I580" t="n">
        <v>0</v>
      </c>
      <c r="J580" t="n">
        <v>0</v>
      </c>
      <c r="K580" t="n">
        <v>0</v>
      </c>
      <c r="L580" t="n">
        <v>0</v>
      </c>
      <c r="M580" t="n">
        <v>0</v>
      </c>
      <c r="N580" t="n">
        <v>0</v>
      </c>
      <c r="O580" t="n">
        <v>0</v>
      </c>
      <c r="P580" t="n">
        <v>0</v>
      </c>
      <c r="Q580" t="n">
        <v>0</v>
      </c>
      <c r="R580" s="2" t="inlineStr"/>
    </row>
    <row r="581" ht="15" customHeight="1">
      <c r="A581" t="inlineStr">
        <is>
          <t>A 64755-2023</t>
        </is>
      </c>
      <c r="B581" s="1" t="n">
        <v>45281</v>
      </c>
      <c r="C581" s="1" t="n">
        <v>45357</v>
      </c>
      <c r="D581" t="inlineStr">
        <is>
          <t>VÄSTERNORRLANDS LÄN</t>
        </is>
      </c>
      <c r="E581" t="inlineStr">
        <is>
          <t>TIMRÅ</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252-2024</t>
        </is>
      </c>
      <c r="B582" s="1" t="n">
        <v>45295</v>
      </c>
      <c r="C582" s="1" t="n">
        <v>45357</v>
      </c>
      <c r="D582" t="inlineStr">
        <is>
          <t>VÄSTERNORRLANDS LÄN</t>
        </is>
      </c>
      <c r="E582" t="inlineStr">
        <is>
          <t>TIMRÅ</t>
        </is>
      </c>
      <c r="F582" t="inlineStr">
        <is>
          <t>SCA</t>
        </is>
      </c>
      <c r="G582" t="n">
        <v>12.7</v>
      </c>
      <c r="H582" t="n">
        <v>0</v>
      </c>
      <c r="I582" t="n">
        <v>0</v>
      </c>
      <c r="J582" t="n">
        <v>0</v>
      </c>
      <c r="K582" t="n">
        <v>0</v>
      </c>
      <c r="L582" t="n">
        <v>0</v>
      </c>
      <c r="M582" t="n">
        <v>0</v>
      </c>
      <c r="N582" t="n">
        <v>0</v>
      </c>
      <c r="O582" t="n">
        <v>0</v>
      </c>
      <c r="P582" t="n">
        <v>0</v>
      </c>
      <c r="Q582" t="n">
        <v>0</v>
      </c>
      <c r="R582" s="2" t="inlineStr"/>
    </row>
    <row r="583" ht="15" customHeight="1">
      <c r="A583" t="inlineStr">
        <is>
          <t>A 290-2024</t>
        </is>
      </c>
      <c r="B583" s="1" t="n">
        <v>45295</v>
      </c>
      <c r="C583" s="1" t="n">
        <v>45357</v>
      </c>
      <c r="D583" t="inlineStr">
        <is>
          <t>VÄSTERNORRLANDS LÄN</t>
        </is>
      </c>
      <c r="E583" t="inlineStr">
        <is>
          <t>TIMRÅ</t>
        </is>
      </c>
      <c r="G583" t="n">
        <v>10.5</v>
      </c>
      <c r="H583" t="n">
        <v>0</v>
      </c>
      <c r="I583" t="n">
        <v>0</v>
      </c>
      <c r="J583" t="n">
        <v>0</v>
      </c>
      <c r="K583" t="n">
        <v>0</v>
      </c>
      <c r="L583" t="n">
        <v>0</v>
      </c>
      <c r="M583" t="n">
        <v>0</v>
      </c>
      <c r="N583" t="n">
        <v>0</v>
      </c>
      <c r="O583" t="n">
        <v>0</v>
      </c>
      <c r="P583" t="n">
        <v>0</v>
      </c>
      <c r="Q583" t="n">
        <v>0</v>
      </c>
      <c r="R583" s="2" t="inlineStr"/>
    </row>
    <row r="584" ht="15" customHeight="1">
      <c r="A584" t="inlineStr">
        <is>
          <t>A 661-2024</t>
        </is>
      </c>
      <c r="B584" s="1" t="n">
        <v>45300</v>
      </c>
      <c r="C584" s="1" t="n">
        <v>45357</v>
      </c>
      <c r="D584" t="inlineStr">
        <is>
          <t>VÄSTERNORRLANDS LÄN</t>
        </is>
      </c>
      <c r="E584" t="inlineStr">
        <is>
          <t>TIMRÅ</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1273-2024</t>
        </is>
      </c>
      <c r="B585" s="1" t="n">
        <v>45302</v>
      </c>
      <c r="C585" s="1" t="n">
        <v>45357</v>
      </c>
      <c r="D585" t="inlineStr">
        <is>
          <t>VÄSTERNORRLANDS LÄN</t>
        </is>
      </c>
      <c r="E585" t="inlineStr">
        <is>
          <t>TIMRÅ</t>
        </is>
      </c>
      <c r="G585" t="n">
        <v>2.1</v>
      </c>
      <c r="H585" t="n">
        <v>0</v>
      </c>
      <c r="I585" t="n">
        <v>0</v>
      </c>
      <c r="J585" t="n">
        <v>0</v>
      </c>
      <c r="K585" t="n">
        <v>0</v>
      </c>
      <c r="L585" t="n">
        <v>0</v>
      </c>
      <c r="M585" t="n">
        <v>0</v>
      </c>
      <c r="N585" t="n">
        <v>0</v>
      </c>
      <c r="O585" t="n">
        <v>0</v>
      </c>
      <c r="P585" t="n">
        <v>0</v>
      </c>
      <c r="Q585" t="n">
        <v>0</v>
      </c>
      <c r="R585" s="2" t="inlineStr"/>
    </row>
    <row r="586" ht="15" customHeight="1">
      <c r="A586" t="inlineStr">
        <is>
          <t>A 1152-2024</t>
        </is>
      </c>
      <c r="B586" s="1" t="n">
        <v>45302</v>
      </c>
      <c r="C586" s="1" t="n">
        <v>45357</v>
      </c>
      <c r="D586" t="inlineStr">
        <is>
          <t>VÄSTERNORRLANDS LÄN</t>
        </is>
      </c>
      <c r="E586" t="inlineStr">
        <is>
          <t>TIMRÅ</t>
        </is>
      </c>
      <c r="G586" t="n">
        <v>5.8</v>
      </c>
      <c r="H586" t="n">
        <v>0</v>
      </c>
      <c r="I586" t="n">
        <v>0</v>
      </c>
      <c r="J586" t="n">
        <v>0</v>
      </c>
      <c r="K586" t="n">
        <v>0</v>
      </c>
      <c r="L586" t="n">
        <v>0</v>
      </c>
      <c r="M586" t="n">
        <v>0</v>
      </c>
      <c r="N586" t="n">
        <v>0</v>
      </c>
      <c r="O586" t="n">
        <v>0</v>
      </c>
      <c r="P586" t="n">
        <v>0</v>
      </c>
      <c r="Q586" t="n">
        <v>0</v>
      </c>
      <c r="R586" s="2" t="inlineStr"/>
    </row>
    <row r="587" ht="15" customHeight="1">
      <c r="A587" t="inlineStr">
        <is>
          <t>A 1185-2024</t>
        </is>
      </c>
      <c r="B587" s="1" t="n">
        <v>45302</v>
      </c>
      <c r="C587" s="1" t="n">
        <v>45357</v>
      </c>
      <c r="D587" t="inlineStr">
        <is>
          <t>VÄSTERNORRLANDS LÄN</t>
        </is>
      </c>
      <c r="E587" t="inlineStr">
        <is>
          <t>TIMRÅ</t>
        </is>
      </c>
      <c r="G587" t="n">
        <v>4.4</v>
      </c>
      <c r="H587" t="n">
        <v>0</v>
      </c>
      <c r="I587" t="n">
        <v>0</v>
      </c>
      <c r="J587" t="n">
        <v>0</v>
      </c>
      <c r="K587" t="n">
        <v>0</v>
      </c>
      <c r="L587" t="n">
        <v>0</v>
      </c>
      <c r="M587" t="n">
        <v>0</v>
      </c>
      <c r="N587" t="n">
        <v>0</v>
      </c>
      <c r="O587" t="n">
        <v>0</v>
      </c>
      <c r="P587" t="n">
        <v>0</v>
      </c>
      <c r="Q587" t="n">
        <v>0</v>
      </c>
      <c r="R587" s="2" t="inlineStr"/>
    </row>
    <row r="588" ht="15" customHeight="1">
      <c r="A588" t="inlineStr">
        <is>
          <t>A 1272-2024</t>
        </is>
      </c>
      <c r="B588" s="1" t="n">
        <v>45302</v>
      </c>
      <c r="C588" s="1" t="n">
        <v>45357</v>
      </c>
      <c r="D588" t="inlineStr">
        <is>
          <t>VÄSTERNORRLANDS LÄN</t>
        </is>
      </c>
      <c r="E588" t="inlineStr">
        <is>
          <t>TIMRÅ</t>
        </is>
      </c>
      <c r="G588" t="n">
        <v>4.3</v>
      </c>
      <c r="H588" t="n">
        <v>0</v>
      </c>
      <c r="I588" t="n">
        <v>0</v>
      </c>
      <c r="J588" t="n">
        <v>0</v>
      </c>
      <c r="K588" t="n">
        <v>0</v>
      </c>
      <c r="L588" t="n">
        <v>0</v>
      </c>
      <c r="M588" t="n">
        <v>0</v>
      </c>
      <c r="N588" t="n">
        <v>0</v>
      </c>
      <c r="O588" t="n">
        <v>0</v>
      </c>
      <c r="P588" t="n">
        <v>0</v>
      </c>
      <c r="Q588" t="n">
        <v>0</v>
      </c>
      <c r="R588" s="2" t="inlineStr"/>
    </row>
    <row r="589" ht="15" customHeight="1">
      <c r="A589" t="inlineStr">
        <is>
          <t>A 1467-2024</t>
        </is>
      </c>
      <c r="B589" s="1" t="n">
        <v>45303</v>
      </c>
      <c r="C589" s="1" t="n">
        <v>45357</v>
      </c>
      <c r="D589" t="inlineStr">
        <is>
          <t>VÄSTERNORRLANDS LÄN</t>
        </is>
      </c>
      <c r="E589" t="inlineStr">
        <is>
          <t>TIMRÅ</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1675-2024</t>
        </is>
      </c>
      <c r="B590" s="1" t="n">
        <v>45306</v>
      </c>
      <c r="C590" s="1" t="n">
        <v>45357</v>
      </c>
      <c r="D590" t="inlineStr">
        <is>
          <t>VÄSTERNORRLANDS LÄN</t>
        </is>
      </c>
      <c r="E590" t="inlineStr">
        <is>
          <t>TIMRÅ</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1683-2024</t>
        </is>
      </c>
      <c r="B591" s="1" t="n">
        <v>45307</v>
      </c>
      <c r="C591" s="1" t="n">
        <v>45357</v>
      </c>
      <c r="D591" t="inlineStr">
        <is>
          <t>VÄSTERNORRLANDS LÄN</t>
        </is>
      </c>
      <c r="E591" t="inlineStr">
        <is>
          <t>TIMRÅ</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2062-2024</t>
        </is>
      </c>
      <c r="B592" s="1" t="n">
        <v>45308</v>
      </c>
      <c r="C592" s="1" t="n">
        <v>45357</v>
      </c>
      <c r="D592" t="inlineStr">
        <is>
          <t>VÄSTERNORRLANDS LÄN</t>
        </is>
      </c>
      <c r="E592" t="inlineStr">
        <is>
          <t>TIMRÅ</t>
        </is>
      </c>
      <c r="F592" t="inlineStr">
        <is>
          <t>SCA</t>
        </is>
      </c>
      <c r="G592" t="n">
        <v>8.1</v>
      </c>
      <c r="H592" t="n">
        <v>0</v>
      </c>
      <c r="I592" t="n">
        <v>0</v>
      </c>
      <c r="J592" t="n">
        <v>0</v>
      </c>
      <c r="K592" t="n">
        <v>0</v>
      </c>
      <c r="L592" t="n">
        <v>0</v>
      </c>
      <c r="M592" t="n">
        <v>0</v>
      </c>
      <c r="N592" t="n">
        <v>0</v>
      </c>
      <c r="O592" t="n">
        <v>0</v>
      </c>
      <c r="P592" t="n">
        <v>0</v>
      </c>
      <c r="Q592" t="n">
        <v>0</v>
      </c>
      <c r="R592" s="2" t="inlineStr"/>
    </row>
    <row r="593" ht="15" customHeight="1">
      <c r="A593" t="inlineStr">
        <is>
          <t>A 2949-2024</t>
        </is>
      </c>
      <c r="B593" s="1" t="n">
        <v>45315</v>
      </c>
      <c r="C593" s="1" t="n">
        <v>45357</v>
      </c>
      <c r="D593" t="inlineStr">
        <is>
          <t>VÄSTERNORRLANDS LÄN</t>
        </is>
      </c>
      <c r="E593" t="inlineStr">
        <is>
          <t>TIMRÅ</t>
        </is>
      </c>
      <c r="G593" t="n">
        <v>7</v>
      </c>
      <c r="H593" t="n">
        <v>0</v>
      </c>
      <c r="I593" t="n">
        <v>0</v>
      </c>
      <c r="J593" t="n">
        <v>0</v>
      </c>
      <c r="K593" t="n">
        <v>0</v>
      </c>
      <c r="L593" t="n">
        <v>0</v>
      </c>
      <c r="M593" t="n">
        <v>0</v>
      </c>
      <c r="N593" t="n">
        <v>0</v>
      </c>
      <c r="O593" t="n">
        <v>0</v>
      </c>
      <c r="P593" t="n">
        <v>0</v>
      </c>
      <c r="Q593" t="n">
        <v>0</v>
      </c>
      <c r="R593" s="2" t="inlineStr"/>
    </row>
    <row r="594" ht="15" customHeight="1">
      <c r="A594" t="inlineStr">
        <is>
          <t>A 3229-2024</t>
        </is>
      </c>
      <c r="B594" s="1" t="n">
        <v>45316</v>
      </c>
      <c r="C594" s="1" t="n">
        <v>45357</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3444-2024</t>
        </is>
      </c>
      <c r="B595" s="1" t="n">
        <v>45317</v>
      </c>
      <c r="C595" s="1" t="n">
        <v>45357</v>
      </c>
      <c r="D595" t="inlineStr">
        <is>
          <t>VÄSTERNORRLANDS LÄN</t>
        </is>
      </c>
      <c r="E595" t="inlineStr">
        <is>
          <t>TIMRÅ</t>
        </is>
      </c>
      <c r="G595" t="n">
        <v>10.5</v>
      </c>
      <c r="H595" t="n">
        <v>0</v>
      </c>
      <c r="I595" t="n">
        <v>0</v>
      </c>
      <c r="J595" t="n">
        <v>0</v>
      </c>
      <c r="K595" t="n">
        <v>0</v>
      </c>
      <c r="L595" t="n">
        <v>0</v>
      </c>
      <c r="M595" t="n">
        <v>0</v>
      </c>
      <c r="N595" t="n">
        <v>0</v>
      </c>
      <c r="O595" t="n">
        <v>0</v>
      </c>
      <c r="P595" t="n">
        <v>0</v>
      </c>
      <c r="Q595" t="n">
        <v>0</v>
      </c>
      <c r="R595" s="2" t="inlineStr"/>
    </row>
    <row r="596" ht="15" customHeight="1">
      <c r="A596" t="inlineStr">
        <is>
          <t>A 3804-2024</t>
        </is>
      </c>
      <c r="B596" s="1" t="n">
        <v>45321</v>
      </c>
      <c r="C596" s="1" t="n">
        <v>45357</v>
      </c>
      <c r="D596" t="inlineStr">
        <is>
          <t>VÄSTERNORRLANDS LÄN</t>
        </is>
      </c>
      <c r="E596" t="inlineStr">
        <is>
          <t>TIMRÅ</t>
        </is>
      </c>
      <c r="G596" t="n">
        <v>2</v>
      </c>
      <c r="H596" t="n">
        <v>0</v>
      </c>
      <c r="I596" t="n">
        <v>0</v>
      </c>
      <c r="J596" t="n">
        <v>0</v>
      </c>
      <c r="K596" t="n">
        <v>0</v>
      </c>
      <c r="L596" t="n">
        <v>0</v>
      </c>
      <c r="M596" t="n">
        <v>0</v>
      </c>
      <c r="N596" t="n">
        <v>0</v>
      </c>
      <c r="O596" t="n">
        <v>0</v>
      </c>
      <c r="P596" t="n">
        <v>0</v>
      </c>
      <c r="Q596" t="n">
        <v>0</v>
      </c>
      <c r="R596" s="2" t="inlineStr"/>
    </row>
    <row r="597" ht="15" customHeight="1">
      <c r="A597" t="inlineStr">
        <is>
          <t>A 3989-2024</t>
        </is>
      </c>
      <c r="B597" s="1" t="n">
        <v>45322</v>
      </c>
      <c r="C597" s="1" t="n">
        <v>45357</v>
      </c>
      <c r="D597" t="inlineStr">
        <is>
          <t>VÄSTERNORRLANDS LÄN</t>
        </is>
      </c>
      <c r="E597" t="inlineStr">
        <is>
          <t>TIMRÅ</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4596-2024</t>
        </is>
      </c>
      <c r="B598" s="1" t="n">
        <v>45327</v>
      </c>
      <c r="C598" s="1" t="n">
        <v>45357</v>
      </c>
      <c r="D598" t="inlineStr">
        <is>
          <t>VÄSTERNORRLANDS LÄN</t>
        </is>
      </c>
      <c r="E598" t="inlineStr">
        <is>
          <t>TIMRÅ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4821-2024</t>
        </is>
      </c>
      <c r="B599" s="1" t="n">
        <v>45328</v>
      </c>
      <c r="C599" s="1" t="n">
        <v>45357</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5265-2024</t>
        </is>
      </c>
      <c r="B600" s="1" t="n">
        <v>45330</v>
      </c>
      <c r="C600" s="1" t="n">
        <v>45357</v>
      </c>
      <c r="D600" t="inlineStr">
        <is>
          <t>VÄSTERNORRLANDS LÄN</t>
        </is>
      </c>
      <c r="E600" t="inlineStr">
        <is>
          <t>TIMRÅ</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5271-2024</t>
        </is>
      </c>
      <c r="B601" s="1" t="n">
        <v>45330</v>
      </c>
      <c r="C601" s="1" t="n">
        <v>45357</v>
      </c>
      <c r="D601" t="inlineStr">
        <is>
          <t>VÄSTERNORRLANDS LÄN</t>
        </is>
      </c>
      <c r="E601" t="inlineStr">
        <is>
          <t>TIMRÅ</t>
        </is>
      </c>
      <c r="F601" t="inlineStr">
        <is>
          <t>SCA</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5722-2024</t>
        </is>
      </c>
      <c r="B602" s="1" t="n">
        <v>45334</v>
      </c>
      <c r="C602" s="1" t="n">
        <v>45357</v>
      </c>
      <c r="D602" t="inlineStr">
        <is>
          <t>VÄSTERNORRLANDS LÄN</t>
        </is>
      </c>
      <c r="E602" t="inlineStr">
        <is>
          <t>TIMRÅ</t>
        </is>
      </c>
      <c r="G602" t="n">
        <v>2.2</v>
      </c>
      <c r="H602" t="n">
        <v>0</v>
      </c>
      <c r="I602" t="n">
        <v>0</v>
      </c>
      <c r="J602" t="n">
        <v>0</v>
      </c>
      <c r="K602" t="n">
        <v>0</v>
      </c>
      <c r="L602" t="n">
        <v>0</v>
      </c>
      <c r="M602" t="n">
        <v>0</v>
      </c>
      <c r="N602" t="n">
        <v>0</v>
      </c>
      <c r="O602" t="n">
        <v>0</v>
      </c>
      <c r="P602" t="n">
        <v>0</v>
      </c>
      <c r="Q602" t="n">
        <v>0</v>
      </c>
      <c r="R602" s="2" t="inlineStr"/>
    </row>
    <row r="603" ht="15" customHeight="1">
      <c r="A603" t="inlineStr">
        <is>
          <t>A 5921-2024</t>
        </is>
      </c>
      <c r="B603" s="1" t="n">
        <v>45335</v>
      </c>
      <c r="C603" s="1" t="n">
        <v>45357</v>
      </c>
      <c r="D603" t="inlineStr">
        <is>
          <t>VÄSTERNORRLANDS LÄN</t>
        </is>
      </c>
      <c r="E603" t="inlineStr">
        <is>
          <t>TIMRÅ</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6088-2024</t>
        </is>
      </c>
      <c r="B604" s="1" t="n">
        <v>45336</v>
      </c>
      <c r="C604" s="1" t="n">
        <v>45357</v>
      </c>
      <c r="D604" t="inlineStr">
        <is>
          <t>VÄSTERNORRLANDS LÄN</t>
        </is>
      </c>
      <c r="E604" t="inlineStr">
        <is>
          <t>TIMRÅ</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6893-2024</t>
        </is>
      </c>
      <c r="B605" s="1" t="n">
        <v>45342</v>
      </c>
      <c r="C605" s="1" t="n">
        <v>45357</v>
      </c>
      <c r="D605" t="inlineStr">
        <is>
          <t>VÄSTERNORRLANDS LÄN</t>
        </is>
      </c>
      <c r="E605" t="inlineStr">
        <is>
          <t>TIMRÅ</t>
        </is>
      </c>
      <c r="F605" t="inlineStr">
        <is>
          <t>Kyrkan</t>
        </is>
      </c>
      <c r="G605" t="n">
        <v>0.7</v>
      </c>
      <c r="H605" t="n">
        <v>0</v>
      </c>
      <c r="I605" t="n">
        <v>0</v>
      </c>
      <c r="J605" t="n">
        <v>0</v>
      </c>
      <c r="K605" t="n">
        <v>0</v>
      </c>
      <c r="L605" t="n">
        <v>0</v>
      </c>
      <c r="M605" t="n">
        <v>0</v>
      </c>
      <c r="N605" t="n">
        <v>0</v>
      </c>
      <c r="O605" t="n">
        <v>0</v>
      </c>
      <c r="P605" t="n">
        <v>0</v>
      </c>
      <c r="Q605" t="n">
        <v>0</v>
      </c>
      <c r="R605" s="2" t="inlineStr"/>
    </row>
    <row r="606" ht="15" customHeight="1">
      <c r="A606" t="inlineStr">
        <is>
          <t>A 7151-2024</t>
        </is>
      </c>
      <c r="B606" s="1" t="n">
        <v>45344</v>
      </c>
      <c r="C606" s="1" t="n">
        <v>45357</v>
      </c>
      <c r="D606" t="inlineStr">
        <is>
          <t>VÄSTERNORRLANDS LÄN</t>
        </is>
      </c>
      <c r="E606" t="inlineStr">
        <is>
          <t>TIMRÅ</t>
        </is>
      </c>
      <c r="G606" t="n">
        <v>2.9</v>
      </c>
      <c r="H606" t="n">
        <v>0</v>
      </c>
      <c r="I606" t="n">
        <v>0</v>
      </c>
      <c r="J606" t="n">
        <v>0</v>
      </c>
      <c r="K606" t="n">
        <v>0</v>
      </c>
      <c r="L606" t="n">
        <v>0</v>
      </c>
      <c r="M606" t="n">
        <v>0</v>
      </c>
      <c r="N606" t="n">
        <v>0</v>
      </c>
      <c r="O606" t="n">
        <v>0</v>
      </c>
      <c r="P606" t="n">
        <v>0</v>
      </c>
      <c r="Q606" t="n">
        <v>0</v>
      </c>
      <c r="R606" s="2" t="inlineStr"/>
    </row>
    <row r="607" ht="15" customHeight="1">
      <c r="A607" t="inlineStr">
        <is>
          <t>A 7291-2024</t>
        </is>
      </c>
      <c r="B607" s="1" t="n">
        <v>45344</v>
      </c>
      <c r="C607" s="1" t="n">
        <v>45357</v>
      </c>
      <c r="D607" t="inlineStr">
        <is>
          <t>VÄSTERNORRLANDS LÄN</t>
        </is>
      </c>
      <c r="E607" t="inlineStr">
        <is>
          <t>TIMRÅ</t>
        </is>
      </c>
      <c r="F607" t="inlineStr">
        <is>
          <t>SCA</t>
        </is>
      </c>
      <c r="G607" t="n">
        <v>7.6</v>
      </c>
      <c r="H607" t="n">
        <v>0</v>
      </c>
      <c r="I607" t="n">
        <v>0</v>
      </c>
      <c r="J607" t="n">
        <v>0</v>
      </c>
      <c r="K607" t="n">
        <v>0</v>
      </c>
      <c r="L607" t="n">
        <v>0</v>
      </c>
      <c r="M607" t="n">
        <v>0</v>
      </c>
      <c r="N607" t="n">
        <v>0</v>
      </c>
      <c r="O607" t="n">
        <v>0</v>
      </c>
      <c r="P607" t="n">
        <v>0</v>
      </c>
      <c r="Q607" t="n">
        <v>0</v>
      </c>
      <c r="R607" s="2" t="inlineStr"/>
    </row>
    <row r="608" ht="15" customHeight="1">
      <c r="A608" t="inlineStr">
        <is>
          <t>A 7299-2024</t>
        </is>
      </c>
      <c r="B608" s="1" t="n">
        <v>45344</v>
      </c>
      <c r="C608" s="1" t="n">
        <v>45357</v>
      </c>
      <c r="D608" t="inlineStr">
        <is>
          <t>VÄSTERNORRLANDS LÄN</t>
        </is>
      </c>
      <c r="E608" t="inlineStr">
        <is>
          <t>TIMRÅ</t>
        </is>
      </c>
      <c r="F608" t="inlineStr">
        <is>
          <t>SCA</t>
        </is>
      </c>
      <c r="G608" t="n">
        <v>16.3</v>
      </c>
      <c r="H608" t="n">
        <v>0</v>
      </c>
      <c r="I608" t="n">
        <v>0</v>
      </c>
      <c r="J608" t="n">
        <v>0</v>
      </c>
      <c r="K608" t="n">
        <v>0</v>
      </c>
      <c r="L608" t="n">
        <v>0</v>
      </c>
      <c r="M608" t="n">
        <v>0</v>
      </c>
      <c r="N608" t="n">
        <v>0</v>
      </c>
      <c r="O608" t="n">
        <v>0</v>
      </c>
      <c r="P608" t="n">
        <v>0</v>
      </c>
      <c r="Q608" t="n">
        <v>0</v>
      </c>
      <c r="R608" s="2" t="inlineStr"/>
    </row>
    <row r="609" ht="15" customHeight="1">
      <c r="A609" t="inlineStr">
        <is>
          <t>A 7292-2024</t>
        </is>
      </c>
      <c r="B609" s="1" t="n">
        <v>45344</v>
      </c>
      <c r="C609" s="1" t="n">
        <v>45357</v>
      </c>
      <c r="D609" t="inlineStr">
        <is>
          <t>VÄSTERNORRLANDS LÄN</t>
        </is>
      </c>
      <c r="E609" t="inlineStr">
        <is>
          <t>TIMRÅ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7478-2024</t>
        </is>
      </c>
      <c r="B610" s="1" t="n">
        <v>45345</v>
      </c>
      <c r="C610" s="1" t="n">
        <v>45357</v>
      </c>
      <c r="D610" t="inlineStr">
        <is>
          <t>VÄSTERNORRLANDS LÄN</t>
        </is>
      </c>
      <c r="E610" t="inlineStr">
        <is>
          <t>TIMRÅ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7476-2024</t>
        </is>
      </c>
      <c r="B611" s="1" t="n">
        <v>45345</v>
      </c>
      <c r="C611" s="1" t="n">
        <v>45357</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7477-2024</t>
        </is>
      </c>
      <c r="B612" s="1" t="n">
        <v>45345</v>
      </c>
      <c r="C612" s="1" t="n">
        <v>45357</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7507-2024</t>
        </is>
      </c>
      <c r="B613" s="1" t="n">
        <v>45347</v>
      </c>
      <c r="C613" s="1" t="n">
        <v>45357</v>
      </c>
      <c r="D613" t="inlineStr">
        <is>
          <t>VÄSTERNORRLANDS LÄN</t>
        </is>
      </c>
      <c r="E613" t="inlineStr">
        <is>
          <t>TIMRÅ</t>
        </is>
      </c>
      <c r="F613" t="inlineStr">
        <is>
          <t>SCA</t>
        </is>
      </c>
      <c r="G613" t="n">
        <v>15.5</v>
      </c>
      <c r="H613" t="n">
        <v>0</v>
      </c>
      <c r="I613" t="n">
        <v>0</v>
      </c>
      <c r="J613" t="n">
        <v>0</v>
      </c>
      <c r="K613" t="n">
        <v>0</v>
      </c>
      <c r="L613" t="n">
        <v>0</v>
      </c>
      <c r="M613" t="n">
        <v>0</v>
      </c>
      <c r="N613" t="n">
        <v>0</v>
      </c>
      <c r="O613" t="n">
        <v>0</v>
      </c>
      <c r="P613" t="n">
        <v>0</v>
      </c>
      <c r="Q613" t="n">
        <v>0</v>
      </c>
      <c r="R613" s="2" t="inlineStr"/>
    </row>
    <row r="614" ht="15" customHeight="1">
      <c r="A614" t="inlineStr">
        <is>
          <t>A 7859-2024</t>
        </is>
      </c>
      <c r="B614" s="1" t="n">
        <v>45350</v>
      </c>
      <c r="C614" s="1" t="n">
        <v>45357</v>
      </c>
      <c r="D614" t="inlineStr">
        <is>
          <t>VÄSTERNORRLANDS LÄN</t>
        </is>
      </c>
      <c r="E614" t="inlineStr">
        <is>
          <t>TIMRÅ</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8240-2024</t>
        </is>
      </c>
      <c r="B615" s="1" t="n">
        <v>45352</v>
      </c>
      <c r="C615" s="1" t="n">
        <v>45357</v>
      </c>
      <c r="D615" t="inlineStr">
        <is>
          <t>VÄSTERNORRLANDS LÄN</t>
        </is>
      </c>
      <c r="E615" t="inlineStr">
        <is>
          <t>TIMRÅ</t>
        </is>
      </c>
      <c r="F615" t="inlineStr">
        <is>
          <t>SCA</t>
        </is>
      </c>
      <c r="G615" t="n">
        <v>17.4</v>
      </c>
      <c r="H615" t="n">
        <v>0</v>
      </c>
      <c r="I615" t="n">
        <v>0</v>
      </c>
      <c r="J615" t="n">
        <v>0</v>
      </c>
      <c r="K615" t="n">
        <v>0</v>
      </c>
      <c r="L615" t="n">
        <v>0</v>
      </c>
      <c r="M615" t="n">
        <v>0</v>
      </c>
      <c r="N615" t="n">
        <v>0</v>
      </c>
      <c r="O615" t="n">
        <v>0</v>
      </c>
      <c r="P615" t="n">
        <v>0</v>
      </c>
      <c r="Q615" t="n">
        <v>0</v>
      </c>
      <c r="R615" s="2" t="inlineStr"/>
      <c r="U615">
        <f>HYPERLINK("https://klasma.github.io/Logging_2262/knärot/A 8240-2024 karta knärot.png", "A 8240-2024")</f>
        <v/>
      </c>
      <c r="V615">
        <f>HYPERLINK("https://klasma.github.io/Logging_2262/klagomål/A 8240-2024 FSC-klagomål.docx", "A 8240-2024")</f>
        <v/>
      </c>
      <c r="W615">
        <f>HYPERLINK("https://klasma.github.io/Logging_2262/klagomålsmail/A 8240-2024 FSC-klagomål mail.docx", "A 8240-2024")</f>
        <v/>
      </c>
      <c r="X615">
        <f>HYPERLINK("https://klasma.github.io/Logging_2262/tillsyn/A 8240-2024 tillsynsbegäran.docx", "A 8240-2024")</f>
        <v/>
      </c>
      <c r="Y615">
        <f>HYPERLINK("https://klasma.github.io/Logging_2262/tillsynsmail/A 8240-2024 tillsynsbegäran mail.docx", "A 8240-2024")</f>
        <v/>
      </c>
    </row>
    <row r="616" ht="15" customHeight="1">
      <c r="A616" t="inlineStr">
        <is>
          <t>A 8237-2024</t>
        </is>
      </c>
      <c r="B616" s="1" t="n">
        <v>45352</v>
      </c>
      <c r="C616" s="1" t="n">
        <v>45357</v>
      </c>
      <c r="D616" t="inlineStr">
        <is>
          <t>VÄSTERNORRLANDS LÄN</t>
        </is>
      </c>
      <c r="E616" t="inlineStr">
        <is>
          <t>TIMRÅ</t>
        </is>
      </c>
      <c r="F616" t="inlineStr">
        <is>
          <t>SCA</t>
        </is>
      </c>
      <c r="G616" t="n">
        <v>14.2</v>
      </c>
      <c r="H616" t="n">
        <v>0</v>
      </c>
      <c r="I616" t="n">
        <v>0</v>
      </c>
      <c r="J616" t="n">
        <v>0</v>
      </c>
      <c r="K616" t="n">
        <v>0</v>
      </c>
      <c r="L616" t="n">
        <v>0</v>
      </c>
      <c r="M616" t="n">
        <v>0</v>
      </c>
      <c r="N616" t="n">
        <v>0</v>
      </c>
      <c r="O616" t="n">
        <v>0</v>
      </c>
      <c r="P616" t="n">
        <v>0</v>
      </c>
      <c r="Q616" t="n">
        <v>0</v>
      </c>
      <c r="R616" s="2" t="inlineStr"/>
    </row>
    <row r="617" ht="15" customHeight="1">
      <c r="A617" t="inlineStr">
        <is>
          <t>A 8506-2024</t>
        </is>
      </c>
      <c r="B617" s="1" t="n">
        <v>45351</v>
      </c>
      <c r="C617" s="1" t="n">
        <v>45357</v>
      </c>
      <c r="D617" t="inlineStr">
        <is>
          <t>VÄSTERNORRLANDS LÄN</t>
        </is>
      </c>
      <c r="E617" t="inlineStr">
        <is>
          <t>TIMRÅ</t>
        </is>
      </c>
      <c r="G617" t="n">
        <v>3.6</v>
      </c>
      <c r="H617" t="n">
        <v>0</v>
      </c>
      <c r="I617" t="n">
        <v>0</v>
      </c>
      <c r="J617" t="n">
        <v>0</v>
      </c>
      <c r="K617" t="n">
        <v>0</v>
      </c>
      <c r="L617" t="n">
        <v>0</v>
      </c>
      <c r="M617" t="n">
        <v>0</v>
      </c>
      <c r="N617" t="n">
        <v>0</v>
      </c>
      <c r="O617" t="n">
        <v>0</v>
      </c>
      <c r="P617" t="n">
        <v>0</v>
      </c>
      <c r="Q617" t="n">
        <v>0</v>
      </c>
      <c r="R617" s="2" t="inlineStr"/>
    </row>
    <row r="618" ht="15" customHeight="1">
      <c r="A618" t="inlineStr">
        <is>
          <t>A 8526-2024</t>
        </is>
      </c>
      <c r="B618" s="1" t="n">
        <v>45351</v>
      </c>
      <c r="C618" s="1" t="n">
        <v>45357</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8640-2024</t>
        </is>
      </c>
      <c r="B619" s="1" t="n">
        <v>45356</v>
      </c>
      <c r="C619" s="1" t="n">
        <v>45357</v>
      </c>
      <c r="D619" t="inlineStr">
        <is>
          <t>VÄSTERNORRLANDS LÄN</t>
        </is>
      </c>
      <c r="E619" t="inlineStr">
        <is>
          <t>TIMRÅ</t>
        </is>
      </c>
      <c r="F619" t="inlineStr">
        <is>
          <t>SCA</t>
        </is>
      </c>
      <c r="G619" t="n">
        <v>5.7</v>
      </c>
      <c r="H619" t="n">
        <v>0</v>
      </c>
      <c r="I619" t="n">
        <v>0</v>
      </c>
      <c r="J619" t="n">
        <v>0</v>
      </c>
      <c r="K619" t="n">
        <v>0</v>
      </c>
      <c r="L619" t="n">
        <v>0</v>
      </c>
      <c r="M619" t="n">
        <v>0</v>
      </c>
      <c r="N619" t="n">
        <v>0</v>
      </c>
      <c r="O619" t="n">
        <v>0</v>
      </c>
      <c r="P619" t="n">
        <v>0</v>
      </c>
      <c r="Q619" t="n">
        <v>0</v>
      </c>
      <c r="R619" s="2" t="inlineStr"/>
    </row>
    <row r="620">
      <c r="A620" t="inlineStr">
        <is>
          <t>A 8877-2024</t>
        </is>
      </c>
      <c r="B620" s="1" t="n">
        <v>45357</v>
      </c>
      <c r="C620" s="1" t="n">
        <v>45357</v>
      </c>
      <c r="D620" t="inlineStr">
        <is>
          <t>VÄSTERNORRLANDS LÄN</t>
        </is>
      </c>
      <c r="E620" t="inlineStr">
        <is>
          <t>TIMRÅ</t>
        </is>
      </c>
      <c r="G620" t="n">
        <v>1.9</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2024-03-06T13:00:33Z</dcterms:created>
  <dcterms:modified xmlns:dcterms="http://purl.org/dc/terms/" xmlns:xsi="http://www.w3.org/2001/XMLSchema-instance" xsi:type="dcterms:W3CDTF">2024-03-06T13:00:34Z</dcterms:modified>
</cp:coreProperties>
</file>