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45474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45474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45474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55927-2023</t>
        </is>
      </c>
      <c r="B5" s="1" t="n">
        <v>45239</v>
      </c>
      <c r="C5" s="1" t="n">
        <v>45474</v>
      </c>
      <c r="D5" t="inlineStr">
        <is>
          <t>VÄSTERNORRLANDS LÄN</t>
        </is>
      </c>
      <c r="E5" t="inlineStr">
        <is>
          <t>TIMRÅ</t>
        </is>
      </c>
      <c r="F5" t="inlineStr">
        <is>
          <t>SCA</t>
        </is>
      </c>
      <c r="G5" t="n">
        <v>18.6</v>
      </c>
      <c r="H5" t="n">
        <v>3</v>
      </c>
      <c r="I5" t="n">
        <v>2</v>
      </c>
      <c r="J5" t="n">
        <v>3</v>
      </c>
      <c r="K5" t="n">
        <v>2</v>
      </c>
      <c r="L5" t="n">
        <v>0</v>
      </c>
      <c r="M5" t="n">
        <v>0</v>
      </c>
      <c r="N5" t="n">
        <v>0</v>
      </c>
      <c r="O5" t="n">
        <v>5</v>
      </c>
      <c r="P5" t="n">
        <v>2</v>
      </c>
      <c r="Q5" t="n">
        <v>8</v>
      </c>
      <c r="R5" s="2" t="inlineStr">
        <is>
          <t>Knärot
Långskägg
Garnlav
Lunglav
Stiftgelélav
Korallblylav
Skinnlav
Blåsippa</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row>
    <row r="6" ht="15" customHeight="1">
      <c r="A6" t="inlineStr">
        <is>
          <t>A 56411-2022</t>
        </is>
      </c>
      <c r="B6" s="1" t="n">
        <v>44890</v>
      </c>
      <c r="C6" s="1" t="n">
        <v>45474</v>
      </c>
      <c r="D6" t="inlineStr">
        <is>
          <t>VÄSTERNORRLANDS LÄN</t>
        </is>
      </c>
      <c r="E6" t="inlineStr">
        <is>
          <t>TIMRÅ</t>
        </is>
      </c>
      <c r="F6" t="inlineStr">
        <is>
          <t>SCA</t>
        </is>
      </c>
      <c r="G6" t="n">
        <v>8.9</v>
      </c>
      <c r="H6" t="n">
        <v>0</v>
      </c>
      <c r="I6" t="n">
        <v>1</v>
      </c>
      <c r="J6" t="n">
        <v>4</v>
      </c>
      <c r="K6" t="n">
        <v>2</v>
      </c>
      <c r="L6" t="n">
        <v>0</v>
      </c>
      <c r="M6" t="n">
        <v>0</v>
      </c>
      <c r="N6" t="n">
        <v>0</v>
      </c>
      <c r="O6" t="n">
        <v>6</v>
      </c>
      <c r="P6" t="n">
        <v>2</v>
      </c>
      <c r="Q6" t="n">
        <v>7</v>
      </c>
      <c r="R6" s="2" t="inlineStr">
        <is>
          <t>Aspgelélav
Rynkskinn
Garnlav
Lunglav
Småflikig brosklav
Ullticka
Stuplav</t>
        </is>
      </c>
      <c r="S6">
        <f>HYPERLINK("https://klasma.github.io/Logging_2262/artfynd/A 56411-2022 artfynd.xlsx", "A 56411-2022")</f>
        <v/>
      </c>
      <c r="T6">
        <f>HYPERLINK("https://klasma.github.io/Logging_2262/kartor/A 56411-2022 karta.png", "A 56411-2022")</f>
        <v/>
      </c>
      <c r="V6">
        <f>HYPERLINK("https://klasma.github.io/Logging_2262/klagomål/A 56411-2022 FSC-klagomål.docx", "A 56411-2022")</f>
        <v/>
      </c>
      <c r="W6">
        <f>HYPERLINK("https://klasma.github.io/Logging_2262/klagomålsmail/A 56411-2022 FSC-klagomål mail.docx", "A 56411-2022")</f>
        <v/>
      </c>
      <c r="X6">
        <f>HYPERLINK("https://klasma.github.io/Logging_2262/tillsyn/A 56411-2022 tillsynsbegäran.docx", "A 56411-2022")</f>
        <v/>
      </c>
      <c r="Y6">
        <f>HYPERLINK("https://klasma.github.io/Logging_2262/tillsynsmail/A 56411-2022 tillsynsbegäran mail.docx", "A 56411-2022")</f>
        <v/>
      </c>
    </row>
    <row r="7" ht="15" customHeight="1">
      <c r="A7" t="inlineStr">
        <is>
          <t>A 21357-2023</t>
        </is>
      </c>
      <c r="B7" s="1" t="n">
        <v>45063</v>
      </c>
      <c r="C7" s="1" t="n">
        <v>45474</v>
      </c>
      <c r="D7" t="inlineStr">
        <is>
          <t>VÄSTERNORRLANDS LÄN</t>
        </is>
      </c>
      <c r="E7" t="inlineStr">
        <is>
          <t>TIMRÅ</t>
        </is>
      </c>
      <c r="F7" t="inlineStr">
        <is>
          <t>SCA</t>
        </is>
      </c>
      <c r="G7" t="n">
        <v>5.5</v>
      </c>
      <c r="H7" t="n">
        <v>2</v>
      </c>
      <c r="I7" t="n">
        <v>2</v>
      </c>
      <c r="J7" t="n">
        <v>2</v>
      </c>
      <c r="K7" t="n">
        <v>1</v>
      </c>
      <c r="L7" t="n">
        <v>0</v>
      </c>
      <c r="M7" t="n">
        <v>0</v>
      </c>
      <c r="N7" t="n">
        <v>0</v>
      </c>
      <c r="O7" t="n">
        <v>3</v>
      </c>
      <c r="P7" t="n">
        <v>1</v>
      </c>
      <c r="Q7" t="n">
        <v>7</v>
      </c>
      <c r="R7" s="2" t="inlineStr">
        <is>
          <t>Rynkskinn
Rosenticka
Ullticka
Svavelriska
Vedticka
Blåsippa
Revlummer</t>
        </is>
      </c>
      <c r="S7">
        <f>HYPERLINK("https://klasma.github.io/Logging_2262/artfynd/A 21357-2023 artfynd.xlsx", "A 21357-2023")</f>
        <v/>
      </c>
      <c r="T7">
        <f>HYPERLINK("https://klasma.github.io/Logging_2262/kartor/A 21357-2023 karta.png", "A 21357-2023")</f>
        <v/>
      </c>
      <c r="V7">
        <f>HYPERLINK("https://klasma.github.io/Logging_2262/klagomål/A 21357-2023 FSC-klagomål.docx", "A 21357-2023")</f>
        <v/>
      </c>
      <c r="W7">
        <f>HYPERLINK("https://klasma.github.io/Logging_2262/klagomålsmail/A 21357-2023 FSC-klagomål mail.docx", "A 21357-2023")</f>
        <v/>
      </c>
      <c r="X7">
        <f>HYPERLINK("https://klasma.github.io/Logging_2262/tillsyn/A 21357-2023 tillsynsbegäran.docx", "A 21357-2023")</f>
        <v/>
      </c>
      <c r="Y7">
        <f>HYPERLINK("https://klasma.github.io/Logging_2262/tillsynsmail/A 21357-2023 tillsynsbegäran mail.docx", "A 21357-2023")</f>
        <v/>
      </c>
    </row>
    <row r="8" ht="15" customHeight="1">
      <c r="A8" t="inlineStr">
        <is>
          <t>A 40794-2023</t>
        </is>
      </c>
      <c r="B8" s="1" t="n">
        <v>45170</v>
      </c>
      <c r="C8" s="1" t="n">
        <v>45474</v>
      </c>
      <c r="D8" t="inlineStr">
        <is>
          <t>VÄSTERNORRLANDS LÄN</t>
        </is>
      </c>
      <c r="E8" t="inlineStr">
        <is>
          <t>TIMRÅ</t>
        </is>
      </c>
      <c r="F8" t="inlineStr">
        <is>
          <t>SCA</t>
        </is>
      </c>
      <c r="G8" t="n">
        <v>10.6</v>
      </c>
      <c r="H8" t="n">
        <v>1</v>
      </c>
      <c r="I8" t="n">
        <v>3</v>
      </c>
      <c r="J8" t="n">
        <v>4</v>
      </c>
      <c r="K8" t="n">
        <v>0</v>
      </c>
      <c r="L8" t="n">
        <v>0</v>
      </c>
      <c r="M8" t="n">
        <v>0</v>
      </c>
      <c r="N8" t="n">
        <v>0</v>
      </c>
      <c r="O8" t="n">
        <v>4</v>
      </c>
      <c r="P8" t="n">
        <v>0</v>
      </c>
      <c r="Q8" t="n">
        <v>7</v>
      </c>
      <c r="R8" s="2" t="inlineStr">
        <is>
          <t>Garnlav
Lunglav
Tretåig hackspett
Violettgrå tagellav
Skinnlav
Stuplav
Vedticka</t>
        </is>
      </c>
      <c r="S8">
        <f>HYPERLINK("https://klasma.github.io/Logging_2262/artfynd/A 40794-2023 artfynd.xlsx", "A 40794-2023")</f>
        <v/>
      </c>
      <c r="T8">
        <f>HYPERLINK("https://klasma.github.io/Logging_2262/kartor/A 40794-2023 karta.png", "A 40794-2023")</f>
        <v/>
      </c>
      <c r="V8">
        <f>HYPERLINK("https://klasma.github.io/Logging_2262/klagomål/A 40794-2023 FSC-klagomål.docx", "A 40794-2023")</f>
        <v/>
      </c>
      <c r="W8">
        <f>HYPERLINK("https://klasma.github.io/Logging_2262/klagomålsmail/A 40794-2023 FSC-klagomål mail.docx", "A 40794-2023")</f>
        <v/>
      </c>
      <c r="X8">
        <f>HYPERLINK("https://klasma.github.io/Logging_2262/tillsyn/A 40794-2023 tillsynsbegäran.docx", "A 40794-2023")</f>
        <v/>
      </c>
      <c r="Y8">
        <f>HYPERLINK("https://klasma.github.io/Logging_2262/tillsynsmail/A 40794-2023 tillsynsbegäran mail.docx", "A 40794-2023")</f>
        <v/>
      </c>
      <c r="Z8">
        <f>HYPERLINK("https://klasma.github.io/Logging_2262/fåglar/A 40794-2023 prioriterade fågelarter.docx", "A 40794-2023")</f>
        <v/>
      </c>
    </row>
    <row r="9" ht="15" customHeight="1">
      <c r="A9" t="inlineStr">
        <is>
          <t>A 48084-2023</t>
        </is>
      </c>
      <c r="B9" s="1" t="n">
        <v>45204</v>
      </c>
      <c r="C9" s="1" t="n">
        <v>45474</v>
      </c>
      <c r="D9" t="inlineStr">
        <is>
          <t>VÄSTERNORRLANDS LÄN</t>
        </is>
      </c>
      <c r="E9" t="inlineStr">
        <is>
          <t>TIMRÅ</t>
        </is>
      </c>
      <c r="F9" t="inlineStr">
        <is>
          <t>SCA</t>
        </is>
      </c>
      <c r="G9" t="n">
        <v>2.3</v>
      </c>
      <c r="H9" t="n">
        <v>2</v>
      </c>
      <c r="I9" t="n">
        <v>2</v>
      </c>
      <c r="J9" t="n">
        <v>2</v>
      </c>
      <c r="K9" t="n">
        <v>2</v>
      </c>
      <c r="L9" t="n">
        <v>0</v>
      </c>
      <c r="M9" t="n">
        <v>0</v>
      </c>
      <c r="N9" t="n">
        <v>0</v>
      </c>
      <c r="O9" t="n">
        <v>4</v>
      </c>
      <c r="P9" t="n">
        <v>2</v>
      </c>
      <c r="Q9" t="n">
        <v>7</v>
      </c>
      <c r="R9" s="2" t="inlineStr">
        <is>
          <t>Knärot
Rynkskinn
Orange taggsvamp
Ullticka
Strutbräken
Stuplav
Revlummer</t>
        </is>
      </c>
      <c r="S9">
        <f>HYPERLINK("https://klasma.github.io/Logging_2262/artfynd/A 48084-2023 artfynd.xlsx", "A 48084-2023")</f>
        <v/>
      </c>
      <c r="T9">
        <f>HYPERLINK("https://klasma.github.io/Logging_2262/kartor/A 48084-2023 karta.png", "A 48084-2023")</f>
        <v/>
      </c>
      <c r="U9">
        <f>HYPERLINK("https://klasma.github.io/Logging_2262/knärot/A 48084-2023 karta knärot.png", "A 48084-2023")</f>
        <v/>
      </c>
      <c r="V9">
        <f>HYPERLINK("https://klasma.github.io/Logging_2262/klagomål/A 48084-2023 FSC-klagomål.docx", "A 48084-2023")</f>
        <v/>
      </c>
      <c r="W9">
        <f>HYPERLINK("https://klasma.github.io/Logging_2262/klagomålsmail/A 48084-2023 FSC-klagomål mail.docx", "A 48084-2023")</f>
        <v/>
      </c>
      <c r="X9">
        <f>HYPERLINK("https://klasma.github.io/Logging_2262/tillsyn/A 48084-2023 tillsynsbegäran.docx", "A 48084-2023")</f>
        <v/>
      </c>
      <c r="Y9">
        <f>HYPERLINK("https://klasma.github.io/Logging_2262/tillsynsmail/A 48084-2023 tillsynsbegäran mail.docx", "A 48084-2023")</f>
        <v/>
      </c>
    </row>
    <row r="10" ht="15" customHeight="1">
      <c r="A10" t="inlineStr">
        <is>
          <t>A 729-2021</t>
        </is>
      </c>
      <c r="B10" s="1" t="n">
        <v>44203</v>
      </c>
      <c r="C10" s="1" t="n">
        <v>45474</v>
      </c>
      <c r="D10" t="inlineStr">
        <is>
          <t>VÄSTERNORRLANDS LÄN</t>
        </is>
      </c>
      <c r="E10" t="inlineStr">
        <is>
          <t>TIMRÅ</t>
        </is>
      </c>
      <c r="G10" t="n">
        <v>18</v>
      </c>
      <c r="H10" t="n">
        <v>4</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c r="Z10">
        <f>HYPERLINK("https://klasma.github.io/Logging_2262/fåglar/A 729-2021 prioriterade fågelarter.docx", "A 729-2021")</f>
        <v/>
      </c>
    </row>
    <row r="11" ht="15" customHeight="1">
      <c r="A11" t="inlineStr">
        <is>
          <t>A 24538-2023</t>
        </is>
      </c>
      <c r="B11" s="1" t="n">
        <v>45083</v>
      </c>
      <c r="C11" s="1" t="n">
        <v>45474</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19798-2020</t>
        </is>
      </c>
      <c r="B12" s="1" t="n">
        <v>43937</v>
      </c>
      <c r="C12" s="1" t="n">
        <v>45474</v>
      </c>
      <c r="D12" t="inlineStr">
        <is>
          <t>VÄSTERNORRLANDS LÄN</t>
        </is>
      </c>
      <c r="E12" t="inlineStr">
        <is>
          <t>TIMRÅ</t>
        </is>
      </c>
      <c r="G12" t="n">
        <v>3.8</v>
      </c>
      <c r="H12" t="n">
        <v>0</v>
      </c>
      <c r="I12" t="n">
        <v>2</v>
      </c>
      <c r="J12" t="n">
        <v>3</v>
      </c>
      <c r="K12" t="n">
        <v>0</v>
      </c>
      <c r="L12" t="n">
        <v>0</v>
      </c>
      <c r="M12" t="n">
        <v>0</v>
      </c>
      <c r="N12" t="n">
        <v>0</v>
      </c>
      <c r="O12" t="n">
        <v>3</v>
      </c>
      <c r="P12" t="n">
        <v>0</v>
      </c>
      <c r="Q12" t="n">
        <v>5</v>
      </c>
      <c r="R12" s="2" t="inlineStr">
        <is>
          <t>Garnlav
Lunglav
Stjärntagging
Gullgröppa
Skinnlav</t>
        </is>
      </c>
      <c r="S12">
        <f>HYPERLINK("https://klasma.github.io/Logging_2262/artfynd/A 19798-2020 artfynd.xlsx", "A 19798-2020")</f>
        <v/>
      </c>
      <c r="T12">
        <f>HYPERLINK("https://klasma.github.io/Logging_2262/kartor/A 19798-2020 karta.png", "A 19798-2020")</f>
        <v/>
      </c>
      <c r="V12">
        <f>HYPERLINK("https://klasma.github.io/Logging_2262/klagomål/A 19798-2020 FSC-klagomål.docx", "A 19798-2020")</f>
        <v/>
      </c>
      <c r="W12">
        <f>HYPERLINK("https://klasma.github.io/Logging_2262/klagomålsmail/A 19798-2020 FSC-klagomål mail.docx", "A 19798-2020")</f>
        <v/>
      </c>
      <c r="X12">
        <f>HYPERLINK("https://klasma.github.io/Logging_2262/tillsyn/A 19798-2020 tillsynsbegäran.docx", "A 19798-2020")</f>
        <v/>
      </c>
      <c r="Y12">
        <f>HYPERLINK("https://klasma.github.io/Logging_2262/tillsynsmail/A 19798-2020 tillsynsbegäran mail.docx", "A 19798-2020")</f>
        <v/>
      </c>
    </row>
    <row r="13" ht="15" customHeight="1">
      <c r="A13" t="inlineStr">
        <is>
          <t>A 39815-2023</t>
        </is>
      </c>
      <c r="B13" s="1" t="n">
        <v>45167</v>
      </c>
      <c r="C13" s="1" t="n">
        <v>45474</v>
      </c>
      <c r="D13" t="inlineStr">
        <is>
          <t>VÄSTERNORRLANDS LÄN</t>
        </is>
      </c>
      <c r="E13" t="inlineStr">
        <is>
          <t>TIMRÅ</t>
        </is>
      </c>
      <c r="F13" t="inlineStr">
        <is>
          <t>SCA</t>
        </is>
      </c>
      <c r="G13" t="n">
        <v>2.3</v>
      </c>
      <c r="H13" t="n">
        <v>0</v>
      </c>
      <c r="I13" t="n">
        <v>1</v>
      </c>
      <c r="J13" t="n">
        <v>4</v>
      </c>
      <c r="K13" t="n">
        <v>0</v>
      </c>
      <c r="L13" t="n">
        <v>0</v>
      </c>
      <c r="M13" t="n">
        <v>0</v>
      </c>
      <c r="N13" t="n">
        <v>0</v>
      </c>
      <c r="O13" t="n">
        <v>4</v>
      </c>
      <c r="P13" t="n">
        <v>0</v>
      </c>
      <c r="Q13" t="n">
        <v>5</v>
      </c>
      <c r="R13" s="2" t="inlineStr">
        <is>
          <t>Garnlav
Kortskaftad ärgspik
Vedflamlav
Vedskivlav
Dropptaggsvamp</t>
        </is>
      </c>
      <c r="S13">
        <f>HYPERLINK("https://klasma.github.io/Logging_2262/artfynd/A 39815-2023 artfynd.xlsx", "A 39815-2023")</f>
        <v/>
      </c>
      <c r="T13">
        <f>HYPERLINK("https://klasma.github.io/Logging_2262/kartor/A 39815-2023 karta.png", "A 39815-2023")</f>
        <v/>
      </c>
      <c r="V13">
        <f>HYPERLINK("https://klasma.github.io/Logging_2262/klagomål/A 39815-2023 FSC-klagomål.docx", "A 39815-2023")</f>
        <v/>
      </c>
      <c r="W13">
        <f>HYPERLINK("https://klasma.github.io/Logging_2262/klagomålsmail/A 39815-2023 FSC-klagomål mail.docx", "A 39815-2023")</f>
        <v/>
      </c>
      <c r="X13">
        <f>HYPERLINK("https://klasma.github.io/Logging_2262/tillsyn/A 39815-2023 tillsynsbegäran.docx", "A 39815-2023")</f>
        <v/>
      </c>
      <c r="Y13">
        <f>HYPERLINK("https://klasma.github.io/Logging_2262/tillsynsmail/A 39815-2023 tillsynsbegäran mail.docx", "A 39815-2023")</f>
        <v/>
      </c>
    </row>
    <row r="14" ht="15" customHeight="1">
      <c r="A14" t="inlineStr">
        <is>
          <t>A 50231-2023</t>
        </is>
      </c>
      <c r="B14" s="1" t="n">
        <v>45215</v>
      </c>
      <c r="C14" s="1" t="n">
        <v>45474</v>
      </c>
      <c r="D14" t="inlineStr">
        <is>
          <t>VÄSTERNORRLANDS LÄN</t>
        </is>
      </c>
      <c r="E14" t="inlineStr">
        <is>
          <t>TIMRÅ</t>
        </is>
      </c>
      <c r="F14" t="inlineStr">
        <is>
          <t>SCA</t>
        </is>
      </c>
      <c r="G14" t="n">
        <v>1.6</v>
      </c>
      <c r="H14" t="n">
        <v>1</v>
      </c>
      <c r="I14" t="n">
        <v>2</v>
      </c>
      <c r="J14" t="n">
        <v>2</v>
      </c>
      <c r="K14" t="n">
        <v>0</v>
      </c>
      <c r="L14" t="n">
        <v>0</v>
      </c>
      <c r="M14" t="n">
        <v>0</v>
      </c>
      <c r="N14" t="n">
        <v>0</v>
      </c>
      <c r="O14" t="n">
        <v>2</v>
      </c>
      <c r="P14" t="n">
        <v>0</v>
      </c>
      <c r="Q14" t="n">
        <v>5</v>
      </c>
      <c r="R14" s="2" t="inlineStr">
        <is>
          <t>Orange taggsvamp
Ullticka
Strutbräken
Stuplav
Revlummer</t>
        </is>
      </c>
      <c r="S14">
        <f>HYPERLINK("https://klasma.github.io/Logging_2262/artfynd/A 50231-2023 artfynd.xlsx", "A 50231-2023")</f>
        <v/>
      </c>
      <c r="T14">
        <f>HYPERLINK("https://klasma.github.io/Logging_2262/kartor/A 50231-2023 karta.png", "A 50231-2023")</f>
        <v/>
      </c>
      <c r="U14">
        <f>HYPERLINK("https://klasma.github.io/Logging_2262/knärot/A 50231-2023 karta knärot.png", "A 50231-2023")</f>
        <v/>
      </c>
      <c r="V14">
        <f>HYPERLINK("https://klasma.github.io/Logging_2262/klagomål/A 50231-2023 FSC-klagomål.docx", "A 50231-2023")</f>
        <v/>
      </c>
      <c r="W14">
        <f>HYPERLINK("https://klasma.github.io/Logging_2262/klagomålsmail/A 50231-2023 FSC-klagomål mail.docx", "A 50231-2023")</f>
        <v/>
      </c>
      <c r="X14">
        <f>HYPERLINK("https://klasma.github.io/Logging_2262/tillsyn/A 50231-2023 tillsynsbegäran.docx", "A 50231-2023")</f>
        <v/>
      </c>
      <c r="Y14">
        <f>HYPERLINK("https://klasma.github.io/Logging_2262/tillsynsmail/A 50231-2023 tillsynsbegäran mail.docx", "A 50231-2023")</f>
        <v/>
      </c>
    </row>
    <row r="15" ht="15" customHeight="1">
      <c r="A15" t="inlineStr">
        <is>
          <t>A 19805-2020</t>
        </is>
      </c>
      <c r="B15" s="1" t="n">
        <v>43937</v>
      </c>
      <c r="C15" s="1" t="n">
        <v>45474</v>
      </c>
      <c r="D15" t="inlineStr">
        <is>
          <t>VÄSTERNORRLANDS LÄN</t>
        </is>
      </c>
      <c r="E15" t="inlineStr">
        <is>
          <t>TIMRÅ</t>
        </is>
      </c>
      <c r="G15" t="n">
        <v>10.3</v>
      </c>
      <c r="H15" t="n">
        <v>1</v>
      </c>
      <c r="I15" t="n">
        <v>1</v>
      </c>
      <c r="J15" t="n">
        <v>2</v>
      </c>
      <c r="K15" t="n">
        <v>1</v>
      </c>
      <c r="L15" t="n">
        <v>0</v>
      </c>
      <c r="M15" t="n">
        <v>0</v>
      </c>
      <c r="N15" t="n">
        <v>0</v>
      </c>
      <c r="O15" t="n">
        <v>3</v>
      </c>
      <c r="P15" t="n">
        <v>1</v>
      </c>
      <c r="Q15" t="n">
        <v>4</v>
      </c>
      <c r="R15" s="2" t="inlineStr">
        <is>
          <t>Rynkskinn
Järpe
Lunglav
Skinnlav</t>
        </is>
      </c>
      <c r="S15">
        <f>HYPERLINK("https://klasma.github.io/Logging_2262/artfynd/A 19805-2020 artfynd.xlsx", "A 19805-2020")</f>
        <v/>
      </c>
      <c r="T15">
        <f>HYPERLINK("https://klasma.github.io/Logging_2262/kartor/A 19805-2020 karta.png", "A 19805-2020")</f>
        <v/>
      </c>
      <c r="V15">
        <f>HYPERLINK("https://klasma.github.io/Logging_2262/klagomål/A 19805-2020 FSC-klagomål.docx", "A 19805-2020")</f>
        <v/>
      </c>
      <c r="W15">
        <f>HYPERLINK("https://klasma.github.io/Logging_2262/klagomålsmail/A 19805-2020 FSC-klagomål mail.docx", "A 19805-2020")</f>
        <v/>
      </c>
      <c r="X15">
        <f>HYPERLINK("https://klasma.github.io/Logging_2262/tillsyn/A 19805-2020 tillsynsbegäran.docx", "A 19805-2020")</f>
        <v/>
      </c>
      <c r="Y15">
        <f>HYPERLINK("https://klasma.github.io/Logging_2262/tillsynsmail/A 19805-2020 tillsynsbegäran mail.docx", "A 19805-2020")</f>
        <v/>
      </c>
      <c r="Z15">
        <f>HYPERLINK("https://klasma.github.io/Logging_2262/fåglar/A 19805-2020 prioriterade fågelarter.docx", "A 19805-2020")</f>
        <v/>
      </c>
    </row>
    <row r="16" ht="15" customHeight="1">
      <c r="A16" t="inlineStr">
        <is>
          <t>A 57553-2021</t>
        </is>
      </c>
      <c r="B16" s="1" t="n">
        <v>44484</v>
      </c>
      <c r="C16" s="1" t="n">
        <v>45474</v>
      </c>
      <c r="D16" t="inlineStr">
        <is>
          <t>VÄSTERNORRLANDS LÄN</t>
        </is>
      </c>
      <c r="E16" t="inlineStr">
        <is>
          <t>TIMRÅ</t>
        </is>
      </c>
      <c r="F16" t="inlineStr">
        <is>
          <t>SCA</t>
        </is>
      </c>
      <c r="G16" t="n">
        <v>17.9</v>
      </c>
      <c r="H16" t="n">
        <v>1</v>
      </c>
      <c r="I16" t="n">
        <v>1</v>
      </c>
      <c r="J16" t="n">
        <v>2</v>
      </c>
      <c r="K16" t="n">
        <v>1</v>
      </c>
      <c r="L16" t="n">
        <v>0</v>
      </c>
      <c r="M16" t="n">
        <v>0</v>
      </c>
      <c r="N16" t="n">
        <v>0</v>
      </c>
      <c r="O16" t="n">
        <v>3</v>
      </c>
      <c r="P16" t="n">
        <v>1</v>
      </c>
      <c r="Q16" t="n">
        <v>4</v>
      </c>
      <c r="R16" s="2" t="inlineStr">
        <is>
          <t>Knärot
Garnlav
Tallticka
Vedticka</t>
        </is>
      </c>
      <c r="S16">
        <f>HYPERLINK("https://klasma.github.io/Logging_2262/artfynd/A 57553-2021 artfynd.xlsx", "A 57553-2021")</f>
        <v/>
      </c>
      <c r="T16">
        <f>HYPERLINK("https://klasma.github.io/Logging_2262/kartor/A 57553-2021 karta.png", "A 57553-2021")</f>
        <v/>
      </c>
      <c r="U16">
        <f>HYPERLINK("https://klasma.github.io/Logging_2262/knärot/A 57553-2021 karta knärot.png", "A 57553-2021")</f>
        <v/>
      </c>
      <c r="V16">
        <f>HYPERLINK("https://klasma.github.io/Logging_2262/klagomål/A 57553-2021 FSC-klagomål.docx", "A 57553-2021")</f>
        <v/>
      </c>
      <c r="W16">
        <f>HYPERLINK("https://klasma.github.io/Logging_2262/klagomålsmail/A 57553-2021 FSC-klagomål mail.docx", "A 57553-2021")</f>
        <v/>
      </c>
      <c r="X16">
        <f>HYPERLINK("https://klasma.github.io/Logging_2262/tillsyn/A 57553-2021 tillsynsbegäran.docx", "A 57553-2021")</f>
        <v/>
      </c>
      <c r="Y16">
        <f>HYPERLINK("https://klasma.github.io/Logging_2262/tillsynsmail/A 57553-2021 tillsynsbegäran mail.docx", "A 57553-2021")</f>
        <v/>
      </c>
    </row>
    <row r="17" ht="15" customHeight="1">
      <c r="A17" t="inlineStr">
        <is>
          <t>A 43963-2023</t>
        </is>
      </c>
      <c r="B17" s="1" t="n">
        <v>45187</v>
      </c>
      <c r="C17" s="1" t="n">
        <v>45474</v>
      </c>
      <c r="D17" t="inlineStr">
        <is>
          <t>VÄSTERNORRLANDS LÄN</t>
        </is>
      </c>
      <c r="E17" t="inlineStr">
        <is>
          <t>TIMRÅ</t>
        </is>
      </c>
      <c r="F17" t="inlineStr">
        <is>
          <t>SCA</t>
        </is>
      </c>
      <c r="G17" t="n">
        <v>15</v>
      </c>
      <c r="H17" t="n">
        <v>1</v>
      </c>
      <c r="I17" t="n">
        <v>1</v>
      </c>
      <c r="J17" t="n">
        <v>2</v>
      </c>
      <c r="K17" t="n">
        <v>1</v>
      </c>
      <c r="L17" t="n">
        <v>0</v>
      </c>
      <c r="M17" t="n">
        <v>0</v>
      </c>
      <c r="N17" t="n">
        <v>0</v>
      </c>
      <c r="O17" t="n">
        <v>3</v>
      </c>
      <c r="P17" t="n">
        <v>1</v>
      </c>
      <c r="Q17" t="n">
        <v>4</v>
      </c>
      <c r="R17" s="2" t="inlineStr">
        <is>
          <t>Knärot
Garnlav
Violettgrå tagellav
Vedticka</t>
        </is>
      </c>
      <c r="S17">
        <f>HYPERLINK("https://klasma.github.io/Logging_2262/artfynd/A 43963-2023 artfynd.xlsx", "A 43963-2023")</f>
        <v/>
      </c>
      <c r="T17">
        <f>HYPERLINK("https://klasma.github.io/Logging_2262/kartor/A 43963-2023 karta.png", "A 43963-2023")</f>
        <v/>
      </c>
      <c r="U17">
        <f>HYPERLINK("https://klasma.github.io/Logging_2262/knärot/A 43963-2023 karta knärot.png", "A 43963-2023")</f>
        <v/>
      </c>
      <c r="V17">
        <f>HYPERLINK("https://klasma.github.io/Logging_2262/klagomål/A 43963-2023 FSC-klagomål.docx", "A 43963-2023")</f>
        <v/>
      </c>
      <c r="W17">
        <f>HYPERLINK("https://klasma.github.io/Logging_2262/klagomålsmail/A 43963-2023 FSC-klagomål mail.docx", "A 43963-2023")</f>
        <v/>
      </c>
      <c r="X17">
        <f>HYPERLINK("https://klasma.github.io/Logging_2262/tillsyn/A 43963-2023 tillsynsbegäran.docx", "A 43963-2023")</f>
        <v/>
      </c>
      <c r="Y17">
        <f>HYPERLINK("https://klasma.github.io/Logging_2262/tillsynsmail/A 43963-2023 tillsynsbegäran mail.docx", "A 43963-2023")</f>
        <v/>
      </c>
    </row>
    <row r="18" ht="15" customHeight="1">
      <c r="A18" t="inlineStr">
        <is>
          <t>A 53436-2023</t>
        </is>
      </c>
      <c r="B18" s="1" t="n">
        <v>45229</v>
      </c>
      <c r="C18" s="1" t="n">
        <v>45474</v>
      </c>
      <c r="D18" t="inlineStr">
        <is>
          <t>VÄSTERNORRLANDS LÄN</t>
        </is>
      </c>
      <c r="E18" t="inlineStr">
        <is>
          <t>TIMRÅ</t>
        </is>
      </c>
      <c r="F18" t="inlineStr">
        <is>
          <t>SCA</t>
        </is>
      </c>
      <c r="G18" t="n">
        <v>4.2</v>
      </c>
      <c r="H18" t="n">
        <v>1</v>
      </c>
      <c r="I18" t="n">
        <v>2</v>
      </c>
      <c r="J18" t="n">
        <v>1</v>
      </c>
      <c r="K18" t="n">
        <v>0</v>
      </c>
      <c r="L18" t="n">
        <v>0</v>
      </c>
      <c r="M18" t="n">
        <v>0</v>
      </c>
      <c r="N18" t="n">
        <v>0</v>
      </c>
      <c r="O18" t="n">
        <v>1</v>
      </c>
      <c r="P18" t="n">
        <v>0</v>
      </c>
      <c r="Q18" t="n">
        <v>4</v>
      </c>
      <c r="R18" s="2" t="inlineStr">
        <is>
          <t>Ullticka
Strutbräken
Vårärt
Revlummer</t>
        </is>
      </c>
      <c r="S18">
        <f>HYPERLINK("https://klasma.github.io/Logging_2262/artfynd/A 53436-2023 artfynd.xlsx", "A 53436-2023")</f>
        <v/>
      </c>
      <c r="T18">
        <f>HYPERLINK("https://klasma.github.io/Logging_2262/kartor/A 53436-2023 karta.png", "A 53436-2023")</f>
        <v/>
      </c>
      <c r="V18">
        <f>HYPERLINK("https://klasma.github.io/Logging_2262/klagomål/A 53436-2023 FSC-klagomål.docx", "A 53436-2023")</f>
        <v/>
      </c>
      <c r="W18">
        <f>HYPERLINK("https://klasma.github.io/Logging_2262/klagomålsmail/A 53436-2023 FSC-klagomål mail.docx", "A 53436-2023")</f>
        <v/>
      </c>
      <c r="X18">
        <f>HYPERLINK("https://klasma.github.io/Logging_2262/tillsyn/A 53436-2023 tillsynsbegäran.docx", "A 53436-2023")</f>
        <v/>
      </c>
      <c r="Y18">
        <f>HYPERLINK("https://klasma.github.io/Logging_2262/tillsynsmail/A 53436-2023 tillsynsbegäran mail.docx", "A 53436-2023")</f>
        <v/>
      </c>
    </row>
    <row r="19" ht="15" customHeight="1">
      <c r="A19" t="inlineStr">
        <is>
          <t>A 62558-2023</t>
        </is>
      </c>
      <c r="B19" s="1" t="n">
        <v>45268</v>
      </c>
      <c r="C19" s="1" t="n">
        <v>45474</v>
      </c>
      <c r="D19" t="inlineStr">
        <is>
          <t>VÄSTERNORRLANDS LÄN</t>
        </is>
      </c>
      <c r="E19" t="inlineStr">
        <is>
          <t>TIMRÅ</t>
        </is>
      </c>
      <c r="F19" t="inlineStr">
        <is>
          <t>SCA</t>
        </is>
      </c>
      <c r="G19" t="n">
        <v>5.8</v>
      </c>
      <c r="H19" t="n">
        <v>1</v>
      </c>
      <c r="I19" t="n">
        <v>0</v>
      </c>
      <c r="J19" t="n">
        <v>4</v>
      </c>
      <c r="K19" t="n">
        <v>0</v>
      </c>
      <c r="L19" t="n">
        <v>0</v>
      </c>
      <c r="M19" t="n">
        <v>0</v>
      </c>
      <c r="N19" t="n">
        <v>0</v>
      </c>
      <c r="O19" t="n">
        <v>4</v>
      </c>
      <c r="P19" t="n">
        <v>0</v>
      </c>
      <c r="Q19" t="n">
        <v>4</v>
      </c>
      <c r="R19" s="2" t="inlineStr">
        <is>
          <t>Garnlav
Granticka
Gränsticka
Tretåig hackspett</t>
        </is>
      </c>
      <c r="S19">
        <f>HYPERLINK("https://klasma.github.io/Logging_2262/artfynd/A 62558-2023 artfynd.xlsx", "A 62558-2023")</f>
        <v/>
      </c>
      <c r="T19">
        <f>HYPERLINK("https://klasma.github.io/Logging_2262/kartor/A 62558-2023 karta.png", "A 62558-2023")</f>
        <v/>
      </c>
      <c r="V19">
        <f>HYPERLINK("https://klasma.github.io/Logging_2262/klagomål/A 62558-2023 FSC-klagomål.docx", "A 62558-2023")</f>
        <v/>
      </c>
      <c r="W19">
        <f>HYPERLINK("https://klasma.github.io/Logging_2262/klagomålsmail/A 62558-2023 FSC-klagomål mail.docx", "A 62558-2023")</f>
        <v/>
      </c>
      <c r="X19">
        <f>HYPERLINK("https://klasma.github.io/Logging_2262/tillsyn/A 62558-2023 tillsynsbegäran.docx", "A 62558-2023")</f>
        <v/>
      </c>
      <c r="Y19">
        <f>HYPERLINK("https://klasma.github.io/Logging_2262/tillsynsmail/A 62558-2023 tillsynsbegäran mail.docx", "A 62558-2023")</f>
        <v/>
      </c>
      <c r="Z19">
        <f>HYPERLINK("https://klasma.github.io/Logging_2262/fåglar/A 62558-2023 prioriterade fågelarter.docx", "A 62558-2023")</f>
        <v/>
      </c>
    </row>
    <row r="20" ht="15" customHeight="1">
      <c r="A20" t="inlineStr">
        <is>
          <t>A 11288-2024</t>
        </is>
      </c>
      <c r="B20" s="1" t="n">
        <v>45371</v>
      </c>
      <c r="C20" s="1" t="n">
        <v>45474</v>
      </c>
      <c r="D20" t="inlineStr">
        <is>
          <t>VÄSTERNORRLANDS LÄN</t>
        </is>
      </c>
      <c r="E20" t="inlineStr">
        <is>
          <t>TIMRÅ</t>
        </is>
      </c>
      <c r="G20" t="n">
        <v>2.4</v>
      </c>
      <c r="H20" t="n">
        <v>3</v>
      </c>
      <c r="I20" t="n">
        <v>1</v>
      </c>
      <c r="J20" t="n">
        <v>1</v>
      </c>
      <c r="K20" t="n">
        <v>0</v>
      </c>
      <c r="L20" t="n">
        <v>0</v>
      </c>
      <c r="M20" t="n">
        <v>0</v>
      </c>
      <c r="N20" t="n">
        <v>0</v>
      </c>
      <c r="O20" t="n">
        <v>1</v>
      </c>
      <c r="P20" t="n">
        <v>0</v>
      </c>
      <c r="Q20" t="n">
        <v>4</v>
      </c>
      <c r="R20" s="2" t="inlineStr">
        <is>
          <t>Spillkråka
Stor aspticka
Gråspett
Skogsduva</t>
        </is>
      </c>
      <c r="S20">
        <f>HYPERLINK("https://klasma.github.io/Logging_2262/artfynd/A 11288-2024 artfynd.xlsx", "A 11288-2024")</f>
        <v/>
      </c>
      <c r="T20">
        <f>HYPERLINK("https://klasma.github.io/Logging_2262/kartor/A 11288-2024 karta.png", "A 11288-2024")</f>
        <v/>
      </c>
      <c r="V20">
        <f>HYPERLINK("https://klasma.github.io/Logging_2262/klagomål/A 11288-2024 FSC-klagomål.docx", "A 11288-2024")</f>
        <v/>
      </c>
      <c r="W20">
        <f>HYPERLINK("https://klasma.github.io/Logging_2262/klagomålsmail/A 11288-2024 FSC-klagomål mail.docx", "A 11288-2024")</f>
        <v/>
      </c>
      <c r="X20">
        <f>HYPERLINK("https://klasma.github.io/Logging_2262/tillsyn/A 11288-2024 tillsynsbegäran.docx", "A 11288-2024")</f>
        <v/>
      </c>
      <c r="Y20">
        <f>HYPERLINK("https://klasma.github.io/Logging_2262/tillsynsmail/A 11288-2024 tillsynsbegäran mail.docx", "A 11288-2024")</f>
        <v/>
      </c>
      <c r="Z20">
        <f>HYPERLINK("https://klasma.github.io/Logging_2262/fåglar/A 11288-2024 prioriterade fågelarter.docx", "A 11288-2024")</f>
        <v/>
      </c>
    </row>
    <row r="21" ht="15" customHeight="1">
      <c r="A21" t="inlineStr">
        <is>
          <t>A 47816-2022</t>
        </is>
      </c>
      <c r="B21" s="1" t="n">
        <v>44854</v>
      </c>
      <c r="C21" s="1" t="n">
        <v>45474</v>
      </c>
      <c r="D21" t="inlineStr">
        <is>
          <t>VÄSTERNORRLANDS LÄN</t>
        </is>
      </c>
      <c r="E21" t="inlineStr">
        <is>
          <t>TIMRÅ</t>
        </is>
      </c>
      <c r="F21" t="inlineStr">
        <is>
          <t>SCA</t>
        </is>
      </c>
      <c r="G21" t="n">
        <v>2.9</v>
      </c>
      <c r="H21" t="n">
        <v>0</v>
      </c>
      <c r="I21" t="n">
        <v>0</v>
      </c>
      <c r="J21" t="n">
        <v>3</v>
      </c>
      <c r="K21" t="n">
        <v>0</v>
      </c>
      <c r="L21" t="n">
        <v>0</v>
      </c>
      <c r="M21" t="n">
        <v>0</v>
      </c>
      <c r="N21" t="n">
        <v>0</v>
      </c>
      <c r="O21" t="n">
        <v>3</v>
      </c>
      <c r="P21" t="n">
        <v>0</v>
      </c>
      <c r="Q21" t="n">
        <v>3</v>
      </c>
      <c r="R21" s="2" t="inlineStr">
        <is>
          <t>Garnlav
Tallticka
Violettgrå tagellav</t>
        </is>
      </c>
      <c r="S21">
        <f>HYPERLINK("https://klasma.github.io/Logging_2262/artfynd/A 47816-2022 artfynd.xlsx", "A 47816-2022")</f>
        <v/>
      </c>
      <c r="T21">
        <f>HYPERLINK("https://klasma.github.io/Logging_2262/kartor/A 47816-2022 karta.png", "A 47816-2022")</f>
        <v/>
      </c>
      <c r="V21">
        <f>HYPERLINK("https://klasma.github.io/Logging_2262/klagomål/A 47816-2022 FSC-klagomål.docx", "A 47816-2022")</f>
        <v/>
      </c>
      <c r="W21">
        <f>HYPERLINK("https://klasma.github.io/Logging_2262/klagomålsmail/A 47816-2022 FSC-klagomål mail.docx", "A 47816-2022")</f>
        <v/>
      </c>
      <c r="X21">
        <f>HYPERLINK("https://klasma.github.io/Logging_2262/tillsyn/A 47816-2022 tillsynsbegäran.docx", "A 47816-2022")</f>
        <v/>
      </c>
      <c r="Y21">
        <f>HYPERLINK("https://klasma.github.io/Logging_2262/tillsynsmail/A 47816-2022 tillsynsbegäran mail.docx", "A 47816-2022")</f>
        <v/>
      </c>
    </row>
    <row r="22" ht="15" customHeight="1">
      <c r="A22" t="inlineStr">
        <is>
          <t>A 17217-2023</t>
        </is>
      </c>
      <c r="B22" s="1" t="n">
        <v>45034</v>
      </c>
      <c r="C22" s="1" t="n">
        <v>45474</v>
      </c>
      <c r="D22" t="inlineStr">
        <is>
          <t>VÄSTERNORRLANDS LÄN</t>
        </is>
      </c>
      <c r="E22" t="inlineStr">
        <is>
          <t>TIMRÅ</t>
        </is>
      </c>
      <c r="F22" t="inlineStr">
        <is>
          <t>SCA</t>
        </is>
      </c>
      <c r="G22" t="n">
        <v>5.1</v>
      </c>
      <c r="H22" t="n">
        <v>0</v>
      </c>
      <c r="I22" t="n">
        <v>0</v>
      </c>
      <c r="J22" t="n">
        <v>3</v>
      </c>
      <c r="K22" t="n">
        <v>0</v>
      </c>
      <c r="L22" t="n">
        <v>0</v>
      </c>
      <c r="M22" t="n">
        <v>0</v>
      </c>
      <c r="N22" t="n">
        <v>0</v>
      </c>
      <c r="O22" t="n">
        <v>3</v>
      </c>
      <c r="P22" t="n">
        <v>0</v>
      </c>
      <c r="Q22" t="n">
        <v>3</v>
      </c>
      <c r="R22" s="2" t="inlineStr">
        <is>
          <t>Garnlav
Lunglav
Vedflamlav</t>
        </is>
      </c>
      <c r="S22">
        <f>HYPERLINK("https://klasma.github.io/Logging_2262/artfynd/A 17217-2023 artfynd.xlsx", "A 17217-2023")</f>
        <v/>
      </c>
      <c r="T22">
        <f>HYPERLINK("https://klasma.github.io/Logging_2262/kartor/A 17217-2023 karta.png", "A 17217-2023")</f>
        <v/>
      </c>
      <c r="V22">
        <f>HYPERLINK("https://klasma.github.io/Logging_2262/klagomål/A 17217-2023 FSC-klagomål.docx", "A 17217-2023")</f>
        <v/>
      </c>
      <c r="W22">
        <f>HYPERLINK("https://klasma.github.io/Logging_2262/klagomålsmail/A 17217-2023 FSC-klagomål mail.docx", "A 17217-2023")</f>
        <v/>
      </c>
      <c r="X22">
        <f>HYPERLINK("https://klasma.github.io/Logging_2262/tillsyn/A 17217-2023 tillsynsbegäran.docx", "A 17217-2023")</f>
        <v/>
      </c>
      <c r="Y22">
        <f>HYPERLINK("https://klasma.github.io/Logging_2262/tillsynsmail/A 17217-2023 tillsynsbegäran mail.docx", "A 17217-2023")</f>
        <v/>
      </c>
    </row>
    <row r="23" ht="15" customHeight="1">
      <c r="A23" t="inlineStr">
        <is>
          <t>A 37799-2023</t>
        </is>
      </c>
      <c r="B23" s="1" t="n">
        <v>45159</v>
      </c>
      <c r="C23" s="1" t="n">
        <v>45474</v>
      </c>
      <c r="D23" t="inlineStr">
        <is>
          <t>VÄSTERNORRLANDS LÄN</t>
        </is>
      </c>
      <c r="E23" t="inlineStr">
        <is>
          <t>TIMRÅ</t>
        </is>
      </c>
      <c r="F23" t="inlineStr">
        <is>
          <t>SCA</t>
        </is>
      </c>
      <c r="G23" t="n">
        <v>3.3</v>
      </c>
      <c r="H23" t="n">
        <v>0</v>
      </c>
      <c r="I23" t="n">
        <v>0</v>
      </c>
      <c r="J23" t="n">
        <v>3</v>
      </c>
      <c r="K23" t="n">
        <v>0</v>
      </c>
      <c r="L23" t="n">
        <v>0</v>
      </c>
      <c r="M23" t="n">
        <v>0</v>
      </c>
      <c r="N23" t="n">
        <v>0</v>
      </c>
      <c r="O23" t="n">
        <v>3</v>
      </c>
      <c r="P23" t="n">
        <v>0</v>
      </c>
      <c r="Q23" t="n">
        <v>3</v>
      </c>
      <c r="R23" s="2" t="inlineStr">
        <is>
          <t>Garnlav
Ullticka
Veckticka</t>
        </is>
      </c>
      <c r="S23">
        <f>HYPERLINK("https://klasma.github.io/Logging_2262/artfynd/A 37799-2023 artfynd.xlsx", "A 37799-2023")</f>
        <v/>
      </c>
      <c r="T23">
        <f>HYPERLINK("https://klasma.github.io/Logging_2262/kartor/A 37799-2023 karta.png", "A 37799-2023")</f>
        <v/>
      </c>
      <c r="V23">
        <f>HYPERLINK("https://klasma.github.io/Logging_2262/klagomål/A 37799-2023 FSC-klagomål.docx", "A 37799-2023")</f>
        <v/>
      </c>
      <c r="W23">
        <f>HYPERLINK("https://klasma.github.io/Logging_2262/klagomålsmail/A 37799-2023 FSC-klagomål mail.docx", "A 37799-2023")</f>
        <v/>
      </c>
      <c r="X23">
        <f>HYPERLINK("https://klasma.github.io/Logging_2262/tillsyn/A 37799-2023 tillsynsbegäran.docx", "A 37799-2023")</f>
        <v/>
      </c>
      <c r="Y23">
        <f>HYPERLINK("https://klasma.github.io/Logging_2262/tillsynsmail/A 37799-2023 tillsynsbegäran mail.docx", "A 37799-2023")</f>
        <v/>
      </c>
    </row>
    <row r="24" ht="15" customHeight="1">
      <c r="A24" t="inlineStr">
        <is>
          <t>A 43961-2023</t>
        </is>
      </c>
      <c r="B24" s="1" t="n">
        <v>45187</v>
      </c>
      <c r="C24" s="1" t="n">
        <v>45474</v>
      </c>
      <c r="D24" t="inlineStr">
        <is>
          <t>VÄSTERNORRLANDS LÄN</t>
        </is>
      </c>
      <c r="E24" t="inlineStr">
        <is>
          <t>TIMRÅ</t>
        </is>
      </c>
      <c r="F24" t="inlineStr">
        <is>
          <t>SCA</t>
        </is>
      </c>
      <c r="G24" t="n">
        <v>4</v>
      </c>
      <c r="H24" t="n">
        <v>0</v>
      </c>
      <c r="I24" t="n">
        <v>2</v>
      </c>
      <c r="J24" t="n">
        <v>1</v>
      </c>
      <c r="K24" t="n">
        <v>0</v>
      </c>
      <c r="L24" t="n">
        <v>0</v>
      </c>
      <c r="M24" t="n">
        <v>0</v>
      </c>
      <c r="N24" t="n">
        <v>0</v>
      </c>
      <c r="O24" t="n">
        <v>1</v>
      </c>
      <c r="P24" t="n">
        <v>0</v>
      </c>
      <c r="Q24" t="n">
        <v>3</v>
      </c>
      <c r="R24" s="2" t="inlineStr">
        <is>
          <t>Garnlav
Skinnlav
Vedticka</t>
        </is>
      </c>
      <c r="S24">
        <f>HYPERLINK("https://klasma.github.io/Logging_2262/artfynd/A 43961-2023 artfynd.xlsx", "A 43961-2023")</f>
        <v/>
      </c>
      <c r="T24">
        <f>HYPERLINK("https://klasma.github.io/Logging_2262/kartor/A 43961-2023 karta.png", "A 43961-2023")</f>
        <v/>
      </c>
      <c r="V24">
        <f>HYPERLINK("https://klasma.github.io/Logging_2262/klagomål/A 43961-2023 FSC-klagomål.docx", "A 43961-2023")</f>
        <v/>
      </c>
      <c r="W24">
        <f>HYPERLINK("https://klasma.github.io/Logging_2262/klagomålsmail/A 43961-2023 FSC-klagomål mail.docx", "A 43961-2023")</f>
        <v/>
      </c>
      <c r="X24">
        <f>HYPERLINK("https://klasma.github.io/Logging_2262/tillsyn/A 43961-2023 tillsynsbegäran.docx", "A 43961-2023")</f>
        <v/>
      </c>
      <c r="Y24">
        <f>HYPERLINK("https://klasma.github.io/Logging_2262/tillsynsmail/A 43961-2023 tillsynsbegäran mail.docx", "A 43961-2023")</f>
        <v/>
      </c>
    </row>
    <row r="25" ht="15" customHeight="1">
      <c r="A25" t="inlineStr">
        <is>
          <t>A 54039-2023</t>
        </is>
      </c>
      <c r="B25" s="1" t="n">
        <v>45231</v>
      </c>
      <c r="C25" s="1" t="n">
        <v>45474</v>
      </c>
      <c r="D25" t="inlineStr">
        <is>
          <t>VÄSTERNORRLANDS LÄN</t>
        </is>
      </c>
      <c r="E25" t="inlineStr">
        <is>
          <t>TIMRÅ</t>
        </is>
      </c>
      <c r="F25" t="inlineStr">
        <is>
          <t>SCA</t>
        </is>
      </c>
      <c r="G25" t="n">
        <v>8.4</v>
      </c>
      <c r="H25" t="n">
        <v>0</v>
      </c>
      <c r="I25" t="n">
        <v>0</v>
      </c>
      <c r="J25" t="n">
        <v>3</v>
      </c>
      <c r="K25" t="n">
        <v>0</v>
      </c>
      <c r="L25" t="n">
        <v>0</v>
      </c>
      <c r="M25" t="n">
        <v>0</v>
      </c>
      <c r="N25" t="n">
        <v>0</v>
      </c>
      <c r="O25" t="n">
        <v>3</v>
      </c>
      <c r="P25" t="n">
        <v>0</v>
      </c>
      <c r="Q25" t="n">
        <v>3</v>
      </c>
      <c r="R25" s="2" t="inlineStr">
        <is>
          <t>Garnlav
Granticka
Lunglav</t>
        </is>
      </c>
      <c r="S25">
        <f>HYPERLINK("https://klasma.github.io/Logging_2262/artfynd/A 54039-2023 artfynd.xlsx", "A 54039-2023")</f>
        <v/>
      </c>
      <c r="T25">
        <f>HYPERLINK("https://klasma.github.io/Logging_2262/kartor/A 54039-2023 karta.png", "A 54039-2023")</f>
        <v/>
      </c>
      <c r="V25">
        <f>HYPERLINK("https://klasma.github.io/Logging_2262/klagomål/A 54039-2023 FSC-klagomål.docx", "A 54039-2023")</f>
        <v/>
      </c>
      <c r="W25">
        <f>HYPERLINK("https://klasma.github.io/Logging_2262/klagomålsmail/A 54039-2023 FSC-klagomål mail.docx", "A 54039-2023")</f>
        <v/>
      </c>
      <c r="X25">
        <f>HYPERLINK("https://klasma.github.io/Logging_2262/tillsyn/A 54039-2023 tillsynsbegäran.docx", "A 54039-2023")</f>
        <v/>
      </c>
      <c r="Y25">
        <f>HYPERLINK("https://klasma.github.io/Logging_2262/tillsynsmail/A 54039-2023 tillsynsbegäran mail.docx", "A 54039-2023")</f>
        <v/>
      </c>
    </row>
    <row r="26" ht="15" customHeight="1">
      <c r="A26" t="inlineStr">
        <is>
          <t>A 5069-2024</t>
        </is>
      </c>
      <c r="B26" s="1" t="n">
        <v>45329</v>
      </c>
      <c r="C26" s="1" t="n">
        <v>45474</v>
      </c>
      <c r="D26" t="inlineStr">
        <is>
          <t>VÄSTERNORRLANDS LÄN</t>
        </is>
      </c>
      <c r="E26" t="inlineStr">
        <is>
          <t>TIMRÅ</t>
        </is>
      </c>
      <c r="F26" t="inlineStr">
        <is>
          <t>SCA</t>
        </is>
      </c>
      <c r="G26" t="n">
        <v>3.4</v>
      </c>
      <c r="H26" t="n">
        <v>1</v>
      </c>
      <c r="I26" t="n">
        <v>2</v>
      </c>
      <c r="J26" t="n">
        <v>1</v>
      </c>
      <c r="K26" t="n">
        <v>0</v>
      </c>
      <c r="L26" t="n">
        <v>0</v>
      </c>
      <c r="M26" t="n">
        <v>0</v>
      </c>
      <c r="N26" t="n">
        <v>0</v>
      </c>
      <c r="O26" t="n">
        <v>1</v>
      </c>
      <c r="P26" t="n">
        <v>0</v>
      </c>
      <c r="Q26" t="n">
        <v>3</v>
      </c>
      <c r="R26" s="2" t="inlineStr">
        <is>
          <t>Garnlav
Korallrot
Vedticka</t>
        </is>
      </c>
      <c r="S26">
        <f>HYPERLINK("https://klasma.github.io/Logging_2262/artfynd/A 5069-2024 artfynd.xlsx", "A 5069-2024")</f>
        <v/>
      </c>
      <c r="T26">
        <f>HYPERLINK("https://klasma.github.io/Logging_2262/kartor/A 5069-2024 karta.png", "A 5069-2024")</f>
        <v/>
      </c>
      <c r="V26">
        <f>HYPERLINK("https://klasma.github.io/Logging_2262/klagomål/A 5069-2024 FSC-klagomål.docx", "A 5069-2024")</f>
        <v/>
      </c>
      <c r="W26">
        <f>HYPERLINK("https://klasma.github.io/Logging_2262/klagomålsmail/A 5069-2024 FSC-klagomål mail.docx", "A 5069-2024")</f>
        <v/>
      </c>
      <c r="X26">
        <f>HYPERLINK("https://klasma.github.io/Logging_2262/tillsyn/A 5069-2024 tillsynsbegäran.docx", "A 5069-2024")</f>
        <v/>
      </c>
      <c r="Y26">
        <f>HYPERLINK("https://klasma.github.io/Logging_2262/tillsynsmail/A 5069-2024 tillsynsbegäran mail.docx", "A 5069-2024")</f>
        <v/>
      </c>
    </row>
    <row r="27" ht="15" customHeight="1">
      <c r="A27" t="inlineStr">
        <is>
          <t>A 21846-2024</t>
        </is>
      </c>
      <c r="B27" s="1" t="n">
        <v>45442</v>
      </c>
      <c r="C27" s="1" t="n">
        <v>45474</v>
      </c>
      <c r="D27" t="inlineStr">
        <is>
          <t>VÄSTERNORRLANDS LÄN</t>
        </is>
      </c>
      <c r="E27" t="inlineStr">
        <is>
          <t>TIMRÅ</t>
        </is>
      </c>
      <c r="F27" t="inlineStr">
        <is>
          <t>SCA</t>
        </is>
      </c>
      <c r="G27" t="n">
        <v>2.6</v>
      </c>
      <c r="H27" t="n">
        <v>1</v>
      </c>
      <c r="I27" t="n">
        <v>0</v>
      </c>
      <c r="J27" t="n">
        <v>3</v>
      </c>
      <c r="K27" t="n">
        <v>0</v>
      </c>
      <c r="L27" t="n">
        <v>0</v>
      </c>
      <c r="M27" t="n">
        <v>0</v>
      </c>
      <c r="N27" t="n">
        <v>0</v>
      </c>
      <c r="O27" t="n">
        <v>3</v>
      </c>
      <c r="P27" t="n">
        <v>0</v>
      </c>
      <c r="Q27" t="n">
        <v>3</v>
      </c>
      <c r="R27" s="2" t="inlineStr">
        <is>
          <t>Garnlav
Tretåig hackspett
Vedflamlav</t>
        </is>
      </c>
      <c r="S27">
        <f>HYPERLINK("https://klasma.github.io/Logging_2262/artfynd/A 21846-2024 artfynd.xlsx", "A 21846-2024")</f>
        <v/>
      </c>
      <c r="T27">
        <f>HYPERLINK("https://klasma.github.io/Logging_2262/kartor/A 21846-2024 karta.png", "A 21846-2024")</f>
        <v/>
      </c>
      <c r="V27">
        <f>HYPERLINK("https://klasma.github.io/Logging_2262/klagomål/A 21846-2024 FSC-klagomål.docx", "A 21846-2024")</f>
        <v/>
      </c>
      <c r="W27">
        <f>HYPERLINK("https://klasma.github.io/Logging_2262/klagomålsmail/A 21846-2024 FSC-klagomål mail.docx", "A 21846-2024")</f>
        <v/>
      </c>
      <c r="X27">
        <f>HYPERLINK("https://klasma.github.io/Logging_2262/tillsyn/A 21846-2024 tillsynsbegäran.docx", "A 21846-2024")</f>
        <v/>
      </c>
      <c r="Y27">
        <f>HYPERLINK("https://klasma.github.io/Logging_2262/tillsynsmail/A 21846-2024 tillsynsbegäran mail.docx", "A 21846-2024")</f>
        <v/>
      </c>
      <c r="Z27">
        <f>HYPERLINK("https://klasma.github.io/Logging_2262/fåglar/A 21846-2024 prioriterade fågelarter.docx", "A 21846-2024")</f>
        <v/>
      </c>
    </row>
    <row r="28" ht="15" customHeight="1">
      <c r="A28" t="inlineStr">
        <is>
          <t>A 18510-2021</t>
        </is>
      </c>
      <c r="B28" s="1" t="n">
        <v>44306</v>
      </c>
      <c r="C28" s="1" t="n">
        <v>45474</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23222-2022</t>
        </is>
      </c>
      <c r="B29" s="1" t="n">
        <v>44719</v>
      </c>
      <c r="C29" s="1" t="n">
        <v>45474</v>
      </c>
      <c r="D29" t="inlineStr">
        <is>
          <t>VÄSTERNORRLANDS LÄN</t>
        </is>
      </c>
      <c r="E29" t="inlineStr">
        <is>
          <t>TIMRÅ</t>
        </is>
      </c>
      <c r="F29" t="inlineStr">
        <is>
          <t>SCA</t>
        </is>
      </c>
      <c r="G29" t="n">
        <v>4</v>
      </c>
      <c r="H29" t="n">
        <v>0</v>
      </c>
      <c r="I29" t="n">
        <v>0</v>
      </c>
      <c r="J29" t="n">
        <v>2</v>
      </c>
      <c r="K29" t="n">
        <v>0</v>
      </c>
      <c r="L29" t="n">
        <v>0</v>
      </c>
      <c r="M29" t="n">
        <v>0</v>
      </c>
      <c r="N29" t="n">
        <v>0</v>
      </c>
      <c r="O29" t="n">
        <v>2</v>
      </c>
      <c r="P29" t="n">
        <v>0</v>
      </c>
      <c r="Q29" t="n">
        <v>2</v>
      </c>
      <c r="R29" s="2" t="inlineStr">
        <is>
          <t>Gammelgransskål
Garnlav</t>
        </is>
      </c>
      <c r="S29">
        <f>HYPERLINK("https://klasma.github.io/Logging_2262/artfynd/A 23222-2022 artfynd.xlsx", "A 23222-2022")</f>
        <v/>
      </c>
      <c r="T29">
        <f>HYPERLINK("https://klasma.github.io/Logging_2262/kartor/A 23222-2022 karta.png", "A 23222-2022")</f>
        <v/>
      </c>
      <c r="V29">
        <f>HYPERLINK("https://klasma.github.io/Logging_2262/klagomål/A 23222-2022 FSC-klagomål.docx", "A 23222-2022")</f>
        <v/>
      </c>
      <c r="W29">
        <f>HYPERLINK("https://klasma.github.io/Logging_2262/klagomålsmail/A 23222-2022 FSC-klagomål mail.docx", "A 23222-2022")</f>
        <v/>
      </c>
      <c r="X29">
        <f>HYPERLINK("https://klasma.github.io/Logging_2262/tillsyn/A 23222-2022 tillsynsbegäran.docx", "A 23222-2022")</f>
        <v/>
      </c>
      <c r="Y29">
        <f>HYPERLINK("https://klasma.github.io/Logging_2262/tillsynsmail/A 23222-2022 tillsynsbegäran mail.docx", "A 23222-2022")</f>
        <v/>
      </c>
    </row>
    <row r="30" ht="15" customHeight="1">
      <c r="A30" t="inlineStr">
        <is>
          <t>A 30246-2022</t>
        </is>
      </c>
      <c r="B30" s="1" t="n">
        <v>44758</v>
      </c>
      <c r="C30" s="1" t="n">
        <v>45474</v>
      </c>
      <c r="D30" t="inlineStr">
        <is>
          <t>VÄSTERNORRLANDS LÄN</t>
        </is>
      </c>
      <c r="E30" t="inlineStr">
        <is>
          <t>TIMRÅ</t>
        </is>
      </c>
      <c r="F30" t="inlineStr">
        <is>
          <t>SCA</t>
        </is>
      </c>
      <c r="G30" t="n">
        <v>0.8</v>
      </c>
      <c r="H30" t="n">
        <v>1</v>
      </c>
      <c r="I30" t="n">
        <v>0</v>
      </c>
      <c r="J30" t="n">
        <v>1</v>
      </c>
      <c r="K30" t="n">
        <v>0</v>
      </c>
      <c r="L30" t="n">
        <v>0</v>
      </c>
      <c r="M30" t="n">
        <v>0</v>
      </c>
      <c r="N30" t="n">
        <v>0</v>
      </c>
      <c r="O30" t="n">
        <v>1</v>
      </c>
      <c r="P30" t="n">
        <v>0</v>
      </c>
      <c r="Q30" t="n">
        <v>2</v>
      </c>
      <c r="R30" s="2" t="inlineStr">
        <is>
          <t>Garnlav
Vanlig padda</t>
        </is>
      </c>
      <c r="S30">
        <f>HYPERLINK("https://klasma.github.io/Logging_2262/artfynd/A 30246-2022 artfynd.xlsx", "A 30246-2022")</f>
        <v/>
      </c>
      <c r="T30">
        <f>HYPERLINK("https://klasma.github.io/Logging_2262/kartor/A 30246-2022 karta.png", "A 30246-2022")</f>
        <v/>
      </c>
      <c r="V30">
        <f>HYPERLINK("https://klasma.github.io/Logging_2262/klagomål/A 30246-2022 FSC-klagomål.docx", "A 30246-2022")</f>
        <v/>
      </c>
      <c r="W30">
        <f>HYPERLINK("https://klasma.github.io/Logging_2262/klagomålsmail/A 30246-2022 FSC-klagomål mail.docx", "A 30246-2022")</f>
        <v/>
      </c>
      <c r="X30">
        <f>HYPERLINK("https://klasma.github.io/Logging_2262/tillsyn/A 30246-2022 tillsynsbegäran.docx", "A 30246-2022")</f>
        <v/>
      </c>
      <c r="Y30">
        <f>HYPERLINK("https://klasma.github.io/Logging_2262/tillsynsmail/A 30246-2022 tillsynsbegäran mail.docx", "A 30246-2022")</f>
        <v/>
      </c>
    </row>
    <row r="31" ht="15" customHeight="1">
      <c r="A31" t="inlineStr">
        <is>
          <t>A 42283-2022</t>
        </is>
      </c>
      <c r="B31" s="1" t="n">
        <v>44830</v>
      </c>
      <c r="C31" s="1" t="n">
        <v>45474</v>
      </c>
      <c r="D31" t="inlineStr">
        <is>
          <t>VÄSTERNORRLANDS LÄN</t>
        </is>
      </c>
      <c r="E31" t="inlineStr">
        <is>
          <t>TIMRÅ</t>
        </is>
      </c>
      <c r="F31" t="inlineStr">
        <is>
          <t>SCA</t>
        </is>
      </c>
      <c r="G31" t="n">
        <v>5.2</v>
      </c>
      <c r="H31" t="n">
        <v>0</v>
      </c>
      <c r="I31" t="n">
        <v>0</v>
      </c>
      <c r="J31" t="n">
        <v>2</v>
      </c>
      <c r="K31" t="n">
        <v>0</v>
      </c>
      <c r="L31" t="n">
        <v>0</v>
      </c>
      <c r="M31" t="n">
        <v>0</v>
      </c>
      <c r="N31" t="n">
        <v>0</v>
      </c>
      <c r="O31" t="n">
        <v>2</v>
      </c>
      <c r="P31" t="n">
        <v>0</v>
      </c>
      <c r="Q31" t="n">
        <v>2</v>
      </c>
      <c r="R31" s="2" t="inlineStr">
        <is>
          <t>Garnlav
Lunglav</t>
        </is>
      </c>
      <c r="S31">
        <f>HYPERLINK("https://klasma.github.io/Logging_2262/artfynd/A 42283-2022 artfynd.xlsx", "A 42283-2022")</f>
        <v/>
      </c>
      <c r="T31">
        <f>HYPERLINK("https://klasma.github.io/Logging_2262/kartor/A 42283-2022 karta.png", "A 42283-2022")</f>
        <v/>
      </c>
      <c r="V31">
        <f>HYPERLINK("https://klasma.github.io/Logging_2262/klagomål/A 42283-2022 FSC-klagomål.docx", "A 42283-2022")</f>
        <v/>
      </c>
      <c r="W31">
        <f>HYPERLINK("https://klasma.github.io/Logging_2262/klagomålsmail/A 42283-2022 FSC-klagomål mail.docx", "A 42283-2022")</f>
        <v/>
      </c>
      <c r="X31">
        <f>HYPERLINK("https://klasma.github.io/Logging_2262/tillsyn/A 42283-2022 tillsynsbegäran.docx", "A 42283-2022")</f>
        <v/>
      </c>
      <c r="Y31">
        <f>HYPERLINK("https://klasma.github.io/Logging_2262/tillsynsmail/A 42283-2022 tillsynsbegäran mail.docx", "A 42283-2022")</f>
        <v/>
      </c>
    </row>
    <row r="32" ht="15" customHeight="1">
      <c r="A32" t="inlineStr">
        <is>
          <t>A 42284-2022</t>
        </is>
      </c>
      <c r="B32" s="1" t="n">
        <v>44830</v>
      </c>
      <c r="C32" s="1" t="n">
        <v>45474</v>
      </c>
      <c r="D32" t="inlineStr">
        <is>
          <t>VÄSTERNORRLANDS LÄN</t>
        </is>
      </c>
      <c r="E32" t="inlineStr">
        <is>
          <t>TIMRÅ</t>
        </is>
      </c>
      <c r="F32" t="inlineStr">
        <is>
          <t>SCA</t>
        </is>
      </c>
      <c r="G32" t="n">
        <v>7.4</v>
      </c>
      <c r="H32" t="n">
        <v>0</v>
      </c>
      <c r="I32" t="n">
        <v>0</v>
      </c>
      <c r="J32" t="n">
        <v>2</v>
      </c>
      <c r="K32" t="n">
        <v>0</v>
      </c>
      <c r="L32" t="n">
        <v>0</v>
      </c>
      <c r="M32" t="n">
        <v>0</v>
      </c>
      <c r="N32" t="n">
        <v>0</v>
      </c>
      <c r="O32" t="n">
        <v>2</v>
      </c>
      <c r="P32" t="n">
        <v>0</v>
      </c>
      <c r="Q32" t="n">
        <v>2</v>
      </c>
      <c r="R32" s="2" t="inlineStr">
        <is>
          <t>Garnlav
Violettgrå tagellav</t>
        </is>
      </c>
      <c r="S32">
        <f>HYPERLINK("https://klasma.github.io/Logging_2262/artfynd/A 42284-2022 artfynd.xlsx", "A 42284-2022")</f>
        <v/>
      </c>
      <c r="T32">
        <f>HYPERLINK("https://klasma.github.io/Logging_2262/kartor/A 42284-2022 karta.png", "A 42284-2022")</f>
        <v/>
      </c>
      <c r="V32">
        <f>HYPERLINK("https://klasma.github.io/Logging_2262/klagomål/A 42284-2022 FSC-klagomål.docx", "A 42284-2022")</f>
        <v/>
      </c>
      <c r="W32">
        <f>HYPERLINK("https://klasma.github.io/Logging_2262/klagomålsmail/A 42284-2022 FSC-klagomål mail.docx", "A 42284-2022")</f>
        <v/>
      </c>
      <c r="X32">
        <f>HYPERLINK("https://klasma.github.io/Logging_2262/tillsyn/A 42284-2022 tillsynsbegäran.docx", "A 42284-2022")</f>
        <v/>
      </c>
      <c r="Y32">
        <f>HYPERLINK("https://klasma.github.io/Logging_2262/tillsynsmail/A 42284-2022 tillsynsbegäran mail.docx", "A 42284-2022")</f>
        <v/>
      </c>
    </row>
    <row r="33" ht="15" customHeight="1">
      <c r="A33" t="inlineStr">
        <is>
          <t>A 42285-2022</t>
        </is>
      </c>
      <c r="B33" s="1" t="n">
        <v>44830</v>
      </c>
      <c r="C33" s="1" t="n">
        <v>45474</v>
      </c>
      <c r="D33" t="inlineStr">
        <is>
          <t>VÄSTERNORRLANDS LÄN</t>
        </is>
      </c>
      <c r="E33" t="inlineStr">
        <is>
          <t>TIMRÅ</t>
        </is>
      </c>
      <c r="F33" t="inlineStr">
        <is>
          <t>SCA</t>
        </is>
      </c>
      <c r="G33" t="n">
        <v>2.9</v>
      </c>
      <c r="H33" t="n">
        <v>0</v>
      </c>
      <c r="I33" t="n">
        <v>2</v>
      </c>
      <c r="J33" t="n">
        <v>0</v>
      </c>
      <c r="K33" t="n">
        <v>0</v>
      </c>
      <c r="L33" t="n">
        <v>0</v>
      </c>
      <c r="M33" t="n">
        <v>0</v>
      </c>
      <c r="N33" t="n">
        <v>0</v>
      </c>
      <c r="O33" t="n">
        <v>0</v>
      </c>
      <c r="P33" t="n">
        <v>0</v>
      </c>
      <c r="Q33" t="n">
        <v>2</v>
      </c>
      <c r="R33" s="2" t="inlineStr">
        <is>
          <t>Korallblylav
Skinnlav</t>
        </is>
      </c>
      <c r="S33">
        <f>HYPERLINK("https://klasma.github.io/Logging_2262/artfynd/A 42285-2022 artfynd.xlsx", "A 42285-2022")</f>
        <v/>
      </c>
      <c r="T33">
        <f>HYPERLINK("https://klasma.github.io/Logging_2262/kartor/A 42285-2022 karta.png", "A 42285-2022")</f>
        <v/>
      </c>
      <c r="V33">
        <f>HYPERLINK("https://klasma.github.io/Logging_2262/klagomål/A 42285-2022 FSC-klagomål.docx", "A 42285-2022")</f>
        <v/>
      </c>
      <c r="W33">
        <f>HYPERLINK("https://klasma.github.io/Logging_2262/klagomålsmail/A 42285-2022 FSC-klagomål mail.docx", "A 42285-2022")</f>
        <v/>
      </c>
      <c r="X33">
        <f>HYPERLINK("https://klasma.github.io/Logging_2262/tillsyn/A 42285-2022 tillsynsbegäran.docx", "A 42285-2022")</f>
        <v/>
      </c>
      <c r="Y33">
        <f>HYPERLINK("https://klasma.github.io/Logging_2262/tillsynsmail/A 42285-2022 tillsynsbegäran mail.docx", "A 42285-2022")</f>
        <v/>
      </c>
    </row>
    <row r="34" ht="15" customHeight="1">
      <c r="A34" t="inlineStr">
        <is>
          <t>A 42889-2022</t>
        </is>
      </c>
      <c r="B34" s="1" t="n">
        <v>44832</v>
      </c>
      <c r="C34" s="1" t="n">
        <v>45474</v>
      </c>
      <c r="D34" t="inlineStr">
        <is>
          <t>VÄSTERNORRLANDS LÄN</t>
        </is>
      </c>
      <c r="E34" t="inlineStr">
        <is>
          <t>TIMRÅ</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HYPERLINK("https://klasma.github.io/Logging_2262/artfynd/A 42889-2022 artfynd.xlsx", "A 42889-2022")</f>
        <v/>
      </c>
      <c r="T34">
        <f>HYPERLINK("https://klasma.github.io/Logging_2262/kartor/A 42889-2022 karta.png", "A 42889-2022")</f>
        <v/>
      </c>
      <c r="V34">
        <f>HYPERLINK("https://klasma.github.io/Logging_2262/klagomål/A 42889-2022 FSC-klagomål.docx", "A 42889-2022")</f>
        <v/>
      </c>
      <c r="W34">
        <f>HYPERLINK("https://klasma.github.io/Logging_2262/klagomålsmail/A 42889-2022 FSC-klagomål mail.docx", "A 42889-2022")</f>
        <v/>
      </c>
      <c r="X34">
        <f>HYPERLINK("https://klasma.github.io/Logging_2262/tillsyn/A 42889-2022 tillsynsbegäran.docx", "A 42889-2022")</f>
        <v/>
      </c>
      <c r="Y34">
        <f>HYPERLINK("https://klasma.github.io/Logging_2262/tillsynsmail/A 42889-2022 tillsynsbegäran mail.docx", "A 42889-2022")</f>
        <v/>
      </c>
      <c r="Z34">
        <f>HYPERLINK("https://klasma.github.io/Logging_2262/fåglar/A 42889-2022 prioriterade fågelarter.docx", "A 42889-2022")</f>
        <v/>
      </c>
    </row>
    <row r="35" ht="15" customHeight="1">
      <c r="A35" t="inlineStr">
        <is>
          <t>A 49202-2022</t>
        </is>
      </c>
      <c r="B35" s="1" t="n">
        <v>44860</v>
      </c>
      <c r="C35" s="1" t="n">
        <v>45474</v>
      </c>
      <c r="D35" t="inlineStr">
        <is>
          <t>VÄSTERNORRLANDS LÄN</t>
        </is>
      </c>
      <c r="E35" t="inlineStr">
        <is>
          <t>TIMRÅ</t>
        </is>
      </c>
      <c r="F35" t="inlineStr">
        <is>
          <t>SCA</t>
        </is>
      </c>
      <c r="G35" t="n">
        <v>2.2</v>
      </c>
      <c r="H35" t="n">
        <v>0</v>
      </c>
      <c r="I35" t="n">
        <v>0</v>
      </c>
      <c r="J35" t="n">
        <v>2</v>
      </c>
      <c r="K35" t="n">
        <v>0</v>
      </c>
      <c r="L35" t="n">
        <v>0</v>
      </c>
      <c r="M35" t="n">
        <v>0</v>
      </c>
      <c r="N35" t="n">
        <v>0</v>
      </c>
      <c r="O35" t="n">
        <v>2</v>
      </c>
      <c r="P35" t="n">
        <v>0</v>
      </c>
      <c r="Q35" t="n">
        <v>2</v>
      </c>
      <c r="R35" s="2" t="inlineStr">
        <is>
          <t>Garnlav
Violettgrå tagellav</t>
        </is>
      </c>
      <c r="S35">
        <f>HYPERLINK("https://klasma.github.io/Logging_2262/artfynd/A 49202-2022 artfynd.xlsx", "A 49202-2022")</f>
        <v/>
      </c>
      <c r="T35">
        <f>HYPERLINK("https://klasma.github.io/Logging_2262/kartor/A 49202-2022 karta.png", "A 49202-2022")</f>
        <v/>
      </c>
      <c r="V35">
        <f>HYPERLINK("https://klasma.github.io/Logging_2262/klagomål/A 49202-2022 FSC-klagomål.docx", "A 49202-2022")</f>
        <v/>
      </c>
      <c r="W35">
        <f>HYPERLINK("https://klasma.github.io/Logging_2262/klagomålsmail/A 49202-2022 FSC-klagomål mail.docx", "A 49202-2022")</f>
        <v/>
      </c>
      <c r="X35">
        <f>HYPERLINK("https://klasma.github.io/Logging_2262/tillsyn/A 49202-2022 tillsynsbegäran.docx", "A 49202-2022")</f>
        <v/>
      </c>
      <c r="Y35">
        <f>HYPERLINK("https://klasma.github.io/Logging_2262/tillsynsmail/A 49202-2022 tillsynsbegäran mail.docx", "A 49202-2022")</f>
        <v/>
      </c>
    </row>
    <row r="36" ht="15" customHeight="1">
      <c r="A36" t="inlineStr">
        <is>
          <t>A 29600-2023</t>
        </is>
      </c>
      <c r="B36" s="1" t="n">
        <v>45106</v>
      </c>
      <c r="C36" s="1" t="n">
        <v>45474</v>
      </c>
      <c r="D36" t="inlineStr">
        <is>
          <t>VÄSTERNORRLANDS LÄN</t>
        </is>
      </c>
      <c r="E36" t="inlineStr">
        <is>
          <t>TIMRÅ</t>
        </is>
      </c>
      <c r="F36" t="inlineStr">
        <is>
          <t>Kyrkan</t>
        </is>
      </c>
      <c r="G36" t="n">
        <v>5</v>
      </c>
      <c r="H36" t="n">
        <v>0</v>
      </c>
      <c r="I36" t="n">
        <v>2</v>
      </c>
      <c r="J36" t="n">
        <v>0</v>
      </c>
      <c r="K36" t="n">
        <v>0</v>
      </c>
      <c r="L36" t="n">
        <v>0</v>
      </c>
      <c r="M36" t="n">
        <v>0</v>
      </c>
      <c r="N36" t="n">
        <v>0</v>
      </c>
      <c r="O36" t="n">
        <v>0</v>
      </c>
      <c r="P36" t="n">
        <v>0</v>
      </c>
      <c r="Q36" t="n">
        <v>2</v>
      </c>
      <c r="R36" s="2" t="inlineStr">
        <is>
          <t>Dvärghäxört
Svart trolldruva</t>
        </is>
      </c>
      <c r="S36">
        <f>HYPERLINK("https://klasma.github.io/Logging_2262/artfynd/A 29600-2023 artfynd.xlsx", "A 29600-2023")</f>
        <v/>
      </c>
      <c r="T36">
        <f>HYPERLINK("https://klasma.github.io/Logging_2262/kartor/A 29600-2023 karta.png", "A 29600-2023")</f>
        <v/>
      </c>
      <c r="V36">
        <f>HYPERLINK("https://klasma.github.io/Logging_2262/klagomål/A 29600-2023 FSC-klagomål.docx", "A 29600-2023")</f>
        <v/>
      </c>
      <c r="W36">
        <f>HYPERLINK("https://klasma.github.io/Logging_2262/klagomålsmail/A 29600-2023 FSC-klagomål mail.docx", "A 29600-2023")</f>
        <v/>
      </c>
      <c r="X36">
        <f>HYPERLINK("https://klasma.github.io/Logging_2262/tillsyn/A 29600-2023 tillsynsbegäran.docx", "A 29600-2023")</f>
        <v/>
      </c>
      <c r="Y36">
        <f>HYPERLINK("https://klasma.github.io/Logging_2262/tillsynsmail/A 29600-2023 tillsynsbegäran mail.docx", "A 29600-2023")</f>
        <v/>
      </c>
    </row>
    <row r="37" ht="15" customHeight="1">
      <c r="A37" t="inlineStr">
        <is>
          <t>A 35003-2023</t>
        </is>
      </c>
      <c r="B37" s="1" t="n">
        <v>45142</v>
      </c>
      <c r="C37" s="1" t="n">
        <v>45474</v>
      </c>
      <c r="D37" t="inlineStr">
        <is>
          <t>VÄSTERNORRLANDS LÄN</t>
        </is>
      </c>
      <c r="E37" t="inlineStr">
        <is>
          <t>TIMRÅ</t>
        </is>
      </c>
      <c r="F37" t="inlineStr">
        <is>
          <t>SCA</t>
        </is>
      </c>
      <c r="G37" t="n">
        <v>1.9</v>
      </c>
      <c r="H37" t="n">
        <v>0</v>
      </c>
      <c r="I37" t="n">
        <v>0</v>
      </c>
      <c r="J37" t="n">
        <v>2</v>
      </c>
      <c r="K37" t="n">
        <v>0</v>
      </c>
      <c r="L37" t="n">
        <v>0</v>
      </c>
      <c r="M37" t="n">
        <v>0</v>
      </c>
      <c r="N37" t="n">
        <v>0</v>
      </c>
      <c r="O37" t="n">
        <v>2</v>
      </c>
      <c r="P37" t="n">
        <v>0</v>
      </c>
      <c r="Q37" t="n">
        <v>2</v>
      </c>
      <c r="R37" s="2" t="inlineStr">
        <is>
          <t>Lunglav
Ullticka</t>
        </is>
      </c>
      <c r="S37">
        <f>HYPERLINK("https://klasma.github.io/Logging_2262/artfynd/A 35003-2023 artfynd.xlsx", "A 35003-2023")</f>
        <v/>
      </c>
      <c r="T37">
        <f>HYPERLINK("https://klasma.github.io/Logging_2262/kartor/A 35003-2023 karta.png", "A 35003-2023")</f>
        <v/>
      </c>
      <c r="V37">
        <f>HYPERLINK("https://klasma.github.io/Logging_2262/klagomål/A 35003-2023 FSC-klagomål.docx", "A 35003-2023")</f>
        <v/>
      </c>
      <c r="W37">
        <f>HYPERLINK("https://klasma.github.io/Logging_2262/klagomålsmail/A 35003-2023 FSC-klagomål mail.docx", "A 35003-2023")</f>
        <v/>
      </c>
      <c r="X37">
        <f>HYPERLINK("https://klasma.github.io/Logging_2262/tillsyn/A 35003-2023 tillsynsbegäran.docx", "A 35003-2023")</f>
        <v/>
      </c>
      <c r="Y37">
        <f>HYPERLINK("https://klasma.github.io/Logging_2262/tillsynsmail/A 35003-2023 tillsynsbegäran mail.docx", "A 35003-2023")</f>
        <v/>
      </c>
    </row>
    <row r="38" ht="15" customHeight="1">
      <c r="A38" t="inlineStr">
        <is>
          <t>A 43413-2023</t>
        </is>
      </c>
      <c r="B38" s="1" t="n">
        <v>45183</v>
      </c>
      <c r="C38" s="1" t="n">
        <v>45474</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45474</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45474</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45474</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16254-2024</t>
        </is>
      </c>
      <c r="B42" s="1" t="n">
        <v>45407</v>
      </c>
      <c r="C42" s="1" t="n">
        <v>45474</v>
      </c>
      <c r="D42" t="inlineStr">
        <is>
          <t>VÄSTERNORRLANDS LÄN</t>
        </is>
      </c>
      <c r="E42" t="inlineStr">
        <is>
          <t>TIMRÅ</t>
        </is>
      </c>
      <c r="F42" t="inlineStr">
        <is>
          <t>SCA</t>
        </is>
      </c>
      <c r="G42" t="n">
        <v>44.8</v>
      </c>
      <c r="H42" t="n">
        <v>2</v>
      </c>
      <c r="I42" t="n">
        <v>0</v>
      </c>
      <c r="J42" t="n">
        <v>0</v>
      </c>
      <c r="K42" t="n">
        <v>0</v>
      </c>
      <c r="L42" t="n">
        <v>0</v>
      </c>
      <c r="M42" t="n">
        <v>0</v>
      </c>
      <c r="N42" t="n">
        <v>0</v>
      </c>
      <c r="O42" t="n">
        <v>0</v>
      </c>
      <c r="P42" t="n">
        <v>0</v>
      </c>
      <c r="Q42" t="n">
        <v>2</v>
      </c>
      <c r="R42" s="2" t="inlineStr">
        <is>
          <t>Tjäder
Blåsippa</t>
        </is>
      </c>
      <c r="S42">
        <f>HYPERLINK("https://klasma.github.io/Logging_2262/artfynd/A 16254-2024 artfynd.xlsx", "A 16254-2024")</f>
        <v/>
      </c>
      <c r="T42">
        <f>HYPERLINK("https://klasma.github.io/Logging_2262/kartor/A 16254-2024 karta.png", "A 16254-2024")</f>
        <v/>
      </c>
      <c r="U42">
        <f>HYPERLINK("https://klasma.github.io/Logging_2262/knärot/A 16254-2024 karta knärot.png", "A 16254-2024")</f>
        <v/>
      </c>
      <c r="V42">
        <f>HYPERLINK("https://klasma.github.io/Logging_2262/klagomål/A 16254-2024 FSC-klagomål.docx", "A 16254-2024")</f>
        <v/>
      </c>
      <c r="W42">
        <f>HYPERLINK("https://klasma.github.io/Logging_2262/klagomålsmail/A 16254-2024 FSC-klagomål mail.docx", "A 16254-2024")</f>
        <v/>
      </c>
      <c r="X42">
        <f>HYPERLINK("https://klasma.github.io/Logging_2262/tillsyn/A 16254-2024 tillsynsbegäran.docx", "A 16254-2024")</f>
        <v/>
      </c>
      <c r="Y42">
        <f>HYPERLINK("https://klasma.github.io/Logging_2262/tillsynsmail/A 16254-2024 tillsynsbegäran mail.docx", "A 16254-2024")</f>
        <v/>
      </c>
      <c r="Z42">
        <f>HYPERLINK("https://klasma.github.io/Logging_2262/fåglar/A 16254-2024 prioriterade fågelarter.docx", "A 16254-2024")</f>
        <v/>
      </c>
    </row>
    <row r="43" ht="15" customHeight="1">
      <c r="A43" t="inlineStr">
        <is>
          <t>A 66710-2019</t>
        </is>
      </c>
      <c r="B43" s="1" t="n">
        <v>43809</v>
      </c>
      <c r="C43" s="1" t="n">
        <v>45474</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45474</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45474</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45474</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45474</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45474</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45474</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45474</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57242-2022</t>
        </is>
      </c>
      <c r="B51" s="1" t="n">
        <v>44889</v>
      </c>
      <c r="C51" s="1" t="n">
        <v>45474</v>
      </c>
      <c r="D51" t="inlineStr">
        <is>
          <t>VÄSTERNORRLANDS LÄN</t>
        </is>
      </c>
      <c r="E51" t="inlineStr">
        <is>
          <t>TIMRÅ</t>
        </is>
      </c>
      <c r="G51" t="n">
        <v>18.8</v>
      </c>
      <c r="H51" t="n">
        <v>0</v>
      </c>
      <c r="I51" t="n">
        <v>0</v>
      </c>
      <c r="J51" t="n">
        <v>0</v>
      </c>
      <c r="K51" t="n">
        <v>0</v>
      </c>
      <c r="L51" t="n">
        <v>1</v>
      </c>
      <c r="M51" t="n">
        <v>0</v>
      </c>
      <c r="N51" t="n">
        <v>0</v>
      </c>
      <c r="O51" t="n">
        <v>1</v>
      </c>
      <c r="P51" t="n">
        <v>1</v>
      </c>
      <c r="Q51" t="n">
        <v>1</v>
      </c>
      <c r="R51" s="2" t="inlineStr">
        <is>
          <t>Flodpärlmussla</t>
        </is>
      </c>
      <c r="S51">
        <f>HYPERLINK("https://klasma.github.io/Logging_2262/artfynd/A 57242-2022 artfynd.xlsx", "A 57242-2022")</f>
        <v/>
      </c>
      <c r="T51">
        <f>HYPERLINK("https://klasma.github.io/Logging_2262/kartor/A 57242-2022 karta.png", "A 57242-2022")</f>
        <v/>
      </c>
      <c r="V51">
        <f>HYPERLINK("https://klasma.github.io/Logging_2262/klagomål/A 57242-2022 FSC-klagomål.docx", "A 57242-2022")</f>
        <v/>
      </c>
      <c r="W51">
        <f>HYPERLINK("https://klasma.github.io/Logging_2262/klagomålsmail/A 57242-2022 FSC-klagomål mail.docx", "A 57242-2022")</f>
        <v/>
      </c>
      <c r="X51">
        <f>HYPERLINK("https://klasma.github.io/Logging_2262/tillsyn/A 57242-2022 tillsynsbegäran.docx", "A 57242-2022")</f>
        <v/>
      </c>
      <c r="Y51">
        <f>HYPERLINK("https://klasma.github.io/Logging_2262/tillsynsmail/A 57242-2022 tillsynsbegäran mail.docx", "A 57242-2022")</f>
        <v/>
      </c>
    </row>
    <row r="52" ht="15" customHeight="1">
      <c r="A52" t="inlineStr">
        <is>
          <t>A 10313-2023</t>
        </is>
      </c>
      <c r="B52" s="1" t="n">
        <v>44986</v>
      </c>
      <c r="C52" s="1" t="n">
        <v>45474</v>
      </c>
      <c r="D52" t="inlineStr">
        <is>
          <t>VÄSTERNORRLANDS LÄN</t>
        </is>
      </c>
      <c r="E52" t="inlineStr">
        <is>
          <t>TIMRÅ</t>
        </is>
      </c>
      <c r="F52" t="inlineStr">
        <is>
          <t>SCA</t>
        </is>
      </c>
      <c r="G52" t="n">
        <v>39.3</v>
      </c>
      <c r="H52" t="n">
        <v>1</v>
      </c>
      <c r="I52" t="n">
        <v>0</v>
      </c>
      <c r="J52" t="n">
        <v>1</v>
      </c>
      <c r="K52" t="n">
        <v>0</v>
      </c>
      <c r="L52" t="n">
        <v>0</v>
      </c>
      <c r="M52" t="n">
        <v>0</v>
      </c>
      <c r="N52" t="n">
        <v>0</v>
      </c>
      <c r="O52" t="n">
        <v>1</v>
      </c>
      <c r="P52" t="n">
        <v>0</v>
      </c>
      <c r="Q52" t="n">
        <v>1</v>
      </c>
      <c r="R52" s="2" t="inlineStr">
        <is>
          <t>Slaguggla</t>
        </is>
      </c>
      <c r="S52">
        <f>HYPERLINK("https://klasma.github.io/Logging_2262/artfynd/A 10313-2023 artfynd.xlsx", "A 10313-2023")</f>
        <v/>
      </c>
      <c r="T52">
        <f>HYPERLINK("https://klasma.github.io/Logging_2262/kartor/A 10313-2023 karta.png", "A 10313-2023")</f>
        <v/>
      </c>
      <c r="V52">
        <f>HYPERLINK("https://klasma.github.io/Logging_2262/klagomål/A 10313-2023 FSC-klagomål.docx", "A 10313-2023")</f>
        <v/>
      </c>
      <c r="W52">
        <f>HYPERLINK("https://klasma.github.io/Logging_2262/klagomålsmail/A 10313-2023 FSC-klagomål mail.docx", "A 10313-2023")</f>
        <v/>
      </c>
      <c r="X52">
        <f>HYPERLINK("https://klasma.github.io/Logging_2262/tillsyn/A 10313-2023 tillsynsbegäran.docx", "A 10313-2023")</f>
        <v/>
      </c>
      <c r="Y52">
        <f>HYPERLINK("https://klasma.github.io/Logging_2262/tillsynsmail/A 10313-2023 tillsynsbegäran mail.docx", "A 10313-2023")</f>
        <v/>
      </c>
      <c r="Z52">
        <f>HYPERLINK("https://klasma.github.io/Logging_2262/fåglar/A 10313-2023 prioriterade fågelarter.docx", "A 10313-2023")</f>
        <v/>
      </c>
    </row>
    <row r="53" ht="15" customHeight="1">
      <c r="A53" t="inlineStr">
        <is>
          <t>A 33330-2023</t>
        </is>
      </c>
      <c r="B53" s="1" t="n">
        <v>45127</v>
      </c>
      <c r="C53" s="1" t="n">
        <v>45474</v>
      </c>
      <c r="D53" t="inlineStr">
        <is>
          <t>VÄSTERNORRLANDS LÄN</t>
        </is>
      </c>
      <c r="E53" t="inlineStr">
        <is>
          <t>TIMRÅ</t>
        </is>
      </c>
      <c r="F53" t="inlineStr">
        <is>
          <t>SCA</t>
        </is>
      </c>
      <c r="G53" t="n">
        <v>4</v>
      </c>
      <c r="H53" t="n">
        <v>0</v>
      </c>
      <c r="I53" t="n">
        <v>0</v>
      </c>
      <c r="J53" t="n">
        <v>1</v>
      </c>
      <c r="K53" t="n">
        <v>0</v>
      </c>
      <c r="L53" t="n">
        <v>0</v>
      </c>
      <c r="M53" t="n">
        <v>0</v>
      </c>
      <c r="N53" t="n">
        <v>0</v>
      </c>
      <c r="O53" t="n">
        <v>1</v>
      </c>
      <c r="P53" t="n">
        <v>0</v>
      </c>
      <c r="Q53" t="n">
        <v>1</v>
      </c>
      <c r="R53" s="2" t="inlineStr">
        <is>
          <t>Lunglav</t>
        </is>
      </c>
      <c r="S53">
        <f>HYPERLINK("https://klasma.github.io/Logging_2262/artfynd/A 33330-2023 artfynd.xlsx", "A 33330-2023")</f>
        <v/>
      </c>
      <c r="T53">
        <f>HYPERLINK("https://klasma.github.io/Logging_2262/kartor/A 33330-2023 karta.png", "A 33330-2023")</f>
        <v/>
      </c>
      <c r="V53">
        <f>HYPERLINK("https://klasma.github.io/Logging_2262/klagomål/A 33330-2023 FSC-klagomål.docx", "A 33330-2023")</f>
        <v/>
      </c>
      <c r="W53">
        <f>HYPERLINK("https://klasma.github.io/Logging_2262/klagomålsmail/A 33330-2023 FSC-klagomål mail.docx", "A 33330-2023")</f>
        <v/>
      </c>
      <c r="X53">
        <f>HYPERLINK("https://klasma.github.io/Logging_2262/tillsyn/A 33330-2023 tillsynsbegäran.docx", "A 33330-2023")</f>
        <v/>
      </c>
      <c r="Y53">
        <f>HYPERLINK("https://klasma.github.io/Logging_2262/tillsynsmail/A 33330-2023 tillsynsbegäran mail.docx", "A 33330-2023")</f>
        <v/>
      </c>
    </row>
    <row r="54" ht="15" customHeight="1">
      <c r="A54" t="inlineStr">
        <is>
          <t>A 33503-2023</t>
        </is>
      </c>
      <c r="B54" s="1" t="n">
        <v>45131</v>
      </c>
      <c r="C54" s="1" t="n">
        <v>45474</v>
      </c>
      <c r="D54" t="inlineStr">
        <is>
          <t>VÄSTERNORRLANDS LÄN</t>
        </is>
      </c>
      <c r="E54" t="inlineStr">
        <is>
          <t>TIMRÅ</t>
        </is>
      </c>
      <c r="G54" t="n">
        <v>28.3</v>
      </c>
      <c r="H54" t="n">
        <v>1</v>
      </c>
      <c r="I54" t="n">
        <v>0</v>
      </c>
      <c r="J54" t="n">
        <v>1</v>
      </c>
      <c r="K54" t="n">
        <v>0</v>
      </c>
      <c r="L54" t="n">
        <v>0</v>
      </c>
      <c r="M54" t="n">
        <v>0</v>
      </c>
      <c r="N54" t="n">
        <v>0</v>
      </c>
      <c r="O54" t="n">
        <v>1</v>
      </c>
      <c r="P54" t="n">
        <v>0</v>
      </c>
      <c r="Q54" t="n">
        <v>1</v>
      </c>
      <c r="R54" s="2" t="inlineStr">
        <is>
          <t>Utter</t>
        </is>
      </c>
      <c r="S54">
        <f>HYPERLINK("https://klasma.github.io/Logging_2262/artfynd/A 33503-2023 artfynd.xlsx", "A 33503-2023")</f>
        <v/>
      </c>
      <c r="T54">
        <f>HYPERLINK("https://klasma.github.io/Logging_2262/kartor/A 33503-2023 karta.png", "A 33503-2023")</f>
        <v/>
      </c>
      <c r="V54">
        <f>HYPERLINK("https://klasma.github.io/Logging_2262/klagomål/A 33503-2023 FSC-klagomål.docx", "A 33503-2023")</f>
        <v/>
      </c>
      <c r="W54">
        <f>HYPERLINK("https://klasma.github.io/Logging_2262/klagomålsmail/A 33503-2023 FSC-klagomål mail.docx", "A 33503-2023")</f>
        <v/>
      </c>
      <c r="X54">
        <f>HYPERLINK("https://klasma.github.io/Logging_2262/tillsyn/A 33503-2023 tillsynsbegäran.docx", "A 33503-2023")</f>
        <v/>
      </c>
      <c r="Y54">
        <f>HYPERLINK("https://klasma.github.io/Logging_2262/tillsynsmail/A 33503-2023 tillsynsbegäran mail.docx", "A 33503-2023")</f>
        <v/>
      </c>
    </row>
    <row r="55" ht="15" customHeight="1">
      <c r="A55" t="inlineStr">
        <is>
          <t>A 35510-2023</t>
        </is>
      </c>
      <c r="B55" s="1" t="n">
        <v>45147</v>
      </c>
      <c r="C55" s="1" t="n">
        <v>45474</v>
      </c>
      <c r="D55" t="inlineStr">
        <is>
          <t>VÄSTERNORRLANDS LÄN</t>
        </is>
      </c>
      <c r="E55" t="inlineStr">
        <is>
          <t>TIMRÅ</t>
        </is>
      </c>
      <c r="F55" t="inlineStr">
        <is>
          <t>SCA</t>
        </is>
      </c>
      <c r="G55" t="n">
        <v>3.5</v>
      </c>
      <c r="H55" t="n">
        <v>1</v>
      </c>
      <c r="I55" t="n">
        <v>0</v>
      </c>
      <c r="J55" t="n">
        <v>0</v>
      </c>
      <c r="K55" t="n">
        <v>0</v>
      </c>
      <c r="L55" t="n">
        <v>0</v>
      </c>
      <c r="M55" t="n">
        <v>0</v>
      </c>
      <c r="N55" t="n">
        <v>0</v>
      </c>
      <c r="O55" t="n">
        <v>0</v>
      </c>
      <c r="P55" t="n">
        <v>0</v>
      </c>
      <c r="Q55" t="n">
        <v>1</v>
      </c>
      <c r="R55" s="2" t="inlineStr">
        <is>
          <t>Revlummer</t>
        </is>
      </c>
      <c r="S55">
        <f>HYPERLINK("https://klasma.github.io/Logging_2262/artfynd/A 35510-2023 artfynd.xlsx", "A 35510-2023")</f>
        <v/>
      </c>
      <c r="T55">
        <f>HYPERLINK("https://klasma.github.io/Logging_2262/kartor/A 35510-2023 karta.png", "A 35510-2023")</f>
        <v/>
      </c>
      <c r="V55">
        <f>HYPERLINK("https://klasma.github.io/Logging_2262/klagomål/A 35510-2023 FSC-klagomål.docx", "A 35510-2023")</f>
        <v/>
      </c>
      <c r="W55">
        <f>HYPERLINK("https://klasma.github.io/Logging_2262/klagomålsmail/A 35510-2023 FSC-klagomål mail.docx", "A 35510-2023")</f>
        <v/>
      </c>
      <c r="X55">
        <f>HYPERLINK("https://klasma.github.io/Logging_2262/tillsyn/A 35510-2023 tillsynsbegäran.docx", "A 35510-2023")</f>
        <v/>
      </c>
      <c r="Y55">
        <f>HYPERLINK("https://klasma.github.io/Logging_2262/tillsynsmail/A 35510-2023 tillsynsbegäran mail.docx", "A 35510-2023")</f>
        <v/>
      </c>
    </row>
    <row r="56" ht="15" customHeight="1">
      <c r="A56" t="inlineStr">
        <is>
          <t>A 39141-2023</t>
        </is>
      </c>
      <c r="B56" s="1" t="n">
        <v>45165</v>
      </c>
      <c r="C56" s="1" t="n">
        <v>45474</v>
      </c>
      <c r="D56" t="inlineStr">
        <is>
          <t>VÄSTERNORRLANDS LÄN</t>
        </is>
      </c>
      <c r="E56" t="inlineStr">
        <is>
          <t>TIMRÅ</t>
        </is>
      </c>
      <c r="F56" t="inlineStr">
        <is>
          <t>SCA</t>
        </is>
      </c>
      <c r="G56" t="n">
        <v>11.3</v>
      </c>
      <c r="H56" t="n">
        <v>1</v>
      </c>
      <c r="I56" t="n">
        <v>1</v>
      </c>
      <c r="J56" t="n">
        <v>0</v>
      </c>
      <c r="K56" t="n">
        <v>0</v>
      </c>
      <c r="L56" t="n">
        <v>0</v>
      </c>
      <c r="M56" t="n">
        <v>0</v>
      </c>
      <c r="N56" t="n">
        <v>0</v>
      </c>
      <c r="O56" t="n">
        <v>0</v>
      </c>
      <c r="P56" t="n">
        <v>0</v>
      </c>
      <c r="Q56" t="n">
        <v>1</v>
      </c>
      <c r="R56" s="2" t="inlineStr">
        <is>
          <t>Plattlummer</t>
        </is>
      </c>
      <c r="S56">
        <f>HYPERLINK("https://klasma.github.io/Logging_2262/artfynd/A 39141-2023 artfynd.xlsx", "A 39141-2023")</f>
        <v/>
      </c>
      <c r="T56">
        <f>HYPERLINK("https://klasma.github.io/Logging_2262/kartor/A 39141-2023 karta.png", "A 39141-2023")</f>
        <v/>
      </c>
      <c r="V56">
        <f>HYPERLINK("https://klasma.github.io/Logging_2262/klagomål/A 39141-2023 FSC-klagomål.docx", "A 39141-2023")</f>
        <v/>
      </c>
      <c r="W56">
        <f>HYPERLINK("https://klasma.github.io/Logging_2262/klagomålsmail/A 39141-2023 FSC-klagomål mail.docx", "A 39141-2023")</f>
        <v/>
      </c>
      <c r="X56">
        <f>HYPERLINK("https://klasma.github.io/Logging_2262/tillsyn/A 39141-2023 tillsynsbegäran.docx", "A 39141-2023")</f>
        <v/>
      </c>
      <c r="Y56">
        <f>HYPERLINK("https://klasma.github.io/Logging_2262/tillsynsmail/A 39141-2023 tillsynsbegäran mail.docx", "A 39141-2023")</f>
        <v/>
      </c>
    </row>
    <row r="57" ht="15" customHeight="1">
      <c r="A57" t="inlineStr">
        <is>
          <t>A 47793-2023</t>
        </is>
      </c>
      <c r="B57" s="1" t="n">
        <v>45203</v>
      </c>
      <c r="C57" s="1" t="n">
        <v>45474</v>
      </c>
      <c r="D57" t="inlineStr">
        <is>
          <t>VÄSTERNORRLANDS LÄN</t>
        </is>
      </c>
      <c r="E57" t="inlineStr">
        <is>
          <t>TIMRÅ</t>
        </is>
      </c>
      <c r="F57" t="inlineStr">
        <is>
          <t>SCA</t>
        </is>
      </c>
      <c r="G57" t="n">
        <v>9.699999999999999</v>
      </c>
      <c r="H57" t="n">
        <v>1</v>
      </c>
      <c r="I57" t="n">
        <v>0</v>
      </c>
      <c r="J57" t="n">
        <v>0</v>
      </c>
      <c r="K57" t="n">
        <v>0</v>
      </c>
      <c r="L57" t="n">
        <v>0</v>
      </c>
      <c r="M57" t="n">
        <v>0</v>
      </c>
      <c r="N57" t="n">
        <v>0</v>
      </c>
      <c r="O57" t="n">
        <v>0</v>
      </c>
      <c r="P57" t="n">
        <v>0</v>
      </c>
      <c r="Q57" t="n">
        <v>1</v>
      </c>
      <c r="R57" s="2" t="inlineStr">
        <is>
          <t>Revlummer</t>
        </is>
      </c>
      <c r="S57">
        <f>HYPERLINK("https://klasma.github.io/Logging_2262/artfynd/A 47793-2023 artfynd.xlsx", "A 47793-2023")</f>
        <v/>
      </c>
      <c r="T57">
        <f>HYPERLINK("https://klasma.github.io/Logging_2262/kartor/A 47793-2023 karta.png", "A 47793-2023")</f>
        <v/>
      </c>
      <c r="V57">
        <f>HYPERLINK("https://klasma.github.io/Logging_2262/klagomål/A 47793-2023 FSC-klagomål.docx", "A 47793-2023")</f>
        <v/>
      </c>
      <c r="W57">
        <f>HYPERLINK("https://klasma.github.io/Logging_2262/klagomålsmail/A 47793-2023 FSC-klagomål mail.docx", "A 47793-2023")</f>
        <v/>
      </c>
      <c r="X57">
        <f>HYPERLINK("https://klasma.github.io/Logging_2262/tillsyn/A 47793-2023 tillsynsbegäran.docx", "A 47793-2023")</f>
        <v/>
      </c>
      <c r="Y57">
        <f>HYPERLINK("https://klasma.github.io/Logging_2262/tillsynsmail/A 47793-2023 tillsynsbegäran mail.docx", "A 47793-2023")</f>
        <v/>
      </c>
    </row>
    <row r="58" ht="15" customHeight="1">
      <c r="A58" t="inlineStr">
        <is>
          <t>A 47792-2023</t>
        </is>
      </c>
      <c r="B58" s="1" t="n">
        <v>45203</v>
      </c>
      <c r="C58" s="1" t="n">
        <v>45474</v>
      </c>
      <c r="D58" t="inlineStr">
        <is>
          <t>VÄSTERNORRLANDS LÄN</t>
        </is>
      </c>
      <c r="E58" t="inlineStr">
        <is>
          <t>TIMRÅ</t>
        </is>
      </c>
      <c r="F58" t="inlineStr">
        <is>
          <t>SCA</t>
        </is>
      </c>
      <c r="G58" t="n">
        <v>4.1</v>
      </c>
      <c r="H58" t="n">
        <v>0</v>
      </c>
      <c r="I58" t="n">
        <v>1</v>
      </c>
      <c r="J58" t="n">
        <v>0</v>
      </c>
      <c r="K58" t="n">
        <v>0</v>
      </c>
      <c r="L58" t="n">
        <v>0</v>
      </c>
      <c r="M58" t="n">
        <v>0</v>
      </c>
      <c r="N58" t="n">
        <v>0</v>
      </c>
      <c r="O58" t="n">
        <v>0</v>
      </c>
      <c r="P58" t="n">
        <v>0</v>
      </c>
      <c r="Q58" t="n">
        <v>1</v>
      </c>
      <c r="R58" s="2" t="inlineStr">
        <is>
          <t>Gräsull</t>
        </is>
      </c>
      <c r="S58">
        <f>HYPERLINK("https://klasma.github.io/Logging_2262/artfynd/A 47792-2023 artfynd.xlsx", "A 47792-2023")</f>
        <v/>
      </c>
      <c r="T58">
        <f>HYPERLINK("https://klasma.github.io/Logging_2262/kartor/A 47792-2023 karta.png", "A 47792-2023")</f>
        <v/>
      </c>
      <c r="V58">
        <f>HYPERLINK("https://klasma.github.io/Logging_2262/klagomål/A 47792-2023 FSC-klagomål.docx", "A 47792-2023")</f>
        <v/>
      </c>
      <c r="W58">
        <f>HYPERLINK("https://klasma.github.io/Logging_2262/klagomålsmail/A 47792-2023 FSC-klagomål mail.docx", "A 47792-2023")</f>
        <v/>
      </c>
      <c r="X58">
        <f>HYPERLINK("https://klasma.github.io/Logging_2262/tillsyn/A 47792-2023 tillsynsbegäran.docx", "A 47792-2023")</f>
        <v/>
      </c>
      <c r="Y58">
        <f>HYPERLINK("https://klasma.github.io/Logging_2262/tillsynsmail/A 47792-2023 tillsynsbegäran mail.docx", "A 47792-2023")</f>
        <v/>
      </c>
    </row>
    <row r="59" ht="15" customHeight="1">
      <c r="A59" t="inlineStr">
        <is>
          <t>A 49329-2023</t>
        </is>
      </c>
      <c r="B59" s="1" t="n">
        <v>45210</v>
      </c>
      <c r="C59" s="1" t="n">
        <v>45474</v>
      </c>
      <c r="D59" t="inlineStr">
        <is>
          <t>VÄSTERNORRLANDS LÄN</t>
        </is>
      </c>
      <c r="E59" t="inlineStr">
        <is>
          <t>TIMRÅ</t>
        </is>
      </c>
      <c r="F59" t="inlineStr">
        <is>
          <t>SCA</t>
        </is>
      </c>
      <c r="G59" t="n">
        <v>12.9</v>
      </c>
      <c r="H59" t="n">
        <v>0</v>
      </c>
      <c r="I59" t="n">
        <v>0</v>
      </c>
      <c r="J59" t="n">
        <v>1</v>
      </c>
      <c r="K59" t="n">
        <v>0</v>
      </c>
      <c r="L59" t="n">
        <v>0</v>
      </c>
      <c r="M59" t="n">
        <v>0</v>
      </c>
      <c r="N59" t="n">
        <v>0</v>
      </c>
      <c r="O59" t="n">
        <v>1</v>
      </c>
      <c r="P59" t="n">
        <v>0</v>
      </c>
      <c r="Q59" t="n">
        <v>1</v>
      </c>
      <c r="R59" s="2" t="inlineStr">
        <is>
          <t>Ullticka</t>
        </is>
      </c>
      <c r="S59">
        <f>HYPERLINK("https://klasma.github.io/Logging_2262/artfynd/A 49329-2023 artfynd.xlsx", "A 49329-2023")</f>
        <v/>
      </c>
      <c r="T59">
        <f>HYPERLINK("https://klasma.github.io/Logging_2262/kartor/A 49329-2023 karta.png", "A 49329-2023")</f>
        <v/>
      </c>
      <c r="V59">
        <f>HYPERLINK("https://klasma.github.io/Logging_2262/klagomål/A 49329-2023 FSC-klagomål.docx", "A 49329-2023")</f>
        <v/>
      </c>
      <c r="W59">
        <f>HYPERLINK("https://klasma.github.io/Logging_2262/klagomålsmail/A 49329-2023 FSC-klagomål mail.docx", "A 49329-2023")</f>
        <v/>
      </c>
      <c r="X59">
        <f>HYPERLINK("https://klasma.github.io/Logging_2262/tillsyn/A 49329-2023 tillsynsbegäran.docx", "A 49329-2023")</f>
        <v/>
      </c>
      <c r="Y59">
        <f>HYPERLINK("https://klasma.github.io/Logging_2262/tillsynsmail/A 49329-2023 tillsynsbegäran mail.docx", "A 49329-2023")</f>
        <v/>
      </c>
    </row>
    <row r="60" ht="15" customHeight="1">
      <c r="A60" t="inlineStr">
        <is>
          <t>A 56372-2023</t>
        </is>
      </c>
      <c r="B60" s="1" t="n">
        <v>45243</v>
      </c>
      <c r="C60" s="1" t="n">
        <v>45474</v>
      </c>
      <c r="D60" t="inlineStr">
        <is>
          <t>VÄSTERNORRLANDS LÄN</t>
        </is>
      </c>
      <c r="E60" t="inlineStr">
        <is>
          <t>TIMRÅ</t>
        </is>
      </c>
      <c r="G60" t="n">
        <v>6.9</v>
      </c>
      <c r="H60" t="n">
        <v>1</v>
      </c>
      <c r="I60" t="n">
        <v>0</v>
      </c>
      <c r="J60" t="n">
        <v>0</v>
      </c>
      <c r="K60" t="n">
        <v>1</v>
      </c>
      <c r="L60" t="n">
        <v>0</v>
      </c>
      <c r="M60" t="n">
        <v>0</v>
      </c>
      <c r="N60" t="n">
        <v>0</v>
      </c>
      <c r="O60" t="n">
        <v>1</v>
      </c>
      <c r="P60" t="n">
        <v>1</v>
      </c>
      <c r="Q60" t="n">
        <v>1</v>
      </c>
      <c r="R60" s="2" t="inlineStr">
        <is>
          <t>Knärot</t>
        </is>
      </c>
      <c r="S60">
        <f>HYPERLINK("https://klasma.github.io/Logging_2262/artfynd/A 56372-2023 artfynd.xlsx", "A 56372-2023")</f>
        <v/>
      </c>
      <c r="T60">
        <f>HYPERLINK("https://klasma.github.io/Logging_2262/kartor/A 56372-2023 karta.png", "A 56372-2023")</f>
        <v/>
      </c>
      <c r="U60">
        <f>HYPERLINK("https://klasma.github.io/Logging_2262/knärot/A 56372-2023 karta knärot.png", "A 56372-2023")</f>
        <v/>
      </c>
      <c r="V60">
        <f>HYPERLINK("https://klasma.github.io/Logging_2262/klagomål/A 56372-2023 FSC-klagomål.docx", "A 56372-2023")</f>
        <v/>
      </c>
      <c r="W60">
        <f>HYPERLINK("https://klasma.github.io/Logging_2262/klagomålsmail/A 56372-2023 FSC-klagomål mail.docx", "A 56372-2023")</f>
        <v/>
      </c>
      <c r="X60">
        <f>HYPERLINK("https://klasma.github.io/Logging_2262/tillsyn/A 56372-2023 tillsynsbegäran.docx", "A 56372-2023")</f>
        <v/>
      </c>
      <c r="Y60">
        <f>HYPERLINK("https://klasma.github.io/Logging_2262/tillsynsmail/A 56372-2023 tillsynsbegäran mail.docx", "A 56372-2023")</f>
        <v/>
      </c>
    </row>
    <row r="61" ht="15" customHeight="1">
      <c r="A61" t="inlineStr">
        <is>
          <t>A 58464-2023</t>
        </is>
      </c>
      <c r="B61" s="1" t="n">
        <v>45250</v>
      </c>
      <c r="C61" s="1" t="n">
        <v>45474</v>
      </c>
      <c r="D61" t="inlineStr">
        <is>
          <t>VÄSTERNORRLANDS LÄN</t>
        </is>
      </c>
      <c r="E61" t="inlineStr">
        <is>
          <t>TIMRÅ</t>
        </is>
      </c>
      <c r="F61" t="inlineStr">
        <is>
          <t>SCA</t>
        </is>
      </c>
      <c r="G61" t="n">
        <v>6.5</v>
      </c>
      <c r="H61" t="n">
        <v>0</v>
      </c>
      <c r="I61" t="n">
        <v>0</v>
      </c>
      <c r="J61" t="n">
        <v>1</v>
      </c>
      <c r="K61" t="n">
        <v>0</v>
      </c>
      <c r="L61" t="n">
        <v>0</v>
      </c>
      <c r="M61" t="n">
        <v>0</v>
      </c>
      <c r="N61" t="n">
        <v>0</v>
      </c>
      <c r="O61" t="n">
        <v>1</v>
      </c>
      <c r="P61" t="n">
        <v>0</v>
      </c>
      <c r="Q61" t="n">
        <v>1</v>
      </c>
      <c r="R61" s="2" t="inlineStr">
        <is>
          <t>Granticka</t>
        </is>
      </c>
      <c r="S61">
        <f>HYPERLINK("https://klasma.github.io/Logging_2262/artfynd/A 58464-2023 artfynd.xlsx", "A 58464-2023")</f>
        <v/>
      </c>
      <c r="T61">
        <f>HYPERLINK("https://klasma.github.io/Logging_2262/kartor/A 58464-2023 karta.png", "A 58464-2023")</f>
        <v/>
      </c>
      <c r="V61">
        <f>HYPERLINK("https://klasma.github.io/Logging_2262/klagomål/A 58464-2023 FSC-klagomål.docx", "A 58464-2023")</f>
        <v/>
      </c>
      <c r="W61">
        <f>HYPERLINK("https://klasma.github.io/Logging_2262/klagomålsmail/A 58464-2023 FSC-klagomål mail.docx", "A 58464-2023")</f>
        <v/>
      </c>
      <c r="X61">
        <f>HYPERLINK("https://klasma.github.io/Logging_2262/tillsyn/A 58464-2023 tillsynsbegäran.docx", "A 58464-2023")</f>
        <v/>
      </c>
      <c r="Y61">
        <f>HYPERLINK("https://klasma.github.io/Logging_2262/tillsynsmail/A 58464-2023 tillsynsbegäran mail.docx", "A 58464-2023")</f>
        <v/>
      </c>
    </row>
    <row r="62" ht="15" customHeight="1">
      <c r="A62" t="inlineStr">
        <is>
          <t>A 1152-2024</t>
        </is>
      </c>
      <c r="B62" s="1" t="n">
        <v>45302</v>
      </c>
      <c r="C62" s="1" t="n">
        <v>45474</v>
      </c>
      <c r="D62" t="inlineStr">
        <is>
          <t>VÄSTERNORRLANDS LÄN</t>
        </is>
      </c>
      <c r="E62" t="inlineStr">
        <is>
          <t>TIMRÅ</t>
        </is>
      </c>
      <c r="G62" t="n">
        <v>5.8</v>
      </c>
      <c r="H62" t="n">
        <v>0</v>
      </c>
      <c r="I62" t="n">
        <v>1</v>
      </c>
      <c r="J62" t="n">
        <v>0</v>
      </c>
      <c r="K62" t="n">
        <v>0</v>
      </c>
      <c r="L62" t="n">
        <v>0</v>
      </c>
      <c r="M62" t="n">
        <v>0</v>
      </c>
      <c r="N62" t="n">
        <v>0</v>
      </c>
      <c r="O62" t="n">
        <v>0</v>
      </c>
      <c r="P62" t="n">
        <v>0</v>
      </c>
      <c r="Q62" t="n">
        <v>1</v>
      </c>
      <c r="R62" s="2" t="inlineStr">
        <is>
          <t>Tibast</t>
        </is>
      </c>
      <c r="S62">
        <f>HYPERLINK("https://klasma.github.io/Logging_2262/artfynd/A 1152-2024 artfynd.xlsx", "A 1152-2024")</f>
        <v/>
      </c>
      <c r="T62">
        <f>HYPERLINK("https://klasma.github.io/Logging_2262/kartor/A 1152-2024 karta.png", "A 1152-2024")</f>
        <v/>
      </c>
      <c r="V62">
        <f>HYPERLINK("https://klasma.github.io/Logging_2262/klagomål/A 1152-2024 FSC-klagomål.docx", "A 1152-2024")</f>
        <v/>
      </c>
      <c r="W62">
        <f>HYPERLINK("https://klasma.github.io/Logging_2262/klagomålsmail/A 1152-2024 FSC-klagomål mail.docx", "A 1152-2024")</f>
        <v/>
      </c>
      <c r="X62">
        <f>HYPERLINK("https://klasma.github.io/Logging_2262/tillsyn/A 1152-2024 tillsynsbegäran.docx", "A 1152-2024")</f>
        <v/>
      </c>
      <c r="Y62">
        <f>HYPERLINK("https://klasma.github.io/Logging_2262/tillsynsmail/A 1152-2024 tillsynsbegäran mail.docx", "A 1152-2024")</f>
        <v/>
      </c>
    </row>
    <row r="63" ht="15" customHeight="1">
      <c r="A63" t="inlineStr">
        <is>
          <t>A 7904-2024</t>
        </is>
      </c>
      <c r="B63" s="1" t="n">
        <v>45349</v>
      </c>
      <c r="C63" s="1" t="n">
        <v>45474</v>
      </c>
      <c r="D63" t="inlineStr">
        <is>
          <t>VÄSTERNORRLANDS LÄN</t>
        </is>
      </c>
      <c r="E63" t="inlineStr">
        <is>
          <t>TIMRÅ</t>
        </is>
      </c>
      <c r="G63" t="n">
        <v>7.3</v>
      </c>
      <c r="H63" t="n">
        <v>1</v>
      </c>
      <c r="I63" t="n">
        <v>0</v>
      </c>
      <c r="J63" t="n">
        <v>0</v>
      </c>
      <c r="K63" t="n">
        <v>1</v>
      </c>
      <c r="L63" t="n">
        <v>0</v>
      </c>
      <c r="M63" t="n">
        <v>0</v>
      </c>
      <c r="N63" t="n">
        <v>0</v>
      </c>
      <c r="O63" t="n">
        <v>1</v>
      </c>
      <c r="P63" t="n">
        <v>1</v>
      </c>
      <c r="Q63" t="n">
        <v>1</v>
      </c>
      <c r="R63" s="2" t="inlineStr">
        <is>
          <t>Bergviol</t>
        </is>
      </c>
      <c r="S63">
        <f>HYPERLINK("https://klasma.github.io/Logging_2262/artfynd/A 7904-2024 artfynd.xlsx", "A 7904-2024")</f>
        <v/>
      </c>
      <c r="T63">
        <f>HYPERLINK("https://klasma.github.io/Logging_2262/kartor/A 7904-2024 karta.png", "A 7904-2024")</f>
        <v/>
      </c>
      <c r="V63">
        <f>HYPERLINK("https://klasma.github.io/Logging_2262/klagomål/A 7904-2024 FSC-klagomål.docx", "A 7904-2024")</f>
        <v/>
      </c>
      <c r="W63">
        <f>HYPERLINK("https://klasma.github.io/Logging_2262/klagomålsmail/A 7904-2024 FSC-klagomål mail.docx", "A 7904-2024")</f>
        <v/>
      </c>
      <c r="X63">
        <f>HYPERLINK("https://klasma.github.io/Logging_2262/tillsyn/A 7904-2024 tillsynsbegäran.docx", "A 7904-2024")</f>
        <v/>
      </c>
      <c r="Y63">
        <f>HYPERLINK("https://klasma.github.io/Logging_2262/tillsynsmail/A 7904-2024 tillsynsbegäran mail.docx", "A 7904-2024")</f>
        <v/>
      </c>
    </row>
    <row r="64" ht="15" customHeight="1">
      <c r="A64" t="inlineStr">
        <is>
          <t>A 8998-2024</t>
        </is>
      </c>
      <c r="B64" s="1" t="n">
        <v>45356</v>
      </c>
      <c r="C64" s="1" t="n">
        <v>45474</v>
      </c>
      <c r="D64" t="inlineStr">
        <is>
          <t>VÄSTERNORRLANDS LÄN</t>
        </is>
      </c>
      <c r="E64" t="inlineStr">
        <is>
          <t>TIMRÅ</t>
        </is>
      </c>
      <c r="G64" t="n">
        <v>2.1</v>
      </c>
      <c r="H64" t="n">
        <v>0</v>
      </c>
      <c r="I64" t="n">
        <v>1</v>
      </c>
      <c r="J64" t="n">
        <v>0</v>
      </c>
      <c r="K64" t="n">
        <v>0</v>
      </c>
      <c r="L64" t="n">
        <v>0</v>
      </c>
      <c r="M64" t="n">
        <v>0</v>
      </c>
      <c r="N64" t="n">
        <v>0</v>
      </c>
      <c r="O64" t="n">
        <v>0</v>
      </c>
      <c r="P64" t="n">
        <v>0</v>
      </c>
      <c r="Q64" t="n">
        <v>1</v>
      </c>
      <c r="R64" s="2" t="inlineStr">
        <is>
          <t>Strutbräken</t>
        </is>
      </c>
      <c r="S64">
        <f>HYPERLINK("https://klasma.github.io/Logging_2262/artfynd/A 8998-2024 artfynd.xlsx", "A 8998-2024")</f>
        <v/>
      </c>
      <c r="T64">
        <f>HYPERLINK("https://klasma.github.io/Logging_2262/kartor/A 8998-2024 karta.png", "A 8998-2024")</f>
        <v/>
      </c>
      <c r="V64">
        <f>HYPERLINK("https://klasma.github.io/Logging_2262/klagomål/A 8998-2024 FSC-klagomål.docx", "A 8998-2024")</f>
        <v/>
      </c>
      <c r="W64">
        <f>HYPERLINK("https://klasma.github.io/Logging_2262/klagomålsmail/A 8998-2024 FSC-klagomål mail.docx", "A 8998-2024")</f>
        <v/>
      </c>
      <c r="X64">
        <f>HYPERLINK("https://klasma.github.io/Logging_2262/tillsyn/A 8998-2024 tillsynsbegäran.docx", "A 8998-2024")</f>
        <v/>
      </c>
      <c r="Y64">
        <f>HYPERLINK("https://klasma.github.io/Logging_2262/tillsynsmail/A 8998-2024 tillsynsbegäran mail.docx", "A 8998-2024")</f>
        <v/>
      </c>
    </row>
    <row r="65" ht="15" customHeight="1">
      <c r="A65" t="inlineStr">
        <is>
          <t>A 14168-2024</t>
        </is>
      </c>
      <c r="B65" s="1" t="n">
        <v>45392</v>
      </c>
      <c r="C65" s="1" t="n">
        <v>45474</v>
      </c>
      <c r="D65" t="inlineStr">
        <is>
          <t>VÄSTERNORRLANDS LÄN</t>
        </is>
      </c>
      <c r="E65" t="inlineStr">
        <is>
          <t>TIMRÅ</t>
        </is>
      </c>
      <c r="F65" t="inlineStr">
        <is>
          <t>SCA</t>
        </is>
      </c>
      <c r="G65" t="n">
        <v>6.3</v>
      </c>
      <c r="H65" t="n">
        <v>0</v>
      </c>
      <c r="I65" t="n">
        <v>1</v>
      </c>
      <c r="J65" t="n">
        <v>0</v>
      </c>
      <c r="K65" t="n">
        <v>0</v>
      </c>
      <c r="L65" t="n">
        <v>0</v>
      </c>
      <c r="M65" t="n">
        <v>0</v>
      </c>
      <c r="N65" t="n">
        <v>0</v>
      </c>
      <c r="O65" t="n">
        <v>0</v>
      </c>
      <c r="P65" t="n">
        <v>0</v>
      </c>
      <c r="Q65" t="n">
        <v>1</v>
      </c>
      <c r="R65" s="2" t="inlineStr">
        <is>
          <t>Vedticka</t>
        </is>
      </c>
      <c r="S65">
        <f>HYPERLINK("https://klasma.github.io/Logging_2262/artfynd/A 14168-2024 artfynd.xlsx", "A 14168-2024")</f>
        <v/>
      </c>
      <c r="T65">
        <f>HYPERLINK("https://klasma.github.io/Logging_2262/kartor/A 14168-2024 karta.png", "A 14168-2024")</f>
        <v/>
      </c>
      <c r="V65">
        <f>HYPERLINK("https://klasma.github.io/Logging_2262/klagomål/A 14168-2024 FSC-klagomål.docx", "A 14168-2024")</f>
        <v/>
      </c>
      <c r="W65">
        <f>HYPERLINK("https://klasma.github.io/Logging_2262/klagomålsmail/A 14168-2024 FSC-klagomål mail.docx", "A 14168-2024")</f>
        <v/>
      </c>
      <c r="X65">
        <f>HYPERLINK("https://klasma.github.io/Logging_2262/tillsyn/A 14168-2024 tillsynsbegäran.docx", "A 14168-2024")</f>
        <v/>
      </c>
      <c r="Y65">
        <f>HYPERLINK("https://klasma.github.io/Logging_2262/tillsynsmail/A 14168-2024 tillsynsbegäran mail.docx", "A 14168-2024")</f>
        <v/>
      </c>
    </row>
    <row r="66" ht="15" customHeight="1">
      <c r="A66" t="inlineStr">
        <is>
          <t>A 15477-2024</t>
        </is>
      </c>
      <c r="B66" s="1" t="n">
        <v>45401</v>
      </c>
      <c r="C66" s="1" t="n">
        <v>45474</v>
      </c>
      <c r="D66" t="inlineStr">
        <is>
          <t>VÄSTERNORRLANDS LÄN</t>
        </is>
      </c>
      <c r="E66" t="inlineStr">
        <is>
          <t>TIMRÅ</t>
        </is>
      </c>
      <c r="G66" t="n">
        <v>2.1</v>
      </c>
      <c r="H66" t="n">
        <v>0</v>
      </c>
      <c r="I66" t="n">
        <v>0</v>
      </c>
      <c r="J66" t="n">
        <v>1</v>
      </c>
      <c r="K66" t="n">
        <v>0</v>
      </c>
      <c r="L66" t="n">
        <v>0</v>
      </c>
      <c r="M66" t="n">
        <v>0</v>
      </c>
      <c r="N66" t="n">
        <v>0</v>
      </c>
      <c r="O66" t="n">
        <v>1</v>
      </c>
      <c r="P66" t="n">
        <v>0</v>
      </c>
      <c r="Q66" t="n">
        <v>1</v>
      </c>
      <c r="R66" s="2" t="inlineStr">
        <is>
          <t>Tallticka</t>
        </is>
      </c>
      <c r="S66">
        <f>HYPERLINK("https://klasma.github.io/Logging_2262/artfynd/A 15477-2024 artfynd.xlsx", "A 15477-2024")</f>
        <v/>
      </c>
      <c r="T66">
        <f>HYPERLINK("https://klasma.github.io/Logging_2262/kartor/A 15477-2024 karta.png", "A 15477-2024")</f>
        <v/>
      </c>
      <c r="V66">
        <f>HYPERLINK("https://klasma.github.io/Logging_2262/klagomål/A 15477-2024 FSC-klagomål.docx", "A 15477-2024")</f>
        <v/>
      </c>
      <c r="W66">
        <f>HYPERLINK("https://klasma.github.io/Logging_2262/klagomålsmail/A 15477-2024 FSC-klagomål mail.docx", "A 15477-2024")</f>
        <v/>
      </c>
      <c r="X66">
        <f>HYPERLINK("https://klasma.github.io/Logging_2262/tillsyn/A 15477-2024 tillsynsbegäran.docx", "A 15477-2024")</f>
        <v/>
      </c>
      <c r="Y66">
        <f>HYPERLINK("https://klasma.github.io/Logging_2262/tillsynsmail/A 15477-2024 tillsynsbegäran mail.docx", "A 15477-2024")</f>
        <v/>
      </c>
    </row>
    <row r="67" ht="15" customHeight="1">
      <c r="A67" t="inlineStr">
        <is>
          <t>A 16244-2024</t>
        </is>
      </c>
      <c r="B67" s="1" t="n">
        <v>45407</v>
      </c>
      <c r="C67" s="1" t="n">
        <v>45474</v>
      </c>
      <c r="D67" t="inlineStr">
        <is>
          <t>VÄSTERNORRLANDS LÄN</t>
        </is>
      </c>
      <c r="E67" t="inlineStr">
        <is>
          <t>TIMRÅ</t>
        </is>
      </c>
      <c r="F67" t="inlineStr">
        <is>
          <t>SCA</t>
        </is>
      </c>
      <c r="G67" t="n">
        <v>22.8</v>
      </c>
      <c r="H67" t="n">
        <v>1</v>
      </c>
      <c r="I67" t="n">
        <v>0</v>
      </c>
      <c r="J67" t="n">
        <v>0</v>
      </c>
      <c r="K67" t="n">
        <v>0</v>
      </c>
      <c r="L67" t="n">
        <v>0</v>
      </c>
      <c r="M67" t="n">
        <v>0</v>
      </c>
      <c r="N67" t="n">
        <v>0</v>
      </c>
      <c r="O67" t="n">
        <v>0</v>
      </c>
      <c r="P67" t="n">
        <v>0</v>
      </c>
      <c r="Q67" t="n">
        <v>1</v>
      </c>
      <c r="R67" s="2" t="inlineStr">
        <is>
          <t>Orre</t>
        </is>
      </c>
      <c r="S67">
        <f>HYPERLINK("https://klasma.github.io/Logging_2262/artfynd/A 16244-2024 artfynd.xlsx", "A 16244-2024")</f>
        <v/>
      </c>
      <c r="T67">
        <f>HYPERLINK("https://klasma.github.io/Logging_2262/kartor/A 16244-2024 karta.png", "A 16244-2024")</f>
        <v/>
      </c>
      <c r="V67">
        <f>HYPERLINK("https://klasma.github.io/Logging_2262/klagomål/A 16244-2024 FSC-klagomål.docx", "A 16244-2024")</f>
        <v/>
      </c>
      <c r="W67">
        <f>HYPERLINK("https://klasma.github.io/Logging_2262/klagomålsmail/A 16244-2024 FSC-klagomål mail.docx", "A 16244-2024")</f>
        <v/>
      </c>
      <c r="X67">
        <f>HYPERLINK("https://klasma.github.io/Logging_2262/tillsyn/A 16244-2024 tillsynsbegäran.docx", "A 16244-2024")</f>
        <v/>
      </c>
      <c r="Y67">
        <f>HYPERLINK("https://klasma.github.io/Logging_2262/tillsynsmail/A 16244-2024 tillsynsbegäran mail.docx", "A 16244-2024")</f>
        <v/>
      </c>
      <c r="Z67">
        <f>HYPERLINK("https://klasma.github.io/Logging_2262/fåglar/A 16244-2024 prioriterade fågelarter.docx", "A 16244-2024")</f>
        <v/>
      </c>
    </row>
    <row r="68" ht="15" customHeight="1">
      <c r="A68" t="inlineStr">
        <is>
          <t>A 19449-2024</t>
        </is>
      </c>
      <c r="B68" s="1" t="n">
        <v>45429</v>
      </c>
      <c r="C68" s="1" t="n">
        <v>45474</v>
      </c>
      <c r="D68" t="inlineStr">
        <is>
          <t>VÄSTERNORRLANDS LÄN</t>
        </is>
      </c>
      <c r="E68" t="inlineStr">
        <is>
          <t>TIMRÅ</t>
        </is>
      </c>
      <c r="G68" t="n">
        <v>2.5</v>
      </c>
      <c r="H68" t="n">
        <v>1</v>
      </c>
      <c r="I68" t="n">
        <v>0</v>
      </c>
      <c r="J68" t="n">
        <v>0</v>
      </c>
      <c r="K68" t="n">
        <v>0</v>
      </c>
      <c r="L68" t="n">
        <v>0</v>
      </c>
      <c r="M68" t="n">
        <v>0</v>
      </c>
      <c r="N68" t="n">
        <v>0</v>
      </c>
      <c r="O68" t="n">
        <v>0</v>
      </c>
      <c r="P68" t="n">
        <v>0</v>
      </c>
      <c r="Q68" t="n">
        <v>1</v>
      </c>
      <c r="R68" s="2" t="inlineStr">
        <is>
          <t>Gråspett</t>
        </is>
      </c>
      <c r="S68">
        <f>HYPERLINK("https://klasma.github.io/Logging_2262/artfynd/A 19449-2024 artfynd.xlsx", "A 19449-2024")</f>
        <v/>
      </c>
      <c r="T68">
        <f>HYPERLINK("https://klasma.github.io/Logging_2262/kartor/A 19449-2024 karta.png", "A 19449-2024")</f>
        <v/>
      </c>
      <c r="V68">
        <f>HYPERLINK("https://klasma.github.io/Logging_2262/klagomål/A 19449-2024 FSC-klagomål.docx", "A 19449-2024")</f>
        <v/>
      </c>
      <c r="W68">
        <f>HYPERLINK("https://klasma.github.io/Logging_2262/klagomålsmail/A 19449-2024 FSC-klagomål mail.docx", "A 19449-2024")</f>
        <v/>
      </c>
      <c r="X68">
        <f>HYPERLINK("https://klasma.github.io/Logging_2262/tillsyn/A 19449-2024 tillsynsbegäran.docx", "A 19449-2024")</f>
        <v/>
      </c>
      <c r="Y68">
        <f>HYPERLINK("https://klasma.github.io/Logging_2262/tillsynsmail/A 19449-2024 tillsynsbegäran mail.docx", "A 19449-2024")</f>
        <v/>
      </c>
      <c r="Z68">
        <f>HYPERLINK("https://klasma.github.io/Logging_2262/fåglar/A 19449-2024 prioriterade fågelarter.docx", "A 19449-2024")</f>
        <v/>
      </c>
    </row>
    <row r="69" ht="15" customHeight="1">
      <c r="A69" t="inlineStr">
        <is>
          <t>A 20350-2024</t>
        </is>
      </c>
      <c r="B69" s="1" t="n">
        <v>45435</v>
      </c>
      <c r="C69" s="1" t="n">
        <v>45474</v>
      </c>
      <c r="D69" t="inlineStr">
        <is>
          <t>VÄSTERNORRLANDS LÄN</t>
        </is>
      </c>
      <c r="E69" t="inlineStr">
        <is>
          <t>TIMRÅ</t>
        </is>
      </c>
      <c r="F69" t="inlineStr">
        <is>
          <t>SCA</t>
        </is>
      </c>
      <c r="G69" t="n">
        <v>6.9</v>
      </c>
      <c r="H69" t="n">
        <v>0</v>
      </c>
      <c r="I69" t="n">
        <v>0</v>
      </c>
      <c r="J69" t="n">
        <v>1</v>
      </c>
      <c r="K69" t="n">
        <v>0</v>
      </c>
      <c r="L69" t="n">
        <v>0</v>
      </c>
      <c r="M69" t="n">
        <v>0</v>
      </c>
      <c r="N69" t="n">
        <v>0</v>
      </c>
      <c r="O69" t="n">
        <v>1</v>
      </c>
      <c r="P69" t="n">
        <v>0</v>
      </c>
      <c r="Q69" t="n">
        <v>1</v>
      </c>
      <c r="R69" s="2" t="inlineStr">
        <is>
          <t>Garnlav</t>
        </is>
      </c>
      <c r="S69">
        <f>HYPERLINK("https://klasma.github.io/Logging_2262/artfynd/A 20350-2024 artfynd.xlsx", "A 20350-2024")</f>
        <v/>
      </c>
      <c r="T69">
        <f>HYPERLINK("https://klasma.github.io/Logging_2262/kartor/A 20350-2024 karta.png", "A 20350-2024")</f>
        <v/>
      </c>
      <c r="V69">
        <f>HYPERLINK("https://klasma.github.io/Logging_2262/klagomål/A 20350-2024 FSC-klagomål.docx", "A 20350-2024")</f>
        <v/>
      </c>
      <c r="W69">
        <f>HYPERLINK("https://klasma.github.io/Logging_2262/klagomålsmail/A 20350-2024 FSC-klagomål mail.docx", "A 20350-2024")</f>
        <v/>
      </c>
      <c r="X69">
        <f>HYPERLINK("https://klasma.github.io/Logging_2262/tillsyn/A 20350-2024 tillsynsbegäran.docx", "A 20350-2024")</f>
        <v/>
      </c>
      <c r="Y69">
        <f>HYPERLINK("https://klasma.github.io/Logging_2262/tillsynsmail/A 20350-2024 tillsynsbegäran mail.docx", "A 20350-2024")</f>
        <v/>
      </c>
    </row>
    <row r="70" ht="15" customHeight="1">
      <c r="A70" t="inlineStr">
        <is>
          <t>A 20785-2024</t>
        </is>
      </c>
      <c r="B70" s="1" t="n">
        <v>45437</v>
      </c>
      <c r="C70" s="1" t="n">
        <v>45474</v>
      </c>
      <c r="D70" t="inlineStr">
        <is>
          <t>VÄSTERNORRLANDS LÄN</t>
        </is>
      </c>
      <c r="E70" t="inlineStr">
        <is>
          <t>TIMRÅ</t>
        </is>
      </c>
      <c r="F70" t="inlineStr">
        <is>
          <t>SCA</t>
        </is>
      </c>
      <c r="G70" t="n">
        <v>3.4</v>
      </c>
      <c r="H70" t="n">
        <v>0</v>
      </c>
      <c r="I70" t="n">
        <v>0</v>
      </c>
      <c r="J70" t="n">
        <v>1</v>
      </c>
      <c r="K70" t="n">
        <v>0</v>
      </c>
      <c r="L70" t="n">
        <v>0</v>
      </c>
      <c r="M70" t="n">
        <v>0</v>
      </c>
      <c r="N70" t="n">
        <v>0</v>
      </c>
      <c r="O70" t="n">
        <v>1</v>
      </c>
      <c r="P70" t="n">
        <v>0</v>
      </c>
      <c r="Q70" t="n">
        <v>1</v>
      </c>
      <c r="R70" s="2" t="inlineStr">
        <is>
          <t>Rosenticka</t>
        </is>
      </c>
      <c r="S70">
        <f>HYPERLINK("https://klasma.github.io/Logging_2262/artfynd/A 20785-2024 artfynd.xlsx", "A 20785-2024")</f>
        <v/>
      </c>
      <c r="T70">
        <f>HYPERLINK("https://klasma.github.io/Logging_2262/kartor/A 20785-2024 karta.png", "A 20785-2024")</f>
        <v/>
      </c>
      <c r="V70">
        <f>HYPERLINK("https://klasma.github.io/Logging_2262/klagomål/A 20785-2024 FSC-klagomål.docx", "A 20785-2024")</f>
        <v/>
      </c>
      <c r="W70">
        <f>HYPERLINK("https://klasma.github.io/Logging_2262/klagomålsmail/A 20785-2024 FSC-klagomål mail.docx", "A 20785-2024")</f>
        <v/>
      </c>
      <c r="X70">
        <f>HYPERLINK("https://klasma.github.io/Logging_2262/tillsyn/A 20785-2024 tillsynsbegäran.docx", "A 20785-2024")</f>
        <v/>
      </c>
      <c r="Y70">
        <f>HYPERLINK("https://klasma.github.io/Logging_2262/tillsynsmail/A 20785-2024 tillsynsbegäran mail.docx", "A 20785-2024")</f>
        <v/>
      </c>
    </row>
    <row r="71" ht="15" customHeight="1">
      <c r="A71" t="inlineStr">
        <is>
          <t>A 21845-2024</t>
        </is>
      </c>
      <c r="B71" s="1" t="n">
        <v>45442</v>
      </c>
      <c r="C71" s="1" t="n">
        <v>45474</v>
      </c>
      <c r="D71" t="inlineStr">
        <is>
          <t>VÄSTERNORRLANDS LÄN</t>
        </is>
      </c>
      <c r="E71" t="inlineStr">
        <is>
          <t>TIMRÅ</t>
        </is>
      </c>
      <c r="F71" t="inlineStr">
        <is>
          <t>SCA</t>
        </is>
      </c>
      <c r="G71" t="n">
        <v>14.7</v>
      </c>
      <c r="H71" t="n">
        <v>0</v>
      </c>
      <c r="I71" t="n">
        <v>0</v>
      </c>
      <c r="J71" t="n">
        <v>1</v>
      </c>
      <c r="K71" t="n">
        <v>0</v>
      </c>
      <c r="L71" t="n">
        <v>0</v>
      </c>
      <c r="M71" t="n">
        <v>0</v>
      </c>
      <c r="N71" t="n">
        <v>0</v>
      </c>
      <c r="O71" t="n">
        <v>1</v>
      </c>
      <c r="P71" t="n">
        <v>0</v>
      </c>
      <c r="Q71" t="n">
        <v>1</v>
      </c>
      <c r="R71" s="2" t="inlineStr">
        <is>
          <t>Lunglav</t>
        </is>
      </c>
      <c r="S71">
        <f>HYPERLINK("https://klasma.github.io/Logging_2262/artfynd/A 21845-2024 artfynd.xlsx", "A 21845-2024")</f>
        <v/>
      </c>
      <c r="T71">
        <f>HYPERLINK("https://klasma.github.io/Logging_2262/kartor/A 21845-2024 karta.png", "A 21845-2024")</f>
        <v/>
      </c>
      <c r="V71">
        <f>HYPERLINK("https://klasma.github.io/Logging_2262/klagomål/A 21845-2024 FSC-klagomål.docx", "A 21845-2024")</f>
        <v/>
      </c>
      <c r="W71">
        <f>HYPERLINK("https://klasma.github.io/Logging_2262/klagomålsmail/A 21845-2024 FSC-klagomål mail.docx", "A 21845-2024")</f>
        <v/>
      </c>
      <c r="X71">
        <f>HYPERLINK("https://klasma.github.io/Logging_2262/tillsyn/A 21845-2024 tillsynsbegäran.docx", "A 21845-2024")</f>
        <v/>
      </c>
      <c r="Y71">
        <f>HYPERLINK("https://klasma.github.io/Logging_2262/tillsynsmail/A 21845-2024 tillsynsbegäran mail.docx", "A 21845-2024")</f>
        <v/>
      </c>
    </row>
    <row r="72" ht="15" customHeight="1">
      <c r="A72" t="inlineStr">
        <is>
          <t>A 17858-2019</t>
        </is>
      </c>
      <c r="B72" s="1" t="n">
        <v>43556</v>
      </c>
      <c r="C72" s="1" t="n">
        <v>45474</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45474</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45474</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45474</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45474</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45474</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45474</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45474</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45474</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45474</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45474</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45474</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45474</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45474</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45474</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45474</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45474</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45474</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45474</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45474</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45474</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45474</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45474</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45474</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45474</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45474</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45474</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45474</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45474</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45474</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45474</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45474</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45474</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45474</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45474</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45474</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45474</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45474</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45474</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45474</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45474</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45474</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45474</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45474</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45474</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45474</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45474</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45474</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45474</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45474</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45474</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45474</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45474</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45474</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45474</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45474</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45474</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45474</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45474</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45474</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45474</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45474</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45474</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45474</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45474</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45474</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45474</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45474</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45474</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45474</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45474</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45474</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45474</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45474</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45474</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45474</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45474</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45474</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45474</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45474</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45474</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45474</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45474</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45474</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45474</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45474</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45474</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45474</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45474</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45474</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45474</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45474</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45474</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45474</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45474</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45474</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45474</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45474</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45474</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45474</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45474</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45474</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45474</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45474</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45474</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45474</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45474</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45474</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45474</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45474</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45474</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45474</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45474</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45474</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45474</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45474</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45474</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45474</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45474</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45474</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45474</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45474</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45474</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45474</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45474</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45474</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45474</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45474</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45474</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45474</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45474</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45474</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45474</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45474</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45474</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45474</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45474</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45474</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45474</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45474</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45474</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45474</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45474</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45474</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45474</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45474</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45474</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45474</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45474</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45474</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45474</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45474</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45474</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45474</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45474</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45474</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45474</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45474</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45474</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45474</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45474</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45474</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45474</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45474</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45474</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45474</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45474</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45474</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45474</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45474</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45474</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45474</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45474</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45474</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45474</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45474</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45474</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45474</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45474</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45474</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45474</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45474</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45474</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45474</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45474</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45474</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45474</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45474</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45474</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45474</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45474</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45474</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45474</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45474</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45474</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45474</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45474</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45474</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45474</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45474</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45474</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45474</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45474</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45474</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45474</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45474</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45474</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45474</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45474</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45474</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45474</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45474</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45474</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45474</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31489-2022</t>
        </is>
      </c>
      <c r="B286" s="1" t="n">
        <v>44774</v>
      </c>
      <c r="C286" s="1" t="n">
        <v>45474</v>
      </c>
      <c r="D286" t="inlineStr">
        <is>
          <t>VÄSTERNORRLANDS LÄN</t>
        </is>
      </c>
      <c r="E286" t="inlineStr">
        <is>
          <t>TIMRÅ</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31981-2022</t>
        </is>
      </c>
      <c r="B287" s="1" t="n">
        <v>44778</v>
      </c>
      <c r="C287" s="1" t="n">
        <v>45474</v>
      </c>
      <c r="D287" t="inlineStr">
        <is>
          <t>VÄSTERNORRLANDS LÄN</t>
        </is>
      </c>
      <c r="E287" t="inlineStr">
        <is>
          <t>TIMRÅ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32519-2022</t>
        </is>
      </c>
      <c r="B288" s="1" t="n">
        <v>44782</v>
      </c>
      <c r="C288" s="1" t="n">
        <v>45474</v>
      </c>
      <c r="D288" t="inlineStr">
        <is>
          <t>VÄSTERNORRLANDS LÄN</t>
        </is>
      </c>
      <c r="E288" t="inlineStr">
        <is>
          <t>TIMRÅ</t>
        </is>
      </c>
      <c r="G288" t="n">
        <v>1.5</v>
      </c>
      <c r="H288" t="n">
        <v>0</v>
      </c>
      <c r="I288" t="n">
        <v>0</v>
      </c>
      <c r="J288" t="n">
        <v>0</v>
      </c>
      <c r="K288" t="n">
        <v>0</v>
      </c>
      <c r="L288" t="n">
        <v>0</v>
      </c>
      <c r="M288" t="n">
        <v>0</v>
      </c>
      <c r="N288" t="n">
        <v>0</v>
      </c>
      <c r="O288" t="n">
        <v>0</v>
      </c>
      <c r="P288" t="n">
        <v>0</v>
      </c>
      <c r="Q288" t="n">
        <v>0</v>
      </c>
      <c r="R288" s="2" t="inlineStr"/>
    </row>
    <row r="289" ht="15" customHeight="1">
      <c r="A289" t="inlineStr">
        <is>
          <t>A 33719-2022</t>
        </is>
      </c>
      <c r="B289" s="1" t="n">
        <v>44790</v>
      </c>
      <c r="C289" s="1" t="n">
        <v>45474</v>
      </c>
      <c r="D289" t="inlineStr">
        <is>
          <t>VÄSTERNORRLANDS LÄN</t>
        </is>
      </c>
      <c r="E289" t="inlineStr">
        <is>
          <t>TIMRÅ</t>
        </is>
      </c>
      <c r="G289" t="n">
        <v>2.3</v>
      </c>
      <c r="H289" t="n">
        <v>0</v>
      </c>
      <c r="I289" t="n">
        <v>0</v>
      </c>
      <c r="J289" t="n">
        <v>0</v>
      </c>
      <c r="K289" t="n">
        <v>0</v>
      </c>
      <c r="L289" t="n">
        <v>0</v>
      </c>
      <c r="M289" t="n">
        <v>0</v>
      </c>
      <c r="N289" t="n">
        <v>0</v>
      </c>
      <c r="O289" t="n">
        <v>0</v>
      </c>
      <c r="P289" t="n">
        <v>0</v>
      </c>
      <c r="Q289" t="n">
        <v>0</v>
      </c>
      <c r="R289" s="2" t="inlineStr"/>
    </row>
    <row r="290" ht="15" customHeight="1">
      <c r="A290" t="inlineStr">
        <is>
          <t>A 34041-2022</t>
        </is>
      </c>
      <c r="B290" s="1" t="n">
        <v>44790</v>
      </c>
      <c r="C290" s="1" t="n">
        <v>45474</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34053-2022</t>
        </is>
      </c>
      <c r="B291" s="1" t="n">
        <v>44790</v>
      </c>
      <c r="C291" s="1" t="n">
        <v>45474</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34038-2022</t>
        </is>
      </c>
      <c r="B292" s="1" t="n">
        <v>44791</v>
      </c>
      <c r="C292" s="1" t="n">
        <v>45474</v>
      </c>
      <c r="D292" t="inlineStr">
        <is>
          <t>VÄSTERNORRLANDS LÄN</t>
        </is>
      </c>
      <c r="E292" t="inlineStr">
        <is>
          <t>TIMRÅ</t>
        </is>
      </c>
      <c r="G292" t="n">
        <v>2.5</v>
      </c>
      <c r="H292" t="n">
        <v>0</v>
      </c>
      <c r="I292" t="n">
        <v>0</v>
      </c>
      <c r="J292" t="n">
        <v>0</v>
      </c>
      <c r="K292" t="n">
        <v>0</v>
      </c>
      <c r="L292" t="n">
        <v>0</v>
      </c>
      <c r="M292" t="n">
        <v>0</v>
      </c>
      <c r="N292" t="n">
        <v>0</v>
      </c>
      <c r="O292" t="n">
        <v>0</v>
      </c>
      <c r="P292" t="n">
        <v>0</v>
      </c>
      <c r="Q292" t="n">
        <v>0</v>
      </c>
      <c r="R292" s="2" t="inlineStr"/>
    </row>
    <row r="293" ht="15" customHeight="1">
      <c r="A293" t="inlineStr">
        <is>
          <t>A 34099-2022</t>
        </is>
      </c>
      <c r="B293" s="1" t="n">
        <v>44791</v>
      </c>
      <c r="C293" s="1" t="n">
        <v>45474</v>
      </c>
      <c r="D293" t="inlineStr">
        <is>
          <t>VÄSTERNORRLANDS LÄN</t>
        </is>
      </c>
      <c r="E293" t="inlineStr">
        <is>
          <t>TIMRÅ</t>
        </is>
      </c>
      <c r="G293" t="n">
        <v>2.7</v>
      </c>
      <c r="H293" t="n">
        <v>0</v>
      </c>
      <c r="I293" t="n">
        <v>0</v>
      </c>
      <c r="J293" t="n">
        <v>0</v>
      </c>
      <c r="K293" t="n">
        <v>0</v>
      </c>
      <c r="L293" t="n">
        <v>0</v>
      </c>
      <c r="M293" t="n">
        <v>0</v>
      </c>
      <c r="N293" t="n">
        <v>0</v>
      </c>
      <c r="O293" t="n">
        <v>0</v>
      </c>
      <c r="P293" t="n">
        <v>0</v>
      </c>
      <c r="Q293" t="n">
        <v>0</v>
      </c>
      <c r="R293" s="2" t="inlineStr"/>
    </row>
    <row r="294" ht="15" customHeight="1">
      <c r="A294" t="inlineStr">
        <is>
          <t>A 34246-2022</t>
        </is>
      </c>
      <c r="B294" s="1" t="n">
        <v>44791</v>
      </c>
      <c r="C294" s="1" t="n">
        <v>45474</v>
      </c>
      <c r="D294" t="inlineStr">
        <is>
          <t>VÄSTERNORRLANDS LÄN</t>
        </is>
      </c>
      <c r="E294" t="inlineStr">
        <is>
          <t>TIMRÅ</t>
        </is>
      </c>
      <c r="G294" t="n">
        <v>7.7</v>
      </c>
      <c r="H294" t="n">
        <v>0</v>
      </c>
      <c r="I294" t="n">
        <v>0</v>
      </c>
      <c r="J294" t="n">
        <v>0</v>
      </c>
      <c r="K294" t="n">
        <v>0</v>
      </c>
      <c r="L294" t="n">
        <v>0</v>
      </c>
      <c r="M294" t="n">
        <v>0</v>
      </c>
      <c r="N294" t="n">
        <v>0</v>
      </c>
      <c r="O294" t="n">
        <v>0</v>
      </c>
      <c r="P294" t="n">
        <v>0</v>
      </c>
      <c r="Q294" t="n">
        <v>0</v>
      </c>
      <c r="R294" s="2" t="inlineStr"/>
    </row>
    <row r="295" ht="15" customHeight="1">
      <c r="A295" t="inlineStr">
        <is>
          <t>A 35477-2022</t>
        </is>
      </c>
      <c r="B295" s="1" t="n">
        <v>44799</v>
      </c>
      <c r="C295" s="1" t="n">
        <v>45474</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35448-2022</t>
        </is>
      </c>
      <c r="B296" s="1" t="n">
        <v>44798</v>
      </c>
      <c r="C296" s="1" t="n">
        <v>45474</v>
      </c>
      <c r="D296" t="inlineStr">
        <is>
          <t>VÄSTERNORRLANDS LÄN</t>
        </is>
      </c>
      <c r="E296" t="inlineStr">
        <is>
          <t>TIMRÅ</t>
        </is>
      </c>
      <c r="G296" t="n">
        <v>2.8</v>
      </c>
      <c r="H296" t="n">
        <v>0</v>
      </c>
      <c r="I296" t="n">
        <v>0</v>
      </c>
      <c r="J296" t="n">
        <v>0</v>
      </c>
      <c r="K296" t="n">
        <v>0</v>
      </c>
      <c r="L296" t="n">
        <v>0</v>
      </c>
      <c r="M296" t="n">
        <v>0</v>
      </c>
      <c r="N296" t="n">
        <v>0</v>
      </c>
      <c r="O296" t="n">
        <v>0</v>
      </c>
      <c r="P296" t="n">
        <v>0</v>
      </c>
      <c r="Q296" t="n">
        <v>0</v>
      </c>
      <c r="R296" s="2" t="inlineStr"/>
    </row>
    <row r="297" ht="15" customHeight="1">
      <c r="A297" t="inlineStr">
        <is>
          <t>A 35758-2022</t>
        </is>
      </c>
      <c r="B297" s="1" t="n">
        <v>44799</v>
      </c>
      <c r="C297" s="1" t="n">
        <v>45474</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36564-2022</t>
        </is>
      </c>
      <c r="B298" s="1" t="n">
        <v>44804</v>
      </c>
      <c r="C298" s="1" t="n">
        <v>45474</v>
      </c>
      <c r="D298" t="inlineStr">
        <is>
          <t>VÄSTERNORRLANDS LÄN</t>
        </is>
      </c>
      <c r="E298" t="inlineStr">
        <is>
          <t>TIMRÅ</t>
        </is>
      </c>
      <c r="G298" t="n">
        <v>16.6</v>
      </c>
      <c r="H298" t="n">
        <v>0</v>
      </c>
      <c r="I298" t="n">
        <v>0</v>
      </c>
      <c r="J298" t="n">
        <v>0</v>
      </c>
      <c r="K298" t="n">
        <v>0</v>
      </c>
      <c r="L298" t="n">
        <v>0</v>
      </c>
      <c r="M298" t="n">
        <v>0</v>
      </c>
      <c r="N298" t="n">
        <v>0</v>
      </c>
      <c r="O298" t="n">
        <v>0</v>
      </c>
      <c r="P298" t="n">
        <v>0</v>
      </c>
      <c r="Q298" t="n">
        <v>0</v>
      </c>
      <c r="R298" s="2" t="inlineStr"/>
    </row>
    <row r="299" ht="15" customHeight="1">
      <c r="A299" t="inlineStr">
        <is>
          <t>A 38445-2022</t>
        </is>
      </c>
      <c r="B299" s="1" t="n">
        <v>44813</v>
      </c>
      <c r="C299" s="1" t="n">
        <v>45474</v>
      </c>
      <c r="D299" t="inlineStr">
        <is>
          <t>VÄSTERNORRLANDS LÄN</t>
        </is>
      </c>
      <c r="E299" t="inlineStr">
        <is>
          <t>TIMRÅ</t>
        </is>
      </c>
      <c r="G299" t="n">
        <v>0.7</v>
      </c>
      <c r="H299" t="n">
        <v>0</v>
      </c>
      <c r="I299" t="n">
        <v>0</v>
      </c>
      <c r="J299" t="n">
        <v>0</v>
      </c>
      <c r="K299" t="n">
        <v>0</v>
      </c>
      <c r="L299" t="n">
        <v>0</v>
      </c>
      <c r="M299" t="n">
        <v>0</v>
      </c>
      <c r="N299" t="n">
        <v>0</v>
      </c>
      <c r="O299" t="n">
        <v>0</v>
      </c>
      <c r="P299" t="n">
        <v>0</v>
      </c>
      <c r="Q299" t="n">
        <v>0</v>
      </c>
      <c r="R299" s="2" t="inlineStr"/>
    </row>
    <row r="300" ht="15" customHeight="1">
      <c r="A300" t="inlineStr">
        <is>
          <t>A 39108-2022</t>
        </is>
      </c>
      <c r="B300" s="1" t="n">
        <v>44817</v>
      </c>
      <c r="C300" s="1" t="n">
        <v>45474</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39691-2022</t>
        </is>
      </c>
      <c r="B301" s="1" t="n">
        <v>44819</v>
      </c>
      <c r="C301" s="1" t="n">
        <v>45474</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40270-2022</t>
        </is>
      </c>
      <c r="B302" s="1" t="n">
        <v>44821</v>
      </c>
      <c r="C302" s="1" t="n">
        <v>45474</v>
      </c>
      <c r="D302" t="inlineStr">
        <is>
          <t>VÄSTERNORRLANDS LÄN</t>
        </is>
      </c>
      <c r="E302" t="inlineStr">
        <is>
          <t>TIMRÅ</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41465-2022</t>
        </is>
      </c>
      <c r="B303" s="1" t="n">
        <v>44827</v>
      </c>
      <c r="C303" s="1" t="n">
        <v>45474</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41457-2022</t>
        </is>
      </c>
      <c r="B304" s="1" t="n">
        <v>44826</v>
      </c>
      <c r="C304" s="1" t="n">
        <v>45474</v>
      </c>
      <c r="D304" t="inlineStr">
        <is>
          <t>VÄSTERNORRLANDS LÄN</t>
        </is>
      </c>
      <c r="E304" t="inlineStr">
        <is>
          <t>TIMRÅ</t>
        </is>
      </c>
      <c r="G304" t="n">
        <v>2.9</v>
      </c>
      <c r="H304" t="n">
        <v>0</v>
      </c>
      <c r="I304" t="n">
        <v>0</v>
      </c>
      <c r="J304" t="n">
        <v>0</v>
      </c>
      <c r="K304" t="n">
        <v>0</v>
      </c>
      <c r="L304" t="n">
        <v>0</v>
      </c>
      <c r="M304" t="n">
        <v>0</v>
      </c>
      <c r="N304" t="n">
        <v>0</v>
      </c>
      <c r="O304" t="n">
        <v>0</v>
      </c>
      <c r="P304" t="n">
        <v>0</v>
      </c>
      <c r="Q304" t="n">
        <v>0</v>
      </c>
      <c r="R304" s="2" t="inlineStr"/>
    </row>
    <row r="305" ht="15" customHeight="1">
      <c r="A305" t="inlineStr">
        <is>
          <t>A 42281-2022</t>
        </is>
      </c>
      <c r="B305" s="1" t="n">
        <v>44830</v>
      </c>
      <c r="C305" s="1" t="n">
        <v>45474</v>
      </c>
      <c r="D305" t="inlineStr">
        <is>
          <t>VÄSTERNORRLANDS LÄN</t>
        </is>
      </c>
      <c r="E305" t="inlineStr">
        <is>
          <t>TIMRÅ</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43233-2022</t>
        </is>
      </c>
      <c r="B306" s="1" t="n">
        <v>44833</v>
      </c>
      <c r="C306" s="1" t="n">
        <v>45474</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43135-2022</t>
        </is>
      </c>
      <c r="B307" s="1" t="n">
        <v>44833</v>
      </c>
      <c r="C307" s="1" t="n">
        <v>45474</v>
      </c>
      <c r="D307" t="inlineStr">
        <is>
          <t>VÄSTERNORRLANDS LÄN</t>
        </is>
      </c>
      <c r="E307" t="inlineStr">
        <is>
          <t>TIMRÅ</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43162-2022</t>
        </is>
      </c>
      <c r="B308" s="1" t="n">
        <v>44834</v>
      </c>
      <c r="C308" s="1" t="n">
        <v>45474</v>
      </c>
      <c r="D308" t="inlineStr">
        <is>
          <t>VÄSTERNORRLANDS LÄN</t>
        </is>
      </c>
      <c r="E308" t="inlineStr">
        <is>
          <t>TIMRÅ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43237-2022</t>
        </is>
      </c>
      <c r="B309" s="1" t="n">
        <v>44833</v>
      </c>
      <c r="C309" s="1" t="n">
        <v>45474</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44432-2022</t>
        </is>
      </c>
      <c r="B310" s="1" t="n">
        <v>44839</v>
      </c>
      <c r="C310" s="1" t="n">
        <v>45474</v>
      </c>
      <c r="D310" t="inlineStr">
        <is>
          <t>VÄSTERNORRLANDS LÄN</t>
        </is>
      </c>
      <c r="E310" t="inlineStr">
        <is>
          <t>TIMRÅ</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44759-2022</t>
        </is>
      </c>
      <c r="B311" s="1" t="n">
        <v>44840</v>
      </c>
      <c r="C311" s="1" t="n">
        <v>45474</v>
      </c>
      <c r="D311" t="inlineStr">
        <is>
          <t>VÄSTERNORRLANDS LÄN</t>
        </is>
      </c>
      <c r="E311" t="inlineStr">
        <is>
          <t>TIMRÅ</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45688-2022</t>
        </is>
      </c>
      <c r="B312" s="1" t="n">
        <v>44845</v>
      </c>
      <c r="C312" s="1" t="n">
        <v>45474</v>
      </c>
      <c r="D312" t="inlineStr">
        <is>
          <t>VÄSTERNORRLANDS LÄN</t>
        </is>
      </c>
      <c r="E312" t="inlineStr">
        <is>
          <t>TIMRÅ</t>
        </is>
      </c>
      <c r="G312" t="n">
        <v>1.1</v>
      </c>
      <c r="H312" t="n">
        <v>0</v>
      </c>
      <c r="I312" t="n">
        <v>0</v>
      </c>
      <c r="J312" t="n">
        <v>0</v>
      </c>
      <c r="K312" t="n">
        <v>0</v>
      </c>
      <c r="L312" t="n">
        <v>0</v>
      </c>
      <c r="M312" t="n">
        <v>0</v>
      </c>
      <c r="N312" t="n">
        <v>0</v>
      </c>
      <c r="O312" t="n">
        <v>0</v>
      </c>
      <c r="P312" t="n">
        <v>0</v>
      </c>
      <c r="Q312" t="n">
        <v>0</v>
      </c>
      <c r="R312" s="2" t="inlineStr"/>
    </row>
    <row r="313" ht="15" customHeight="1">
      <c r="A313" t="inlineStr">
        <is>
          <t>A 45695-2022</t>
        </is>
      </c>
      <c r="B313" s="1" t="n">
        <v>44846</v>
      </c>
      <c r="C313" s="1" t="n">
        <v>45474</v>
      </c>
      <c r="D313" t="inlineStr">
        <is>
          <t>VÄSTERNORRLANDS LÄN</t>
        </is>
      </c>
      <c r="E313" t="inlineStr">
        <is>
          <t>TIMRÅ</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46021-2022</t>
        </is>
      </c>
      <c r="B314" s="1" t="n">
        <v>44846</v>
      </c>
      <c r="C314" s="1" t="n">
        <v>45474</v>
      </c>
      <c r="D314" t="inlineStr">
        <is>
          <t>VÄSTERNORRLANDS LÄN</t>
        </is>
      </c>
      <c r="E314" t="inlineStr">
        <is>
          <t>TIMRÅ</t>
        </is>
      </c>
      <c r="F314" t="inlineStr">
        <is>
          <t>Kyrkan</t>
        </is>
      </c>
      <c r="G314" t="n">
        <v>18</v>
      </c>
      <c r="H314" t="n">
        <v>0</v>
      </c>
      <c r="I314" t="n">
        <v>0</v>
      </c>
      <c r="J314" t="n">
        <v>0</v>
      </c>
      <c r="K314" t="n">
        <v>0</v>
      </c>
      <c r="L314" t="n">
        <v>0</v>
      </c>
      <c r="M314" t="n">
        <v>0</v>
      </c>
      <c r="N314" t="n">
        <v>0</v>
      </c>
      <c r="O314" t="n">
        <v>0</v>
      </c>
      <c r="P314" t="n">
        <v>0</v>
      </c>
      <c r="Q314" t="n">
        <v>0</v>
      </c>
      <c r="R314" s="2" t="inlineStr"/>
    </row>
    <row r="315" ht="15" customHeight="1">
      <c r="A315" t="inlineStr">
        <is>
          <t>A 46028-2022</t>
        </is>
      </c>
      <c r="B315" s="1" t="n">
        <v>44846</v>
      </c>
      <c r="C315" s="1" t="n">
        <v>45474</v>
      </c>
      <c r="D315" t="inlineStr">
        <is>
          <t>VÄSTERNORRLANDS LÄN</t>
        </is>
      </c>
      <c r="E315" t="inlineStr">
        <is>
          <t>TIMRÅ</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46650-2022</t>
        </is>
      </c>
      <c r="B316" s="1" t="n">
        <v>44849</v>
      </c>
      <c r="C316" s="1" t="n">
        <v>45474</v>
      </c>
      <c r="D316" t="inlineStr">
        <is>
          <t>VÄSTERNORRLANDS LÄN</t>
        </is>
      </c>
      <c r="E316" t="inlineStr">
        <is>
          <t>TIMRÅ</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46971-2022</t>
        </is>
      </c>
      <c r="B317" s="1" t="n">
        <v>44852</v>
      </c>
      <c r="C317" s="1" t="n">
        <v>45474</v>
      </c>
      <c r="D317" t="inlineStr">
        <is>
          <t>VÄSTERNORRLANDS LÄN</t>
        </is>
      </c>
      <c r="E317" t="inlineStr">
        <is>
          <t>TIMRÅ</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47293-2022</t>
        </is>
      </c>
      <c r="B318" s="1" t="n">
        <v>44853</v>
      </c>
      <c r="C318" s="1" t="n">
        <v>45474</v>
      </c>
      <c r="D318" t="inlineStr">
        <is>
          <t>VÄSTERNORRLANDS LÄN</t>
        </is>
      </c>
      <c r="E318" t="inlineStr">
        <is>
          <t>TIMRÅ</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47347-2022</t>
        </is>
      </c>
      <c r="B319" s="1" t="n">
        <v>44852</v>
      </c>
      <c r="C319" s="1" t="n">
        <v>45474</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47562-2022</t>
        </is>
      </c>
      <c r="B320" s="1" t="n">
        <v>44853</v>
      </c>
      <c r="C320" s="1" t="n">
        <v>45474</v>
      </c>
      <c r="D320" t="inlineStr">
        <is>
          <t>VÄSTERNORRLANDS LÄN</t>
        </is>
      </c>
      <c r="E320" t="inlineStr">
        <is>
          <t>TIMRÅ</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47588-2022</t>
        </is>
      </c>
      <c r="B321" s="1" t="n">
        <v>44854</v>
      </c>
      <c r="C321" s="1" t="n">
        <v>45474</v>
      </c>
      <c r="D321" t="inlineStr">
        <is>
          <t>VÄSTERNORRLANDS LÄN</t>
        </is>
      </c>
      <c r="E321" t="inlineStr">
        <is>
          <t>TIMRÅ</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47697-2022</t>
        </is>
      </c>
      <c r="B322" s="1" t="n">
        <v>44854</v>
      </c>
      <c r="C322" s="1" t="n">
        <v>45474</v>
      </c>
      <c r="D322" t="inlineStr">
        <is>
          <t>VÄSTERNORRLANDS LÄN</t>
        </is>
      </c>
      <c r="E322" t="inlineStr">
        <is>
          <t>TIMRÅ</t>
        </is>
      </c>
      <c r="G322" t="n">
        <v>3.4</v>
      </c>
      <c r="H322" t="n">
        <v>0</v>
      </c>
      <c r="I322" t="n">
        <v>0</v>
      </c>
      <c r="J322" t="n">
        <v>0</v>
      </c>
      <c r="K322" t="n">
        <v>0</v>
      </c>
      <c r="L322" t="n">
        <v>0</v>
      </c>
      <c r="M322" t="n">
        <v>0</v>
      </c>
      <c r="N322" t="n">
        <v>0</v>
      </c>
      <c r="O322" t="n">
        <v>0</v>
      </c>
      <c r="P322" t="n">
        <v>0</v>
      </c>
      <c r="Q322" t="n">
        <v>0</v>
      </c>
      <c r="R322" s="2" t="inlineStr"/>
    </row>
    <row r="323" ht="15" customHeight="1">
      <c r="A323" t="inlineStr">
        <is>
          <t>A 47815-2022</t>
        </is>
      </c>
      <c r="B323" s="1" t="n">
        <v>44854</v>
      </c>
      <c r="C323" s="1" t="n">
        <v>45474</v>
      </c>
      <c r="D323" t="inlineStr">
        <is>
          <t>VÄSTERNORRLANDS LÄN</t>
        </is>
      </c>
      <c r="E323" t="inlineStr">
        <is>
          <t>TIMRÅ</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48083-2022</t>
        </is>
      </c>
      <c r="B324" s="1" t="n">
        <v>44855</v>
      </c>
      <c r="C324" s="1" t="n">
        <v>45474</v>
      </c>
      <c r="D324" t="inlineStr">
        <is>
          <t>VÄSTERNORRLANDS LÄN</t>
        </is>
      </c>
      <c r="E324" t="inlineStr">
        <is>
          <t>TIMRÅ</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48916-2022</t>
        </is>
      </c>
      <c r="B325" s="1" t="n">
        <v>44860</v>
      </c>
      <c r="C325" s="1" t="n">
        <v>45474</v>
      </c>
      <c r="D325" t="inlineStr">
        <is>
          <t>VÄSTERNORRLANDS LÄN</t>
        </is>
      </c>
      <c r="E325" t="inlineStr">
        <is>
          <t>TIMRÅ</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48918-2022</t>
        </is>
      </c>
      <c r="B326" s="1" t="n">
        <v>44859</v>
      </c>
      <c r="C326" s="1" t="n">
        <v>45474</v>
      </c>
      <c r="D326" t="inlineStr">
        <is>
          <t>VÄSTERNORRLANDS LÄN</t>
        </is>
      </c>
      <c r="E326" t="inlineStr">
        <is>
          <t>TIMRÅ</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49203-2022</t>
        </is>
      </c>
      <c r="B327" s="1" t="n">
        <v>44860</v>
      </c>
      <c r="C327" s="1" t="n">
        <v>45474</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50660-2022</t>
        </is>
      </c>
      <c r="B328" s="1" t="n">
        <v>44866</v>
      </c>
      <c r="C328" s="1" t="n">
        <v>45474</v>
      </c>
      <c r="D328" t="inlineStr">
        <is>
          <t>VÄSTERNORRLANDS LÄN</t>
        </is>
      </c>
      <c r="E328" t="inlineStr">
        <is>
          <t>TIMRÅ</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52096-2022</t>
        </is>
      </c>
      <c r="B329" s="1" t="n">
        <v>44868</v>
      </c>
      <c r="C329" s="1" t="n">
        <v>45474</v>
      </c>
      <c r="D329" t="inlineStr">
        <is>
          <t>VÄSTERNORRLANDS LÄN</t>
        </is>
      </c>
      <c r="E329" t="inlineStr">
        <is>
          <t>TIMRÅ</t>
        </is>
      </c>
      <c r="G329" t="n">
        <v>1.4</v>
      </c>
      <c r="H329" t="n">
        <v>0</v>
      </c>
      <c r="I329" t="n">
        <v>0</v>
      </c>
      <c r="J329" t="n">
        <v>0</v>
      </c>
      <c r="K329" t="n">
        <v>0</v>
      </c>
      <c r="L329" t="n">
        <v>0</v>
      </c>
      <c r="M329" t="n">
        <v>0</v>
      </c>
      <c r="N329" t="n">
        <v>0</v>
      </c>
      <c r="O329" t="n">
        <v>0</v>
      </c>
      <c r="P329" t="n">
        <v>0</v>
      </c>
      <c r="Q329" t="n">
        <v>0</v>
      </c>
      <c r="R329" s="2" t="inlineStr"/>
    </row>
    <row r="330" ht="15" customHeight="1">
      <c r="A330" t="inlineStr">
        <is>
          <t>A 51564-2022</t>
        </is>
      </c>
      <c r="B330" s="1" t="n">
        <v>44869</v>
      </c>
      <c r="C330" s="1" t="n">
        <v>45474</v>
      </c>
      <c r="D330" t="inlineStr">
        <is>
          <t>VÄSTERNORRLANDS LÄN</t>
        </is>
      </c>
      <c r="E330" t="inlineStr">
        <is>
          <t>TIMRÅ</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51546-2022</t>
        </is>
      </c>
      <c r="B331" s="1" t="n">
        <v>44869</v>
      </c>
      <c r="C331" s="1" t="n">
        <v>45474</v>
      </c>
      <c r="D331" t="inlineStr">
        <is>
          <t>VÄSTERNORRLANDS LÄN</t>
        </is>
      </c>
      <c r="E331" t="inlineStr">
        <is>
          <t>TIMRÅ</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52213-2022</t>
        </is>
      </c>
      <c r="B332" s="1" t="n">
        <v>44869</v>
      </c>
      <c r="C332" s="1" t="n">
        <v>45474</v>
      </c>
      <c r="D332" t="inlineStr">
        <is>
          <t>VÄSTERNORRLANDS LÄN</t>
        </is>
      </c>
      <c r="E332" t="inlineStr">
        <is>
          <t>TIMRÅ</t>
        </is>
      </c>
      <c r="G332" t="n">
        <v>11.4</v>
      </c>
      <c r="H332" t="n">
        <v>0</v>
      </c>
      <c r="I332" t="n">
        <v>0</v>
      </c>
      <c r="J332" t="n">
        <v>0</v>
      </c>
      <c r="K332" t="n">
        <v>0</v>
      </c>
      <c r="L332" t="n">
        <v>0</v>
      </c>
      <c r="M332" t="n">
        <v>0</v>
      </c>
      <c r="N332" t="n">
        <v>0</v>
      </c>
      <c r="O332" t="n">
        <v>0</v>
      </c>
      <c r="P332" t="n">
        <v>0</v>
      </c>
      <c r="Q332" t="n">
        <v>0</v>
      </c>
      <c r="R332" s="2" t="inlineStr"/>
    </row>
    <row r="333" ht="15" customHeight="1">
      <c r="A333" t="inlineStr">
        <is>
          <t>A 52232-2022</t>
        </is>
      </c>
      <c r="B333" s="1" t="n">
        <v>44869</v>
      </c>
      <c r="C333" s="1" t="n">
        <v>45474</v>
      </c>
      <c r="D333" t="inlineStr">
        <is>
          <t>VÄSTERNORRLANDS LÄN</t>
        </is>
      </c>
      <c r="E333" t="inlineStr">
        <is>
          <t>TIMRÅ</t>
        </is>
      </c>
      <c r="G333" t="n">
        <v>7.9</v>
      </c>
      <c r="H333" t="n">
        <v>0</v>
      </c>
      <c r="I333" t="n">
        <v>0</v>
      </c>
      <c r="J333" t="n">
        <v>0</v>
      </c>
      <c r="K333" t="n">
        <v>0</v>
      </c>
      <c r="L333" t="n">
        <v>0</v>
      </c>
      <c r="M333" t="n">
        <v>0</v>
      </c>
      <c r="N333" t="n">
        <v>0</v>
      </c>
      <c r="O333" t="n">
        <v>0</v>
      </c>
      <c r="P333" t="n">
        <v>0</v>
      </c>
      <c r="Q333" t="n">
        <v>0</v>
      </c>
      <c r="R333" s="2" t="inlineStr"/>
    </row>
    <row r="334" ht="15" customHeight="1">
      <c r="A334" t="inlineStr">
        <is>
          <t>A 52220-2022</t>
        </is>
      </c>
      <c r="B334" s="1" t="n">
        <v>44869</v>
      </c>
      <c r="C334" s="1" t="n">
        <v>45474</v>
      </c>
      <c r="D334" t="inlineStr">
        <is>
          <t>VÄSTERNORRLANDS LÄN</t>
        </is>
      </c>
      <c r="E334" t="inlineStr">
        <is>
          <t>TIMRÅ</t>
        </is>
      </c>
      <c r="G334" t="n">
        <v>5.5</v>
      </c>
      <c r="H334" t="n">
        <v>0</v>
      </c>
      <c r="I334" t="n">
        <v>0</v>
      </c>
      <c r="J334" t="n">
        <v>0</v>
      </c>
      <c r="K334" t="n">
        <v>0</v>
      </c>
      <c r="L334" t="n">
        <v>0</v>
      </c>
      <c r="M334" t="n">
        <v>0</v>
      </c>
      <c r="N334" t="n">
        <v>0</v>
      </c>
      <c r="O334" t="n">
        <v>0</v>
      </c>
      <c r="P334" t="n">
        <v>0</v>
      </c>
      <c r="Q334" t="n">
        <v>0</v>
      </c>
      <c r="R334" s="2" t="inlineStr"/>
    </row>
    <row r="335" ht="15" customHeight="1">
      <c r="A335" t="inlineStr">
        <is>
          <t>A 51999-2022</t>
        </is>
      </c>
      <c r="B335" s="1" t="n">
        <v>44872</v>
      </c>
      <c r="C335" s="1" t="n">
        <v>45474</v>
      </c>
      <c r="D335" t="inlineStr">
        <is>
          <t>VÄSTERNORRLANDS LÄN</t>
        </is>
      </c>
      <c r="E335" t="inlineStr">
        <is>
          <t>TIMRÅ</t>
        </is>
      </c>
      <c r="G335" t="n">
        <v>4.7</v>
      </c>
      <c r="H335" t="n">
        <v>0</v>
      </c>
      <c r="I335" t="n">
        <v>0</v>
      </c>
      <c r="J335" t="n">
        <v>0</v>
      </c>
      <c r="K335" t="n">
        <v>0</v>
      </c>
      <c r="L335" t="n">
        <v>0</v>
      </c>
      <c r="M335" t="n">
        <v>0</v>
      </c>
      <c r="N335" t="n">
        <v>0</v>
      </c>
      <c r="O335" t="n">
        <v>0</v>
      </c>
      <c r="P335" t="n">
        <v>0</v>
      </c>
      <c r="Q335" t="n">
        <v>0</v>
      </c>
      <c r="R335" s="2" t="inlineStr"/>
    </row>
    <row r="336" ht="15" customHeight="1">
      <c r="A336" t="inlineStr">
        <is>
          <t>A 52010-2022</t>
        </is>
      </c>
      <c r="B336" s="1" t="n">
        <v>44872</v>
      </c>
      <c r="C336" s="1" t="n">
        <v>45474</v>
      </c>
      <c r="D336" t="inlineStr">
        <is>
          <t>VÄSTERNORRLANDS LÄN</t>
        </is>
      </c>
      <c r="E336" t="inlineStr">
        <is>
          <t>TIMRÅ</t>
        </is>
      </c>
      <c r="G336" t="n">
        <v>1.4</v>
      </c>
      <c r="H336" t="n">
        <v>0</v>
      </c>
      <c r="I336" t="n">
        <v>0</v>
      </c>
      <c r="J336" t="n">
        <v>0</v>
      </c>
      <c r="K336" t="n">
        <v>0</v>
      </c>
      <c r="L336" t="n">
        <v>0</v>
      </c>
      <c r="M336" t="n">
        <v>0</v>
      </c>
      <c r="N336" t="n">
        <v>0</v>
      </c>
      <c r="O336" t="n">
        <v>0</v>
      </c>
      <c r="P336" t="n">
        <v>0</v>
      </c>
      <c r="Q336" t="n">
        <v>0</v>
      </c>
      <c r="R336" s="2" t="inlineStr"/>
    </row>
    <row r="337" ht="15" customHeight="1">
      <c r="A337" t="inlineStr">
        <is>
          <t>A 52474-2022</t>
        </is>
      </c>
      <c r="B337" s="1" t="n">
        <v>44874</v>
      </c>
      <c r="C337" s="1" t="n">
        <v>45474</v>
      </c>
      <c r="D337" t="inlineStr">
        <is>
          <t>VÄSTERNORRLANDS LÄN</t>
        </is>
      </c>
      <c r="E337" t="inlineStr">
        <is>
          <t>TIMRÅ</t>
        </is>
      </c>
      <c r="G337" t="n">
        <v>0.7</v>
      </c>
      <c r="H337" t="n">
        <v>0</v>
      </c>
      <c r="I337" t="n">
        <v>0</v>
      </c>
      <c r="J337" t="n">
        <v>0</v>
      </c>
      <c r="K337" t="n">
        <v>0</v>
      </c>
      <c r="L337" t="n">
        <v>0</v>
      </c>
      <c r="M337" t="n">
        <v>0</v>
      </c>
      <c r="N337" t="n">
        <v>0</v>
      </c>
      <c r="O337" t="n">
        <v>0</v>
      </c>
      <c r="P337" t="n">
        <v>0</v>
      </c>
      <c r="Q337" t="n">
        <v>0</v>
      </c>
      <c r="R337" s="2" t="inlineStr"/>
    </row>
    <row r="338" ht="15" customHeight="1">
      <c r="A338" t="inlineStr">
        <is>
          <t>A 52448-2022</t>
        </is>
      </c>
      <c r="B338" s="1" t="n">
        <v>44874</v>
      </c>
      <c r="C338" s="1" t="n">
        <v>45474</v>
      </c>
      <c r="D338" t="inlineStr">
        <is>
          <t>VÄSTERNORRLANDS LÄN</t>
        </is>
      </c>
      <c r="E338" t="inlineStr">
        <is>
          <t>TIMRÅ</t>
        </is>
      </c>
      <c r="G338" t="n">
        <v>2.3</v>
      </c>
      <c r="H338" t="n">
        <v>0</v>
      </c>
      <c r="I338" t="n">
        <v>0</v>
      </c>
      <c r="J338" t="n">
        <v>0</v>
      </c>
      <c r="K338" t="n">
        <v>0</v>
      </c>
      <c r="L338" t="n">
        <v>0</v>
      </c>
      <c r="M338" t="n">
        <v>0</v>
      </c>
      <c r="N338" t="n">
        <v>0</v>
      </c>
      <c r="O338" t="n">
        <v>0</v>
      </c>
      <c r="P338" t="n">
        <v>0</v>
      </c>
      <c r="Q338" t="n">
        <v>0</v>
      </c>
      <c r="R338" s="2" t="inlineStr"/>
    </row>
    <row r="339" ht="15" customHeight="1">
      <c r="A339" t="inlineStr">
        <is>
          <t>A 52705-2022</t>
        </is>
      </c>
      <c r="B339" s="1" t="n">
        <v>44874</v>
      </c>
      <c r="C339" s="1" t="n">
        <v>45474</v>
      </c>
      <c r="D339" t="inlineStr">
        <is>
          <t>VÄSTERNORRLANDS LÄN</t>
        </is>
      </c>
      <c r="E339" t="inlineStr">
        <is>
          <t>TIMRÅ</t>
        </is>
      </c>
      <c r="G339" t="n">
        <v>1.6</v>
      </c>
      <c r="H339" t="n">
        <v>0</v>
      </c>
      <c r="I339" t="n">
        <v>0</v>
      </c>
      <c r="J339" t="n">
        <v>0</v>
      </c>
      <c r="K339" t="n">
        <v>0</v>
      </c>
      <c r="L339" t="n">
        <v>0</v>
      </c>
      <c r="M339" t="n">
        <v>0</v>
      </c>
      <c r="N339" t="n">
        <v>0</v>
      </c>
      <c r="O339" t="n">
        <v>0</v>
      </c>
      <c r="P339" t="n">
        <v>0</v>
      </c>
      <c r="Q339" t="n">
        <v>0</v>
      </c>
      <c r="R339" s="2" t="inlineStr"/>
    </row>
    <row r="340" ht="15" customHeight="1">
      <c r="A340" t="inlineStr">
        <is>
          <t>A 53659-2022</t>
        </is>
      </c>
      <c r="B340" s="1" t="n">
        <v>44879</v>
      </c>
      <c r="C340" s="1" t="n">
        <v>45474</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53957-2022</t>
        </is>
      </c>
      <c r="B341" s="1" t="n">
        <v>44880</v>
      </c>
      <c r="C341" s="1" t="n">
        <v>45474</v>
      </c>
      <c r="D341" t="inlineStr">
        <is>
          <t>VÄSTERNORRLANDS LÄN</t>
        </is>
      </c>
      <c r="E341" t="inlineStr">
        <is>
          <t>TIMRÅ</t>
        </is>
      </c>
      <c r="F341" t="inlineStr">
        <is>
          <t>SCA</t>
        </is>
      </c>
      <c r="G341" t="n">
        <v>6.4</v>
      </c>
      <c r="H341" t="n">
        <v>0</v>
      </c>
      <c r="I341" t="n">
        <v>0</v>
      </c>
      <c r="J341" t="n">
        <v>0</v>
      </c>
      <c r="K341" t="n">
        <v>0</v>
      </c>
      <c r="L341" t="n">
        <v>0</v>
      </c>
      <c r="M341" t="n">
        <v>0</v>
      </c>
      <c r="N341" t="n">
        <v>0</v>
      </c>
      <c r="O341" t="n">
        <v>0</v>
      </c>
      <c r="P341" t="n">
        <v>0</v>
      </c>
      <c r="Q341" t="n">
        <v>0</v>
      </c>
      <c r="R341" s="2" t="inlineStr"/>
    </row>
    <row r="342" ht="15" customHeight="1">
      <c r="A342" t="inlineStr">
        <is>
          <t>A 55357-2022</t>
        </is>
      </c>
      <c r="B342" s="1" t="n">
        <v>44882</v>
      </c>
      <c r="C342" s="1" t="n">
        <v>45474</v>
      </c>
      <c r="D342" t="inlineStr">
        <is>
          <t>VÄSTERNORRLANDS LÄN</t>
        </is>
      </c>
      <c r="E342" t="inlineStr">
        <is>
          <t>TIMRÅ</t>
        </is>
      </c>
      <c r="G342" t="n">
        <v>17.3</v>
      </c>
      <c r="H342" t="n">
        <v>0</v>
      </c>
      <c r="I342" t="n">
        <v>0</v>
      </c>
      <c r="J342" t="n">
        <v>0</v>
      </c>
      <c r="K342" t="n">
        <v>0</v>
      </c>
      <c r="L342" t="n">
        <v>0</v>
      </c>
      <c r="M342" t="n">
        <v>0</v>
      </c>
      <c r="N342" t="n">
        <v>0</v>
      </c>
      <c r="O342" t="n">
        <v>0</v>
      </c>
      <c r="P342" t="n">
        <v>0</v>
      </c>
      <c r="Q342" t="n">
        <v>0</v>
      </c>
      <c r="R342" s="2" t="inlineStr"/>
    </row>
    <row r="343" ht="15" customHeight="1">
      <c r="A343" t="inlineStr">
        <is>
          <t>A 54747-2022</t>
        </is>
      </c>
      <c r="B343" s="1" t="n">
        <v>44883</v>
      </c>
      <c r="C343" s="1" t="n">
        <v>45474</v>
      </c>
      <c r="D343" t="inlineStr">
        <is>
          <t>VÄSTERNORRLANDS LÄN</t>
        </is>
      </c>
      <c r="E343" t="inlineStr">
        <is>
          <t>TIMRÅ</t>
        </is>
      </c>
      <c r="G343" t="n">
        <v>0.9</v>
      </c>
      <c r="H343" t="n">
        <v>0</v>
      </c>
      <c r="I343" t="n">
        <v>0</v>
      </c>
      <c r="J343" t="n">
        <v>0</v>
      </c>
      <c r="K343" t="n">
        <v>0</v>
      </c>
      <c r="L343" t="n">
        <v>0</v>
      </c>
      <c r="M343" t="n">
        <v>0</v>
      </c>
      <c r="N343" t="n">
        <v>0</v>
      </c>
      <c r="O343" t="n">
        <v>0</v>
      </c>
      <c r="P343" t="n">
        <v>0</v>
      </c>
      <c r="Q343" t="n">
        <v>0</v>
      </c>
      <c r="R343" s="2" t="inlineStr"/>
    </row>
    <row r="344" ht="15" customHeight="1">
      <c r="A344" t="inlineStr">
        <is>
          <t>A 55179-2022</t>
        </is>
      </c>
      <c r="B344" s="1" t="n">
        <v>44886</v>
      </c>
      <c r="C344" s="1" t="n">
        <v>45474</v>
      </c>
      <c r="D344" t="inlineStr">
        <is>
          <t>VÄSTERNORRLANDS LÄN</t>
        </is>
      </c>
      <c r="E344" t="inlineStr">
        <is>
          <t>TIMRÅ</t>
        </is>
      </c>
      <c r="G344" t="n">
        <v>0.4</v>
      </c>
      <c r="H344" t="n">
        <v>0</v>
      </c>
      <c r="I344" t="n">
        <v>0</v>
      </c>
      <c r="J344" t="n">
        <v>0</v>
      </c>
      <c r="K344" t="n">
        <v>0</v>
      </c>
      <c r="L344" t="n">
        <v>0</v>
      </c>
      <c r="M344" t="n">
        <v>0</v>
      </c>
      <c r="N344" t="n">
        <v>0</v>
      </c>
      <c r="O344" t="n">
        <v>0</v>
      </c>
      <c r="P344" t="n">
        <v>0</v>
      </c>
      <c r="Q344" t="n">
        <v>0</v>
      </c>
      <c r="R344" s="2" t="inlineStr"/>
    </row>
    <row r="345" ht="15" customHeight="1">
      <c r="A345" t="inlineStr">
        <is>
          <t>A 55240-2022</t>
        </is>
      </c>
      <c r="B345" s="1" t="n">
        <v>44887</v>
      </c>
      <c r="C345" s="1" t="n">
        <v>45474</v>
      </c>
      <c r="D345" t="inlineStr">
        <is>
          <t>VÄSTERNORRLANDS LÄN</t>
        </is>
      </c>
      <c r="E345" t="inlineStr">
        <is>
          <t>TIMRÅ</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55521-2022</t>
        </is>
      </c>
      <c r="B346" s="1" t="n">
        <v>44887</v>
      </c>
      <c r="C346" s="1" t="n">
        <v>45474</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55511-2022</t>
        </is>
      </c>
      <c r="B347" s="1" t="n">
        <v>44887</v>
      </c>
      <c r="C347" s="1" t="n">
        <v>45474</v>
      </c>
      <c r="D347" t="inlineStr">
        <is>
          <t>VÄSTERNORRLANDS LÄN</t>
        </is>
      </c>
      <c r="E347" t="inlineStr">
        <is>
          <t>TIMRÅ</t>
        </is>
      </c>
      <c r="G347" t="n">
        <v>0.5</v>
      </c>
      <c r="H347" t="n">
        <v>0</v>
      </c>
      <c r="I347" t="n">
        <v>0</v>
      </c>
      <c r="J347" t="n">
        <v>0</v>
      </c>
      <c r="K347" t="n">
        <v>0</v>
      </c>
      <c r="L347" t="n">
        <v>0</v>
      </c>
      <c r="M347" t="n">
        <v>0</v>
      </c>
      <c r="N347" t="n">
        <v>0</v>
      </c>
      <c r="O347" t="n">
        <v>0</v>
      </c>
      <c r="P347" t="n">
        <v>0</v>
      </c>
      <c r="Q347" t="n">
        <v>0</v>
      </c>
      <c r="R347" s="2" t="inlineStr"/>
    </row>
    <row r="348" ht="15" customHeight="1">
      <c r="A348" t="inlineStr">
        <is>
          <t>A 55510-2022</t>
        </is>
      </c>
      <c r="B348" s="1" t="n">
        <v>44887</v>
      </c>
      <c r="C348" s="1" t="n">
        <v>45474</v>
      </c>
      <c r="D348" t="inlineStr">
        <is>
          <t>VÄSTERNORRLANDS LÄN</t>
        </is>
      </c>
      <c r="E348" t="inlineStr">
        <is>
          <t>TIMRÅ</t>
        </is>
      </c>
      <c r="G348" t="n">
        <v>0.8</v>
      </c>
      <c r="H348" t="n">
        <v>0</v>
      </c>
      <c r="I348" t="n">
        <v>0</v>
      </c>
      <c r="J348" t="n">
        <v>0</v>
      </c>
      <c r="K348" t="n">
        <v>0</v>
      </c>
      <c r="L348" t="n">
        <v>0</v>
      </c>
      <c r="M348" t="n">
        <v>0</v>
      </c>
      <c r="N348" t="n">
        <v>0</v>
      </c>
      <c r="O348" t="n">
        <v>0</v>
      </c>
      <c r="P348" t="n">
        <v>0</v>
      </c>
      <c r="Q348" t="n">
        <v>0</v>
      </c>
      <c r="R348" s="2" t="inlineStr"/>
    </row>
    <row r="349" ht="15" customHeight="1">
      <c r="A349" t="inlineStr">
        <is>
          <t>A 55517-2022</t>
        </is>
      </c>
      <c r="B349" s="1" t="n">
        <v>44887</v>
      </c>
      <c r="C349" s="1" t="n">
        <v>45474</v>
      </c>
      <c r="D349" t="inlineStr">
        <is>
          <t>VÄSTERNORRLANDS LÄN</t>
        </is>
      </c>
      <c r="E349" t="inlineStr">
        <is>
          <t>TIMRÅ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55872-2022</t>
        </is>
      </c>
      <c r="B350" s="1" t="n">
        <v>44888</v>
      </c>
      <c r="C350" s="1" t="n">
        <v>45474</v>
      </c>
      <c r="D350" t="inlineStr">
        <is>
          <t>VÄSTERNORRLANDS LÄN</t>
        </is>
      </c>
      <c r="E350" t="inlineStr">
        <is>
          <t>TIMRÅ</t>
        </is>
      </c>
      <c r="G350" t="n">
        <v>4.7</v>
      </c>
      <c r="H350" t="n">
        <v>0</v>
      </c>
      <c r="I350" t="n">
        <v>0</v>
      </c>
      <c r="J350" t="n">
        <v>0</v>
      </c>
      <c r="K350" t="n">
        <v>0</v>
      </c>
      <c r="L350" t="n">
        <v>0</v>
      </c>
      <c r="M350" t="n">
        <v>0</v>
      </c>
      <c r="N350" t="n">
        <v>0</v>
      </c>
      <c r="O350" t="n">
        <v>0</v>
      </c>
      <c r="P350" t="n">
        <v>0</v>
      </c>
      <c r="Q350" t="n">
        <v>0</v>
      </c>
      <c r="R350" s="2" t="inlineStr"/>
    </row>
    <row r="351" ht="15" customHeight="1">
      <c r="A351" t="inlineStr">
        <is>
          <t>A 55886-2022</t>
        </is>
      </c>
      <c r="B351" s="1" t="n">
        <v>44888</v>
      </c>
      <c r="C351" s="1" t="n">
        <v>45474</v>
      </c>
      <c r="D351" t="inlineStr">
        <is>
          <t>VÄSTERNORRLANDS LÄN</t>
        </is>
      </c>
      <c r="E351" t="inlineStr">
        <is>
          <t>TIMRÅ</t>
        </is>
      </c>
      <c r="G351" t="n">
        <v>0.6</v>
      </c>
      <c r="H351" t="n">
        <v>0</v>
      </c>
      <c r="I351" t="n">
        <v>0</v>
      </c>
      <c r="J351" t="n">
        <v>0</v>
      </c>
      <c r="K351" t="n">
        <v>0</v>
      </c>
      <c r="L351" t="n">
        <v>0</v>
      </c>
      <c r="M351" t="n">
        <v>0</v>
      </c>
      <c r="N351" t="n">
        <v>0</v>
      </c>
      <c r="O351" t="n">
        <v>0</v>
      </c>
      <c r="P351" t="n">
        <v>0</v>
      </c>
      <c r="Q351" t="n">
        <v>0</v>
      </c>
      <c r="R351" s="2" t="inlineStr"/>
    </row>
    <row r="352" ht="15" customHeight="1">
      <c r="A352" t="inlineStr">
        <is>
          <t>A 56170-2022</t>
        </is>
      </c>
      <c r="B352" s="1" t="n">
        <v>44889</v>
      </c>
      <c r="C352" s="1" t="n">
        <v>45474</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57403-2022</t>
        </is>
      </c>
      <c r="B353" s="1" t="n">
        <v>44889</v>
      </c>
      <c r="C353" s="1" t="n">
        <v>45474</v>
      </c>
      <c r="D353" t="inlineStr">
        <is>
          <t>VÄSTERNORRLANDS LÄN</t>
        </is>
      </c>
      <c r="E353" t="inlineStr">
        <is>
          <t>TIMRÅ</t>
        </is>
      </c>
      <c r="G353" t="n">
        <v>9.6</v>
      </c>
      <c r="H353" t="n">
        <v>0</v>
      </c>
      <c r="I353" t="n">
        <v>0</v>
      </c>
      <c r="J353" t="n">
        <v>0</v>
      </c>
      <c r="K353" t="n">
        <v>0</v>
      </c>
      <c r="L353" t="n">
        <v>0</v>
      </c>
      <c r="M353" t="n">
        <v>0</v>
      </c>
      <c r="N353" t="n">
        <v>0</v>
      </c>
      <c r="O353" t="n">
        <v>0</v>
      </c>
      <c r="P353" t="n">
        <v>0</v>
      </c>
      <c r="Q353" t="n">
        <v>0</v>
      </c>
      <c r="R353" s="2" t="inlineStr"/>
    </row>
    <row r="354" ht="15" customHeight="1">
      <c r="A354" t="inlineStr">
        <is>
          <t>A 57380-2022</t>
        </is>
      </c>
      <c r="B354" s="1" t="n">
        <v>44889</v>
      </c>
      <c r="C354" s="1" t="n">
        <v>45474</v>
      </c>
      <c r="D354" t="inlineStr">
        <is>
          <t>VÄSTERNORRLANDS LÄN</t>
        </is>
      </c>
      <c r="E354" t="inlineStr">
        <is>
          <t>TIMRÅ</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56410-2022</t>
        </is>
      </c>
      <c r="B355" s="1" t="n">
        <v>44890</v>
      </c>
      <c r="C355" s="1" t="n">
        <v>45474</v>
      </c>
      <c r="D355" t="inlineStr">
        <is>
          <t>VÄSTERNORRLANDS LÄN</t>
        </is>
      </c>
      <c r="E355" t="inlineStr">
        <is>
          <t>TIMRÅ</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56723-2022</t>
        </is>
      </c>
      <c r="B356" s="1" t="n">
        <v>44893</v>
      </c>
      <c r="C356" s="1" t="n">
        <v>45474</v>
      </c>
      <c r="D356" t="inlineStr">
        <is>
          <t>VÄSTERNORRLANDS LÄN</t>
        </is>
      </c>
      <c r="E356" t="inlineStr">
        <is>
          <t>TIMRÅ</t>
        </is>
      </c>
      <c r="G356" t="n">
        <v>1.7</v>
      </c>
      <c r="H356" t="n">
        <v>0</v>
      </c>
      <c r="I356" t="n">
        <v>0</v>
      </c>
      <c r="J356" t="n">
        <v>0</v>
      </c>
      <c r="K356" t="n">
        <v>0</v>
      </c>
      <c r="L356" t="n">
        <v>0</v>
      </c>
      <c r="M356" t="n">
        <v>0</v>
      </c>
      <c r="N356" t="n">
        <v>0</v>
      </c>
      <c r="O356" t="n">
        <v>0</v>
      </c>
      <c r="P356" t="n">
        <v>0</v>
      </c>
      <c r="Q356" t="n">
        <v>0</v>
      </c>
      <c r="R356" s="2" t="inlineStr"/>
    </row>
    <row r="357" ht="15" customHeight="1">
      <c r="A357" t="inlineStr">
        <is>
          <t>A 57268-2022</t>
        </is>
      </c>
      <c r="B357" s="1" t="n">
        <v>44895</v>
      </c>
      <c r="C357" s="1" t="n">
        <v>45474</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57841-2022</t>
        </is>
      </c>
      <c r="B358" s="1" t="n">
        <v>44897</v>
      </c>
      <c r="C358" s="1" t="n">
        <v>45474</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57840-2022</t>
        </is>
      </c>
      <c r="B359" s="1" t="n">
        <v>44897</v>
      </c>
      <c r="C359" s="1" t="n">
        <v>45474</v>
      </c>
      <c r="D359" t="inlineStr">
        <is>
          <t>VÄSTERNORRLANDS LÄN</t>
        </is>
      </c>
      <c r="E359" t="inlineStr">
        <is>
          <t>TIMRÅ</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58188-2022</t>
        </is>
      </c>
      <c r="B360" s="1" t="n">
        <v>44900</v>
      </c>
      <c r="C360" s="1" t="n">
        <v>45474</v>
      </c>
      <c r="D360" t="inlineStr">
        <is>
          <t>VÄSTERNORRLANDS LÄN</t>
        </is>
      </c>
      <c r="E360" t="inlineStr">
        <is>
          <t>TIMRÅ</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59942-2022</t>
        </is>
      </c>
      <c r="B361" s="1" t="n">
        <v>44901</v>
      </c>
      <c r="C361" s="1" t="n">
        <v>45474</v>
      </c>
      <c r="D361" t="inlineStr">
        <is>
          <t>VÄSTERNORRLANDS LÄN</t>
        </is>
      </c>
      <c r="E361" t="inlineStr">
        <is>
          <t>TIMRÅ</t>
        </is>
      </c>
      <c r="G361" t="n">
        <v>0.9</v>
      </c>
      <c r="H361" t="n">
        <v>0</v>
      </c>
      <c r="I361" t="n">
        <v>0</v>
      </c>
      <c r="J361" t="n">
        <v>0</v>
      </c>
      <c r="K361" t="n">
        <v>0</v>
      </c>
      <c r="L361" t="n">
        <v>0</v>
      </c>
      <c r="M361" t="n">
        <v>0</v>
      </c>
      <c r="N361" t="n">
        <v>0</v>
      </c>
      <c r="O361" t="n">
        <v>0</v>
      </c>
      <c r="P361" t="n">
        <v>0</v>
      </c>
      <c r="Q361" t="n">
        <v>0</v>
      </c>
      <c r="R361" s="2" t="inlineStr"/>
    </row>
    <row r="362" ht="15" customHeight="1">
      <c r="A362" t="inlineStr">
        <is>
          <t>A 59128-2022</t>
        </is>
      </c>
      <c r="B362" s="1" t="n">
        <v>44904</v>
      </c>
      <c r="C362" s="1" t="n">
        <v>45474</v>
      </c>
      <c r="D362" t="inlineStr">
        <is>
          <t>VÄSTERNORRLANDS LÄN</t>
        </is>
      </c>
      <c r="E362" t="inlineStr">
        <is>
          <t>TIMRÅ</t>
        </is>
      </c>
      <c r="G362" t="n">
        <v>9</v>
      </c>
      <c r="H362" t="n">
        <v>0</v>
      </c>
      <c r="I362" t="n">
        <v>0</v>
      </c>
      <c r="J362" t="n">
        <v>0</v>
      </c>
      <c r="K362" t="n">
        <v>0</v>
      </c>
      <c r="L362" t="n">
        <v>0</v>
      </c>
      <c r="M362" t="n">
        <v>0</v>
      </c>
      <c r="N362" t="n">
        <v>0</v>
      </c>
      <c r="O362" t="n">
        <v>0</v>
      </c>
      <c r="P362" t="n">
        <v>0</v>
      </c>
      <c r="Q362" t="n">
        <v>0</v>
      </c>
      <c r="R362" s="2" t="inlineStr"/>
    </row>
    <row r="363" ht="15" customHeight="1">
      <c r="A363" t="inlineStr">
        <is>
          <t>A 60166-2022</t>
        </is>
      </c>
      <c r="B363" s="1" t="n">
        <v>44909</v>
      </c>
      <c r="C363" s="1" t="n">
        <v>45474</v>
      </c>
      <c r="D363" t="inlineStr">
        <is>
          <t>VÄSTERNORRLANDS LÄN</t>
        </is>
      </c>
      <c r="E363" t="inlineStr">
        <is>
          <t>TIMRÅ</t>
        </is>
      </c>
      <c r="G363" t="n">
        <v>1.8</v>
      </c>
      <c r="H363" t="n">
        <v>0</v>
      </c>
      <c r="I363" t="n">
        <v>0</v>
      </c>
      <c r="J363" t="n">
        <v>0</v>
      </c>
      <c r="K363" t="n">
        <v>0</v>
      </c>
      <c r="L363" t="n">
        <v>0</v>
      </c>
      <c r="M363" t="n">
        <v>0</v>
      </c>
      <c r="N363" t="n">
        <v>0</v>
      </c>
      <c r="O363" t="n">
        <v>0</v>
      </c>
      <c r="P363" t="n">
        <v>0</v>
      </c>
      <c r="Q363" t="n">
        <v>0</v>
      </c>
      <c r="R363" s="2" t="inlineStr"/>
    </row>
    <row r="364" ht="15" customHeight="1">
      <c r="A364" t="inlineStr">
        <is>
          <t>A 61576-2022</t>
        </is>
      </c>
      <c r="B364" s="1" t="n">
        <v>44910</v>
      </c>
      <c r="C364" s="1" t="n">
        <v>45474</v>
      </c>
      <c r="D364" t="inlineStr">
        <is>
          <t>VÄSTERNORRLANDS LÄN</t>
        </is>
      </c>
      <c r="E364" t="inlineStr">
        <is>
          <t>TIMRÅ</t>
        </is>
      </c>
      <c r="G364" t="n">
        <v>4</v>
      </c>
      <c r="H364" t="n">
        <v>0</v>
      </c>
      <c r="I364" t="n">
        <v>0</v>
      </c>
      <c r="J364" t="n">
        <v>0</v>
      </c>
      <c r="K364" t="n">
        <v>0</v>
      </c>
      <c r="L364" t="n">
        <v>0</v>
      </c>
      <c r="M364" t="n">
        <v>0</v>
      </c>
      <c r="N364" t="n">
        <v>0</v>
      </c>
      <c r="O364" t="n">
        <v>0</v>
      </c>
      <c r="P364" t="n">
        <v>0</v>
      </c>
      <c r="Q364" t="n">
        <v>0</v>
      </c>
      <c r="R364" s="2" t="inlineStr"/>
    </row>
    <row r="365" ht="15" customHeight="1">
      <c r="A365" t="inlineStr">
        <is>
          <t>A 61373-2022</t>
        </is>
      </c>
      <c r="B365" s="1" t="n">
        <v>44915</v>
      </c>
      <c r="C365" s="1" t="n">
        <v>45474</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62113-2022</t>
        </is>
      </c>
      <c r="B366" s="1" t="n">
        <v>44921</v>
      </c>
      <c r="C366" s="1" t="n">
        <v>45474</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528-2023</t>
        </is>
      </c>
      <c r="B367" s="1" t="n">
        <v>44924</v>
      </c>
      <c r="C367" s="1" t="n">
        <v>45474</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524-2023</t>
        </is>
      </c>
      <c r="B368" s="1" t="n">
        <v>44924</v>
      </c>
      <c r="C368" s="1" t="n">
        <v>45474</v>
      </c>
      <c r="D368" t="inlineStr">
        <is>
          <t>VÄSTERNORRLANDS LÄN</t>
        </is>
      </c>
      <c r="E368" t="inlineStr">
        <is>
          <t>TIMRÅ</t>
        </is>
      </c>
      <c r="G368" t="n">
        <v>3</v>
      </c>
      <c r="H368" t="n">
        <v>0</v>
      </c>
      <c r="I368" t="n">
        <v>0</v>
      </c>
      <c r="J368" t="n">
        <v>0</v>
      </c>
      <c r="K368" t="n">
        <v>0</v>
      </c>
      <c r="L368" t="n">
        <v>0</v>
      </c>
      <c r="M368" t="n">
        <v>0</v>
      </c>
      <c r="N368" t="n">
        <v>0</v>
      </c>
      <c r="O368" t="n">
        <v>0</v>
      </c>
      <c r="P368" t="n">
        <v>0</v>
      </c>
      <c r="Q368" t="n">
        <v>0</v>
      </c>
      <c r="R368" s="2" t="inlineStr"/>
    </row>
    <row r="369" ht="15" customHeight="1">
      <c r="A369" t="inlineStr">
        <is>
          <t>A 704-2023</t>
        </is>
      </c>
      <c r="B369" s="1" t="n">
        <v>44930</v>
      </c>
      <c r="C369" s="1" t="n">
        <v>45474</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1416-2023</t>
        </is>
      </c>
      <c r="B370" s="1" t="n">
        <v>44936</v>
      </c>
      <c r="C370" s="1" t="n">
        <v>45474</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1415-2023</t>
        </is>
      </c>
      <c r="B371" s="1" t="n">
        <v>44936</v>
      </c>
      <c r="C371" s="1" t="n">
        <v>45474</v>
      </c>
      <c r="D371" t="inlineStr">
        <is>
          <t>VÄSTERNORRLANDS LÄN</t>
        </is>
      </c>
      <c r="E371" t="inlineStr">
        <is>
          <t>TIMRÅ</t>
        </is>
      </c>
      <c r="G371" t="n">
        <v>1.4</v>
      </c>
      <c r="H371" t="n">
        <v>0</v>
      </c>
      <c r="I371" t="n">
        <v>0</v>
      </c>
      <c r="J371" t="n">
        <v>0</v>
      </c>
      <c r="K371" t="n">
        <v>0</v>
      </c>
      <c r="L371" t="n">
        <v>0</v>
      </c>
      <c r="M371" t="n">
        <v>0</v>
      </c>
      <c r="N371" t="n">
        <v>0</v>
      </c>
      <c r="O371" t="n">
        <v>0</v>
      </c>
      <c r="P371" t="n">
        <v>0</v>
      </c>
      <c r="Q371" t="n">
        <v>0</v>
      </c>
      <c r="R371" s="2" t="inlineStr"/>
    </row>
    <row r="372" ht="15" customHeight="1">
      <c r="A372" t="inlineStr">
        <is>
          <t>A 1896-2023</t>
        </is>
      </c>
      <c r="B372" s="1" t="n">
        <v>44939</v>
      </c>
      <c r="C372" s="1" t="n">
        <v>45474</v>
      </c>
      <c r="D372" t="inlineStr">
        <is>
          <t>VÄSTERNORRLANDS LÄN</t>
        </is>
      </c>
      <c r="E372" t="inlineStr">
        <is>
          <t>TIMRÅ</t>
        </is>
      </c>
      <c r="G372" t="n">
        <v>7.6</v>
      </c>
      <c r="H372" t="n">
        <v>0</v>
      </c>
      <c r="I372" t="n">
        <v>0</v>
      </c>
      <c r="J372" t="n">
        <v>0</v>
      </c>
      <c r="K372" t="n">
        <v>0</v>
      </c>
      <c r="L372" t="n">
        <v>0</v>
      </c>
      <c r="M372" t="n">
        <v>0</v>
      </c>
      <c r="N372" t="n">
        <v>0</v>
      </c>
      <c r="O372" t="n">
        <v>0</v>
      </c>
      <c r="P372" t="n">
        <v>0</v>
      </c>
      <c r="Q372" t="n">
        <v>0</v>
      </c>
      <c r="R372" s="2" t="inlineStr"/>
    </row>
    <row r="373" ht="15" customHeight="1">
      <c r="A373" t="inlineStr">
        <is>
          <t>A 1935-2023</t>
        </is>
      </c>
      <c r="B373" s="1" t="n">
        <v>44939</v>
      </c>
      <c r="C373" s="1" t="n">
        <v>45474</v>
      </c>
      <c r="D373" t="inlineStr">
        <is>
          <t>VÄSTERNORRLANDS LÄN</t>
        </is>
      </c>
      <c r="E373" t="inlineStr">
        <is>
          <t>TIMRÅ</t>
        </is>
      </c>
      <c r="G373" t="n">
        <v>5</v>
      </c>
      <c r="H373" t="n">
        <v>0</v>
      </c>
      <c r="I373" t="n">
        <v>0</v>
      </c>
      <c r="J373" t="n">
        <v>0</v>
      </c>
      <c r="K373" t="n">
        <v>0</v>
      </c>
      <c r="L373" t="n">
        <v>0</v>
      </c>
      <c r="M373" t="n">
        <v>0</v>
      </c>
      <c r="N373" t="n">
        <v>0</v>
      </c>
      <c r="O373" t="n">
        <v>0</v>
      </c>
      <c r="P373" t="n">
        <v>0</v>
      </c>
      <c r="Q373" t="n">
        <v>0</v>
      </c>
      <c r="R373" s="2" t="inlineStr"/>
    </row>
    <row r="374" ht="15" customHeight="1">
      <c r="A374" t="inlineStr">
        <is>
          <t>A 2434-2023</t>
        </is>
      </c>
      <c r="B374" s="1" t="n">
        <v>44943</v>
      </c>
      <c r="C374" s="1" t="n">
        <v>45474</v>
      </c>
      <c r="D374" t="inlineStr">
        <is>
          <t>VÄSTERNORRLANDS LÄN</t>
        </is>
      </c>
      <c r="E374" t="inlineStr">
        <is>
          <t>TIMRÅ</t>
        </is>
      </c>
      <c r="G374" t="n">
        <v>6.6</v>
      </c>
      <c r="H374" t="n">
        <v>0</v>
      </c>
      <c r="I374" t="n">
        <v>0</v>
      </c>
      <c r="J374" t="n">
        <v>0</v>
      </c>
      <c r="K374" t="n">
        <v>0</v>
      </c>
      <c r="L374" t="n">
        <v>0</v>
      </c>
      <c r="M374" t="n">
        <v>0</v>
      </c>
      <c r="N374" t="n">
        <v>0</v>
      </c>
      <c r="O374" t="n">
        <v>0</v>
      </c>
      <c r="P374" t="n">
        <v>0</v>
      </c>
      <c r="Q374" t="n">
        <v>0</v>
      </c>
      <c r="R374" s="2" t="inlineStr"/>
    </row>
    <row r="375" ht="15" customHeight="1">
      <c r="A375" t="inlineStr">
        <is>
          <t>A 4124-2023</t>
        </is>
      </c>
      <c r="B375" s="1" t="n">
        <v>44952</v>
      </c>
      <c r="C375" s="1" t="n">
        <v>45474</v>
      </c>
      <c r="D375" t="inlineStr">
        <is>
          <t>VÄSTERNORRLANDS LÄN</t>
        </is>
      </c>
      <c r="E375" t="inlineStr">
        <is>
          <t>TIMRÅ</t>
        </is>
      </c>
      <c r="G375" t="n">
        <v>4.4</v>
      </c>
      <c r="H375" t="n">
        <v>0</v>
      </c>
      <c r="I375" t="n">
        <v>0</v>
      </c>
      <c r="J375" t="n">
        <v>0</v>
      </c>
      <c r="K375" t="n">
        <v>0</v>
      </c>
      <c r="L375" t="n">
        <v>0</v>
      </c>
      <c r="M375" t="n">
        <v>0</v>
      </c>
      <c r="N375" t="n">
        <v>0</v>
      </c>
      <c r="O375" t="n">
        <v>0</v>
      </c>
      <c r="P375" t="n">
        <v>0</v>
      </c>
      <c r="Q375" t="n">
        <v>0</v>
      </c>
      <c r="R375" s="2" t="inlineStr"/>
    </row>
    <row r="376" ht="15" customHeight="1">
      <c r="A376" t="inlineStr">
        <is>
          <t>A 4123-2023</t>
        </is>
      </c>
      <c r="B376" s="1" t="n">
        <v>44952</v>
      </c>
      <c r="C376" s="1" t="n">
        <v>45474</v>
      </c>
      <c r="D376" t="inlineStr">
        <is>
          <t>VÄSTERNORRLANDS LÄN</t>
        </is>
      </c>
      <c r="E376" t="inlineStr">
        <is>
          <t>TIMRÅ</t>
        </is>
      </c>
      <c r="G376" t="n">
        <v>9.5</v>
      </c>
      <c r="H376" t="n">
        <v>0</v>
      </c>
      <c r="I376" t="n">
        <v>0</v>
      </c>
      <c r="J376" t="n">
        <v>0</v>
      </c>
      <c r="K376" t="n">
        <v>0</v>
      </c>
      <c r="L376" t="n">
        <v>0</v>
      </c>
      <c r="M376" t="n">
        <v>0</v>
      </c>
      <c r="N376" t="n">
        <v>0</v>
      </c>
      <c r="O376" t="n">
        <v>0</v>
      </c>
      <c r="P376" t="n">
        <v>0</v>
      </c>
      <c r="Q376" t="n">
        <v>0</v>
      </c>
      <c r="R376" s="2" t="inlineStr"/>
    </row>
    <row r="377" ht="15" customHeight="1">
      <c r="A377" t="inlineStr">
        <is>
          <t>A 4126-2023</t>
        </is>
      </c>
      <c r="B377" s="1" t="n">
        <v>44952</v>
      </c>
      <c r="C377" s="1" t="n">
        <v>45474</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4125-2023</t>
        </is>
      </c>
      <c r="B378" s="1" t="n">
        <v>44952</v>
      </c>
      <c r="C378" s="1" t="n">
        <v>45474</v>
      </c>
      <c r="D378" t="inlineStr">
        <is>
          <t>VÄSTERNORRLANDS LÄN</t>
        </is>
      </c>
      <c r="E378" t="inlineStr">
        <is>
          <t>TIMRÅ</t>
        </is>
      </c>
      <c r="G378" t="n">
        <v>2.3</v>
      </c>
      <c r="H378" t="n">
        <v>0</v>
      </c>
      <c r="I378" t="n">
        <v>0</v>
      </c>
      <c r="J378" t="n">
        <v>0</v>
      </c>
      <c r="K378" t="n">
        <v>0</v>
      </c>
      <c r="L378" t="n">
        <v>0</v>
      </c>
      <c r="M378" t="n">
        <v>0</v>
      </c>
      <c r="N378" t="n">
        <v>0</v>
      </c>
      <c r="O378" t="n">
        <v>0</v>
      </c>
      <c r="P378" t="n">
        <v>0</v>
      </c>
      <c r="Q378" t="n">
        <v>0</v>
      </c>
      <c r="R378" s="2" t="inlineStr"/>
    </row>
    <row r="379" ht="15" customHeight="1">
      <c r="A379" t="inlineStr">
        <is>
          <t>A 4129-2023</t>
        </is>
      </c>
      <c r="B379" s="1" t="n">
        <v>44952</v>
      </c>
      <c r="C379" s="1" t="n">
        <v>45474</v>
      </c>
      <c r="D379" t="inlineStr">
        <is>
          <t>VÄSTERNORRLANDS LÄN</t>
        </is>
      </c>
      <c r="E379" t="inlineStr">
        <is>
          <t>TIMRÅ</t>
        </is>
      </c>
      <c r="G379" t="n">
        <v>13.3</v>
      </c>
      <c r="H379" t="n">
        <v>0</v>
      </c>
      <c r="I379" t="n">
        <v>0</v>
      </c>
      <c r="J379" t="n">
        <v>0</v>
      </c>
      <c r="K379" t="n">
        <v>0</v>
      </c>
      <c r="L379" t="n">
        <v>0</v>
      </c>
      <c r="M379" t="n">
        <v>0</v>
      </c>
      <c r="N379" t="n">
        <v>0</v>
      </c>
      <c r="O379" t="n">
        <v>0</v>
      </c>
      <c r="P379" t="n">
        <v>0</v>
      </c>
      <c r="Q379" t="n">
        <v>0</v>
      </c>
      <c r="R379" s="2" t="inlineStr"/>
    </row>
    <row r="380" ht="15" customHeight="1">
      <c r="A380" t="inlineStr">
        <is>
          <t>A 6772-2023</t>
        </is>
      </c>
      <c r="B380" s="1" t="n">
        <v>44966</v>
      </c>
      <c r="C380" s="1" t="n">
        <v>45474</v>
      </c>
      <c r="D380" t="inlineStr">
        <is>
          <t>VÄSTERNORRLANDS LÄN</t>
        </is>
      </c>
      <c r="E380" t="inlineStr">
        <is>
          <t>TIMRÅ</t>
        </is>
      </c>
      <c r="G380" t="n">
        <v>1.9</v>
      </c>
      <c r="H380" t="n">
        <v>0</v>
      </c>
      <c r="I380" t="n">
        <v>0</v>
      </c>
      <c r="J380" t="n">
        <v>0</v>
      </c>
      <c r="K380" t="n">
        <v>0</v>
      </c>
      <c r="L380" t="n">
        <v>0</v>
      </c>
      <c r="M380" t="n">
        <v>0</v>
      </c>
      <c r="N380" t="n">
        <v>0</v>
      </c>
      <c r="O380" t="n">
        <v>0</v>
      </c>
      <c r="P380" t="n">
        <v>0</v>
      </c>
      <c r="Q380" t="n">
        <v>0</v>
      </c>
      <c r="R380" s="2" t="inlineStr"/>
    </row>
    <row r="381" ht="15" customHeight="1">
      <c r="A381" t="inlineStr">
        <is>
          <t>A 6770-2023</t>
        </is>
      </c>
      <c r="B381" s="1" t="n">
        <v>44966</v>
      </c>
      <c r="C381" s="1" t="n">
        <v>45474</v>
      </c>
      <c r="D381" t="inlineStr">
        <is>
          <t>VÄSTERNORRLANDS LÄN</t>
        </is>
      </c>
      <c r="E381" t="inlineStr">
        <is>
          <t>TIMRÅ</t>
        </is>
      </c>
      <c r="G381" t="n">
        <v>3.3</v>
      </c>
      <c r="H381" t="n">
        <v>0</v>
      </c>
      <c r="I381" t="n">
        <v>0</v>
      </c>
      <c r="J381" t="n">
        <v>0</v>
      </c>
      <c r="K381" t="n">
        <v>0</v>
      </c>
      <c r="L381" t="n">
        <v>0</v>
      </c>
      <c r="M381" t="n">
        <v>0</v>
      </c>
      <c r="N381" t="n">
        <v>0</v>
      </c>
      <c r="O381" t="n">
        <v>0</v>
      </c>
      <c r="P381" t="n">
        <v>0</v>
      </c>
      <c r="Q381" t="n">
        <v>0</v>
      </c>
      <c r="R381" s="2" t="inlineStr"/>
    </row>
    <row r="382" ht="15" customHeight="1">
      <c r="A382" t="inlineStr">
        <is>
          <t>A 6771-2023</t>
        </is>
      </c>
      <c r="B382" s="1" t="n">
        <v>44966</v>
      </c>
      <c r="C382" s="1" t="n">
        <v>45474</v>
      </c>
      <c r="D382" t="inlineStr">
        <is>
          <t>VÄSTERNORRLANDS LÄN</t>
        </is>
      </c>
      <c r="E382" t="inlineStr">
        <is>
          <t>TIMRÅ</t>
        </is>
      </c>
      <c r="G382" t="n">
        <v>3</v>
      </c>
      <c r="H382" t="n">
        <v>0</v>
      </c>
      <c r="I382" t="n">
        <v>0</v>
      </c>
      <c r="J382" t="n">
        <v>0</v>
      </c>
      <c r="K382" t="n">
        <v>0</v>
      </c>
      <c r="L382" t="n">
        <v>0</v>
      </c>
      <c r="M382" t="n">
        <v>0</v>
      </c>
      <c r="N382" t="n">
        <v>0</v>
      </c>
      <c r="O382" t="n">
        <v>0</v>
      </c>
      <c r="P382" t="n">
        <v>0</v>
      </c>
      <c r="Q382" t="n">
        <v>0</v>
      </c>
      <c r="R382" s="2" t="inlineStr"/>
    </row>
    <row r="383" ht="15" customHeight="1">
      <c r="A383" t="inlineStr">
        <is>
          <t>A 8632-2023</t>
        </is>
      </c>
      <c r="B383" s="1" t="n">
        <v>44977</v>
      </c>
      <c r="C383" s="1" t="n">
        <v>45474</v>
      </c>
      <c r="D383" t="inlineStr">
        <is>
          <t>VÄSTERNORRLANDS LÄN</t>
        </is>
      </c>
      <c r="E383" t="inlineStr">
        <is>
          <t>TIMRÅ</t>
        </is>
      </c>
      <c r="G383" t="n">
        <v>0.8</v>
      </c>
      <c r="H383" t="n">
        <v>0</v>
      </c>
      <c r="I383" t="n">
        <v>0</v>
      </c>
      <c r="J383" t="n">
        <v>0</v>
      </c>
      <c r="K383" t="n">
        <v>0</v>
      </c>
      <c r="L383" t="n">
        <v>0</v>
      </c>
      <c r="M383" t="n">
        <v>0</v>
      </c>
      <c r="N383" t="n">
        <v>0</v>
      </c>
      <c r="O383" t="n">
        <v>0</v>
      </c>
      <c r="P383" t="n">
        <v>0</v>
      </c>
      <c r="Q383" t="n">
        <v>0</v>
      </c>
      <c r="R383" s="2" t="inlineStr"/>
    </row>
    <row r="384" ht="15" customHeight="1">
      <c r="A384" t="inlineStr">
        <is>
          <t>A 9612-2023</t>
        </is>
      </c>
      <c r="B384" s="1" t="n">
        <v>44983</v>
      </c>
      <c r="C384" s="1" t="n">
        <v>45474</v>
      </c>
      <c r="D384" t="inlineStr">
        <is>
          <t>VÄSTERNORRLANDS LÄN</t>
        </is>
      </c>
      <c r="E384" t="inlineStr">
        <is>
          <t>TIMRÅ</t>
        </is>
      </c>
      <c r="F384" t="inlineStr">
        <is>
          <t>SCA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9880-2023</t>
        </is>
      </c>
      <c r="B385" s="1" t="n">
        <v>44984</v>
      </c>
      <c r="C385" s="1" t="n">
        <v>45474</v>
      </c>
      <c r="D385" t="inlineStr">
        <is>
          <t>VÄSTERNORRLANDS LÄN</t>
        </is>
      </c>
      <c r="E385" t="inlineStr">
        <is>
          <t>TIMRÅ</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10103-2023</t>
        </is>
      </c>
      <c r="B386" s="1" t="n">
        <v>44985</v>
      </c>
      <c r="C386" s="1" t="n">
        <v>45474</v>
      </c>
      <c r="D386" t="inlineStr">
        <is>
          <t>VÄSTERNORRLANDS LÄN</t>
        </is>
      </c>
      <c r="E386" t="inlineStr">
        <is>
          <t>TIMRÅ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10104-2023</t>
        </is>
      </c>
      <c r="B387" s="1" t="n">
        <v>44985</v>
      </c>
      <c r="C387" s="1" t="n">
        <v>45474</v>
      </c>
      <c r="D387" t="inlineStr">
        <is>
          <t>VÄSTERNORRLANDS LÄN</t>
        </is>
      </c>
      <c r="E387" t="inlineStr">
        <is>
          <t>TIMRÅ</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10312-2023</t>
        </is>
      </c>
      <c r="B388" s="1" t="n">
        <v>44986</v>
      </c>
      <c r="C388" s="1" t="n">
        <v>45474</v>
      </c>
      <c r="D388" t="inlineStr">
        <is>
          <t>VÄSTERNORRLANDS LÄN</t>
        </is>
      </c>
      <c r="E388" t="inlineStr">
        <is>
          <t>TIMRÅ</t>
        </is>
      </c>
      <c r="F388" t="inlineStr">
        <is>
          <t>SCA</t>
        </is>
      </c>
      <c r="G388" t="n">
        <v>38.4</v>
      </c>
      <c r="H388" t="n">
        <v>0</v>
      </c>
      <c r="I388" t="n">
        <v>0</v>
      </c>
      <c r="J388" t="n">
        <v>0</v>
      </c>
      <c r="K388" t="n">
        <v>0</v>
      </c>
      <c r="L388" t="n">
        <v>0</v>
      </c>
      <c r="M388" t="n">
        <v>0</v>
      </c>
      <c r="N388" t="n">
        <v>0</v>
      </c>
      <c r="O388" t="n">
        <v>0</v>
      </c>
      <c r="P388" t="n">
        <v>0</v>
      </c>
      <c r="Q388" t="n">
        <v>0</v>
      </c>
      <c r="R388" s="2" t="inlineStr"/>
    </row>
    <row r="389" ht="15" customHeight="1">
      <c r="A389" t="inlineStr">
        <is>
          <t>A 10556-2023</t>
        </is>
      </c>
      <c r="B389" s="1" t="n">
        <v>44987</v>
      </c>
      <c r="C389" s="1" t="n">
        <v>45474</v>
      </c>
      <c r="D389" t="inlineStr">
        <is>
          <t>VÄSTERNORRLANDS LÄN</t>
        </is>
      </c>
      <c r="E389" t="inlineStr">
        <is>
          <t>TIMRÅ</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10773-2023</t>
        </is>
      </c>
      <c r="B390" s="1" t="n">
        <v>44988</v>
      </c>
      <c r="C390" s="1" t="n">
        <v>45474</v>
      </c>
      <c r="D390" t="inlineStr">
        <is>
          <t>VÄSTERNORRLANDS LÄN</t>
        </is>
      </c>
      <c r="E390" t="inlineStr">
        <is>
          <t>TIMRÅ</t>
        </is>
      </c>
      <c r="F390" t="inlineStr">
        <is>
          <t>SCA</t>
        </is>
      </c>
      <c r="G390" t="n">
        <v>17.3</v>
      </c>
      <c r="H390" t="n">
        <v>0</v>
      </c>
      <c r="I390" t="n">
        <v>0</v>
      </c>
      <c r="J390" t="n">
        <v>0</v>
      </c>
      <c r="K390" t="n">
        <v>0</v>
      </c>
      <c r="L390" t="n">
        <v>0</v>
      </c>
      <c r="M390" t="n">
        <v>0</v>
      </c>
      <c r="N390" t="n">
        <v>0</v>
      </c>
      <c r="O390" t="n">
        <v>0</v>
      </c>
      <c r="P390" t="n">
        <v>0</v>
      </c>
      <c r="Q390" t="n">
        <v>0</v>
      </c>
      <c r="R390" s="2" t="inlineStr"/>
    </row>
    <row r="391" ht="15" customHeight="1">
      <c r="A391" t="inlineStr">
        <is>
          <t>A 13256-2023</t>
        </is>
      </c>
      <c r="B391" s="1" t="n">
        <v>45002</v>
      </c>
      <c r="C391" s="1" t="n">
        <v>45474</v>
      </c>
      <c r="D391" t="inlineStr">
        <is>
          <t>VÄSTERNORRLANDS LÄN</t>
        </is>
      </c>
      <c r="E391" t="inlineStr">
        <is>
          <t>TIMRÅ</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13254-2023</t>
        </is>
      </c>
      <c r="B392" s="1" t="n">
        <v>45002</v>
      </c>
      <c r="C392" s="1" t="n">
        <v>45474</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13255-2023</t>
        </is>
      </c>
      <c r="B393" s="1" t="n">
        <v>45002</v>
      </c>
      <c r="C393" s="1" t="n">
        <v>45474</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13253-2023</t>
        </is>
      </c>
      <c r="B394" s="1" t="n">
        <v>45002</v>
      </c>
      <c r="C394" s="1" t="n">
        <v>45474</v>
      </c>
      <c r="D394" t="inlineStr">
        <is>
          <t>VÄSTERNORRLANDS LÄN</t>
        </is>
      </c>
      <c r="E394" t="inlineStr">
        <is>
          <t>TIMRÅ</t>
        </is>
      </c>
      <c r="F394" t="inlineStr">
        <is>
          <t>SCA</t>
        </is>
      </c>
      <c r="G394" t="n">
        <v>10.1</v>
      </c>
      <c r="H394" t="n">
        <v>0</v>
      </c>
      <c r="I394" t="n">
        <v>0</v>
      </c>
      <c r="J394" t="n">
        <v>0</v>
      </c>
      <c r="K394" t="n">
        <v>0</v>
      </c>
      <c r="L394" t="n">
        <v>0</v>
      </c>
      <c r="M394" t="n">
        <v>0</v>
      </c>
      <c r="N394" t="n">
        <v>0</v>
      </c>
      <c r="O394" t="n">
        <v>0</v>
      </c>
      <c r="P394" t="n">
        <v>0</v>
      </c>
      <c r="Q394" t="n">
        <v>0</v>
      </c>
      <c r="R394" s="2" t="inlineStr"/>
    </row>
    <row r="395" ht="15" customHeight="1">
      <c r="A395" t="inlineStr">
        <is>
          <t>A 13446-2023</t>
        </is>
      </c>
      <c r="B395" s="1" t="n">
        <v>45005</v>
      </c>
      <c r="C395" s="1" t="n">
        <v>45474</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14865-2023</t>
        </is>
      </c>
      <c r="B396" s="1" t="n">
        <v>45015</v>
      </c>
      <c r="C396" s="1" t="n">
        <v>45474</v>
      </c>
      <c r="D396" t="inlineStr">
        <is>
          <t>VÄSTERNORRLANDS LÄN</t>
        </is>
      </c>
      <c r="E396" t="inlineStr">
        <is>
          <t>TIMRÅ</t>
        </is>
      </c>
      <c r="F396" t="inlineStr">
        <is>
          <t>SCA</t>
        </is>
      </c>
      <c r="G396" t="n">
        <v>20.1</v>
      </c>
      <c r="H396" t="n">
        <v>0</v>
      </c>
      <c r="I396" t="n">
        <v>0</v>
      </c>
      <c r="J396" t="n">
        <v>0</v>
      </c>
      <c r="K396" t="n">
        <v>0</v>
      </c>
      <c r="L396" t="n">
        <v>0</v>
      </c>
      <c r="M396" t="n">
        <v>0</v>
      </c>
      <c r="N396" t="n">
        <v>0</v>
      </c>
      <c r="O396" t="n">
        <v>0</v>
      </c>
      <c r="P396" t="n">
        <v>0</v>
      </c>
      <c r="Q396" t="n">
        <v>0</v>
      </c>
      <c r="R396" s="2" t="inlineStr"/>
    </row>
    <row r="397" ht="15" customHeight="1">
      <c r="A397" t="inlineStr">
        <is>
          <t>A 14863-2023</t>
        </is>
      </c>
      <c r="B397" s="1" t="n">
        <v>45015</v>
      </c>
      <c r="C397" s="1" t="n">
        <v>45474</v>
      </c>
      <c r="D397" t="inlineStr">
        <is>
          <t>VÄSTERNORRLANDS LÄN</t>
        </is>
      </c>
      <c r="E397" t="inlineStr">
        <is>
          <t>TIMRÅ</t>
        </is>
      </c>
      <c r="F397" t="inlineStr">
        <is>
          <t>SCA</t>
        </is>
      </c>
      <c r="G397" t="n">
        <v>19.8</v>
      </c>
      <c r="H397" t="n">
        <v>0</v>
      </c>
      <c r="I397" t="n">
        <v>0</v>
      </c>
      <c r="J397" t="n">
        <v>0</v>
      </c>
      <c r="K397" t="n">
        <v>0</v>
      </c>
      <c r="L397" t="n">
        <v>0</v>
      </c>
      <c r="M397" t="n">
        <v>0</v>
      </c>
      <c r="N397" t="n">
        <v>0</v>
      </c>
      <c r="O397" t="n">
        <v>0</v>
      </c>
      <c r="P397" t="n">
        <v>0</v>
      </c>
      <c r="Q397" t="n">
        <v>0</v>
      </c>
      <c r="R397" s="2" t="inlineStr"/>
    </row>
    <row r="398" ht="15" customHeight="1">
      <c r="A398" t="inlineStr">
        <is>
          <t>A 14864-2023</t>
        </is>
      </c>
      <c r="B398" s="1" t="n">
        <v>45015</v>
      </c>
      <c r="C398" s="1" t="n">
        <v>45474</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15815-2023</t>
        </is>
      </c>
      <c r="B399" s="1" t="n">
        <v>45022</v>
      </c>
      <c r="C399" s="1" t="n">
        <v>45474</v>
      </c>
      <c r="D399" t="inlineStr">
        <is>
          <t>VÄSTERNORRLANDS LÄN</t>
        </is>
      </c>
      <c r="E399" t="inlineStr">
        <is>
          <t>TIMRÅ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15820-2023</t>
        </is>
      </c>
      <c r="B400" s="1" t="n">
        <v>45022</v>
      </c>
      <c r="C400" s="1" t="n">
        <v>45474</v>
      </c>
      <c r="D400" t="inlineStr">
        <is>
          <t>VÄSTERNORRLANDS LÄN</t>
        </is>
      </c>
      <c r="E400" t="inlineStr">
        <is>
          <t>TIMRÅ</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15816-2023</t>
        </is>
      </c>
      <c r="B401" s="1" t="n">
        <v>45021</v>
      </c>
      <c r="C401" s="1" t="n">
        <v>45474</v>
      </c>
      <c r="D401" t="inlineStr">
        <is>
          <t>VÄSTERNORRLANDS LÄN</t>
        </is>
      </c>
      <c r="E401" t="inlineStr">
        <is>
          <t>TIMRÅ</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15821-2023</t>
        </is>
      </c>
      <c r="B402" s="1" t="n">
        <v>45022</v>
      </c>
      <c r="C402" s="1" t="n">
        <v>45474</v>
      </c>
      <c r="D402" t="inlineStr">
        <is>
          <t>VÄSTERNORRLANDS LÄN</t>
        </is>
      </c>
      <c r="E402" t="inlineStr">
        <is>
          <t>TIMRÅ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15823-2023</t>
        </is>
      </c>
      <c r="B403" s="1" t="n">
        <v>45021</v>
      </c>
      <c r="C403" s="1" t="n">
        <v>45474</v>
      </c>
      <c r="D403" t="inlineStr">
        <is>
          <t>VÄSTERNORRLANDS LÄN</t>
        </is>
      </c>
      <c r="E403" t="inlineStr">
        <is>
          <t>TIMRÅ</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16554-2023</t>
        </is>
      </c>
      <c r="B404" s="1" t="n">
        <v>45029</v>
      </c>
      <c r="C404" s="1" t="n">
        <v>45474</v>
      </c>
      <c r="D404" t="inlineStr">
        <is>
          <t>VÄSTERNORRLANDS LÄN</t>
        </is>
      </c>
      <c r="E404" t="inlineStr">
        <is>
          <t>TIMRÅ</t>
        </is>
      </c>
      <c r="G404" t="n">
        <v>3.8</v>
      </c>
      <c r="H404" t="n">
        <v>0</v>
      </c>
      <c r="I404" t="n">
        <v>0</v>
      </c>
      <c r="J404" t="n">
        <v>0</v>
      </c>
      <c r="K404" t="n">
        <v>0</v>
      </c>
      <c r="L404" t="n">
        <v>0</v>
      </c>
      <c r="M404" t="n">
        <v>0</v>
      </c>
      <c r="N404" t="n">
        <v>0</v>
      </c>
      <c r="O404" t="n">
        <v>0</v>
      </c>
      <c r="P404" t="n">
        <v>0</v>
      </c>
      <c r="Q404" t="n">
        <v>0</v>
      </c>
      <c r="R404" s="2" t="inlineStr"/>
    </row>
    <row r="405" ht="15" customHeight="1">
      <c r="A405" t="inlineStr">
        <is>
          <t>A 16555-2023</t>
        </is>
      </c>
      <c r="B405" s="1" t="n">
        <v>45029</v>
      </c>
      <c r="C405" s="1" t="n">
        <v>45474</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16786-2023</t>
        </is>
      </c>
      <c r="B406" s="1" t="n">
        <v>45032</v>
      </c>
      <c r="C406" s="1" t="n">
        <v>45474</v>
      </c>
      <c r="D406" t="inlineStr">
        <is>
          <t>VÄSTERNORRLANDS LÄN</t>
        </is>
      </c>
      <c r="E406" t="inlineStr">
        <is>
          <t>TIMRÅ</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17002-2023</t>
        </is>
      </c>
      <c r="B407" s="1" t="n">
        <v>45033</v>
      </c>
      <c r="C407" s="1" t="n">
        <v>45474</v>
      </c>
      <c r="D407" t="inlineStr">
        <is>
          <t>VÄSTERNORRLANDS LÄN</t>
        </is>
      </c>
      <c r="E407" t="inlineStr">
        <is>
          <t>TIMRÅ</t>
        </is>
      </c>
      <c r="F407" t="inlineStr">
        <is>
          <t>SCA</t>
        </is>
      </c>
      <c r="G407" t="n">
        <v>12.7</v>
      </c>
      <c r="H407" t="n">
        <v>0</v>
      </c>
      <c r="I407" t="n">
        <v>0</v>
      </c>
      <c r="J407" t="n">
        <v>0</v>
      </c>
      <c r="K407" t="n">
        <v>0</v>
      </c>
      <c r="L407" t="n">
        <v>0</v>
      </c>
      <c r="M407" t="n">
        <v>0</v>
      </c>
      <c r="N407" t="n">
        <v>0</v>
      </c>
      <c r="O407" t="n">
        <v>0</v>
      </c>
      <c r="P407" t="n">
        <v>0</v>
      </c>
      <c r="Q407" t="n">
        <v>0</v>
      </c>
      <c r="R407" s="2" t="inlineStr"/>
    </row>
    <row r="408" ht="15" customHeight="1">
      <c r="A408" t="inlineStr">
        <is>
          <t>A 17441-2023</t>
        </is>
      </c>
      <c r="B408" s="1" t="n">
        <v>45036</v>
      </c>
      <c r="C408" s="1" t="n">
        <v>45474</v>
      </c>
      <c r="D408" t="inlineStr">
        <is>
          <t>VÄSTERNORRLANDS LÄN</t>
        </is>
      </c>
      <c r="E408" t="inlineStr">
        <is>
          <t>TIMRÅ</t>
        </is>
      </c>
      <c r="F408" t="inlineStr">
        <is>
          <t>SCA</t>
        </is>
      </c>
      <c r="G408" t="n">
        <v>7.4</v>
      </c>
      <c r="H408" t="n">
        <v>0</v>
      </c>
      <c r="I408" t="n">
        <v>0</v>
      </c>
      <c r="J408" t="n">
        <v>0</v>
      </c>
      <c r="K408" t="n">
        <v>0</v>
      </c>
      <c r="L408" t="n">
        <v>0</v>
      </c>
      <c r="M408" t="n">
        <v>0</v>
      </c>
      <c r="N408" t="n">
        <v>0</v>
      </c>
      <c r="O408" t="n">
        <v>0</v>
      </c>
      <c r="P408" t="n">
        <v>0</v>
      </c>
      <c r="Q408" t="n">
        <v>0</v>
      </c>
      <c r="R408" s="2" t="inlineStr"/>
    </row>
    <row r="409" ht="15" customHeight="1">
      <c r="A409" t="inlineStr">
        <is>
          <t>A 17865-2023</t>
        </is>
      </c>
      <c r="B409" s="1" t="n">
        <v>45038</v>
      </c>
      <c r="C409" s="1" t="n">
        <v>45474</v>
      </c>
      <c r="D409" t="inlineStr">
        <is>
          <t>VÄSTERNORRLANDS LÄN</t>
        </is>
      </c>
      <c r="E409" t="inlineStr">
        <is>
          <t>TIMRÅ</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17936-2023</t>
        </is>
      </c>
      <c r="B410" s="1" t="n">
        <v>45040</v>
      </c>
      <c r="C410" s="1" t="n">
        <v>45474</v>
      </c>
      <c r="D410" t="inlineStr">
        <is>
          <t>VÄSTERNORRLANDS LÄN</t>
        </is>
      </c>
      <c r="E410" t="inlineStr">
        <is>
          <t>TIMRÅ</t>
        </is>
      </c>
      <c r="G410" t="n">
        <v>4.8</v>
      </c>
      <c r="H410" t="n">
        <v>0</v>
      </c>
      <c r="I410" t="n">
        <v>0</v>
      </c>
      <c r="J410" t="n">
        <v>0</v>
      </c>
      <c r="K410" t="n">
        <v>0</v>
      </c>
      <c r="L410" t="n">
        <v>0</v>
      </c>
      <c r="M410" t="n">
        <v>0</v>
      </c>
      <c r="N410" t="n">
        <v>0</v>
      </c>
      <c r="O410" t="n">
        <v>0</v>
      </c>
      <c r="P410" t="n">
        <v>0</v>
      </c>
      <c r="Q410" t="n">
        <v>0</v>
      </c>
      <c r="R410" s="2" t="inlineStr"/>
    </row>
    <row r="411" ht="15" customHeight="1">
      <c r="A411" t="inlineStr">
        <is>
          <t>A 18289-2023</t>
        </is>
      </c>
      <c r="B411" s="1" t="n">
        <v>45040</v>
      </c>
      <c r="C411" s="1" t="n">
        <v>45474</v>
      </c>
      <c r="D411" t="inlineStr">
        <is>
          <t>VÄSTERNORRLANDS LÄN</t>
        </is>
      </c>
      <c r="E411" t="inlineStr">
        <is>
          <t>TIMRÅ</t>
        </is>
      </c>
      <c r="G411" t="n">
        <v>4.5</v>
      </c>
      <c r="H411" t="n">
        <v>0</v>
      </c>
      <c r="I411" t="n">
        <v>0</v>
      </c>
      <c r="J411" t="n">
        <v>0</v>
      </c>
      <c r="K411" t="n">
        <v>0</v>
      </c>
      <c r="L411" t="n">
        <v>0</v>
      </c>
      <c r="M411" t="n">
        <v>0</v>
      </c>
      <c r="N411" t="n">
        <v>0</v>
      </c>
      <c r="O411" t="n">
        <v>0</v>
      </c>
      <c r="P411" t="n">
        <v>0</v>
      </c>
      <c r="Q411" t="n">
        <v>0</v>
      </c>
      <c r="R411" s="2" t="inlineStr"/>
    </row>
    <row r="412" ht="15" customHeight="1">
      <c r="A412" t="inlineStr">
        <is>
          <t>A 18684-2023</t>
        </is>
      </c>
      <c r="B412" s="1" t="n">
        <v>45042</v>
      </c>
      <c r="C412" s="1" t="n">
        <v>45474</v>
      </c>
      <c r="D412" t="inlineStr">
        <is>
          <t>VÄSTERNORRLANDS LÄN</t>
        </is>
      </c>
      <c r="E412" t="inlineStr">
        <is>
          <t>TIMRÅ</t>
        </is>
      </c>
      <c r="G412" t="n">
        <v>5.7</v>
      </c>
      <c r="H412" t="n">
        <v>0</v>
      </c>
      <c r="I412" t="n">
        <v>0</v>
      </c>
      <c r="J412" t="n">
        <v>0</v>
      </c>
      <c r="K412" t="n">
        <v>0</v>
      </c>
      <c r="L412" t="n">
        <v>0</v>
      </c>
      <c r="M412" t="n">
        <v>0</v>
      </c>
      <c r="N412" t="n">
        <v>0</v>
      </c>
      <c r="O412" t="n">
        <v>0</v>
      </c>
      <c r="P412" t="n">
        <v>0</v>
      </c>
      <c r="Q412" t="n">
        <v>0</v>
      </c>
      <c r="R412" s="2" t="inlineStr"/>
    </row>
    <row r="413" ht="15" customHeight="1">
      <c r="A413" t="inlineStr">
        <is>
          <t>A 18778-2023</t>
        </is>
      </c>
      <c r="B413" s="1" t="n">
        <v>45043</v>
      </c>
      <c r="C413" s="1" t="n">
        <v>45474</v>
      </c>
      <c r="D413" t="inlineStr">
        <is>
          <t>VÄSTERNORRLANDS LÄN</t>
        </is>
      </c>
      <c r="E413" t="inlineStr">
        <is>
          <t>TIMRÅ</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19244-2023</t>
        </is>
      </c>
      <c r="B414" s="1" t="n">
        <v>45048</v>
      </c>
      <c r="C414" s="1" t="n">
        <v>45474</v>
      </c>
      <c r="D414" t="inlineStr">
        <is>
          <t>VÄSTERNORRLANDS LÄN</t>
        </is>
      </c>
      <c r="E414" t="inlineStr">
        <is>
          <t>TIMRÅ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19440-2023</t>
        </is>
      </c>
      <c r="B415" s="1" t="n">
        <v>45049</v>
      </c>
      <c r="C415" s="1" t="n">
        <v>45474</v>
      </c>
      <c r="D415" t="inlineStr">
        <is>
          <t>VÄSTERNORRLANDS LÄN</t>
        </is>
      </c>
      <c r="E415" t="inlineStr">
        <is>
          <t>TIMRÅ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20097-2023</t>
        </is>
      </c>
      <c r="B416" s="1" t="n">
        <v>45055</v>
      </c>
      <c r="C416" s="1" t="n">
        <v>45474</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20835-2023</t>
        </is>
      </c>
      <c r="B417" s="1" t="n">
        <v>45058</v>
      </c>
      <c r="C417" s="1" t="n">
        <v>45474</v>
      </c>
      <c r="D417" t="inlineStr">
        <is>
          <t>VÄSTERNORRLANDS LÄN</t>
        </is>
      </c>
      <c r="E417" t="inlineStr">
        <is>
          <t>TIMRÅ</t>
        </is>
      </c>
      <c r="G417" t="n">
        <v>4.4</v>
      </c>
      <c r="H417" t="n">
        <v>0</v>
      </c>
      <c r="I417" t="n">
        <v>0</v>
      </c>
      <c r="J417" t="n">
        <v>0</v>
      </c>
      <c r="K417" t="n">
        <v>0</v>
      </c>
      <c r="L417" t="n">
        <v>0</v>
      </c>
      <c r="M417" t="n">
        <v>0</v>
      </c>
      <c r="N417" t="n">
        <v>0</v>
      </c>
      <c r="O417" t="n">
        <v>0</v>
      </c>
      <c r="P417" t="n">
        <v>0</v>
      </c>
      <c r="Q417" t="n">
        <v>0</v>
      </c>
      <c r="R417" s="2" t="inlineStr"/>
    </row>
    <row r="418" ht="15" customHeight="1">
      <c r="A418" t="inlineStr">
        <is>
          <t>A 20839-2023</t>
        </is>
      </c>
      <c r="B418" s="1" t="n">
        <v>45058</v>
      </c>
      <c r="C418" s="1" t="n">
        <v>45474</v>
      </c>
      <c r="D418" t="inlineStr">
        <is>
          <t>VÄSTERNORRLANDS LÄN</t>
        </is>
      </c>
      <c r="E418" t="inlineStr">
        <is>
          <t>TIMRÅ</t>
        </is>
      </c>
      <c r="G418" t="n">
        <v>7.2</v>
      </c>
      <c r="H418" t="n">
        <v>0</v>
      </c>
      <c r="I418" t="n">
        <v>0</v>
      </c>
      <c r="J418" t="n">
        <v>0</v>
      </c>
      <c r="K418" t="n">
        <v>0</v>
      </c>
      <c r="L418" t="n">
        <v>0</v>
      </c>
      <c r="M418" t="n">
        <v>0</v>
      </c>
      <c r="N418" t="n">
        <v>0</v>
      </c>
      <c r="O418" t="n">
        <v>0</v>
      </c>
      <c r="P418" t="n">
        <v>0</v>
      </c>
      <c r="Q418" t="n">
        <v>0</v>
      </c>
      <c r="R418" s="2" t="inlineStr"/>
    </row>
    <row r="419" ht="15" customHeight="1">
      <c r="A419" t="inlineStr">
        <is>
          <t>A 20837-2023</t>
        </is>
      </c>
      <c r="B419" s="1" t="n">
        <v>45058</v>
      </c>
      <c r="C419" s="1" t="n">
        <v>45474</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20841-2023</t>
        </is>
      </c>
      <c r="B420" s="1" t="n">
        <v>45058</v>
      </c>
      <c r="C420" s="1" t="n">
        <v>45474</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20834-2023</t>
        </is>
      </c>
      <c r="B421" s="1" t="n">
        <v>45058</v>
      </c>
      <c r="C421" s="1" t="n">
        <v>45474</v>
      </c>
      <c r="D421" t="inlineStr">
        <is>
          <t>VÄSTERNORRLANDS LÄN</t>
        </is>
      </c>
      <c r="E421" t="inlineStr">
        <is>
          <t>TIMRÅ</t>
        </is>
      </c>
      <c r="G421" t="n">
        <v>5</v>
      </c>
      <c r="H421" t="n">
        <v>0</v>
      </c>
      <c r="I421" t="n">
        <v>0</v>
      </c>
      <c r="J421" t="n">
        <v>0</v>
      </c>
      <c r="K421" t="n">
        <v>0</v>
      </c>
      <c r="L421" t="n">
        <v>0</v>
      </c>
      <c r="M421" t="n">
        <v>0</v>
      </c>
      <c r="N421" t="n">
        <v>0</v>
      </c>
      <c r="O421" t="n">
        <v>0</v>
      </c>
      <c r="P421" t="n">
        <v>0</v>
      </c>
      <c r="Q421" t="n">
        <v>0</v>
      </c>
      <c r="R421" s="2" t="inlineStr"/>
    </row>
    <row r="422" ht="15" customHeight="1">
      <c r="A422" t="inlineStr">
        <is>
          <t>A 20843-2023</t>
        </is>
      </c>
      <c r="B422" s="1" t="n">
        <v>45058</v>
      </c>
      <c r="C422" s="1" t="n">
        <v>45474</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20840-2023</t>
        </is>
      </c>
      <c r="B423" s="1" t="n">
        <v>45058</v>
      </c>
      <c r="C423" s="1" t="n">
        <v>45474</v>
      </c>
      <c r="D423" t="inlineStr">
        <is>
          <t>VÄSTERNORRLANDS LÄN</t>
        </is>
      </c>
      <c r="E423" t="inlineStr">
        <is>
          <t>TIMRÅ</t>
        </is>
      </c>
      <c r="G423" t="n">
        <v>3.1</v>
      </c>
      <c r="H423" t="n">
        <v>0</v>
      </c>
      <c r="I423" t="n">
        <v>0</v>
      </c>
      <c r="J423" t="n">
        <v>0</v>
      </c>
      <c r="K423" t="n">
        <v>0</v>
      </c>
      <c r="L423" t="n">
        <v>0</v>
      </c>
      <c r="M423" t="n">
        <v>0</v>
      </c>
      <c r="N423" t="n">
        <v>0</v>
      </c>
      <c r="O423" t="n">
        <v>0</v>
      </c>
      <c r="P423" t="n">
        <v>0</v>
      </c>
      <c r="Q423" t="n">
        <v>0</v>
      </c>
      <c r="R423" s="2" t="inlineStr"/>
    </row>
    <row r="424" ht="15" customHeight="1">
      <c r="A424" t="inlineStr">
        <is>
          <t>A 20844-2023</t>
        </is>
      </c>
      <c r="B424" s="1" t="n">
        <v>45058</v>
      </c>
      <c r="C424" s="1" t="n">
        <v>45474</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20880-2023</t>
        </is>
      </c>
      <c r="B425" s="1" t="n">
        <v>45058</v>
      </c>
      <c r="C425" s="1" t="n">
        <v>45474</v>
      </c>
      <c r="D425" t="inlineStr">
        <is>
          <t>VÄSTERNORRLANDS LÄN</t>
        </is>
      </c>
      <c r="E425" t="inlineStr">
        <is>
          <t>TIMRÅ</t>
        </is>
      </c>
      <c r="F425" t="inlineStr">
        <is>
          <t>SCA</t>
        </is>
      </c>
      <c r="G425" t="n">
        <v>10.7</v>
      </c>
      <c r="H425" t="n">
        <v>0</v>
      </c>
      <c r="I425" t="n">
        <v>0</v>
      </c>
      <c r="J425" t="n">
        <v>0</v>
      </c>
      <c r="K425" t="n">
        <v>0</v>
      </c>
      <c r="L425" t="n">
        <v>0</v>
      </c>
      <c r="M425" t="n">
        <v>0</v>
      </c>
      <c r="N425" t="n">
        <v>0</v>
      </c>
      <c r="O425" t="n">
        <v>0</v>
      </c>
      <c r="P425" t="n">
        <v>0</v>
      </c>
      <c r="Q425" t="n">
        <v>0</v>
      </c>
      <c r="R425" s="2" t="inlineStr"/>
    </row>
    <row r="426" ht="15" customHeight="1">
      <c r="A426" t="inlineStr">
        <is>
          <t>A 21356-2023</t>
        </is>
      </c>
      <c r="B426" s="1" t="n">
        <v>45063</v>
      </c>
      <c r="C426" s="1" t="n">
        <v>45474</v>
      </c>
      <c r="D426" t="inlineStr">
        <is>
          <t>VÄSTERNORRLANDS LÄN</t>
        </is>
      </c>
      <c r="E426" t="inlineStr">
        <is>
          <t>TIMRÅ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24305-2023</t>
        </is>
      </c>
      <c r="B427" s="1" t="n">
        <v>45080</v>
      </c>
      <c r="C427" s="1" t="n">
        <v>45474</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24304-2023</t>
        </is>
      </c>
      <c r="B428" s="1" t="n">
        <v>45079</v>
      </c>
      <c r="C428" s="1" t="n">
        <v>45474</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25301-2023</t>
        </is>
      </c>
      <c r="B429" s="1" t="n">
        <v>45086</v>
      </c>
      <c r="C429" s="1" t="n">
        <v>45474</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27495-2023</t>
        </is>
      </c>
      <c r="B430" s="1" t="n">
        <v>45092</v>
      </c>
      <c r="C430" s="1" t="n">
        <v>45474</v>
      </c>
      <c r="D430" t="inlineStr">
        <is>
          <t>VÄSTERNORRLANDS LÄN</t>
        </is>
      </c>
      <c r="E430" t="inlineStr">
        <is>
          <t>TIMRÅ</t>
        </is>
      </c>
      <c r="G430" t="n">
        <v>2.6</v>
      </c>
      <c r="H430" t="n">
        <v>0</v>
      </c>
      <c r="I430" t="n">
        <v>0</v>
      </c>
      <c r="J430" t="n">
        <v>0</v>
      </c>
      <c r="K430" t="n">
        <v>0</v>
      </c>
      <c r="L430" t="n">
        <v>0</v>
      </c>
      <c r="M430" t="n">
        <v>0</v>
      </c>
      <c r="N430" t="n">
        <v>0</v>
      </c>
      <c r="O430" t="n">
        <v>0</v>
      </c>
      <c r="P430" t="n">
        <v>0</v>
      </c>
      <c r="Q430" t="n">
        <v>0</v>
      </c>
      <c r="R430" s="2" t="inlineStr"/>
    </row>
    <row r="431" ht="15" customHeight="1">
      <c r="A431" t="inlineStr">
        <is>
          <t>A 27489-2023</t>
        </is>
      </c>
      <c r="B431" s="1" t="n">
        <v>45092</v>
      </c>
      <c r="C431" s="1" t="n">
        <v>45474</v>
      </c>
      <c r="D431" t="inlineStr">
        <is>
          <t>VÄSTERNORRLANDS LÄN</t>
        </is>
      </c>
      <c r="E431" t="inlineStr">
        <is>
          <t>TIMRÅ</t>
        </is>
      </c>
      <c r="G431" t="n">
        <v>1.1</v>
      </c>
      <c r="H431" t="n">
        <v>0</v>
      </c>
      <c r="I431" t="n">
        <v>0</v>
      </c>
      <c r="J431" t="n">
        <v>0</v>
      </c>
      <c r="K431" t="n">
        <v>0</v>
      </c>
      <c r="L431" t="n">
        <v>0</v>
      </c>
      <c r="M431" t="n">
        <v>0</v>
      </c>
      <c r="N431" t="n">
        <v>0</v>
      </c>
      <c r="O431" t="n">
        <v>0</v>
      </c>
      <c r="P431" t="n">
        <v>0</v>
      </c>
      <c r="Q431" t="n">
        <v>0</v>
      </c>
      <c r="R431" s="2" t="inlineStr"/>
    </row>
    <row r="432" ht="15" customHeight="1">
      <c r="A432" t="inlineStr">
        <is>
          <t>A 26996-2023</t>
        </is>
      </c>
      <c r="B432" s="1" t="n">
        <v>45093</v>
      </c>
      <c r="C432" s="1" t="n">
        <v>45474</v>
      </c>
      <c r="D432" t="inlineStr">
        <is>
          <t>VÄSTERNORRLANDS LÄN</t>
        </is>
      </c>
      <c r="E432" t="inlineStr">
        <is>
          <t>TIMRÅ</t>
        </is>
      </c>
      <c r="G432" t="n">
        <v>8.4</v>
      </c>
      <c r="H432" t="n">
        <v>0</v>
      </c>
      <c r="I432" t="n">
        <v>0</v>
      </c>
      <c r="J432" t="n">
        <v>0</v>
      </c>
      <c r="K432" t="n">
        <v>0</v>
      </c>
      <c r="L432" t="n">
        <v>0</v>
      </c>
      <c r="M432" t="n">
        <v>0</v>
      </c>
      <c r="N432" t="n">
        <v>0</v>
      </c>
      <c r="O432" t="n">
        <v>0</v>
      </c>
      <c r="P432" t="n">
        <v>0</v>
      </c>
      <c r="Q432" t="n">
        <v>0</v>
      </c>
      <c r="R432" s="2" t="inlineStr"/>
    </row>
    <row r="433" ht="15" customHeight="1">
      <c r="A433" t="inlineStr">
        <is>
          <t>A 28007-2023</t>
        </is>
      </c>
      <c r="B433" s="1" t="n">
        <v>45098</v>
      </c>
      <c r="C433" s="1" t="n">
        <v>45474</v>
      </c>
      <c r="D433" t="inlineStr">
        <is>
          <t>VÄSTERNORRLANDS LÄN</t>
        </is>
      </c>
      <c r="E433" t="inlineStr">
        <is>
          <t>TIMRÅ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28373-2023</t>
        </is>
      </c>
      <c r="B434" s="1" t="n">
        <v>45100</v>
      </c>
      <c r="C434" s="1" t="n">
        <v>45474</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28372-2023</t>
        </is>
      </c>
      <c r="B435" s="1" t="n">
        <v>45100</v>
      </c>
      <c r="C435" s="1" t="n">
        <v>45474</v>
      </c>
      <c r="D435" t="inlineStr">
        <is>
          <t>VÄSTERNORRLANDS LÄN</t>
        </is>
      </c>
      <c r="E435" t="inlineStr">
        <is>
          <t>TIMRÅ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28370-2023</t>
        </is>
      </c>
      <c r="B436" s="1" t="n">
        <v>45100</v>
      </c>
      <c r="C436" s="1" t="n">
        <v>45474</v>
      </c>
      <c r="D436" t="inlineStr">
        <is>
          <t>VÄSTERNORRLANDS LÄN</t>
        </is>
      </c>
      <c r="E436" t="inlineStr">
        <is>
          <t>TIMRÅ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28381-2023</t>
        </is>
      </c>
      <c r="B437" s="1" t="n">
        <v>45099</v>
      </c>
      <c r="C437" s="1" t="n">
        <v>45474</v>
      </c>
      <c r="D437" t="inlineStr">
        <is>
          <t>VÄSTERNORRLANDS LÄN</t>
        </is>
      </c>
      <c r="E437" t="inlineStr">
        <is>
          <t>TIMRÅ</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28369-2023</t>
        </is>
      </c>
      <c r="B438" s="1" t="n">
        <v>45099</v>
      </c>
      <c r="C438" s="1" t="n">
        <v>45474</v>
      </c>
      <c r="D438" t="inlineStr">
        <is>
          <t>VÄSTERNORRLANDS LÄN</t>
        </is>
      </c>
      <c r="E438" t="inlineStr">
        <is>
          <t>TIMRÅ</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28371-2023</t>
        </is>
      </c>
      <c r="B439" s="1" t="n">
        <v>45100</v>
      </c>
      <c r="C439" s="1" t="n">
        <v>45474</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28734-2023</t>
        </is>
      </c>
      <c r="B440" s="1" t="n">
        <v>45104</v>
      </c>
      <c r="C440" s="1" t="n">
        <v>45474</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28750-2023</t>
        </is>
      </c>
      <c r="B441" s="1" t="n">
        <v>45104</v>
      </c>
      <c r="C441" s="1" t="n">
        <v>45474</v>
      </c>
      <c r="D441" t="inlineStr">
        <is>
          <t>VÄSTERNORRLANDS LÄN</t>
        </is>
      </c>
      <c r="E441" t="inlineStr">
        <is>
          <t>TIMRÅ</t>
        </is>
      </c>
      <c r="F441" t="inlineStr">
        <is>
          <t>SCA</t>
        </is>
      </c>
      <c r="G441" t="n">
        <v>8.5</v>
      </c>
      <c r="H441" t="n">
        <v>0</v>
      </c>
      <c r="I441" t="n">
        <v>0</v>
      </c>
      <c r="J441" t="n">
        <v>0</v>
      </c>
      <c r="K441" t="n">
        <v>0</v>
      </c>
      <c r="L441" t="n">
        <v>0</v>
      </c>
      <c r="M441" t="n">
        <v>0</v>
      </c>
      <c r="N441" t="n">
        <v>0</v>
      </c>
      <c r="O441" t="n">
        <v>0</v>
      </c>
      <c r="P441" t="n">
        <v>0</v>
      </c>
      <c r="Q441" t="n">
        <v>0</v>
      </c>
      <c r="R441" s="2" t="inlineStr"/>
    </row>
    <row r="442" ht="15" customHeight="1">
      <c r="A442" t="inlineStr">
        <is>
          <t>A 31148-2023</t>
        </is>
      </c>
      <c r="B442" s="1" t="n">
        <v>45103</v>
      </c>
      <c r="C442" s="1" t="n">
        <v>45474</v>
      </c>
      <c r="D442" t="inlineStr">
        <is>
          <t>VÄSTERNORRLANDS LÄN</t>
        </is>
      </c>
      <c r="E442" t="inlineStr">
        <is>
          <t>TIMRÅ</t>
        </is>
      </c>
      <c r="G442" t="n">
        <v>1.5</v>
      </c>
      <c r="H442" t="n">
        <v>0</v>
      </c>
      <c r="I442" t="n">
        <v>0</v>
      </c>
      <c r="J442" t="n">
        <v>0</v>
      </c>
      <c r="K442" t="n">
        <v>0</v>
      </c>
      <c r="L442" t="n">
        <v>0</v>
      </c>
      <c r="M442" t="n">
        <v>0</v>
      </c>
      <c r="N442" t="n">
        <v>0</v>
      </c>
      <c r="O442" t="n">
        <v>0</v>
      </c>
      <c r="P442" t="n">
        <v>0</v>
      </c>
      <c r="Q442" t="n">
        <v>0</v>
      </c>
      <c r="R442" s="2" t="inlineStr"/>
    </row>
    <row r="443" ht="15" customHeight="1">
      <c r="A443" t="inlineStr">
        <is>
          <t>A 31150-2023</t>
        </is>
      </c>
      <c r="B443" s="1" t="n">
        <v>45103</v>
      </c>
      <c r="C443" s="1" t="n">
        <v>45474</v>
      </c>
      <c r="D443" t="inlineStr">
        <is>
          <t>VÄSTERNORRLANDS LÄN</t>
        </is>
      </c>
      <c r="E443" t="inlineStr">
        <is>
          <t>TIMRÅ</t>
        </is>
      </c>
      <c r="G443" t="n">
        <v>0.3</v>
      </c>
      <c r="H443" t="n">
        <v>0</v>
      </c>
      <c r="I443" t="n">
        <v>0</v>
      </c>
      <c r="J443" t="n">
        <v>0</v>
      </c>
      <c r="K443" t="n">
        <v>0</v>
      </c>
      <c r="L443" t="n">
        <v>0</v>
      </c>
      <c r="M443" t="n">
        <v>0</v>
      </c>
      <c r="N443" t="n">
        <v>0</v>
      </c>
      <c r="O443" t="n">
        <v>0</v>
      </c>
      <c r="P443" t="n">
        <v>0</v>
      </c>
      <c r="Q443" t="n">
        <v>0</v>
      </c>
      <c r="R443" s="2" t="inlineStr"/>
    </row>
    <row r="444" ht="15" customHeight="1">
      <c r="A444" t="inlineStr">
        <is>
          <t>A 31154-2023</t>
        </is>
      </c>
      <c r="B444" s="1" t="n">
        <v>45103</v>
      </c>
      <c r="C444" s="1" t="n">
        <v>45474</v>
      </c>
      <c r="D444" t="inlineStr">
        <is>
          <t>VÄSTERNORRLANDS LÄN</t>
        </is>
      </c>
      <c r="E444" t="inlineStr">
        <is>
          <t>TIMRÅ</t>
        </is>
      </c>
      <c r="G444" t="n">
        <v>0.6</v>
      </c>
      <c r="H444" t="n">
        <v>0</v>
      </c>
      <c r="I444" t="n">
        <v>0</v>
      </c>
      <c r="J444" t="n">
        <v>0</v>
      </c>
      <c r="K444" t="n">
        <v>0</v>
      </c>
      <c r="L444" t="n">
        <v>0</v>
      </c>
      <c r="M444" t="n">
        <v>0</v>
      </c>
      <c r="N444" t="n">
        <v>0</v>
      </c>
      <c r="O444" t="n">
        <v>0</v>
      </c>
      <c r="P444" t="n">
        <v>0</v>
      </c>
      <c r="Q444" t="n">
        <v>0</v>
      </c>
      <c r="R444" s="2" t="inlineStr"/>
    </row>
    <row r="445" ht="15" customHeight="1">
      <c r="A445" t="inlineStr">
        <is>
          <t>A 31381-2023</t>
        </is>
      </c>
      <c r="B445" s="1" t="n">
        <v>45104</v>
      </c>
      <c r="C445" s="1" t="n">
        <v>45474</v>
      </c>
      <c r="D445" t="inlineStr">
        <is>
          <t>VÄSTERNORRLANDS LÄN</t>
        </is>
      </c>
      <c r="E445" t="inlineStr">
        <is>
          <t>TIMRÅ</t>
        </is>
      </c>
      <c r="G445" t="n">
        <v>5.6</v>
      </c>
      <c r="H445" t="n">
        <v>0</v>
      </c>
      <c r="I445" t="n">
        <v>0</v>
      </c>
      <c r="J445" t="n">
        <v>0</v>
      </c>
      <c r="K445" t="n">
        <v>0</v>
      </c>
      <c r="L445" t="n">
        <v>0</v>
      </c>
      <c r="M445" t="n">
        <v>0</v>
      </c>
      <c r="N445" t="n">
        <v>0</v>
      </c>
      <c r="O445" t="n">
        <v>0</v>
      </c>
      <c r="P445" t="n">
        <v>0</v>
      </c>
      <c r="Q445" t="n">
        <v>0</v>
      </c>
      <c r="R445" s="2" t="inlineStr"/>
    </row>
    <row r="446" ht="15" customHeight="1">
      <c r="A446" t="inlineStr">
        <is>
          <t>A 31474-2023</t>
        </is>
      </c>
      <c r="B446" s="1" t="n">
        <v>45104</v>
      </c>
      <c r="C446" s="1" t="n">
        <v>45474</v>
      </c>
      <c r="D446" t="inlineStr">
        <is>
          <t>VÄSTERNORRLANDS LÄN</t>
        </is>
      </c>
      <c r="E446" t="inlineStr">
        <is>
          <t>TIMRÅ</t>
        </is>
      </c>
      <c r="G446" t="n">
        <v>1.3</v>
      </c>
      <c r="H446" t="n">
        <v>0</v>
      </c>
      <c r="I446" t="n">
        <v>0</v>
      </c>
      <c r="J446" t="n">
        <v>0</v>
      </c>
      <c r="K446" t="n">
        <v>0</v>
      </c>
      <c r="L446" t="n">
        <v>0</v>
      </c>
      <c r="M446" t="n">
        <v>0</v>
      </c>
      <c r="N446" t="n">
        <v>0</v>
      </c>
      <c r="O446" t="n">
        <v>0</v>
      </c>
      <c r="P446" t="n">
        <v>0</v>
      </c>
      <c r="Q446" t="n">
        <v>0</v>
      </c>
      <c r="R446" s="2" t="inlineStr"/>
    </row>
    <row r="447" ht="15" customHeight="1">
      <c r="A447" t="inlineStr">
        <is>
          <t>A 31378-2023</t>
        </is>
      </c>
      <c r="B447" s="1" t="n">
        <v>45104</v>
      </c>
      <c r="C447" s="1" t="n">
        <v>45474</v>
      </c>
      <c r="D447" t="inlineStr">
        <is>
          <t>VÄSTERNORRLANDS LÄN</t>
        </is>
      </c>
      <c r="E447" t="inlineStr">
        <is>
          <t>TIMRÅ</t>
        </is>
      </c>
      <c r="G447" t="n">
        <v>2.8</v>
      </c>
      <c r="H447" t="n">
        <v>0</v>
      </c>
      <c r="I447" t="n">
        <v>0</v>
      </c>
      <c r="J447" t="n">
        <v>0</v>
      </c>
      <c r="K447" t="n">
        <v>0</v>
      </c>
      <c r="L447" t="n">
        <v>0</v>
      </c>
      <c r="M447" t="n">
        <v>0</v>
      </c>
      <c r="N447" t="n">
        <v>0</v>
      </c>
      <c r="O447" t="n">
        <v>0</v>
      </c>
      <c r="P447" t="n">
        <v>0</v>
      </c>
      <c r="Q447" t="n">
        <v>0</v>
      </c>
      <c r="R447" s="2" t="inlineStr"/>
    </row>
    <row r="448" ht="15" customHeight="1">
      <c r="A448" t="inlineStr">
        <is>
          <t>A 31343-2023</t>
        </is>
      </c>
      <c r="B448" s="1" t="n">
        <v>45104</v>
      </c>
      <c r="C448" s="1" t="n">
        <v>45474</v>
      </c>
      <c r="D448" t="inlineStr">
        <is>
          <t>VÄSTERNORRLANDS LÄN</t>
        </is>
      </c>
      <c r="E448" t="inlineStr">
        <is>
          <t>TIMRÅ</t>
        </is>
      </c>
      <c r="G448" t="n">
        <v>7.1</v>
      </c>
      <c r="H448" t="n">
        <v>0</v>
      </c>
      <c r="I448" t="n">
        <v>0</v>
      </c>
      <c r="J448" t="n">
        <v>0</v>
      </c>
      <c r="K448" t="n">
        <v>0</v>
      </c>
      <c r="L448" t="n">
        <v>0</v>
      </c>
      <c r="M448" t="n">
        <v>0</v>
      </c>
      <c r="N448" t="n">
        <v>0</v>
      </c>
      <c r="O448" t="n">
        <v>0</v>
      </c>
      <c r="P448" t="n">
        <v>0</v>
      </c>
      <c r="Q448" t="n">
        <v>0</v>
      </c>
      <c r="R448" s="2" t="inlineStr"/>
    </row>
    <row r="449" ht="15" customHeight="1">
      <c r="A449" t="inlineStr">
        <is>
          <t>A 31472-2023</t>
        </is>
      </c>
      <c r="B449" s="1" t="n">
        <v>45104</v>
      </c>
      <c r="C449" s="1" t="n">
        <v>45474</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29599-2023</t>
        </is>
      </c>
      <c r="B450" s="1" t="n">
        <v>45106</v>
      </c>
      <c r="C450" s="1" t="n">
        <v>45474</v>
      </c>
      <c r="D450" t="inlineStr">
        <is>
          <t>VÄSTERNORRLANDS LÄN</t>
        </is>
      </c>
      <c r="E450" t="inlineStr">
        <is>
          <t>TIMRÅ</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29948-2023</t>
        </is>
      </c>
      <c r="B451" s="1" t="n">
        <v>45107</v>
      </c>
      <c r="C451" s="1" t="n">
        <v>45474</v>
      </c>
      <c r="D451" t="inlineStr">
        <is>
          <t>VÄSTERNORRLANDS LÄN</t>
        </is>
      </c>
      <c r="E451" t="inlineStr">
        <is>
          <t>TIMRÅ</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32070-2023</t>
        </is>
      </c>
      <c r="B452" s="1" t="n">
        <v>45107</v>
      </c>
      <c r="C452" s="1" t="n">
        <v>45474</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30315-2023</t>
        </is>
      </c>
      <c r="B453" s="1" t="n">
        <v>45110</v>
      </c>
      <c r="C453" s="1" t="n">
        <v>45474</v>
      </c>
      <c r="D453" t="inlineStr">
        <is>
          <t>VÄSTERNORRLANDS LÄN</t>
        </is>
      </c>
      <c r="E453" t="inlineStr">
        <is>
          <t>TIMRÅ</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30298-2023</t>
        </is>
      </c>
      <c r="B454" s="1" t="n">
        <v>45110</v>
      </c>
      <c r="C454" s="1" t="n">
        <v>45474</v>
      </c>
      <c r="D454" t="inlineStr">
        <is>
          <t>VÄSTERNORRLANDS LÄN</t>
        </is>
      </c>
      <c r="E454" t="inlineStr">
        <is>
          <t>TIMRÅ</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30850-2023</t>
        </is>
      </c>
      <c r="B455" s="1" t="n">
        <v>45112</v>
      </c>
      <c r="C455" s="1" t="n">
        <v>45474</v>
      </c>
      <c r="D455" t="inlineStr">
        <is>
          <t>VÄSTERNORRLANDS LÄN</t>
        </is>
      </c>
      <c r="E455" t="inlineStr">
        <is>
          <t>TIMRÅ</t>
        </is>
      </c>
      <c r="F455" t="inlineStr">
        <is>
          <t>SCA</t>
        </is>
      </c>
      <c r="G455" t="n">
        <v>16.1</v>
      </c>
      <c r="H455" t="n">
        <v>0</v>
      </c>
      <c r="I455" t="n">
        <v>0</v>
      </c>
      <c r="J455" t="n">
        <v>0</v>
      </c>
      <c r="K455" t="n">
        <v>0</v>
      </c>
      <c r="L455" t="n">
        <v>0</v>
      </c>
      <c r="M455" t="n">
        <v>0</v>
      </c>
      <c r="N455" t="n">
        <v>0</v>
      </c>
      <c r="O455" t="n">
        <v>0</v>
      </c>
      <c r="P455" t="n">
        <v>0</v>
      </c>
      <c r="Q455" t="n">
        <v>0</v>
      </c>
      <c r="R455" s="2" t="inlineStr"/>
    </row>
    <row r="456" ht="15" customHeight="1">
      <c r="A456" t="inlineStr">
        <is>
          <t>A 30835-2023</t>
        </is>
      </c>
      <c r="B456" s="1" t="n">
        <v>45113</v>
      </c>
      <c r="C456" s="1" t="n">
        <v>45474</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31562-2023</t>
        </is>
      </c>
      <c r="B457" s="1" t="n">
        <v>45117</v>
      </c>
      <c r="C457" s="1" t="n">
        <v>45474</v>
      </c>
      <c r="D457" t="inlineStr">
        <is>
          <t>VÄSTERNORRLANDS LÄN</t>
        </is>
      </c>
      <c r="E457" t="inlineStr">
        <is>
          <t>TIMRÅ</t>
        </is>
      </c>
      <c r="G457" t="n">
        <v>3.7</v>
      </c>
      <c r="H457" t="n">
        <v>0</v>
      </c>
      <c r="I457" t="n">
        <v>0</v>
      </c>
      <c r="J457" t="n">
        <v>0</v>
      </c>
      <c r="K457" t="n">
        <v>0</v>
      </c>
      <c r="L457" t="n">
        <v>0</v>
      </c>
      <c r="M457" t="n">
        <v>0</v>
      </c>
      <c r="N457" t="n">
        <v>0</v>
      </c>
      <c r="O457" t="n">
        <v>0</v>
      </c>
      <c r="P457" t="n">
        <v>0</v>
      </c>
      <c r="Q457" t="n">
        <v>0</v>
      </c>
      <c r="R457" s="2" t="inlineStr"/>
    </row>
    <row r="458" ht="15" customHeight="1">
      <c r="A458" t="inlineStr">
        <is>
          <t>A 31736-2023</t>
        </is>
      </c>
      <c r="B458" s="1" t="n">
        <v>45117</v>
      </c>
      <c r="C458" s="1" t="n">
        <v>45474</v>
      </c>
      <c r="D458" t="inlineStr">
        <is>
          <t>VÄSTERNORRLANDS LÄN</t>
        </is>
      </c>
      <c r="E458" t="inlineStr">
        <is>
          <t>TIMRÅ</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31741-2023</t>
        </is>
      </c>
      <c r="B459" s="1" t="n">
        <v>45117</v>
      </c>
      <c r="C459" s="1" t="n">
        <v>45474</v>
      </c>
      <c r="D459" t="inlineStr">
        <is>
          <t>VÄSTERNORRLANDS LÄN</t>
        </is>
      </c>
      <c r="E459" t="inlineStr">
        <is>
          <t>TIMRÅ</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32224-2023</t>
        </is>
      </c>
      <c r="B460" s="1" t="n">
        <v>45119</v>
      </c>
      <c r="C460" s="1" t="n">
        <v>45474</v>
      </c>
      <c r="D460" t="inlineStr">
        <is>
          <t>VÄSTERNORRLANDS LÄN</t>
        </is>
      </c>
      <c r="E460" t="inlineStr">
        <is>
          <t>TIMRÅ</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32225-2023</t>
        </is>
      </c>
      <c r="B461" s="1" t="n">
        <v>45119</v>
      </c>
      <c r="C461" s="1" t="n">
        <v>45474</v>
      </c>
      <c r="D461" t="inlineStr">
        <is>
          <t>VÄSTERNORRLANDS LÄN</t>
        </is>
      </c>
      <c r="E461" t="inlineStr">
        <is>
          <t>TIMRÅ</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32223-2023</t>
        </is>
      </c>
      <c r="B462" s="1" t="n">
        <v>45119</v>
      </c>
      <c r="C462" s="1" t="n">
        <v>45474</v>
      </c>
      <c r="D462" t="inlineStr">
        <is>
          <t>VÄSTERNORRLANDS LÄN</t>
        </is>
      </c>
      <c r="E462" t="inlineStr">
        <is>
          <t>TIMRÅ</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32226-2023</t>
        </is>
      </c>
      <c r="B463" s="1" t="n">
        <v>45119</v>
      </c>
      <c r="C463" s="1" t="n">
        <v>45474</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32230-2023</t>
        </is>
      </c>
      <c r="B464" s="1" t="n">
        <v>45120</v>
      </c>
      <c r="C464" s="1" t="n">
        <v>45474</v>
      </c>
      <c r="D464" t="inlineStr">
        <is>
          <t>VÄSTERNORRLANDS LÄN</t>
        </is>
      </c>
      <c r="E464" t="inlineStr">
        <is>
          <t>TIMRÅ</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33667-2023</t>
        </is>
      </c>
      <c r="B465" s="1" t="n">
        <v>45119</v>
      </c>
      <c r="C465" s="1" t="n">
        <v>45474</v>
      </c>
      <c r="D465" t="inlineStr">
        <is>
          <t>VÄSTERNORRLANDS LÄN</t>
        </is>
      </c>
      <c r="E465" t="inlineStr">
        <is>
          <t>TIMRÅ</t>
        </is>
      </c>
      <c r="G465" t="n">
        <v>4.8</v>
      </c>
      <c r="H465" t="n">
        <v>0</v>
      </c>
      <c r="I465" t="n">
        <v>0</v>
      </c>
      <c r="J465" t="n">
        <v>0</v>
      </c>
      <c r="K465" t="n">
        <v>0</v>
      </c>
      <c r="L465" t="n">
        <v>0</v>
      </c>
      <c r="M465" t="n">
        <v>0</v>
      </c>
      <c r="N465" t="n">
        <v>0</v>
      </c>
      <c r="O465" t="n">
        <v>0</v>
      </c>
      <c r="P465" t="n">
        <v>0</v>
      </c>
      <c r="Q465" t="n">
        <v>0</v>
      </c>
      <c r="R465" s="2" t="inlineStr"/>
    </row>
    <row r="466" ht="15" customHeight="1">
      <c r="A466" t="inlineStr">
        <is>
          <t>A 33756-2023</t>
        </is>
      </c>
      <c r="B466" s="1" t="n">
        <v>45120</v>
      </c>
      <c r="C466" s="1" t="n">
        <v>45474</v>
      </c>
      <c r="D466" t="inlineStr">
        <is>
          <t>VÄSTERNORRLANDS LÄN</t>
        </is>
      </c>
      <c r="E466" t="inlineStr">
        <is>
          <t>TIMRÅ</t>
        </is>
      </c>
      <c r="G466" t="n">
        <v>10.5</v>
      </c>
      <c r="H466" t="n">
        <v>0</v>
      </c>
      <c r="I466" t="n">
        <v>0</v>
      </c>
      <c r="J466" t="n">
        <v>0</v>
      </c>
      <c r="K466" t="n">
        <v>0</v>
      </c>
      <c r="L466" t="n">
        <v>0</v>
      </c>
      <c r="M466" t="n">
        <v>0</v>
      </c>
      <c r="N466" t="n">
        <v>0</v>
      </c>
      <c r="O466" t="n">
        <v>0</v>
      </c>
      <c r="P466" t="n">
        <v>0</v>
      </c>
      <c r="Q466" t="n">
        <v>0</v>
      </c>
      <c r="R466" s="2" t="inlineStr"/>
    </row>
    <row r="467" ht="15" customHeight="1">
      <c r="A467" t="inlineStr">
        <is>
          <t>A 33043-2023</t>
        </is>
      </c>
      <c r="B467" s="1" t="n">
        <v>45125</v>
      </c>
      <c r="C467" s="1" t="n">
        <v>45474</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34172-2023</t>
        </is>
      </c>
      <c r="B468" s="1" t="n">
        <v>45126</v>
      </c>
      <c r="C468" s="1" t="n">
        <v>45474</v>
      </c>
      <c r="D468" t="inlineStr">
        <is>
          <t>VÄSTERNORRLANDS LÄN</t>
        </is>
      </c>
      <c r="E468" t="inlineStr">
        <is>
          <t>TIMRÅ</t>
        </is>
      </c>
      <c r="G468" t="n">
        <v>4</v>
      </c>
      <c r="H468" t="n">
        <v>0</v>
      </c>
      <c r="I468" t="n">
        <v>0</v>
      </c>
      <c r="J468" t="n">
        <v>0</v>
      </c>
      <c r="K468" t="n">
        <v>0</v>
      </c>
      <c r="L468" t="n">
        <v>0</v>
      </c>
      <c r="M468" t="n">
        <v>0</v>
      </c>
      <c r="N468" t="n">
        <v>0</v>
      </c>
      <c r="O468" t="n">
        <v>0</v>
      </c>
      <c r="P468" t="n">
        <v>0</v>
      </c>
      <c r="Q468" t="n">
        <v>0</v>
      </c>
      <c r="R468" s="2" t="inlineStr"/>
    </row>
    <row r="469" ht="15" customHeight="1">
      <c r="A469" t="inlineStr">
        <is>
          <t>A 35342-2023</t>
        </is>
      </c>
      <c r="B469" s="1" t="n">
        <v>45145</v>
      </c>
      <c r="C469" s="1" t="n">
        <v>45474</v>
      </c>
      <c r="D469" t="inlineStr">
        <is>
          <t>VÄSTERNORRLANDS LÄN</t>
        </is>
      </c>
      <c r="E469" t="inlineStr">
        <is>
          <t>TIMRÅ</t>
        </is>
      </c>
      <c r="G469" t="n">
        <v>3.2</v>
      </c>
      <c r="H469" t="n">
        <v>0</v>
      </c>
      <c r="I469" t="n">
        <v>0</v>
      </c>
      <c r="J469" t="n">
        <v>0</v>
      </c>
      <c r="K469" t="n">
        <v>0</v>
      </c>
      <c r="L469" t="n">
        <v>0</v>
      </c>
      <c r="M469" t="n">
        <v>0</v>
      </c>
      <c r="N469" t="n">
        <v>0</v>
      </c>
      <c r="O469" t="n">
        <v>0</v>
      </c>
      <c r="P469" t="n">
        <v>0</v>
      </c>
      <c r="Q469" t="n">
        <v>0</v>
      </c>
      <c r="R469" s="2" t="inlineStr"/>
    </row>
    <row r="470" ht="15" customHeight="1">
      <c r="A470" t="inlineStr">
        <is>
          <t>A 35568-2023</t>
        </is>
      </c>
      <c r="B470" s="1" t="n">
        <v>45146</v>
      </c>
      <c r="C470" s="1" t="n">
        <v>45474</v>
      </c>
      <c r="D470" t="inlineStr">
        <is>
          <t>VÄSTERNORRLANDS LÄN</t>
        </is>
      </c>
      <c r="E470" t="inlineStr">
        <is>
          <t>TIMRÅ</t>
        </is>
      </c>
      <c r="G470" t="n">
        <v>3.2</v>
      </c>
      <c r="H470" t="n">
        <v>0</v>
      </c>
      <c r="I470" t="n">
        <v>0</v>
      </c>
      <c r="J470" t="n">
        <v>0</v>
      </c>
      <c r="K470" t="n">
        <v>0</v>
      </c>
      <c r="L470" t="n">
        <v>0</v>
      </c>
      <c r="M470" t="n">
        <v>0</v>
      </c>
      <c r="N470" t="n">
        <v>0</v>
      </c>
      <c r="O470" t="n">
        <v>0</v>
      </c>
      <c r="P470" t="n">
        <v>0</v>
      </c>
      <c r="Q470" t="n">
        <v>0</v>
      </c>
      <c r="R470" s="2" t="inlineStr"/>
    </row>
    <row r="471" ht="15" customHeight="1">
      <c r="A471" t="inlineStr">
        <is>
          <t>A 35763-2023</t>
        </is>
      </c>
      <c r="B471" s="1" t="n">
        <v>45147</v>
      </c>
      <c r="C471" s="1" t="n">
        <v>45474</v>
      </c>
      <c r="D471" t="inlineStr">
        <is>
          <t>VÄSTERNORRLANDS LÄN</t>
        </is>
      </c>
      <c r="E471" t="inlineStr">
        <is>
          <t>TIMRÅ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35939-2023</t>
        </is>
      </c>
      <c r="B472" s="1" t="n">
        <v>45148</v>
      </c>
      <c r="C472" s="1" t="n">
        <v>45474</v>
      </c>
      <c r="D472" t="inlineStr">
        <is>
          <t>VÄSTERNORRLANDS LÄN</t>
        </is>
      </c>
      <c r="E472" t="inlineStr">
        <is>
          <t>TIMRÅ</t>
        </is>
      </c>
      <c r="G472" t="n">
        <v>1.1</v>
      </c>
      <c r="H472" t="n">
        <v>0</v>
      </c>
      <c r="I472" t="n">
        <v>0</v>
      </c>
      <c r="J472" t="n">
        <v>0</v>
      </c>
      <c r="K472" t="n">
        <v>0</v>
      </c>
      <c r="L472" t="n">
        <v>0</v>
      </c>
      <c r="M472" t="n">
        <v>0</v>
      </c>
      <c r="N472" t="n">
        <v>0</v>
      </c>
      <c r="O472" t="n">
        <v>0</v>
      </c>
      <c r="P472" t="n">
        <v>0</v>
      </c>
      <c r="Q472" t="n">
        <v>0</v>
      </c>
      <c r="R472" s="2" t="inlineStr"/>
    </row>
    <row r="473" ht="15" customHeight="1">
      <c r="A473" t="inlineStr">
        <is>
          <t>A 36228-2023</t>
        </is>
      </c>
      <c r="B473" s="1" t="n">
        <v>45149</v>
      </c>
      <c r="C473" s="1" t="n">
        <v>45474</v>
      </c>
      <c r="D473" t="inlineStr">
        <is>
          <t>VÄSTERNORRLANDS LÄN</t>
        </is>
      </c>
      <c r="E473" t="inlineStr">
        <is>
          <t>TIMRÅ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36992-2023</t>
        </is>
      </c>
      <c r="B474" s="1" t="n">
        <v>45154</v>
      </c>
      <c r="C474" s="1" t="n">
        <v>45474</v>
      </c>
      <c r="D474" t="inlineStr">
        <is>
          <t>VÄSTERNORRLANDS LÄN</t>
        </is>
      </c>
      <c r="E474" t="inlineStr">
        <is>
          <t>TIMRÅ</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36997-2023</t>
        </is>
      </c>
      <c r="B475" s="1" t="n">
        <v>45154</v>
      </c>
      <c r="C475" s="1" t="n">
        <v>45474</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37259-2023</t>
        </is>
      </c>
      <c r="B476" s="1" t="n">
        <v>45156</v>
      </c>
      <c r="C476" s="1" t="n">
        <v>45474</v>
      </c>
      <c r="D476" t="inlineStr">
        <is>
          <t>VÄSTERNORRLANDS LÄN</t>
        </is>
      </c>
      <c r="E476" t="inlineStr">
        <is>
          <t>TIMRÅ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37808-2023</t>
        </is>
      </c>
      <c r="B477" s="1" t="n">
        <v>45160</v>
      </c>
      <c r="C477" s="1" t="n">
        <v>45474</v>
      </c>
      <c r="D477" t="inlineStr">
        <is>
          <t>VÄSTERNORRLANDS LÄN</t>
        </is>
      </c>
      <c r="E477" t="inlineStr">
        <is>
          <t>TIMRÅ</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38423-2023</t>
        </is>
      </c>
      <c r="B478" s="1" t="n">
        <v>45160</v>
      </c>
      <c r="C478" s="1" t="n">
        <v>45474</v>
      </c>
      <c r="D478" t="inlineStr">
        <is>
          <t>VÄSTERNORRLANDS LÄN</t>
        </is>
      </c>
      <c r="E478" t="inlineStr">
        <is>
          <t>TIMRÅ</t>
        </is>
      </c>
      <c r="G478" t="n">
        <v>6.4</v>
      </c>
      <c r="H478" t="n">
        <v>0</v>
      </c>
      <c r="I478" t="n">
        <v>0</v>
      </c>
      <c r="J478" t="n">
        <v>0</v>
      </c>
      <c r="K478" t="n">
        <v>0</v>
      </c>
      <c r="L478" t="n">
        <v>0</v>
      </c>
      <c r="M478" t="n">
        <v>0</v>
      </c>
      <c r="N478" t="n">
        <v>0</v>
      </c>
      <c r="O478" t="n">
        <v>0</v>
      </c>
      <c r="P478" t="n">
        <v>0</v>
      </c>
      <c r="Q478" t="n">
        <v>0</v>
      </c>
      <c r="R478" s="2" t="inlineStr"/>
    </row>
    <row r="479" ht="15" customHeight="1">
      <c r="A479" t="inlineStr">
        <is>
          <t>A 38360-2023</t>
        </is>
      </c>
      <c r="B479" s="1" t="n">
        <v>45162</v>
      </c>
      <c r="C479" s="1" t="n">
        <v>45474</v>
      </c>
      <c r="D479" t="inlineStr">
        <is>
          <t>VÄSTERNORRLANDS LÄN</t>
        </is>
      </c>
      <c r="E479" t="inlineStr">
        <is>
          <t>TIMRÅ</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39073-2023</t>
        </is>
      </c>
      <c r="B480" s="1" t="n">
        <v>45163</v>
      </c>
      <c r="C480" s="1" t="n">
        <v>45474</v>
      </c>
      <c r="D480" t="inlineStr">
        <is>
          <t>VÄSTERNORRLANDS LÄN</t>
        </is>
      </c>
      <c r="E480" t="inlineStr">
        <is>
          <t>TIMRÅ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39081-2023</t>
        </is>
      </c>
      <c r="B481" s="1" t="n">
        <v>45163</v>
      </c>
      <c r="C481" s="1" t="n">
        <v>45474</v>
      </c>
      <c r="D481" t="inlineStr">
        <is>
          <t>VÄSTERNORRLANDS LÄN</t>
        </is>
      </c>
      <c r="E481" t="inlineStr">
        <is>
          <t>TIMRÅ</t>
        </is>
      </c>
      <c r="F481" t="inlineStr">
        <is>
          <t>SCA</t>
        </is>
      </c>
      <c r="G481" t="n">
        <v>11.6</v>
      </c>
      <c r="H481" t="n">
        <v>0</v>
      </c>
      <c r="I481" t="n">
        <v>0</v>
      </c>
      <c r="J481" t="n">
        <v>0</v>
      </c>
      <c r="K481" t="n">
        <v>0</v>
      </c>
      <c r="L481" t="n">
        <v>0</v>
      </c>
      <c r="M481" t="n">
        <v>0</v>
      </c>
      <c r="N481" t="n">
        <v>0</v>
      </c>
      <c r="O481" t="n">
        <v>0</v>
      </c>
      <c r="P481" t="n">
        <v>0</v>
      </c>
      <c r="Q481" t="n">
        <v>0</v>
      </c>
      <c r="R481" s="2" t="inlineStr"/>
    </row>
    <row r="482" ht="15" customHeight="1">
      <c r="A482" t="inlineStr">
        <is>
          <t>A 39046-2023</t>
        </is>
      </c>
      <c r="B482" s="1" t="n">
        <v>45163</v>
      </c>
      <c r="C482" s="1" t="n">
        <v>45474</v>
      </c>
      <c r="D482" t="inlineStr">
        <is>
          <t>VÄSTERNORRLANDS LÄN</t>
        </is>
      </c>
      <c r="E482" t="inlineStr">
        <is>
          <t>TIMRÅ</t>
        </is>
      </c>
      <c r="G482" t="n">
        <v>1.8</v>
      </c>
      <c r="H482" t="n">
        <v>0</v>
      </c>
      <c r="I482" t="n">
        <v>0</v>
      </c>
      <c r="J482" t="n">
        <v>0</v>
      </c>
      <c r="K482" t="n">
        <v>0</v>
      </c>
      <c r="L482" t="n">
        <v>0</v>
      </c>
      <c r="M482" t="n">
        <v>0</v>
      </c>
      <c r="N482" t="n">
        <v>0</v>
      </c>
      <c r="O482" t="n">
        <v>0</v>
      </c>
      <c r="P482" t="n">
        <v>0</v>
      </c>
      <c r="Q482" t="n">
        <v>0</v>
      </c>
      <c r="R482" s="2" t="inlineStr"/>
    </row>
    <row r="483" ht="15" customHeight="1">
      <c r="A483" t="inlineStr">
        <is>
          <t>A 39048-2023</t>
        </is>
      </c>
      <c r="B483" s="1" t="n">
        <v>45164</v>
      </c>
      <c r="C483" s="1" t="n">
        <v>45474</v>
      </c>
      <c r="D483" t="inlineStr">
        <is>
          <t>VÄSTERNORRLANDS LÄN</t>
        </is>
      </c>
      <c r="E483" t="inlineStr">
        <is>
          <t>TIMRÅ</t>
        </is>
      </c>
      <c r="G483" t="n">
        <v>5.1</v>
      </c>
      <c r="H483" t="n">
        <v>0</v>
      </c>
      <c r="I483" t="n">
        <v>0</v>
      </c>
      <c r="J483" t="n">
        <v>0</v>
      </c>
      <c r="K483" t="n">
        <v>0</v>
      </c>
      <c r="L483" t="n">
        <v>0</v>
      </c>
      <c r="M483" t="n">
        <v>0</v>
      </c>
      <c r="N483" t="n">
        <v>0</v>
      </c>
      <c r="O483" t="n">
        <v>0</v>
      </c>
      <c r="P483" t="n">
        <v>0</v>
      </c>
      <c r="Q483" t="n">
        <v>0</v>
      </c>
      <c r="R483" s="2" t="inlineStr"/>
    </row>
    <row r="484" ht="15" customHeight="1">
      <c r="A484" t="inlineStr">
        <is>
          <t>A 39072-2023</t>
        </is>
      </c>
      <c r="B484" s="1" t="n">
        <v>45163</v>
      </c>
      <c r="C484" s="1" t="n">
        <v>45474</v>
      </c>
      <c r="D484" t="inlineStr">
        <is>
          <t>VÄSTERNORRLANDS LÄN</t>
        </is>
      </c>
      <c r="E484" t="inlineStr">
        <is>
          <t>TIMRÅ</t>
        </is>
      </c>
      <c r="F484" t="inlineStr">
        <is>
          <t>SCA</t>
        </is>
      </c>
      <c r="G484" t="n">
        <v>10.1</v>
      </c>
      <c r="H484" t="n">
        <v>0</v>
      </c>
      <c r="I484" t="n">
        <v>0</v>
      </c>
      <c r="J484" t="n">
        <v>0</v>
      </c>
      <c r="K484" t="n">
        <v>0</v>
      </c>
      <c r="L484" t="n">
        <v>0</v>
      </c>
      <c r="M484" t="n">
        <v>0</v>
      </c>
      <c r="N484" t="n">
        <v>0</v>
      </c>
      <c r="O484" t="n">
        <v>0</v>
      </c>
      <c r="P484" t="n">
        <v>0</v>
      </c>
      <c r="Q484" t="n">
        <v>0</v>
      </c>
      <c r="R484" s="2" t="inlineStr"/>
    </row>
    <row r="485" ht="15" customHeight="1">
      <c r="A485" t="inlineStr">
        <is>
          <t>A 39143-2023</t>
        </is>
      </c>
      <c r="B485" s="1" t="n">
        <v>45165</v>
      </c>
      <c r="C485" s="1" t="n">
        <v>45474</v>
      </c>
      <c r="D485" t="inlineStr">
        <is>
          <t>VÄSTERNORRLANDS LÄN</t>
        </is>
      </c>
      <c r="E485" t="inlineStr">
        <is>
          <t>TIMRÅ</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39142-2023</t>
        </is>
      </c>
      <c r="B486" s="1" t="n">
        <v>45165</v>
      </c>
      <c r="C486" s="1" t="n">
        <v>45474</v>
      </c>
      <c r="D486" t="inlineStr">
        <is>
          <t>VÄSTERNORRLANDS LÄN</t>
        </is>
      </c>
      <c r="E486" t="inlineStr">
        <is>
          <t>TIMRÅ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39693-2023</t>
        </is>
      </c>
      <c r="B487" s="1" t="n">
        <v>45166</v>
      </c>
      <c r="C487" s="1" t="n">
        <v>45474</v>
      </c>
      <c r="D487" t="inlineStr">
        <is>
          <t>VÄSTERNORRLANDS LÄN</t>
        </is>
      </c>
      <c r="E487" t="inlineStr">
        <is>
          <t>TIMRÅ</t>
        </is>
      </c>
      <c r="G487" t="n">
        <v>5.8</v>
      </c>
      <c r="H487" t="n">
        <v>0</v>
      </c>
      <c r="I487" t="n">
        <v>0</v>
      </c>
      <c r="J487" t="n">
        <v>0</v>
      </c>
      <c r="K487" t="n">
        <v>0</v>
      </c>
      <c r="L487" t="n">
        <v>0</v>
      </c>
      <c r="M487" t="n">
        <v>0</v>
      </c>
      <c r="N487" t="n">
        <v>0</v>
      </c>
      <c r="O487" t="n">
        <v>0</v>
      </c>
      <c r="P487" t="n">
        <v>0</v>
      </c>
      <c r="Q487" t="n">
        <v>0</v>
      </c>
      <c r="R487" s="2" t="inlineStr"/>
    </row>
    <row r="488" ht="15" customHeight="1">
      <c r="A488" t="inlineStr">
        <is>
          <t>A 39819-2023</t>
        </is>
      </c>
      <c r="B488" s="1" t="n">
        <v>45167</v>
      </c>
      <c r="C488" s="1" t="n">
        <v>45474</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40112-2023</t>
        </is>
      </c>
      <c r="B489" s="1" t="n">
        <v>45168</v>
      </c>
      <c r="C489" s="1" t="n">
        <v>45474</v>
      </c>
      <c r="D489" t="inlineStr">
        <is>
          <t>VÄSTERNORRLANDS LÄN</t>
        </is>
      </c>
      <c r="E489" t="inlineStr">
        <is>
          <t>TIMRÅ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40769-2023</t>
        </is>
      </c>
      <c r="B490" s="1" t="n">
        <v>45170</v>
      </c>
      <c r="C490" s="1" t="n">
        <v>45474</v>
      </c>
      <c r="D490" t="inlineStr">
        <is>
          <t>VÄSTERNORRLANDS LÄN</t>
        </is>
      </c>
      <c r="E490" t="inlineStr">
        <is>
          <t>TIMRÅ</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40773-2023</t>
        </is>
      </c>
      <c r="B491" s="1" t="n">
        <v>45171</v>
      </c>
      <c r="C491" s="1" t="n">
        <v>45474</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40774-2023</t>
        </is>
      </c>
      <c r="B492" s="1" t="n">
        <v>45171</v>
      </c>
      <c r="C492" s="1" t="n">
        <v>45474</v>
      </c>
      <c r="D492" t="inlineStr">
        <is>
          <t>VÄSTERNORRLANDS LÄN</t>
        </is>
      </c>
      <c r="E492" t="inlineStr">
        <is>
          <t>TIMRÅ</t>
        </is>
      </c>
      <c r="F492" t="inlineStr">
        <is>
          <t>SCA</t>
        </is>
      </c>
      <c r="G492" t="n">
        <v>12.6</v>
      </c>
      <c r="H492" t="n">
        <v>0</v>
      </c>
      <c r="I492" t="n">
        <v>0</v>
      </c>
      <c r="J492" t="n">
        <v>0</v>
      </c>
      <c r="K492" t="n">
        <v>0</v>
      </c>
      <c r="L492" t="n">
        <v>0</v>
      </c>
      <c r="M492" t="n">
        <v>0</v>
      </c>
      <c r="N492" t="n">
        <v>0</v>
      </c>
      <c r="O492" t="n">
        <v>0</v>
      </c>
      <c r="P492" t="n">
        <v>0</v>
      </c>
      <c r="Q492" t="n">
        <v>0</v>
      </c>
      <c r="R492" s="2" t="inlineStr"/>
    </row>
    <row r="493" ht="15" customHeight="1">
      <c r="A493" t="inlineStr">
        <is>
          <t>A 40767-2023</t>
        </is>
      </c>
      <c r="B493" s="1" t="n">
        <v>45171</v>
      </c>
      <c r="C493" s="1" t="n">
        <v>45474</v>
      </c>
      <c r="D493" t="inlineStr">
        <is>
          <t>VÄSTERNORRLANDS LÄN</t>
        </is>
      </c>
      <c r="E493" t="inlineStr">
        <is>
          <t>TIMRÅ</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40768-2023</t>
        </is>
      </c>
      <c r="B494" s="1" t="n">
        <v>45171</v>
      </c>
      <c r="C494" s="1" t="n">
        <v>45474</v>
      </c>
      <c r="D494" t="inlineStr">
        <is>
          <t>VÄSTERNORRLANDS LÄN</t>
        </is>
      </c>
      <c r="E494" t="inlineStr">
        <is>
          <t>TIMRÅ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41605-2023</t>
        </is>
      </c>
      <c r="B495" s="1" t="n">
        <v>45175</v>
      </c>
      <c r="C495" s="1" t="n">
        <v>45474</v>
      </c>
      <c r="D495" t="inlineStr">
        <is>
          <t>VÄSTERNORRLANDS LÄN</t>
        </is>
      </c>
      <c r="E495" t="inlineStr">
        <is>
          <t>TIMRÅ</t>
        </is>
      </c>
      <c r="G495" t="n">
        <v>1.6</v>
      </c>
      <c r="H495" t="n">
        <v>0</v>
      </c>
      <c r="I495" t="n">
        <v>0</v>
      </c>
      <c r="J495" t="n">
        <v>0</v>
      </c>
      <c r="K495" t="n">
        <v>0</v>
      </c>
      <c r="L495" t="n">
        <v>0</v>
      </c>
      <c r="M495" t="n">
        <v>0</v>
      </c>
      <c r="N495" t="n">
        <v>0</v>
      </c>
      <c r="O495" t="n">
        <v>0</v>
      </c>
      <c r="P495" t="n">
        <v>0</v>
      </c>
      <c r="Q495" t="n">
        <v>0</v>
      </c>
      <c r="R495" s="2" t="inlineStr"/>
    </row>
    <row r="496" ht="15" customHeight="1">
      <c r="A496" t="inlineStr">
        <is>
          <t>A 42161-2023</t>
        </is>
      </c>
      <c r="B496" s="1" t="n">
        <v>45178</v>
      </c>
      <c r="C496" s="1" t="n">
        <v>45474</v>
      </c>
      <c r="D496" t="inlineStr">
        <is>
          <t>VÄSTERNORRLANDS LÄN</t>
        </is>
      </c>
      <c r="E496" t="inlineStr">
        <is>
          <t>TIMRÅ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42513-2023</t>
        </is>
      </c>
      <c r="B497" s="1" t="n">
        <v>45180</v>
      </c>
      <c r="C497" s="1" t="n">
        <v>45474</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42516-2023</t>
        </is>
      </c>
      <c r="B498" s="1" t="n">
        <v>45180</v>
      </c>
      <c r="C498" s="1" t="n">
        <v>45474</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43124-2023</t>
        </is>
      </c>
      <c r="B499" s="1" t="n">
        <v>45182</v>
      </c>
      <c r="C499" s="1" t="n">
        <v>45474</v>
      </c>
      <c r="D499" t="inlineStr">
        <is>
          <t>VÄSTERNORRLANDS LÄN</t>
        </is>
      </c>
      <c r="E499" t="inlineStr">
        <is>
          <t>TIMRÅ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43130-2023</t>
        </is>
      </c>
      <c r="B500" s="1" t="n">
        <v>45183</v>
      </c>
      <c r="C500" s="1" t="n">
        <v>45474</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43128-2023</t>
        </is>
      </c>
      <c r="B501" s="1" t="n">
        <v>45182</v>
      </c>
      <c r="C501" s="1" t="n">
        <v>45474</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43113-2023</t>
        </is>
      </c>
      <c r="B502" s="1" t="n">
        <v>45182</v>
      </c>
      <c r="C502" s="1" t="n">
        <v>45474</v>
      </c>
      <c r="D502" t="inlineStr">
        <is>
          <t>VÄSTERNORRLANDS LÄN</t>
        </is>
      </c>
      <c r="E502" t="inlineStr">
        <is>
          <t>TIMRÅ</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43129-2023</t>
        </is>
      </c>
      <c r="B503" s="1" t="n">
        <v>45182</v>
      </c>
      <c r="C503" s="1" t="n">
        <v>45474</v>
      </c>
      <c r="D503" t="inlineStr">
        <is>
          <t>VÄSTERNORRLANDS LÄN</t>
        </is>
      </c>
      <c r="E503" t="inlineStr">
        <is>
          <t>TIMRÅ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43411-2023</t>
        </is>
      </c>
      <c r="B504" s="1" t="n">
        <v>45183</v>
      </c>
      <c r="C504" s="1" t="n">
        <v>45474</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43412-2023</t>
        </is>
      </c>
      <c r="B505" s="1" t="n">
        <v>45184</v>
      </c>
      <c r="C505" s="1" t="n">
        <v>45474</v>
      </c>
      <c r="D505" t="inlineStr">
        <is>
          <t>VÄSTERNORRLANDS LÄN</t>
        </is>
      </c>
      <c r="E505" t="inlineStr">
        <is>
          <t>TIMRÅ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43959-2023</t>
        </is>
      </c>
      <c r="B506" s="1" t="n">
        <v>45188</v>
      </c>
      <c r="C506" s="1" t="n">
        <v>45474</v>
      </c>
      <c r="D506" t="inlineStr">
        <is>
          <t>VÄSTERNORRLANDS LÄN</t>
        </is>
      </c>
      <c r="E506" t="inlineStr">
        <is>
          <t>TIMRÅ</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43964-2023</t>
        </is>
      </c>
      <c r="B507" s="1" t="n">
        <v>45187</v>
      </c>
      <c r="C507" s="1" t="n">
        <v>45474</v>
      </c>
      <c r="D507" t="inlineStr">
        <is>
          <t>VÄSTERNORRLANDS LÄN</t>
        </is>
      </c>
      <c r="E507" t="inlineStr">
        <is>
          <t>TIMRÅ</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43983-2023</t>
        </is>
      </c>
      <c r="B508" s="1" t="n">
        <v>45188</v>
      </c>
      <c r="C508" s="1" t="n">
        <v>45474</v>
      </c>
      <c r="D508" t="inlineStr">
        <is>
          <t>VÄSTERNORRLANDS LÄN</t>
        </is>
      </c>
      <c r="E508" t="inlineStr">
        <is>
          <t>TIMRÅ</t>
        </is>
      </c>
      <c r="F508" t="inlineStr">
        <is>
          <t>SCA</t>
        </is>
      </c>
      <c r="G508" t="n">
        <v>6.7</v>
      </c>
      <c r="H508" t="n">
        <v>0</v>
      </c>
      <c r="I508" t="n">
        <v>0</v>
      </c>
      <c r="J508" t="n">
        <v>0</v>
      </c>
      <c r="K508" t="n">
        <v>0</v>
      </c>
      <c r="L508" t="n">
        <v>0</v>
      </c>
      <c r="M508" t="n">
        <v>0</v>
      </c>
      <c r="N508" t="n">
        <v>0</v>
      </c>
      <c r="O508" t="n">
        <v>0</v>
      </c>
      <c r="P508" t="n">
        <v>0</v>
      </c>
      <c r="Q508" t="n">
        <v>0</v>
      </c>
      <c r="R508" s="2" t="inlineStr"/>
    </row>
    <row r="509" ht="15" customHeight="1">
      <c r="A509" t="inlineStr">
        <is>
          <t>A 43962-2023</t>
        </is>
      </c>
      <c r="B509" s="1" t="n">
        <v>45187</v>
      </c>
      <c r="C509" s="1" t="n">
        <v>45474</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43994-2023</t>
        </is>
      </c>
      <c r="B510" s="1" t="n">
        <v>45187</v>
      </c>
      <c r="C510" s="1" t="n">
        <v>45474</v>
      </c>
      <c r="D510" t="inlineStr">
        <is>
          <t>VÄSTERNORRLANDS LÄN</t>
        </is>
      </c>
      <c r="E510" t="inlineStr">
        <is>
          <t>TIMRÅ</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44405-2023</t>
        </is>
      </c>
      <c r="B511" s="1" t="n">
        <v>45188</v>
      </c>
      <c r="C511" s="1" t="n">
        <v>45474</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44404-2023</t>
        </is>
      </c>
      <c r="B512" s="1" t="n">
        <v>45188</v>
      </c>
      <c r="C512" s="1" t="n">
        <v>45474</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44379-2023</t>
        </is>
      </c>
      <c r="B513" s="1" t="n">
        <v>45188</v>
      </c>
      <c r="C513" s="1" t="n">
        <v>45474</v>
      </c>
      <c r="D513" t="inlineStr">
        <is>
          <t>VÄSTERNORRLANDS LÄN</t>
        </is>
      </c>
      <c r="E513" t="inlineStr">
        <is>
          <t>TIMRÅ</t>
        </is>
      </c>
      <c r="G513" t="n">
        <v>0.6</v>
      </c>
      <c r="H513" t="n">
        <v>0</v>
      </c>
      <c r="I513" t="n">
        <v>0</v>
      </c>
      <c r="J513" t="n">
        <v>0</v>
      </c>
      <c r="K513" t="n">
        <v>0</v>
      </c>
      <c r="L513" t="n">
        <v>0</v>
      </c>
      <c r="M513" t="n">
        <v>0</v>
      </c>
      <c r="N513" t="n">
        <v>0</v>
      </c>
      <c r="O513" t="n">
        <v>0</v>
      </c>
      <c r="P513" t="n">
        <v>0</v>
      </c>
      <c r="Q513" t="n">
        <v>0</v>
      </c>
      <c r="R513" s="2" t="inlineStr"/>
    </row>
    <row r="514" ht="15" customHeight="1">
      <c r="A514" t="inlineStr">
        <is>
          <t>A 44378-2023</t>
        </is>
      </c>
      <c r="B514" s="1" t="n">
        <v>45189</v>
      </c>
      <c r="C514" s="1" t="n">
        <v>45474</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45774-2023</t>
        </is>
      </c>
      <c r="B515" s="1" t="n">
        <v>45189</v>
      </c>
      <c r="C515" s="1" t="n">
        <v>45474</v>
      </c>
      <c r="D515" t="inlineStr">
        <is>
          <t>VÄSTERNORRLANDS LÄN</t>
        </is>
      </c>
      <c r="E515" t="inlineStr">
        <is>
          <t>TIMRÅ</t>
        </is>
      </c>
      <c r="G515" t="n">
        <v>2.8</v>
      </c>
      <c r="H515" t="n">
        <v>0</v>
      </c>
      <c r="I515" t="n">
        <v>0</v>
      </c>
      <c r="J515" t="n">
        <v>0</v>
      </c>
      <c r="K515" t="n">
        <v>0</v>
      </c>
      <c r="L515" t="n">
        <v>0</v>
      </c>
      <c r="M515" t="n">
        <v>0</v>
      </c>
      <c r="N515" t="n">
        <v>0</v>
      </c>
      <c r="O515" t="n">
        <v>0</v>
      </c>
      <c r="P515" t="n">
        <v>0</v>
      </c>
      <c r="Q515" t="n">
        <v>0</v>
      </c>
      <c r="R515" s="2" t="inlineStr"/>
    </row>
    <row r="516" ht="15" customHeight="1">
      <c r="A516" t="inlineStr">
        <is>
          <t>A 44991-2023</t>
        </is>
      </c>
      <c r="B516" s="1" t="n">
        <v>45190</v>
      </c>
      <c r="C516" s="1" t="n">
        <v>45474</v>
      </c>
      <c r="D516" t="inlineStr">
        <is>
          <t>VÄSTERNORRLANDS LÄN</t>
        </is>
      </c>
      <c r="E516" t="inlineStr">
        <is>
          <t>TIMRÅ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44990-2023</t>
        </is>
      </c>
      <c r="B517" s="1" t="n">
        <v>45190</v>
      </c>
      <c r="C517" s="1" t="n">
        <v>45474</v>
      </c>
      <c r="D517" t="inlineStr">
        <is>
          <t>VÄSTERNORRLANDS LÄN</t>
        </is>
      </c>
      <c r="E517" t="inlineStr">
        <is>
          <t>TIMRÅ</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45723-2023</t>
        </is>
      </c>
      <c r="B518" s="1" t="n">
        <v>45195</v>
      </c>
      <c r="C518" s="1" t="n">
        <v>45474</v>
      </c>
      <c r="D518" t="inlineStr">
        <is>
          <t>VÄSTERNORRLANDS LÄN</t>
        </is>
      </c>
      <c r="E518" t="inlineStr">
        <is>
          <t>TIMRÅ</t>
        </is>
      </c>
      <c r="G518" t="n">
        <v>0.9</v>
      </c>
      <c r="H518" t="n">
        <v>0</v>
      </c>
      <c r="I518" t="n">
        <v>0</v>
      </c>
      <c r="J518" t="n">
        <v>0</v>
      </c>
      <c r="K518" t="n">
        <v>0</v>
      </c>
      <c r="L518" t="n">
        <v>0</v>
      </c>
      <c r="M518" t="n">
        <v>0</v>
      </c>
      <c r="N518" t="n">
        <v>0</v>
      </c>
      <c r="O518" t="n">
        <v>0</v>
      </c>
      <c r="P518" t="n">
        <v>0</v>
      </c>
      <c r="Q518" t="n">
        <v>0</v>
      </c>
      <c r="R518" s="2" t="inlineStr"/>
    </row>
    <row r="519" ht="15" customHeight="1">
      <c r="A519" t="inlineStr">
        <is>
          <t>A 45739-2023</t>
        </is>
      </c>
      <c r="B519" s="1" t="n">
        <v>45195</v>
      </c>
      <c r="C519" s="1" t="n">
        <v>45474</v>
      </c>
      <c r="D519" t="inlineStr">
        <is>
          <t>VÄSTERNORRLANDS LÄN</t>
        </is>
      </c>
      <c r="E519" t="inlineStr">
        <is>
          <t>TIMRÅ</t>
        </is>
      </c>
      <c r="G519" t="n">
        <v>1.5</v>
      </c>
      <c r="H519" t="n">
        <v>0</v>
      </c>
      <c r="I519" t="n">
        <v>0</v>
      </c>
      <c r="J519" t="n">
        <v>0</v>
      </c>
      <c r="K519" t="n">
        <v>0</v>
      </c>
      <c r="L519" t="n">
        <v>0</v>
      </c>
      <c r="M519" t="n">
        <v>0</v>
      </c>
      <c r="N519" t="n">
        <v>0</v>
      </c>
      <c r="O519" t="n">
        <v>0</v>
      </c>
      <c r="P519" t="n">
        <v>0</v>
      </c>
      <c r="Q519" t="n">
        <v>0</v>
      </c>
      <c r="R519" s="2" t="inlineStr"/>
    </row>
    <row r="520" ht="15" customHeight="1">
      <c r="A520" t="inlineStr">
        <is>
          <t>A 47147-2023</t>
        </is>
      </c>
      <c r="B520" s="1" t="n">
        <v>45201</v>
      </c>
      <c r="C520" s="1" t="n">
        <v>45474</v>
      </c>
      <c r="D520" t="inlineStr">
        <is>
          <t>VÄSTERNORRLANDS LÄN</t>
        </is>
      </c>
      <c r="E520" t="inlineStr">
        <is>
          <t>TIMRÅ</t>
        </is>
      </c>
      <c r="G520" t="n">
        <v>1.1</v>
      </c>
      <c r="H520" t="n">
        <v>0</v>
      </c>
      <c r="I520" t="n">
        <v>0</v>
      </c>
      <c r="J520" t="n">
        <v>0</v>
      </c>
      <c r="K520" t="n">
        <v>0</v>
      </c>
      <c r="L520" t="n">
        <v>0</v>
      </c>
      <c r="M520" t="n">
        <v>0</v>
      </c>
      <c r="N520" t="n">
        <v>0</v>
      </c>
      <c r="O520" t="n">
        <v>0</v>
      </c>
      <c r="P520" t="n">
        <v>0</v>
      </c>
      <c r="Q520" t="n">
        <v>0</v>
      </c>
      <c r="R520" s="2" t="inlineStr"/>
    </row>
    <row r="521" ht="15" customHeight="1">
      <c r="A521" t="inlineStr">
        <is>
          <t>A 47150-2023</t>
        </is>
      </c>
      <c r="B521" s="1" t="n">
        <v>45201</v>
      </c>
      <c r="C521" s="1" t="n">
        <v>45474</v>
      </c>
      <c r="D521" t="inlineStr">
        <is>
          <t>VÄSTERNORRLANDS LÄN</t>
        </is>
      </c>
      <c r="E521" t="inlineStr">
        <is>
          <t>TIMRÅ</t>
        </is>
      </c>
      <c r="G521" t="n">
        <v>1.1</v>
      </c>
      <c r="H521" t="n">
        <v>0</v>
      </c>
      <c r="I521" t="n">
        <v>0</v>
      </c>
      <c r="J521" t="n">
        <v>0</v>
      </c>
      <c r="K521" t="n">
        <v>0</v>
      </c>
      <c r="L521" t="n">
        <v>0</v>
      </c>
      <c r="M521" t="n">
        <v>0</v>
      </c>
      <c r="N521" t="n">
        <v>0</v>
      </c>
      <c r="O521" t="n">
        <v>0</v>
      </c>
      <c r="P521" t="n">
        <v>0</v>
      </c>
      <c r="Q521" t="n">
        <v>0</v>
      </c>
      <c r="R521" s="2" t="inlineStr"/>
    </row>
    <row r="522" ht="15" customHeight="1">
      <c r="A522" t="inlineStr">
        <is>
          <t>A 48769-2023</t>
        </is>
      </c>
      <c r="B522" s="1" t="n">
        <v>45208</v>
      </c>
      <c r="C522" s="1" t="n">
        <v>45474</v>
      </c>
      <c r="D522" t="inlineStr">
        <is>
          <t>VÄSTERNORRLANDS LÄN</t>
        </is>
      </c>
      <c r="E522" t="inlineStr">
        <is>
          <t>TIMRÅ</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48786-2023</t>
        </is>
      </c>
      <c r="B523" s="1" t="n">
        <v>45208</v>
      </c>
      <c r="C523" s="1" t="n">
        <v>45474</v>
      </c>
      <c r="D523" t="inlineStr">
        <is>
          <t>VÄSTERNORRLANDS LÄN</t>
        </is>
      </c>
      <c r="E523" t="inlineStr">
        <is>
          <t>TIMRÅ</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48768-2023</t>
        </is>
      </c>
      <c r="B524" s="1" t="n">
        <v>45208</v>
      </c>
      <c r="C524" s="1" t="n">
        <v>45474</v>
      </c>
      <c r="D524" t="inlineStr">
        <is>
          <t>VÄSTERNORRLANDS LÄN</t>
        </is>
      </c>
      <c r="E524" t="inlineStr">
        <is>
          <t>TIMRÅ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48785-2023</t>
        </is>
      </c>
      <c r="B525" s="1" t="n">
        <v>45208</v>
      </c>
      <c r="C525" s="1" t="n">
        <v>45474</v>
      </c>
      <c r="D525" t="inlineStr">
        <is>
          <t>VÄSTERNORRLANDS LÄN</t>
        </is>
      </c>
      <c r="E525" t="inlineStr">
        <is>
          <t>TIMRÅ</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48784-2023</t>
        </is>
      </c>
      <c r="B526" s="1" t="n">
        <v>45208</v>
      </c>
      <c r="C526" s="1" t="n">
        <v>45474</v>
      </c>
      <c r="D526" t="inlineStr">
        <is>
          <t>VÄSTERNORRLANDS LÄN</t>
        </is>
      </c>
      <c r="E526" t="inlineStr">
        <is>
          <t>TIMRÅ</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50355-2023</t>
        </is>
      </c>
      <c r="B527" s="1" t="n">
        <v>45209</v>
      </c>
      <c r="C527" s="1" t="n">
        <v>45474</v>
      </c>
      <c r="D527" t="inlineStr">
        <is>
          <t>VÄSTERNORRLANDS LÄN</t>
        </is>
      </c>
      <c r="E527" t="inlineStr">
        <is>
          <t>TIMRÅ</t>
        </is>
      </c>
      <c r="G527" t="n">
        <v>1</v>
      </c>
      <c r="H527" t="n">
        <v>0</v>
      </c>
      <c r="I527" t="n">
        <v>0</v>
      </c>
      <c r="J527" t="n">
        <v>0</v>
      </c>
      <c r="K527" t="n">
        <v>0</v>
      </c>
      <c r="L527" t="n">
        <v>0</v>
      </c>
      <c r="M527" t="n">
        <v>0</v>
      </c>
      <c r="N527" t="n">
        <v>0</v>
      </c>
      <c r="O527" t="n">
        <v>0</v>
      </c>
      <c r="P527" t="n">
        <v>0</v>
      </c>
      <c r="Q527" t="n">
        <v>0</v>
      </c>
      <c r="R527" s="2" t="inlineStr"/>
    </row>
    <row r="528" ht="15" customHeight="1">
      <c r="A528" t="inlineStr">
        <is>
          <t>A 50638-2023</t>
        </is>
      </c>
      <c r="B528" s="1" t="n">
        <v>45210</v>
      </c>
      <c r="C528" s="1" t="n">
        <v>45474</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50230-2023</t>
        </is>
      </c>
      <c r="B529" s="1" t="n">
        <v>45215</v>
      </c>
      <c r="C529" s="1" t="n">
        <v>45474</v>
      </c>
      <c r="D529" t="inlineStr">
        <is>
          <t>VÄSTERNORRLANDS LÄN</t>
        </is>
      </c>
      <c r="E529" t="inlineStr">
        <is>
          <t>TIMRÅ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51735-2023</t>
        </is>
      </c>
      <c r="B530" s="1" t="n">
        <v>45215</v>
      </c>
      <c r="C530" s="1" t="n">
        <v>45474</v>
      </c>
      <c r="D530" t="inlineStr">
        <is>
          <t>VÄSTERNORRLANDS LÄN</t>
        </is>
      </c>
      <c r="E530" t="inlineStr">
        <is>
          <t>TIMRÅ</t>
        </is>
      </c>
      <c r="G530" t="n">
        <v>8.5</v>
      </c>
      <c r="H530" t="n">
        <v>0</v>
      </c>
      <c r="I530" t="n">
        <v>0</v>
      </c>
      <c r="J530" t="n">
        <v>0</v>
      </c>
      <c r="K530" t="n">
        <v>0</v>
      </c>
      <c r="L530" t="n">
        <v>0</v>
      </c>
      <c r="M530" t="n">
        <v>0</v>
      </c>
      <c r="N530" t="n">
        <v>0</v>
      </c>
      <c r="O530" t="n">
        <v>0</v>
      </c>
      <c r="P530" t="n">
        <v>0</v>
      </c>
      <c r="Q530" t="n">
        <v>0</v>
      </c>
      <c r="R530" s="2" t="inlineStr"/>
    </row>
    <row r="531" ht="15" customHeight="1">
      <c r="A531" t="inlineStr">
        <is>
          <t>A 51871-2023</t>
        </is>
      </c>
      <c r="B531" s="1" t="n">
        <v>45215</v>
      </c>
      <c r="C531" s="1" t="n">
        <v>45474</v>
      </c>
      <c r="D531" t="inlineStr">
        <is>
          <t>VÄSTERNORRLANDS LÄN</t>
        </is>
      </c>
      <c r="E531" t="inlineStr">
        <is>
          <t>TIMRÅ</t>
        </is>
      </c>
      <c r="G531" t="n">
        <v>7.3</v>
      </c>
      <c r="H531" t="n">
        <v>0</v>
      </c>
      <c r="I531" t="n">
        <v>0</v>
      </c>
      <c r="J531" t="n">
        <v>0</v>
      </c>
      <c r="K531" t="n">
        <v>0</v>
      </c>
      <c r="L531" t="n">
        <v>0</v>
      </c>
      <c r="M531" t="n">
        <v>0</v>
      </c>
      <c r="N531" t="n">
        <v>0</v>
      </c>
      <c r="O531" t="n">
        <v>0</v>
      </c>
      <c r="P531" t="n">
        <v>0</v>
      </c>
      <c r="Q531" t="n">
        <v>0</v>
      </c>
      <c r="R531" s="2" t="inlineStr"/>
    </row>
    <row r="532" ht="15" customHeight="1">
      <c r="A532" t="inlineStr">
        <is>
          <t>A 51113-2023</t>
        </is>
      </c>
      <c r="B532" s="1" t="n">
        <v>45218</v>
      </c>
      <c r="C532" s="1" t="n">
        <v>45474</v>
      </c>
      <c r="D532" t="inlineStr">
        <is>
          <t>VÄSTERNORRLANDS LÄN</t>
        </is>
      </c>
      <c r="E532" t="inlineStr">
        <is>
          <t>TIMRÅ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53033-2023</t>
        </is>
      </c>
      <c r="B533" s="1" t="n">
        <v>45227</v>
      </c>
      <c r="C533" s="1" t="n">
        <v>45474</v>
      </c>
      <c r="D533" t="inlineStr">
        <is>
          <t>VÄSTERNORRLANDS LÄN</t>
        </is>
      </c>
      <c r="E533" t="inlineStr">
        <is>
          <t>TIMRÅ</t>
        </is>
      </c>
      <c r="G533" t="n">
        <v>3.4</v>
      </c>
      <c r="H533" t="n">
        <v>0</v>
      </c>
      <c r="I533" t="n">
        <v>0</v>
      </c>
      <c r="J533" t="n">
        <v>0</v>
      </c>
      <c r="K533" t="n">
        <v>0</v>
      </c>
      <c r="L533" t="n">
        <v>0</v>
      </c>
      <c r="M533" t="n">
        <v>0</v>
      </c>
      <c r="N533" t="n">
        <v>0</v>
      </c>
      <c r="O533" t="n">
        <v>0</v>
      </c>
      <c r="P533" t="n">
        <v>0</v>
      </c>
      <c r="Q533" t="n">
        <v>0</v>
      </c>
      <c r="R533" s="2" t="inlineStr"/>
    </row>
    <row r="534" ht="15" customHeight="1">
      <c r="A534" t="inlineStr">
        <is>
          <t>A 53448-2023</t>
        </is>
      </c>
      <c r="B534" s="1" t="n">
        <v>45230</v>
      </c>
      <c r="C534" s="1" t="n">
        <v>45474</v>
      </c>
      <c r="D534" t="inlineStr">
        <is>
          <t>VÄSTERNORRLANDS LÄN</t>
        </is>
      </c>
      <c r="E534" t="inlineStr">
        <is>
          <t>TIMRÅ</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53430-2023</t>
        </is>
      </c>
      <c r="B535" s="1" t="n">
        <v>45229</v>
      </c>
      <c r="C535" s="1" t="n">
        <v>45474</v>
      </c>
      <c r="D535" t="inlineStr">
        <is>
          <t>VÄSTERNORRLANDS LÄN</t>
        </is>
      </c>
      <c r="E535" t="inlineStr">
        <is>
          <t>TIMRÅ</t>
        </is>
      </c>
      <c r="G535" t="n">
        <v>2.6</v>
      </c>
      <c r="H535" t="n">
        <v>0</v>
      </c>
      <c r="I535" t="n">
        <v>0</v>
      </c>
      <c r="J535" t="n">
        <v>0</v>
      </c>
      <c r="K535" t="n">
        <v>0</v>
      </c>
      <c r="L535" t="n">
        <v>0</v>
      </c>
      <c r="M535" t="n">
        <v>0</v>
      </c>
      <c r="N535" t="n">
        <v>0</v>
      </c>
      <c r="O535" t="n">
        <v>0</v>
      </c>
      <c r="P535" t="n">
        <v>0</v>
      </c>
      <c r="Q535" t="n">
        <v>0</v>
      </c>
      <c r="R535" s="2" t="inlineStr"/>
    </row>
    <row r="536" ht="15" customHeight="1">
      <c r="A536" t="inlineStr">
        <is>
          <t>A 53755-2023</t>
        </is>
      </c>
      <c r="B536" s="1" t="n">
        <v>45230</v>
      </c>
      <c r="C536" s="1" t="n">
        <v>45474</v>
      </c>
      <c r="D536" t="inlineStr">
        <is>
          <t>VÄSTERNORRLANDS LÄN</t>
        </is>
      </c>
      <c r="E536" t="inlineStr">
        <is>
          <t>TIMRÅ</t>
        </is>
      </c>
      <c r="G536" t="n">
        <v>6.5</v>
      </c>
      <c r="H536" t="n">
        <v>0</v>
      </c>
      <c r="I536" t="n">
        <v>0</v>
      </c>
      <c r="J536" t="n">
        <v>0</v>
      </c>
      <c r="K536" t="n">
        <v>0</v>
      </c>
      <c r="L536" t="n">
        <v>0</v>
      </c>
      <c r="M536" t="n">
        <v>0</v>
      </c>
      <c r="N536" t="n">
        <v>0</v>
      </c>
      <c r="O536" t="n">
        <v>0</v>
      </c>
      <c r="P536" t="n">
        <v>0</v>
      </c>
      <c r="Q536" t="n">
        <v>0</v>
      </c>
      <c r="R536" s="2" t="inlineStr"/>
    </row>
    <row r="537" ht="15" customHeight="1">
      <c r="A537" t="inlineStr">
        <is>
          <t>A 54040-2023</t>
        </is>
      </c>
      <c r="B537" s="1" t="n">
        <v>45231</v>
      </c>
      <c r="C537" s="1" t="n">
        <v>45474</v>
      </c>
      <c r="D537" t="inlineStr">
        <is>
          <t>VÄSTERNORRLANDS LÄN</t>
        </is>
      </c>
      <c r="E537" t="inlineStr">
        <is>
          <t>TIMRÅ</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54041-2023</t>
        </is>
      </c>
      <c r="B538" s="1" t="n">
        <v>45231</v>
      </c>
      <c r="C538" s="1" t="n">
        <v>45474</v>
      </c>
      <c r="D538" t="inlineStr">
        <is>
          <t>VÄSTERNORRLANDS LÄN</t>
        </is>
      </c>
      <c r="E538" t="inlineStr">
        <is>
          <t>TIMRÅ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55441-2023</t>
        </is>
      </c>
      <c r="B539" s="1" t="n">
        <v>45231</v>
      </c>
      <c r="C539" s="1" t="n">
        <v>45474</v>
      </c>
      <c r="D539" t="inlineStr">
        <is>
          <t>VÄSTERNORRLANDS LÄN</t>
        </is>
      </c>
      <c r="E539" t="inlineStr">
        <is>
          <t>TIMRÅ</t>
        </is>
      </c>
      <c r="G539" t="n">
        <v>1</v>
      </c>
      <c r="H539" t="n">
        <v>0</v>
      </c>
      <c r="I539" t="n">
        <v>0</v>
      </c>
      <c r="J539" t="n">
        <v>0</v>
      </c>
      <c r="K539" t="n">
        <v>0</v>
      </c>
      <c r="L539" t="n">
        <v>0</v>
      </c>
      <c r="M539" t="n">
        <v>0</v>
      </c>
      <c r="N539" t="n">
        <v>0</v>
      </c>
      <c r="O539" t="n">
        <v>0</v>
      </c>
      <c r="P539" t="n">
        <v>0</v>
      </c>
      <c r="Q539" t="n">
        <v>0</v>
      </c>
      <c r="R539" s="2" t="inlineStr"/>
    </row>
    <row r="540" ht="15" customHeight="1">
      <c r="A540" t="inlineStr">
        <is>
          <t>A 54610-2023</t>
        </is>
      </c>
      <c r="B540" s="1" t="n">
        <v>45233</v>
      </c>
      <c r="C540" s="1" t="n">
        <v>45474</v>
      </c>
      <c r="D540" t="inlineStr">
        <is>
          <t>VÄSTERNORRLANDS LÄN</t>
        </is>
      </c>
      <c r="E540" t="inlineStr">
        <is>
          <t>TIMRÅ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55673-2023</t>
        </is>
      </c>
      <c r="B541" s="1" t="n">
        <v>45238</v>
      </c>
      <c r="C541" s="1" t="n">
        <v>45474</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55930-2023</t>
        </is>
      </c>
      <c r="B542" s="1" t="n">
        <v>45240</v>
      </c>
      <c r="C542" s="1" t="n">
        <v>45474</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56237-2023</t>
        </is>
      </c>
      <c r="B543" s="1" t="n">
        <v>45240</v>
      </c>
      <c r="C543" s="1" t="n">
        <v>45474</v>
      </c>
      <c r="D543" t="inlineStr">
        <is>
          <t>VÄSTERNORRLANDS LÄN</t>
        </is>
      </c>
      <c r="E543" t="inlineStr">
        <is>
          <t>TIMRÅ</t>
        </is>
      </c>
      <c r="G543" t="n">
        <v>0.7</v>
      </c>
      <c r="H543" t="n">
        <v>0</v>
      </c>
      <c r="I543" t="n">
        <v>0</v>
      </c>
      <c r="J543" t="n">
        <v>0</v>
      </c>
      <c r="K543" t="n">
        <v>0</v>
      </c>
      <c r="L543" t="n">
        <v>0</v>
      </c>
      <c r="M543" t="n">
        <v>0</v>
      </c>
      <c r="N543" t="n">
        <v>0</v>
      </c>
      <c r="O543" t="n">
        <v>0</v>
      </c>
      <c r="P543" t="n">
        <v>0</v>
      </c>
      <c r="Q543" t="n">
        <v>0</v>
      </c>
      <c r="R543" s="2" t="inlineStr"/>
    </row>
    <row r="544" ht="15" customHeight="1">
      <c r="A544" t="inlineStr">
        <is>
          <t>A 56701-2023</t>
        </is>
      </c>
      <c r="B544" s="1" t="n">
        <v>45243</v>
      </c>
      <c r="C544" s="1" t="n">
        <v>45474</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56692-2023</t>
        </is>
      </c>
      <c r="B545" s="1" t="n">
        <v>45243</v>
      </c>
      <c r="C545" s="1" t="n">
        <v>45474</v>
      </c>
      <c r="D545" t="inlineStr">
        <is>
          <t>VÄSTERNORRLANDS LÄN</t>
        </is>
      </c>
      <c r="E545" t="inlineStr">
        <is>
          <t>TIMRÅ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56765-2023</t>
        </is>
      </c>
      <c r="B546" s="1" t="n">
        <v>45244</v>
      </c>
      <c r="C546" s="1" t="n">
        <v>45474</v>
      </c>
      <c r="D546" t="inlineStr">
        <is>
          <t>VÄSTERNORRLANDS LÄN</t>
        </is>
      </c>
      <c r="E546" t="inlineStr">
        <is>
          <t>TIMRÅ</t>
        </is>
      </c>
      <c r="G546" t="n">
        <v>2</v>
      </c>
      <c r="H546" t="n">
        <v>0</v>
      </c>
      <c r="I546" t="n">
        <v>0</v>
      </c>
      <c r="J546" t="n">
        <v>0</v>
      </c>
      <c r="K546" t="n">
        <v>0</v>
      </c>
      <c r="L546" t="n">
        <v>0</v>
      </c>
      <c r="M546" t="n">
        <v>0</v>
      </c>
      <c r="N546" t="n">
        <v>0</v>
      </c>
      <c r="O546" t="n">
        <v>0</v>
      </c>
      <c r="P546" t="n">
        <v>0</v>
      </c>
      <c r="Q546" t="n">
        <v>0</v>
      </c>
      <c r="R546" s="2" t="inlineStr"/>
    </row>
    <row r="547" ht="15" customHeight="1">
      <c r="A547" t="inlineStr">
        <is>
          <t>A 57072-2023</t>
        </is>
      </c>
      <c r="B547" s="1" t="n">
        <v>45245</v>
      </c>
      <c r="C547" s="1" t="n">
        <v>45474</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57762-2023</t>
        </is>
      </c>
      <c r="B548" s="1" t="n">
        <v>45246</v>
      </c>
      <c r="C548" s="1" t="n">
        <v>45474</v>
      </c>
      <c r="D548" t="inlineStr">
        <is>
          <t>VÄSTERNORRLANDS LÄN</t>
        </is>
      </c>
      <c r="E548" t="inlineStr">
        <is>
          <t>TIMRÅ</t>
        </is>
      </c>
      <c r="G548" t="n">
        <v>2.5</v>
      </c>
      <c r="H548" t="n">
        <v>0</v>
      </c>
      <c r="I548" t="n">
        <v>0</v>
      </c>
      <c r="J548" t="n">
        <v>0</v>
      </c>
      <c r="K548" t="n">
        <v>0</v>
      </c>
      <c r="L548" t="n">
        <v>0</v>
      </c>
      <c r="M548" t="n">
        <v>0</v>
      </c>
      <c r="N548" t="n">
        <v>0</v>
      </c>
      <c r="O548" t="n">
        <v>0</v>
      </c>
      <c r="P548" t="n">
        <v>0</v>
      </c>
      <c r="Q548" t="n">
        <v>0</v>
      </c>
      <c r="R548" s="2" t="inlineStr"/>
    </row>
    <row r="549" ht="15" customHeight="1">
      <c r="A549" t="inlineStr">
        <is>
          <t>A 58062-2023</t>
        </is>
      </c>
      <c r="B549" s="1" t="n">
        <v>45247</v>
      </c>
      <c r="C549" s="1" t="n">
        <v>45474</v>
      </c>
      <c r="D549" t="inlineStr">
        <is>
          <t>VÄSTERNORRLANDS LÄN</t>
        </is>
      </c>
      <c r="E549" t="inlineStr">
        <is>
          <t>TIMRÅ</t>
        </is>
      </c>
      <c r="G549" t="n">
        <v>1.5</v>
      </c>
      <c r="H549" t="n">
        <v>0</v>
      </c>
      <c r="I549" t="n">
        <v>0</v>
      </c>
      <c r="J549" t="n">
        <v>0</v>
      </c>
      <c r="K549" t="n">
        <v>0</v>
      </c>
      <c r="L549" t="n">
        <v>0</v>
      </c>
      <c r="M549" t="n">
        <v>0</v>
      </c>
      <c r="N549" t="n">
        <v>0</v>
      </c>
      <c r="O549" t="n">
        <v>0</v>
      </c>
      <c r="P549" t="n">
        <v>0</v>
      </c>
      <c r="Q549" t="n">
        <v>0</v>
      </c>
      <c r="R549" s="2" t="inlineStr"/>
    </row>
    <row r="550" ht="15" customHeight="1">
      <c r="A550" t="inlineStr">
        <is>
          <t>A 58081-2023</t>
        </is>
      </c>
      <c r="B550" s="1" t="n">
        <v>45247</v>
      </c>
      <c r="C550" s="1" t="n">
        <v>45474</v>
      </c>
      <c r="D550" t="inlineStr">
        <is>
          <t>VÄSTERNORRLANDS LÄN</t>
        </is>
      </c>
      <c r="E550" t="inlineStr">
        <is>
          <t>TIMRÅ</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58087-2023</t>
        </is>
      </c>
      <c r="B551" s="1" t="n">
        <v>45248</v>
      </c>
      <c r="C551" s="1" t="n">
        <v>45474</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58998-2023</t>
        </is>
      </c>
      <c r="B552" s="1" t="n">
        <v>45250</v>
      </c>
      <c r="C552" s="1" t="n">
        <v>45474</v>
      </c>
      <c r="D552" t="inlineStr">
        <is>
          <t>VÄSTERNORRLANDS LÄN</t>
        </is>
      </c>
      <c r="E552" t="inlineStr">
        <is>
          <t>TIMRÅ</t>
        </is>
      </c>
      <c r="G552" t="n">
        <v>1.3</v>
      </c>
      <c r="H552" t="n">
        <v>0</v>
      </c>
      <c r="I552" t="n">
        <v>0</v>
      </c>
      <c r="J552" t="n">
        <v>0</v>
      </c>
      <c r="K552" t="n">
        <v>0</v>
      </c>
      <c r="L552" t="n">
        <v>0</v>
      </c>
      <c r="M552" t="n">
        <v>0</v>
      </c>
      <c r="N552" t="n">
        <v>0</v>
      </c>
      <c r="O552" t="n">
        <v>0</v>
      </c>
      <c r="P552" t="n">
        <v>0</v>
      </c>
      <c r="Q552" t="n">
        <v>0</v>
      </c>
      <c r="R552" s="2" t="inlineStr"/>
    </row>
    <row r="553" ht="15" customHeight="1">
      <c r="A553" t="inlineStr">
        <is>
          <t>A 58766-2023</t>
        </is>
      </c>
      <c r="B553" s="1" t="n">
        <v>45252</v>
      </c>
      <c r="C553" s="1" t="n">
        <v>45474</v>
      </c>
      <c r="D553" t="inlineStr">
        <is>
          <t>VÄSTERNORRLANDS LÄN</t>
        </is>
      </c>
      <c r="E553" t="inlineStr">
        <is>
          <t>TIMRÅ</t>
        </is>
      </c>
      <c r="F553" t="inlineStr">
        <is>
          <t>SCA</t>
        </is>
      </c>
      <c r="G553" t="n">
        <v>7.5</v>
      </c>
      <c r="H553" t="n">
        <v>0</v>
      </c>
      <c r="I553" t="n">
        <v>0</v>
      </c>
      <c r="J553" t="n">
        <v>0</v>
      </c>
      <c r="K553" t="n">
        <v>0</v>
      </c>
      <c r="L553" t="n">
        <v>0</v>
      </c>
      <c r="M553" t="n">
        <v>0</v>
      </c>
      <c r="N553" t="n">
        <v>0</v>
      </c>
      <c r="O553" t="n">
        <v>0</v>
      </c>
      <c r="P553" t="n">
        <v>0</v>
      </c>
      <c r="Q553" t="n">
        <v>0</v>
      </c>
      <c r="R553" s="2" t="inlineStr"/>
    </row>
    <row r="554" ht="15" customHeight="1">
      <c r="A554" t="inlineStr">
        <is>
          <t>A 58895-2023</t>
        </is>
      </c>
      <c r="B554" s="1" t="n">
        <v>45252</v>
      </c>
      <c r="C554" s="1" t="n">
        <v>45474</v>
      </c>
      <c r="D554" t="inlineStr">
        <is>
          <t>VÄSTERNORRLANDS LÄN</t>
        </is>
      </c>
      <c r="E554" t="inlineStr">
        <is>
          <t>TIMRÅ</t>
        </is>
      </c>
      <c r="G554" t="n">
        <v>3.7</v>
      </c>
      <c r="H554" t="n">
        <v>0</v>
      </c>
      <c r="I554" t="n">
        <v>0</v>
      </c>
      <c r="J554" t="n">
        <v>0</v>
      </c>
      <c r="K554" t="n">
        <v>0</v>
      </c>
      <c r="L554" t="n">
        <v>0</v>
      </c>
      <c r="M554" t="n">
        <v>0</v>
      </c>
      <c r="N554" t="n">
        <v>0</v>
      </c>
      <c r="O554" t="n">
        <v>0</v>
      </c>
      <c r="P554" t="n">
        <v>0</v>
      </c>
      <c r="Q554" t="n">
        <v>0</v>
      </c>
      <c r="R554" s="2" t="inlineStr"/>
    </row>
    <row r="555" ht="15" customHeight="1">
      <c r="A555" t="inlineStr">
        <is>
          <t>A 59401-2023</t>
        </is>
      </c>
      <c r="B555" s="1" t="n">
        <v>45253</v>
      </c>
      <c r="C555" s="1" t="n">
        <v>45474</v>
      </c>
      <c r="D555" t="inlineStr">
        <is>
          <t>VÄSTERNORRLANDS LÄN</t>
        </is>
      </c>
      <c r="E555" t="inlineStr">
        <is>
          <t>TIMRÅ</t>
        </is>
      </c>
      <c r="G555" t="n">
        <v>11.2</v>
      </c>
      <c r="H555" t="n">
        <v>0</v>
      </c>
      <c r="I555" t="n">
        <v>0</v>
      </c>
      <c r="J555" t="n">
        <v>0</v>
      </c>
      <c r="K555" t="n">
        <v>0</v>
      </c>
      <c r="L555" t="n">
        <v>0</v>
      </c>
      <c r="M555" t="n">
        <v>0</v>
      </c>
      <c r="N555" t="n">
        <v>0</v>
      </c>
      <c r="O555" t="n">
        <v>0</v>
      </c>
      <c r="P555" t="n">
        <v>0</v>
      </c>
      <c r="Q555" t="n">
        <v>0</v>
      </c>
      <c r="R555" s="2" t="inlineStr"/>
    </row>
    <row r="556" ht="15" customHeight="1">
      <c r="A556" t="inlineStr">
        <is>
          <t>A 60011-2023</t>
        </is>
      </c>
      <c r="B556" s="1" t="n">
        <v>45257</v>
      </c>
      <c r="C556" s="1" t="n">
        <v>45474</v>
      </c>
      <c r="D556" t="inlineStr">
        <is>
          <t>VÄSTERNORRLANDS LÄN</t>
        </is>
      </c>
      <c r="E556" t="inlineStr">
        <is>
          <t>TIMRÅ</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60074-2023</t>
        </is>
      </c>
      <c r="B557" s="1" t="n">
        <v>45258</v>
      </c>
      <c r="C557" s="1" t="n">
        <v>45474</v>
      </c>
      <c r="D557" t="inlineStr">
        <is>
          <t>VÄSTERNORRLANDS LÄN</t>
        </is>
      </c>
      <c r="E557" t="inlineStr">
        <is>
          <t>TIMRÅ</t>
        </is>
      </c>
      <c r="G557" t="n">
        <v>5</v>
      </c>
      <c r="H557" t="n">
        <v>0</v>
      </c>
      <c r="I557" t="n">
        <v>0</v>
      </c>
      <c r="J557" t="n">
        <v>0</v>
      </c>
      <c r="K557" t="n">
        <v>0</v>
      </c>
      <c r="L557" t="n">
        <v>0</v>
      </c>
      <c r="M557" t="n">
        <v>0</v>
      </c>
      <c r="N557" t="n">
        <v>0</v>
      </c>
      <c r="O557" t="n">
        <v>0</v>
      </c>
      <c r="P557" t="n">
        <v>0</v>
      </c>
      <c r="Q557" t="n">
        <v>0</v>
      </c>
      <c r="R557" s="2" t="inlineStr"/>
    </row>
    <row r="558" ht="15" customHeight="1">
      <c r="A558" t="inlineStr">
        <is>
          <t>A 61613-2023</t>
        </is>
      </c>
      <c r="B558" s="1" t="n">
        <v>45261</v>
      </c>
      <c r="C558" s="1" t="n">
        <v>45474</v>
      </c>
      <c r="D558" t="inlineStr">
        <is>
          <t>VÄSTERNORRLANDS LÄN</t>
        </is>
      </c>
      <c r="E558" t="inlineStr">
        <is>
          <t>TIMRÅ</t>
        </is>
      </c>
      <c r="G558" t="n">
        <v>0.9</v>
      </c>
      <c r="H558" t="n">
        <v>0</v>
      </c>
      <c r="I558" t="n">
        <v>0</v>
      </c>
      <c r="J558" t="n">
        <v>0</v>
      </c>
      <c r="K558" t="n">
        <v>0</v>
      </c>
      <c r="L558" t="n">
        <v>0</v>
      </c>
      <c r="M558" t="n">
        <v>0</v>
      </c>
      <c r="N558" t="n">
        <v>0</v>
      </c>
      <c r="O558" t="n">
        <v>0</v>
      </c>
      <c r="P558" t="n">
        <v>0</v>
      </c>
      <c r="Q558" t="n">
        <v>0</v>
      </c>
      <c r="R558" s="2" t="inlineStr"/>
    </row>
    <row r="559" ht="15" customHeight="1">
      <c r="A559" t="inlineStr">
        <is>
          <t>A 61606-2023</t>
        </is>
      </c>
      <c r="B559" s="1" t="n">
        <v>45261</v>
      </c>
      <c r="C559" s="1" t="n">
        <v>45474</v>
      </c>
      <c r="D559" t="inlineStr">
        <is>
          <t>VÄSTERNORRLANDS LÄN</t>
        </is>
      </c>
      <c r="E559" t="inlineStr">
        <is>
          <t>TIMRÅ</t>
        </is>
      </c>
      <c r="G559" t="n">
        <v>0.3</v>
      </c>
      <c r="H559" t="n">
        <v>0</v>
      </c>
      <c r="I559" t="n">
        <v>0</v>
      </c>
      <c r="J559" t="n">
        <v>0</v>
      </c>
      <c r="K559" t="n">
        <v>0</v>
      </c>
      <c r="L559" t="n">
        <v>0</v>
      </c>
      <c r="M559" t="n">
        <v>0</v>
      </c>
      <c r="N559" t="n">
        <v>0</v>
      </c>
      <c r="O559" t="n">
        <v>0</v>
      </c>
      <c r="P559" t="n">
        <v>0</v>
      </c>
      <c r="Q559" t="n">
        <v>0</v>
      </c>
      <c r="R559" s="2" t="inlineStr"/>
    </row>
    <row r="560" ht="15" customHeight="1">
      <c r="A560" t="inlineStr">
        <is>
          <t>A 61463-2023</t>
        </is>
      </c>
      <c r="B560" s="1" t="n">
        <v>45264</v>
      </c>
      <c r="C560" s="1" t="n">
        <v>45474</v>
      </c>
      <c r="D560" t="inlineStr">
        <is>
          <t>VÄSTERNORRLANDS LÄN</t>
        </is>
      </c>
      <c r="E560" t="inlineStr">
        <is>
          <t>TIMRÅ</t>
        </is>
      </c>
      <c r="G560" t="n">
        <v>2.1</v>
      </c>
      <c r="H560" t="n">
        <v>0</v>
      </c>
      <c r="I560" t="n">
        <v>0</v>
      </c>
      <c r="J560" t="n">
        <v>0</v>
      </c>
      <c r="K560" t="n">
        <v>0</v>
      </c>
      <c r="L560" t="n">
        <v>0</v>
      </c>
      <c r="M560" t="n">
        <v>0</v>
      </c>
      <c r="N560" t="n">
        <v>0</v>
      </c>
      <c r="O560" t="n">
        <v>0</v>
      </c>
      <c r="P560" t="n">
        <v>0</v>
      </c>
      <c r="Q560" t="n">
        <v>0</v>
      </c>
      <c r="R560" s="2" t="inlineStr"/>
    </row>
    <row r="561" ht="15" customHeight="1">
      <c r="A561" t="inlineStr">
        <is>
          <t>A 61484-2023</t>
        </is>
      </c>
      <c r="B561" s="1" t="n">
        <v>45264</v>
      </c>
      <c r="C561" s="1" t="n">
        <v>45474</v>
      </c>
      <c r="D561" t="inlineStr">
        <is>
          <t>VÄSTERNORRLANDS LÄN</t>
        </is>
      </c>
      <c r="E561" t="inlineStr">
        <is>
          <t>TIMRÅ</t>
        </is>
      </c>
      <c r="G561" t="n">
        <v>0.9</v>
      </c>
      <c r="H561" t="n">
        <v>0</v>
      </c>
      <c r="I561" t="n">
        <v>0</v>
      </c>
      <c r="J561" t="n">
        <v>0</v>
      </c>
      <c r="K561" t="n">
        <v>0</v>
      </c>
      <c r="L561" t="n">
        <v>0</v>
      </c>
      <c r="M561" t="n">
        <v>0</v>
      </c>
      <c r="N561" t="n">
        <v>0</v>
      </c>
      <c r="O561" t="n">
        <v>0</v>
      </c>
      <c r="P561" t="n">
        <v>0</v>
      </c>
      <c r="Q561" t="n">
        <v>0</v>
      </c>
      <c r="R561" s="2" t="inlineStr"/>
    </row>
    <row r="562" ht="15" customHeight="1">
      <c r="A562" t="inlineStr">
        <is>
          <t>A 61785-2023</t>
        </is>
      </c>
      <c r="B562" s="1" t="n">
        <v>45265</v>
      </c>
      <c r="C562" s="1" t="n">
        <v>45474</v>
      </c>
      <c r="D562" t="inlineStr">
        <is>
          <t>VÄSTERNORRLANDS LÄN</t>
        </is>
      </c>
      <c r="E562" t="inlineStr">
        <is>
          <t>TIMRÅ</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62474-2023</t>
        </is>
      </c>
      <c r="B563" s="1" t="n">
        <v>45267</v>
      </c>
      <c r="C563" s="1" t="n">
        <v>45474</v>
      </c>
      <c r="D563" t="inlineStr">
        <is>
          <t>VÄSTERNORRLANDS LÄN</t>
        </is>
      </c>
      <c r="E563" t="inlineStr">
        <is>
          <t>TIMRÅ</t>
        </is>
      </c>
      <c r="G563" t="n">
        <v>4</v>
      </c>
      <c r="H563" t="n">
        <v>0</v>
      </c>
      <c r="I563" t="n">
        <v>0</v>
      </c>
      <c r="J563" t="n">
        <v>0</v>
      </c>
      <c r="K563" t="n">
        <v>0</v>
      </c>
      <c r="L563" t="n">
        <v>0</v>
      </c>
      <c r="M563" t="n">
        <v>0</v>
      </c>
      <c r="N563" t="n">
        <v>0</v>
      </c>
      <c r="O563" t="n">
        <v>0</v>
      </c>
      <c r="P563" t="n">
        <v>0</v>
      </c>
      <c r="Q563" t="n">
        <v>0</v>
      </c>
      <c r="R563" s="2" t="inlineStr"/>
    </row>
    <row r="564" ht="15" customHeight="1">
      <c r="A564" t="inlineStr">
        <is>
          <t>A 63294-2023</t>
        </is>
      </c>
      <c r="B564" s="1" t="n">
        <v>45273</v>
      </c>
      <c r="C564" s="1" t="n">
        <v>45474</v>
      </c>
      <c r="D564" t="inlineStr">
        <is>
          <t>VÄSTERNORRLANDS LÄN</t>
        </is>
      </c>
      <c r="E564" t="inlineStr">
        <is>
          <t>TIMRÅ</t>
        </is>
      </c>
      <c r="F564" t="inlineStr">
        <is>
          <t>SCA</t>
        </is>
      </c>
      <c r="G564" t="n">
        <v>12.9</v>
      </c>
      <c r="H564" t="n">
        <v>0</v>
      </c>
      <c r="I564" t="n">
        <v>0</v>
      </c>
      <c r="J564" t="n">
        <v>0</v>
      </c>
      <c r="K564" t="n">
        <v>0</v>
      </c>
      <c r="L564" t="n">
        <v>0</v>
      </c>
      <c r="M564" t="n">
        <v>0</v>
      </c>
      <c r="N564" t="n">
        <v>0</v>
      </c>
      <c r="O564" t="n">
        <v>0</v>
      </c>
      <c r="P564" t="n">
        <v>0</v>
      </c>
      <c r="Q564" t="n">
        <v>0</v>
      </c>
      <c r="R564" s="2" t="inlineStr"/>
    </row>
    <row r="565" ht="15" customHeight="1">
      <c r="A565" t="inlineStr">
        <is>
          <t>A 64031-2023</t>
        </is>
      </c>
      <c r="B565" s="1" t="n">
        <v>45278</v>
      </c>
      <c r="C565" s="1" t="n">
        <v>45474</v>
      </c>
      <c r="D565" t="inlineStr">
        <is>
          <t>VÄSTERNORRLANDS LÄN</t>
        </is>
      </c>
      <c r="E565" t="inlineStr">
        <is>
          <t>TIMRÅ</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64732-2023</t>
        </is>
      </c>
      <c r="B566" s="1" t="n">
        <v>45281</v>
      </c>
      <c r="C566" s="1" t="n">
        <v>45474</v>
      </c>
      <c r="D566" t="inlineStr">
        <is>
          <t>VÄSTERNORRLANDS LÄN</t>
        </is>
      </c>
      <c r="E566" t="inlineStr">
        <is>
          <t>TIMRÅ</t>
        </is>
      </c>
      <c r="G566" t="n">
        <v>2.3</v>
      </c>
      <c r="H566" t="n">
        <v>0</v>
      </c>
      <c r="I566" t="n">
        <v>0</v>
      </c>
      <c r="J566" t="n">
        <v>0</v>
      </c>
      <c r="K566" t="n">
        <v>0</v>
      </c>
      <c r="L566" t="n">
        <v>0</v>
      </c>
      <c r="M566" t="n">
        <v>0</v>
      </c>
      <c r="N566" t="n">
        <v>0</v>
      </c>
      <c r="O566" t="n">
        <v>0</v>
      </c>
      <c r="P566" t="n">
        <v>0</v>
      </c>
      <c r="Q566" t="n">
        <v>0</v>
      </c>
      <c r="R566" s="2" t="inlineStr"/>
    </row>
    <row r="567" ht="15" customHeight="1">
      <c r="A567" t="inlineStr">
        <is>
          <t>A 64756-2023</t>
        </is>
      </c>
      <c r="B567" s="1" t="n">
        <v>45281</v>
      </c>
      <c r="C567" s="1" t="n">
        <v>45474</v>
      </c>
      <c r="D567" t="inlineStr">
        <is>
          <t>VÄSTERNORRLANDS LÄN</t>
        </is>
      </c>
      <c r="E567" t="inlineStr">
        <is>
          <t>TIMRÅ</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64755-2023</t>
        </is>
      </c>
      <c r="B568" s="1" t="n">
        <v>45281</v>
      </c>
      <c r="C568" s="1" t="n">
        <v>45474</v>
      </c>
      <c r="D568" t="inlineStr">
        <is>
          <t>VÄSTERNORRLANDS LÄN</t>
        </is>
      </c>
      <c r="E568" t="inlineStr">
        <is>
          <t>TIMRÅ</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252-2024</t>
        </is>
      </c>
      <c r="B569" s="1" t="n">
        <v>45295</v>
      </c>
      <c r="C569" s="1" t="n">
        <v>45474</v>
      </c>
      <c r="D569" t="inlineStr">
        <is>
          <t>VÄSTERNORRLANDS LÄN</t>
        </is>
      </c>
      <c r="E569" t="inlineStr">
        <is>
          <t>TIMRÅ</t>
        </is>
      </c>
      <c r="F569" t="inlineStr">
        <is>
          <t>SCA</t>
        </is>
      </c>
      <c r="G569" t="n">
        <v>12.7</v>
      </c>
      <c r="H569" t="n">
        <v>0</v>
      </c>
      <c r="I569" t="n">
        <v>0</v>
      </c>
      <c r="J569" t="n">
        <v>0</v>
      </c>
      <c r="K569" t="n">
        <v>0</v>
      </c>
      <c r="L569" t="n">
        <v>0</v>
      </c>
      <c r="M569" t="n">
        <v>0</v>
      </c>
      <c r="N569" t="n">
        <v>0</v>
      </c>
      <c r="O569" t="n">
        <v>0</v>
      </c>
      <c r="P569" t="n">
        <v>0</v>
      </c>
      <c r="Q569" t="n">
        <v>0</v>
      </c>
      <c r="R569" s="2" t="inlineStr"/>
    </row>
    <row r="570" ht="15" customHeight="1">
      <c r="A570" t="inlineStr">
        <is>
          <t>A 290-2024</t>
        </is>
      </c>
      <c r="B570" s="1" t="n">
        <v>45295</v>
      </c>
      <c r="C570" s="1" t="n">
        <v>45474</v>
      </c>
      <c r="D570" t="inlineStr">
        <is>
          <t>VÄSTERNORRLANDS LÄN</t>
        </is>
      </c>
      <c r="E570" t="inlineStr">
        <is>
          <t>TIMRÅ</t>
        </is>
      </c>
      <c r="G570" t="n">
        <v>10.5</v>
      </c>
      <c r="H570" t="n">
        <v>0</v>
      </c>
      <c r="I570" t="n">
        <v>0</v>
      </c>
      <c r="J570" t="n">
        <v>0</v>
      </c>
      <c r="K570" t="n">
        <v>0</v>
      </c>
      <c r="L570" t="n">
        <v>0</v>
      </c>
      <c r="M570" t="n">
        <v>0</v>
      </c>
      <c r="N570" t="n">
        <v>0</v>
      </c>
      <c r="O570" t="n">
        <v>0</v>
      </c>
      <c r="P570" t="n">
        <v>0</v>
      </c>
      <c r="Q570" t="n">
        <v>0</v>
      </c>
      <c r="R570" s="2" t="inlineStr"/>
    </row>
    <row r="571" ht="15" customHeight="1">
      <c r="A571" t="inlineStr">
        <is>
          <t>A 661-2024</t>
        </is>
      </c>
      <c r="B571" s="1" t="n">
        <v>45300</v>
      </c>
      <c r="C571" s="1" t="n">
        <v>45474</v>
      </c>
      <c r="D571" t="inlineStr">
        <is>
          <t>VÄSTERNORRLANDS LÄN</t>
        </is>
      </c>
      <c r="E571" t="inlineStr">
        <is>
          <t>TIMRÅ</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1273-2024</t>
        </is>
      </c>
      <c r="B572" s="1" t="n">
        <v>45302</v>
      </c>
      <c r="C572" s="1" t="n">
        <v>45474</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1185-2024</t>
        </is>
      </c>
      <c r="B573" s="1" t="n">
        <v>45302</v>
      </c>
      <c r="C573" s="1" t="n">
        <v>45474</v>
      </c>
      <c r="D573" t="inlineStr">
        <is>
          <t>VÄSTERNORRLANDS LÄN</t>
        </is>
      </c>
      <c r="E573" t="inlineStr">
        <is>
          <t>TIMRÅ</t>
        </is>
      </c>
      <c r="G573" t="n">
        <v>4.4</v>
      </c>
      <c r="H573" t="n">
        <v>0</v>
      </c>
      <c r="I573" t="n">
        <v>0</v>
      </c>
      <c r="J573" t="n">
        <v>0</v>
      </c>
      <c r="K573" t="n">
        <v>0</v>
      </c>
      <c r="L573" t="n">
        <v>0</v>
      </c>
      <c r="M573" t="n">
        <v>0</v>
      </c>
      <c r="N573" t="n">
        <v>0</v>
      </c>
      <c r="O573" t="n">
        <v>0</v>
      </c>
      <c r="P573" t="n">
        <v>0</v>
      </c>
      <c r="Q573" t="n">
        <v>0</v>
      </c>
      <c r="R573" s="2" t="inlineStr"/>
    </row>
    <row r="574" ht="15" customHeight="1">
      <c r="A574" t="inlineStr">
        <is>
          <t>A 1272-2024</t>
        </is>
      </c>
      <c r="B574" s="1" t="n">
        <v>45302</v>
      </c>
      <c r="C574" s="1" t="n">
        <v>45474</v>
      </c>
      <c r="D574" t="inlineStr">
        <is>
          <t>VÄSTERNORRLANDS LÄN</t>
        </is>
      </c>
      <c r="E574" t="inlineStr">
        <is>
          <t>TIMRÅ</t>
        </is>
      </c>
      <c r="G574" t="n">
        <v>4.3</v>
      </c>
      <c r="H574" t="n">
        <v>0</v>
      </c>
      <c r="I574" t="n">
        <v>0</v>
      </c>
      <c r="J574" t="n">
        <v>0</v>
      </c>
      <c r="K574" t="n">
        <v>0</v>
      </c>
      <c r="L574" t="n">
        <v>0</v>
      </c>
      <c r="M574" t="n">
        <v>0</v>
      </c>
      <c r="N574" t="n">
        <v>0</v>
      </c>
      <c r="O574" t="n">
        <v>0</v>
      </c>
      <c r="P574" t="n">
        <v>0</v>
      </c>
      <c r="Q574" t="n">
        <v>0</v>
      </c>
      <c r="R574" s="2" t="inlineStr"/>
    </row>
    <row r="575" ht="15" customHeight="1">
      <c r="A575" t="inlineStr">
        <is>
          <t>A 1467-2024</t>
        </is>
      </c>
      <c r="B575" s="1" t="n">
        <v>45303</v>
      </c>
      <c r="C575" s="1" t="n">
        <v>45474</v>
      </c>
      <c r="D575" t="inlineStr">
        <is>
          <t>VÄSTERNORRLANDS LÄN</t>
        </is>
      </c>
      <c r="E575" t="inlineStr">
        <is>
          <t>TIMRÅ</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1675-2024</t>
        </is>
      </c>
      <c r="B576" s="1" t="n">
        <v>45306</v>
      </c>
      <c r="C576" s="1" t="n">
        <v>45474</v>
      </c>
      <c r="D576" t="inlineStr">
        <is>
          <t>VÄSTERNORRLANDS LÄN</t>
        </is>
      </c>
      <c r="E576" t="inlineStr">
        <is>
          <t>TIMRÅ</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1683-2024</t>
        </is>
      </c>
      <c r="B577" s="1" t="n">
        <v>45307</v>
      </c>
      <c r="C577" s="1" t="n">
        <v>45474</v>
      </c>
      <c r="D577" t="inlineStr">
        <is>
          <t>VÄSTERNORRLANDS LÄN</t>
        </is>
      </c>
      <c r="E577" t="inlineStr">
        <is>
          <t>TIMRÅ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2062-2024</t>
        </is>
      </c>
      <c r="B578" s="1" t="n">
        <v>45308</v>
      </c>
      <c r="C578" s="1" t="n">
        <v>45474</v>
      </c>
      <c r="D578" t="inlineStr">
        <is>
          <t>VÄSTERNORRLANDS LÄN</t>
        </is>
      </c>
      <c r="E578" t="inlineStr">
        <is>
          <t>TIMRÅ</t>
        </is>
      </c>
      <c r="F578" t="inlineStr">
        <is>
          <t>SCA</t>
        </is>
      </c>
      <c r="G578" t="n">
        <v>8.1</v>
      </c>
      <c r="H578" t="n">
        <v>0</v>
      </c>
      <c r="I578" t="n">
        <v>0</v>
      </c>
      <c r="J578" t="n">
        <v>0</v>
      </c>
      <c r="K578" t="n">
        <v>0</v>
      </c>
      <c r="L578" t="n">
        <v>0</v>
      </c>
      <c r="M578" t="n">
        <v>0</v>
      </c>
      <c r="N578" t="n">
        <v>0</v>
      </c>
      <c r="O578" t="n">
        <v>0</v>
      </c>
      <c r="P578" t="n">
        <v>0</v>
      </c>
      <c r="Q578" t="n">
        <v>0</v>
      </c>
      <c r="R578" s="2" t="inlineStr"/>
    </row>
    <row r="579" ht="15" customHeight="1">
      <c r="A579" t="inlineStr">
        <is>
          <t>A 2949-2024</t>
        </is>
      </c>
      <c r="B579" s="1" t="n">
        <v>45315</v>
      </c>
      <c r="C579" s="1" t="n">
        <v>45474</v>
      </c>
      <c r="D579" t="inlineStr">
        <is>
          <t>VÄSTERNORRLANDS LÄN</t>
        </is>
      </c>
      <c r="E579" t="inlineStr">
        <is>
          <t>TIMRÅ</t>
        </is>
      </c>
      <c r="G579" t="n">
        <v>7</v>
      </c>
      <c r="H579" t="n">
        <v>0</v>
      </c>
      <c r="I579" t="n">
        <v>0</v>
      </c>
      <c r="J579" t="n">
        <v>0</v>
      </c>
      <c r="K579" t="n">
        <v>0</v>
      </c>
      <c r="L579" t="n">
        <v>0</v>
      </c>
      <c r="M579" t="n">
        <v>0</v>
      </c>
      <c r="N579" t="n">
        <v>0</v>
      </c>
      <c r="O579" t="n">
        <v>0</v>
      </c>
      <c r="P579" t="n">
        <v>0</v>
      </c>
      <c r="Q579" t="n">
        <v>0</v>
      </c>
      <c r="R579" s="2" t="inlineStr"/>
    </row>
    <row r="580" ht="15" customHeight="1">
      <c r="A580" t="inlineStr">
        <is>
          <t>A 3229-2024</t>
        </is>
      </c>
      <c r="B580" s="1" t="n">
        <v>45316</v>
      </c>
      <c r="C580" s="1" t="n">
        <v>45474</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3444-2024</t>
        </is>
      </c>
      <c r="B581" s="1" t="n">
        <v>45317</v>
      </c>
      <c r="C581" s="1" t="n">
        <v>45474</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3804-2024</t>
        </is>
      </c>
      <c r="B582" s="1" t="n">
        <v>45321</v>
      </c>
      <c r="C582" s="1" t="n">
        <v>45474</v>
      </c>
      <c r="D582" t="inlineStr">
        <is>
          <t>VÄSTERNORRLANDS LÄN</t>
        </is>
      </c>
      <c r="E582" t="inlineStr">
        <is>
          <t>TIMRÅ</t>
        </is>
      </c>
      <c r="G582" t="n">
        <v>2</v>
      </c>
      <c r="H582" t="n">
        <v>0</v>
      </c>
      <c r="I582" t="n">
        <v>0</v>
      </c>
      <c r="J582" t="n">
        <v>0</v>
      </c>
      <c r="K582" t="n">
        <v>0</v>
      </c>
      <c r="L582" t="n">
        <v>0</v>
      </c>
      <c r="M582" t="n">
        <v>0</v>
      </c>
      <c r="N582" t="n">
        <v>0</v>
      </c>
      <c r="O582" t="n">
        <v>0</v>
      </c>
      <c r="P582" t="n">
        <v>0</v>
      </c>
      <c r="Q582" t="n">
        <v>0</v>
      </c>
      <c r="R582" s="2" t="inlineStr"/>
    </row>
    <row r="583" ht="15" customHeight="1">
      <c r="A583" t="inlineStr">
        <is>
          <t>A 3989-2024</t>
        </is>
      </c>
      <c r="B583" s="1" t="n">
        <v>45322</v>
      </c>
      <c r="C583" s="1" t="n">
        <v>45474</v>
      </c>
      <c r="D583" t="inlineStr">
        <is>
          <t>VÄSTERNORRLANDS LÄN</t>
        </is>
      </c>
      <c r="E583" t="inlineStr">
        <is>
          <t>TIMRÅ</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4596-2024</t>
        </is>
      </c>
      <c r="B584" s="1" t="n">
        <v>45327</v>
      </c>
      <c r="C584" s="1" t="n">
        <v>45474</v>
      </c>
      <c r="D584" t="inlineStr">
        <is>
          <t>VÄSTERNORRLANDS LÄN</t>
        </is>
      </c>
      <c r="E584" t="inlineStr">
        <is>
          <t>TIMRÅ</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4821-2024</t>
        </is>
      </c>
      <c r="B585" s="1" t="n">
        <v>45328</v>
      </c>
      <c r="C585" s="1" t="n">
        <v>45474</v>
      </c>
      <c r="D585" t="inlineStr">
        <is>
          <t>VÄSTERNORRLANDS LÄN</t>
        </is>
      </c>
      <c r="E585" t="inlineStr">
        <is>
          <t>TIMRÅ</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5271-2024</t>
        </is>
      </c>
      <c r="B586" s="1" t="n">
        <v>45330</v>
      </c>
      <c r="C586" s="1" t="n">
        <v>45474</v>
      </c>
      <c r="D586" t="inlineStr">
        <is>
          <t>VÄSTERNORRLANDS LÄN</t>
        </is>
      </c>
      <c r="E586" t="inlineStr">
        <is>
          <t>TIMRÅ</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5265-2024</t>
        </is>
      </c>
      <c r="B587" s="1" t="n">
        <v>45330</v>
      </c>
      <c r="C587" s="1" t="n">
        <v>45474</v>
      </c>
      <c r="D587" t="inlineStr">
        <is>
          <t>VÄSTERNORRLANDS LÄN</t>
        </is>
      </c>
      <c r="E587" t="inlineStr">
        <is>
          <t>TIMRÅ</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5722-2024</t>
        </is>
      </c>
      <c r="B588" s="1" t="n">
        <v>45334</v>
      </c>
      <c r="C588" s="1" t="n">
        <v>45474</v>
      </c>
      <c r="D588" t="inlineStr">
        <is>
          <t>VÄSTERNORRLANDS LÄN</t>
        </is>
      </c>
      <c r="E588" t="inlineStr">
        <is>
          <t>TIMRÅ</t>
        </is>
      </c>
      <c r="G588" t="n">
        <v>2.2</v>
      </c>
      <c r="H588" t="n">
        <v>0</v>
      </c>
      <c r="I588" t="n">
        <v>0</v>
      </c>
      <c r="J588" t="n">
        <v>0</v>
      </c>
      <c r="K588" t="n">
        <v>0</v>
      </c>
      <c r="L588" t="n">
        <v>0</v>
      </c>
      <c r="M588" t="n">
        <v>0</v>
      </c>
      <c r="N588" t="n">
        <v>0</v>
      </c>
      <c r="O588" t="n">
        <v>0</v>
      </c>
      <c r="P588" t="n">
        <v>0</v>
      </c>
      <c r="Q588" t="n">
        <v>0</v>
      </c>
      <c r="R588" s="2" t="inlineStr"/>
    </row>
    <row r="589" ht="15" customHeight="1">
      <c r="A589" t="inlineStr">
        <is>
          <t>A 5921-2024</t>
        </is>
      </c>
      <c r="B589" s="1" t="n">
        <v>45335</v>
      </c>
      <c r="C589" s="1" t="n">
        <v>45474</v>
      </c>
      <c r="D589" t="inlineStr">
        <is>
          <t>VÄSTERNORRLANDS LÄN</t>
        </is>
      </c>
      <c r="E589" t="inlineStr">
        <is>
          <t>TIMRÅ</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6088-2024</t>
        </is>
      </c>
      <c r="B590" s="1" t="n">
        <v>45336</v>
      </c>
      <c r="C590" s="1" t="n">
        <v>45474</v>
      </c>
      <c r="D590" t="inlineStr">
        <is>
          <t>VÄSTERNORRLANDS LÄN</t>
        </is>
      </c>
      <c r="E590" t="inlineStr">
        <is>
          <t>TIMRÅ</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6893-2024</t>
        </is>
      </c>
      <c r="B591" s="1" t="n">
        <v>45342</v>
      </c>
      <c r="C591" s="1" t="n">
        <v>45474</v>
      </c>
      <c r="D591" t="inlineStr">
        <is>
          <t>VÄSTERNORRLANDS LÄN</t>
        </is>
      </c>
      <c r="E591" t="inlineStr">
        <is>
          <t>TIMRÅ</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7151-2024</t>
        </is>
      </c>
      <c r="B592" s="1" t="n">
        <v>45344</v>
      </c>
      <c r="C592" s="1" t="n">
        <v>45474</v>
      </c>
      <c r="D592" t="inlineStr">
        <is>
          <t>VÄSTERNORRLANDS LÄN</t>
        </is>
      </c>
      <c r="E592" t="inlineStr">
        <is>
          <t>TIMRÅ</t>
        </is>
      </c>
      <c r="G592" t="n">
        <v>2.9</v>
      </c>
      <c r="H592" t="n">
        <v>0</v>
      </c>
      <c r="I592" t="n">
        <v>0</v>
      </c>
      <c r="J592" t="n">
        <v>0</v>
      </c>
      <c r="K592" t="n">
        <v>0</v>
      </c>
      <c r="L592" t="n">
        <v>0</v>
      </c>
      <c r="M592" t="n">
        <v>0</v>
      </c>
      <c r="N592" t="n">
        <v>0</v>
      </c>
      <c r="O592" t="n">
        <v>0</v>
      </c>
      <c r="P592" t="n">
        <v>0</v>
      </c>
      <c r="Q592" t="n">
        <v>0</v>
      </c>
      <c r="R592" s="2" t="inlineStr"/>
    </row>
    <row r="593" ht="15" customHeight="1">
      <c r="A593" t="inlineStr">
        <is>
          <t>A 7291-2024</t>
        </is>
      </c>
      <c r="B593" s="1" t="n">
        <v>45344</v>
      </c>
      <c r="C593" s="1" t="n">
        <v>45474</v>
      </c>
      <c r="D593" t="inlineStr">
        <is>
          <t>VÄSTERNORRLANDS LÄN</t>
        </is>
      </c>
      <c r="E593" t="inlineStr">
        <is>
          <t>TIMRÅ</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7299-2024</t>
        </is>
      </c>
      <c r="B594" s="1" t="n">
        <v>45344</v>
      </c>
      <c r="C594" s="1" t="n">
        <v>45474</v>
      </c>
      <c r="D594" t="inlineStr">
        <is>
          <t>VÄSTERNORRLANDS LÄN</t>
        </is>
      </c>
      <c r="E594" t="inlineStr">
        <is>
          <t>TIMRÅ</t>
        </is>
      </c>
      <c r="F594" t="inlineStr">
        <is>
          <t>SCA</t>
        </is>
      </c>
      <c r="G594" t="n">
        <v>16.3</v>
      </c>
      <c r="H594" t="n">
        <v>0</v>
      </c>
      <c r="I594" t="n">
        <v>0</v>
      </c>
      <c r="J594" t="n">
        <v>0</v>
      </c>
      <c r="K594" t="n">
        <v>0</v>
      </c>
      <c r="L594" t="n">
        <v>0</v>
      </c>
      <c r="M594" t="n">
        <v>0</v>
      </c>
      <c r="N594" t="n">
        <v>0</v>
      </c>
      <c r="O594" t="n">
        <v>0</v>
      </c>
      <c r="P594" t="n">
        <v>0</v>
      </c>
      <c r="Q594" t="n">
        <v>0</v>
      </c>
      <c r="R594" s="2" t="inlineStr"/>
    </row>
    <row r="595" ht="15" customHeight="1">
      <c r="A595" t="inlineStr">
        <is>
          <t>A 7292-2024</t>
        </is>
      </c>
      <c r="B595" s="1" t="n">
        <v>45344</v>
      </c>
      <c r="C595" s="1" t="n">
        <v>45474</v>
      </c>
      <c r="D595" t="inlineStr">
        <is>
          <t>VÄSTERNORRLANDS LÄN</t>
        </is>
      </c>
      <c r="E595" t="inlineStr">
        <is>
          <t>TIMRÅ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7478-2024</t>
        </is>
      </c>
      <c r="B596" s="1" t="n">
        <v>45345</v>
      </c>
      <c r="C596" s="1" t="n">
        <v>45474</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7476-2024</t>
        </is>
      </c>
      <c r="B597" s="1" t="n">
        <v>45345</v>
      </c>
      <c r="C597" s="1" t="n">
        <v>45474</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7477-2024</t>
        </is>
      </c>
      <c r="B598" s="1" t="n">
        <v>45345</v>
      </c>
      <c r="C598" s="1" t="n">
        <v>45474</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7507-2024</t>
        </is>
      </c>
      <c r="B599" s="1" t="n">
        <v>45347</v>
      </c>
      <c r="C599" s="1" t="n">
        <v>45474</v>
      </c>
      <c r="D599" t="inlineStr">
        <is>
          <t>VÄSTERNORRLANDS LÄN</t>
        </is>
      </c>
      <c r="E599" t="inlineStr">
        <is>
          <t>TIMRÅ</t>
        </is>
      </c>
      <c r="F599" t="inlineStr">
        <is>
          <t>SCA</t>
        </is>
      </c>
      <c r="G599" t="n">
        <v>15.5</v>
      </c>
      <c r="H599" t="n">
        <v>0</v>
      </c>
      <c r="I599" t="n">
        <v>0</v>
      </c>
      <c r="J599" t="n">
        <v>0</v>
      </c>
      <c r="K599" t="n">
        <v>0</v>
      </c>
      <c r="L599" t="n">
        <v>0</v>
      </c>
      <c r="M599" t="n">
        <v>0</v>
      </c>
      <c r="N599" t="n">
        <v>0</v>
      </c>
      <c r="O599" t="n">
        <v>0</v>
      </c>
      <c r="P599" t="n">
        <v>0</v>
      </c>
      <c r="Q599" t="n">
        <v>0</v>
      </c>
      <c r="R599" s="2" t="inlineStr"/>
    </row>
    <row r="600" ht="15" customHeight="1">
      <c r="A600" t="inlineStr">
        <is>
          <t>A 7859-2024</t>
        </is>
      </c>
      <c r="B600" s="1" t="n">
        <v>45350</v>
      </c>
      <c r="C600" s="1" t="n">
        <v>45474</v>
      </c>
      <c r="D600" t="inlineStr">
        <is>
          <t>VÄSTERNORRLANDS LÄN</t>
        </is>
      </c>
      <c r="E600" t="inlineStr">
        <is>
          <t>TIMRÅ</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8240-2024</t>
        </is>
      </c>
      <c r="B601" s="1" t="n">
        <v>45351</v>
      </c>
      <c r="C601" s="1" t="n">
        <v>45474</v>
      </c>
      <c r="D601" t="inlineStr">
        <is>
          <t>VÄSTERNORRLANDS LÄN</t>
        </is>
      </c>
      <c r="E601" t="inlineStr">
        <is>
          <t>TIMRÅ</t>
        </is>
      </c>
      <c r="F601" t="inlineStr">
        <is>
          <t>SCA</t>
        </is>
      </c>
      <c r="G601" t="n">
        <v>17.4</v>
      </c>
      <c r="H601" t="n">
        <v>0</v>
      </c>
      <c r="I601" t="n">
        <v>0</v>
      </c>
      <c r="J601" t="n">
        <v>0</v>
      </c>
      <c r="K601" t="n">
        <v>0</v>
      </c>
      <c r="L601" t="n">
        <v>0</v>
      </c>
      <c r="M601" t="n">
        <v>0</v>
      </c>
      <c r="N601" t="n">
        <v>0</v>
      </c>
      <c r="O601" t="n">
        <v>0</v>
      </c>
      <c r="P601" t="n">
        <v>0</v>
      </c>
      <c r="Q601" t="n">
        <v>0</v>
      </c>
      <c r="R601" s="2" t="inlineStr"/>
      <c r="U601">
        <f>HYPERLINK("https://klasma.github.io/Logging_2262/knärot/A 8240-2024 karta knärot.png", "A 8240-2024")</f>
        <v/>
      </c>
      <c r="V601">
        <f>HYPERLINK("https://klasma.github.io/Logging_2262/klagomål/A 8240-2024 FSC-klagomål.docx", "A 8240-2024")</f>
        <v/>
      </c>
      <c r="W601">
        <f>HYPERLINK("https://klasma.github.io/Logging_2262/klagomålsmail/A 8240-2024 FSC-klagomål mail.docx", "A 8240-2024")</f>
        <v/>
      </c>
      <c r="X601">
        <f>HYPERLINK("https://klasma.github.io/Logging_2262/tillsyn/A 8240-2024 tillsynsbegäran.docx", "A 8240-2024")</f>
        <v/>
      </c>
      <c r="Y601">
        <f>HYPERLINK("https://klasma.github.io/Logging_2262/tillsynsmail/A 8240-2024 tillsynsbegäran mail.docx", "A 8240-2024")</f>
        <v/>
      </c>
    </row>
    <row r="602" ht="15" customHeight="1">
      <c r="A602" t="inlineStr">
        <is>
          <t>A 8237-2024</t>
        </is>
      </c>
      <c r="B602" s="1" t="n">
        <v>45351</v>
      </c>
      <c r="C602" s="1" t="n">
        <v>45474</v>
      </c>
      <c r="D602" t="inlineStr">
        <is>
          <t>VÄSTERNORRLANDS LÄN</t>
        </is>
      </c>
      <c r="E602" t="inlineStr">
        <is>
          <t>TIMRÅ</t>
        </is>
      </c>
      <c r="F602" t="inlineStr">
        <is>
          <t>SCA</t>
        </is>
      </c>
      <c r="G602" t="n">
        <v>14.2</v>
      </c>
      <c r="H602" t="n">
        <v>0</v>
      </c>
      <c r="I602" t="n">
        <v>0</v>
      </c>
      <c r="J602" t="n">
        <v>0</v>
      </c>
      <c r="K602" t="n">
        <v>0</v>
      </c>
      <c r="L602" t="n">
        <v>0</v>
      </c>
      <c r="M602" t="n">
        <v>0</v>
      </c>
      <c r="N602" t="n">
        <v>0</v>
      </c>
      <c r="O602" t="n">
        <v>0</v>
      </c>
      <c r="P602" t="n">
        <v>0</v>
      </c>
      <c r="Q602" t="n">
        <v>0</v>
      </c>
      <c r="R602" s="2" t="inlineStr"/>
    </row>
    <row r="603" ht="15" customHeight="1">
      <c r="A603" t="inlineStr">
        <is>
          <t>A 8526-2024</t>
        </is>
      </c>
      <c r="B603" s="1" t="n">
        <v>45351</v>
      </c>
      <c r="C603" s="1" t="n">
        <v>45474</v>
      </c>
      <c r="D603" t="inlineStr">
        <is>
          <t>VÄSTERNORRLANDS LÄN</t>
        </is>
      </c>
      <c r="E603" t="inlineStr">
        <is>
          <t>TIMRÅ</t>
        </is>
      </c>
      <c r="G603" t="n">
        <v>0.7</v>
      </c>
      <c r="H603" t="n">
        <v>0</v>
      </c>
      <c r="I603" t="n">
        <v>0</v>
      </c>
      <c r="J603" t="n">
        <v>0</v>
      </c>
      <c r="K603" t="n">
        <v>0</v>
      </c>
      <c r="L603" t="n">
        <v>0</v>
      </c>
      <c r="M603" t="n">
        <v>0</v>
      </c>
      <c r="N603" t="n">
        <v>0</v>
      </c>
      <c r="O603" t="n">
        <v>0</v>
      </c>
      <c r="P603" t="n">
        <v>0</v>
      </c>
      <c r="Q603" t="n">
        <v>0</v>
      </c>
      <c r="R603" s="2" t="inlineStr"/>
    </row>
    <row r="604" ht="15" customHeight="1">
      <c r="A604" t="inlineStr">
        <is>
          <t>A 8506-2024</t>
        </is>
      </c>
      <c r="B604" s="1" t="n">
        <v>45351</v>
      </c>
      <c r="C604" s="1" t="n">
        <v>45474</v>
      </c>
      <c r="D604" t="inlineStr">
        <is>
          <t>VÄSTERNORRLANDS LÄN</t>
        </is>
      </c>
      <c r="E604" t="inlineStr">
        <is>
          <t>TIMRÅ</t>
        </is>
      </c>
      <c r="G604" t="n">
        <v>3.6</v>
      </c>
      <c r="H604" t="n">
        <v>0</v>
      </c>
      <c r="I604" t="n">
        <v>0</v>
      </c>
      <c r="J604" t="n">
        <v>0</v>
      </c>
      <c r="K604" t="n">
        <v>0</v>
      </c>
      <c r="L604" t="n">
        <v>0</v>
      </c>
      <c r="M604" t="n">
        <v>0</v>
      </c>
      <c r="N604" t="n">
        <v>0</v>
      </c>
      <c r="O604" t="n">
        <v>0</v>
      </c>
      <c r="P604" t="n">
        <v>0</v>
      </c>
      <c r="Q604" t="n">
        <v>0</v>
      </c>
      <c r="R604" s="2" t="inlineStr"/>
    </row>
    <row r="605" ht="15" customHeight="1">
      <c r="A605" t="inlineStr">
        <is>
          <t>A 8640-2024</t>
        </is>
      </c>
      <c r="B605" s="1" t="n">
        <v>45356</v>
      </c>
      <c r="C605" s="1" t="n">
        <v>45474</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8877-2024</t>
        </is>
      </c>
      <c r="B606" s="1" t="n">
        <v>45356</v>
      </c>
      <c r="C606" s="1" t="n">
        <v>45474</v>
      </c>
      <c r="D606" t="inlineStr">
        <is>
          <t>VÄSTERNORRLANDS LÄN</t>
        </is>
      </c>
      <c r="E606" t="inlineStr">
        <is>
          <t>TIMRÅ</t>
        </is>
      </c>
      <c r="G606" t="n">
        <v>1.9</v>
      </c>
      <c r="H606" t="n">
        <v>0</v>
      </c>
      <c r="I606" t="n">
        <v>0</v>
      </c>
      <c r="J606" t="n">
        <v>0</v>
      </c>
      <c r="K606" t="n">
        <v>0</v>
      </c>
      <c r="L606" t="n">
        <v>0</v>
      </c>
      <c r="M606" t="n">
        <v>0</v>
      </c>
      <c r="N606" t="n">
        <v>0</v>
      </c>
      <c r="O606" t="n">
        <v>0</v>
      </c>
      <c r="P606" t="n">
        <v>0</v>
      </c>
      <c r="Q606" t="n">
        <v>0</v>
      </c>
      <c r="R606" s="2" t="inlineStr"/>
    </row>
    <row r="607" ht="15" customHeight="1">
      <c r="A607" t="inlineStr">
        <is>
          <t>A 9327-2024</t>
        </is>
      </c>
      <c r="B607" s="1" t="n">
        <v>45359</v>
      </c>
      <c r="C607" s="1" t="n">
        <v>45474</v>
      </c>
      <c r="D607" t="inlineStr">
        <is>
          <t>VÄSTERNORRLANDS LÄN</t>
        </is>
      </c>
      <c r="E607" t="inlineStr">
        <is>
          <t>TIMRÅ</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9331-2024</t>
        </is>
      </c>
      <c r="B608" s="1" t="n">
        <v>45359</v>
      </c>
      <c r="C608" s="1" t="n">
        <v>45474</v>
      </c>
      <c r="D608" t="inlineStr">
        <is>
          <t>VÄSTERNORRLANDS LÄN</t>
        </is>
      </c>
      <c r="E608" t="inlineStr">
        <is>
          <t>TIMRÅ</t>
        </is>
      </c>
      <c r="F608" t="inlineStr">
        <is>
          <t>SCA</t>
        </is>
      </c>
      <c r="G608" t="n">
        <v>9.6</v>
      </c>
      <c r="H608" t="n">
        <v>0</v>
      </c>
      <c r="I608" t="n">
        <v>0</v>
      </c>
      <c r="J608" t="n">
        <v>0</v>
      </c>
      <c r="K608" t="n">
        <v>0</v>
      </c>
      <c r="L608" t="n">
        <v>0</v>
      </c>
      <c r="M608" t="n">
        <v>0</v>
      </c>
      <c r="N608" t="n">
        <v>0</v>
      </c>
      <c r="O608" t="n">
        <v>0</v>
      </c>
      <c r="P608" t="n">
        <v>0</v>
      </c>
      <c r="Q608" t="n">
        <v>0</v>
      </c>
      <c r="R608" s="2" t="inlineStr"/>
    </row>
    <row r="609" ht="15" customHeight="1">
      <c r="A609" t="inlineStr">
        <is>
          <t>A 9338-2024</t>
        </is>
      </c>
      <c r="B609" s="1" t="n">
        <v>45358</v>
      </c>
      <c r="C609" s="1" t="n">
        <v>45474</v>
      </c>
      <c r="D609" t="inlineStr">
        <is>
          <t>VÄSTERNORRLANDS LÄN</t>
        </is>
      </c>
      <c r="E609" t="inlineStr">
        <is>
          <t>TIMRÅ</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9823-2024</t>
        </is>
      </c>
      <c r="B610" s="1" t="n">
        <v>45363</v>
      </c>
      <c r="C610" s="1" t="n">
        <v>45474</v>
      </c>
      <c r="D610" t="inlineStr">
        <is>
          <t>VÄSTERNORRLANDS LÄN</t>
        </is>
      </c>
      <c r="E610" t="inlineStr">
        <is>
          <t>TIMRÅ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10745-2024</t>
        </is>
      </c>
      <c r="B611" s="1" t="n">
        <v>45369</v>
      </c>
      <c r="C611" s="1" t="n">
        <v>45474</v>
      </c>
      <c r="D611" t="inlineStr">
        <is>
          <t>VÄSTERNORRLANDS LÄN</t>
        </is>
      </c>
      <c r="E611" t="inlineStr">
        <is>
          <t>TIMRÅ</t>
        </is>
      </c>
      <c r="G611" t="n">
        <v>1.5</v>
      </c>
      <c r="H611" t="n">
        <v>0</v>
      </c>
      <c r="I611" t="n">
        <v>0</v>
      </c>
      <c r="J611" t="n">
        <v>0</v>
      </c>
      <c r="K611" t="n">
        <v>0</v>
      </c>
      <c r="L611" t="n">
        <v>0</v>
      </c>
      <c r="M611" t="n">
        <v>0</v>
      </c>
      <c r="N611" t="n">
        <v>0</v>
      </c>
      <c r="O611" t="n">
        <v>0</v>
      </c>
      <c r="P611" t="n">
        <v>0</v>
      </c>
      <c r="Q611" t="n">
        <v>0</v>
      </c>
      <c r="R611" s="2" t="inlineStr"/>
    </row>
    <row r="612" ht="15" customHeight="1">
      <c r="A612" t="inlineStr">
        <is>
          <t>A 10852-2024</t>
        </is>
      </c>
      <c r="B612" s="1" t="n">
        <v>45370</v>
      </c>
      <c r="C612" s="1" t="n">
        <v>45474</v>
      </c>
      <c r="D612" t="inlineStr">
        <is>
          <t>VÄSTERNORRLANDS LÄN</t>
        </is>
      </c>
      <c r="E612" t="inlineStr">
        <is>
          <t>TIMRÅ</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11556-2024</t>
        </is>
      </c>
      <c r="B613" s="1" t="n">
        <v>45373</v>
      </c>
      <c r="C613" s="1" t="n">
        <v>45474</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12182-2024</t>
        </is>
      </c>
      <c r="B614" s="1" t="n">
        <v>45377</v>
      </c>
      <c r="C614" s="1" t="n">
        <v>45474</v>
      </c>
      <c r="D614" t="inlineStr">
        <is>
          <t>VÄSTERNORRLANDS LÄN</t>
        </is>
      </c>
      <c r="E614" t="inlineStr">
        <is>
          <t>TIMRÅ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12873-2024</t>
        </is>
      </c>
      <c r="B615" s="1" t="n">
        <v>45384</v>
      </c>
      <c r="C615" s="1" t="n">
        <v>45474</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13341-2024</t>
        </is>
      </c>
      <c r="B616" s="1" t="n">
        <v>45387</v>
      </c>
      <c r="C616" s="1" t="n">
        <v>45474</v>
      </c>
      <c r="D616" t="inlineStr">
        <is>
          <t>VÄSTERNORRLANDS LÄN</t>
        </is>
      </c>
      <c r="E616" t="inlineStr">
        <is>
          <t>TIMRÅ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13343-2024</t>
        </is>
      </c>
      <c r="B617" s="1" t="n">
        <v>45387</v>
      </c>
      <c r="C617" s="1" t="n">
        <v>45474</v>
      </c>
      <c r="D617" t="inlineStr">
        <is>
          <t>VÄSTERNORRLANDS LÄN</t>
        </is>
      </c>
      <c r="E617" t="inlineStr">
        <is>
          <t>TIMRÅ</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13763-2024</t>
        </is>
      </c>
      <c r="B618" s="1" t="n">
        <v>45390</v>
      </c>
      <c r="C618" s="1" t="n">
        <v>45474</v>
      </c>
      <c r="D618" t="inlineStr">
        <is>
          <t>VÄSTERNORRLANDS LÄN</t>
        </is>
      </c>
      <c r="E618" t="inlineStr">
        <is>
          <t>TIMRÅ</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13770-2024</t>
        </is>
      </c>
      <c r="B619" s="1" t="n">
        <v>45390</v>
      </c>
      <c r="C619" s="1" t="n">
        <v>45474</v>
      </c>
      <c r="D619" t="inlineStr">
        <is>
          <t>VÄSTERNORRLANDS LÄN</t>
        </is>
      </c>
      <c r="E619" t="inlineStr">
        <is>
          <t>TIMRÅ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14375-2024</t>
        </is>
      </c>
      <c r="B620" s="1" t="n">
        <v>45394</v>
      </c>
      <c r="C620" s="1" t="n">
        <v>45474</v>
      </c>
      <c r="D620" t="inlineStr">
        <is>
          <t>VÄSTERNORRLANDS LÄN</t>
        </is>
      </c>
      <c r="E620" t="inlineStr">
        <is>
          <t>TIMRÅ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14578-2024</t>
        </is>
      </c>
      <c r="B621" s="1" t="n">
        <v>45395</v>
      </c>
      <c r="C621" s="1" t="n">
        <v>45474</v>
      </c>
      <c r="D621" t="inlineStr">
        <is>
          <t>VÄSTERNORRLANDS LÄN</t>
        </is>
      </c>
      <c r="E621" t="inlineStr">
        <is>
          <t>TIMRÅ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14572-2024</t>
        </is>
      </c>
      <c r="B622" s="1" t="n">
        <v>45395</v>
      </c>
      <c r="C622" s="1" t="n">
        <v>45474</v>
      </c>
      <c r="D622" t="inlineStr">
        <is>
          <t>VÄSTERNORRLANDS LÄN</t>
        </is>
      </c>
      <c r="E622" t="inlineStr">
        <is>
          <t>TIMRÅ</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14573-2024</t>
        </is>
      </c>
      <c r="B623" s="1" t="n">
        <v>45395</v>
      </c>
      <c r="C623" s="1" t="n">
        <v>45474</v>
      </c>
      <c r="D623" t="inlineStr">
        <is>
          <t>VÄSTERNORRLANDS LÄN</t>
        </is>
      </c>
      <c r="E623" t="inlineStr">
        <is>
          <t>TIMRÅ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14806-2024</t>
        </is>
      </c>
      <c r="B624" s="1" t="n">
        <v>45398</v>
      </c>
      <c r="C624" s="1" t="n">
        <v>45474</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14818-2024</t>
        </is>
      </c>
      <c r="B625" s="1" t="n">
        <v>45397</v>
      </c>
      <c r="C625" s="1" t="n">
        <v>45474</v>
      </c>
      <c r="D625" t="inlineStr">
        <is>
          <t>VÄSTERNORRLANDS LÄN</t>
        </is>
      </c>
      <c r="E625" t="inlineStr">
        <is>
          <t>TIMRÅ</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15150-2024</t>
        </is>
      </c>
      <c r="B626" s="1" t="n">
        <v>45400</v>
      </c>
      <c r="C626" s="1" t="n">
        <v>45474</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16055-2024</t>
        </is>
      </c>
      <c r="B627" s="1" t="n">
        <v>45406</v>
      </c>
      <c r="C627" s="1" t="n">
        <v>45474</v>
      </c>
      <c r="D627" t="inlineStr">
        <is>
          <t>VÄSTERNORRLANDS LÄN</t>
        </is>
      </c>
      <c r="E627" t="inlineStr">
        <is>
          <t>TIMRÅ</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16067-2024</t>
        </is>
      </c>
      <c r="B628" s="1" t="n">
        <v>45406</v>
      </c>
      <c r="C628" s="1" t="n">
        <v>45474</v>
      </c>
      <c r="D628" t="inlineStr">
        <is>
          <t>VÄSTERNORRLANDS LÄN</t>
        </is>
      </c>
      <c r="E628" t="inlineStr">
        <is>
          <t>TIMRÅ</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16315-2024</t>
        </is>
      </c>
      <c r="B629" s="1" t="n">
        <v>45407</v>
      </c>
      <c r="C629" s="1" t="n">
        <v>45474</v>
      </c>
      <c r="D629" t="inlineStr">
        <is>
          <t>VÄSTERNORRLANDS LÄN</t>
        </is>
      </c>
      <c r="E629" t="inlineStr">
        <is>
          <t>TIMRÅ</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16863-2024</t>
        </is>
      </c>
      <c r="B630" s="1" t="n">
        <v>45411</v>
      </c>
      <c r="C630" s="1" t="n">
        <v>45474</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16980-2024</t>
        </is>
      </c>
      <c r="B631" s="1" t="n">
        <v>45412</v>
      </c>
      <c r="C631" s="1" t="n">
        <v>45474</v>
      </c>
      <c r="D631" t="inlineStr">
        <is>
          <t>VÄSTERNORRLANDS LÄN</t>
        </is>
      </c>
      <c r="E631" t="inlineStr">
        <is>
          <t>TIMRÅ</t>
        </is>
      </c>
      <c r="F631" t="inlineStr">
        <is>
          <t>SCA</t>
        </is>
      </c>
      <c r="G631" t="n">
        <v>7.7</v>
      </c>
      <c r="H631" t="n">
        <v>0</v>
      </c>
      <c r="I631" t="n">
        <v>0</v>
      </c>
      <c r="J631" t="n">
        <v>0</v>
      </c>
      <c r="K631" t="n">
        <v>0</v>
      </c>
      <c r="L631" t="n">
        <v>0</v>
      </c>
      <c r="M631" t="n">
        <v>0</v>
      </c>
      <c r="N631" t="n">
        <v>0</v>
      </c>
      <c r="O631" t="n">
        <v>0</v>
      </c>
      <c r="P631" t="n">
        <v>0</v>
      </c>
      <c r="Q631" t="n">
        <v>0</v>
      </c>
      <c r="R631" s="2" t="inlineStr"/>
    </row>
    <row r="632" ht="15" customHeight="1">
      <c r="A632" t="inlineStr">
        <is>
          <t>A 18110-2024</t>
        </is>
      </c>
      <c r="B632" s="1" t="n">
        <v>45420</v>
      </c>
      <c r="C632" s="1" t="n">
        <v>45474</v>
      </c>
      <c r="D632" t="inlineStr">
        <is>
          <t>VÄSTERNORRLANDS LÄN</t>
        </is>
      </c>
      <c r="E632" t="inlineStr">
        <is>
          <t>TIMRÅ</t>
        </is>
      </c>
      <c r="G632" t="n">
        <v>1.4</v>
      </c>
      <c r="H632" t="n">
        <v>0</v>
      </c>
      <c r="I632" t="n">
        <v>0</v>
      </c>
      <c r="J632" t="n">
        <v>0</v>
      </c>
      <c r="K632" t="n">
        <v>0</v>
      </c>
      <c r="L632" t="n">
        <v>0</v>
      </c>
      <c r="M632" t="n">
        <v>0</v>
      </c>
      <c r="N632" t="n">
        <v>0</v>
      </c>
      <c r="O632" t="n">
        <v>0</v>
      </c>
      <c r="P632" t="n">
        <v>0</v>
      </c>
      <c r="Q632" t="n">
        <v>0</v>
      </c>
      <c r="R632" s="2" t="inlineStr"/>
    </row>
    <row r="633" ht="15" customHeight="1">
      <c r="A633" t="inlineStr">
        <is>
          <t>A 18653-2024</t>
        </is>
      </c>
      <c r="B633" s="1" t="n">
        <v>45425</v>
      </c>
      <c r="C633" s="1" t="n">
        <v>45474</v>
      </c>
      <c r="D633" t="inlineStr">
        <is>
          <t>VÄSTERNORRLANDS LÄN</t>
        </is>
      </c>
      <c r="E633" t="inlineStr">
        <is>
          <t>TIMRÅ</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18663-2024</t>
        </is>
      </c>
      <c r="B634" s="1" t="n">
        <v>45425</v>
      </c>
      <c r="C634" s="1" t="n">
        <v>45474</v>
      </c>
      <c r="D634" t="inlineStr">
        <is>
          <t>VÄSTERNORRLANDS LÄN</t>
        </is>
      </c>
      <c r="E634" t="inlineStr">
        <is>
          <t>TIMRÅ</t>
        </is>
      </c>
      <c r="G634" t="n">
        <v>9.5</v>
      </c>
      <c r="H634" t="n">
        <v>0</v>
      </c>
      <c r="I634" t="n">
        <v>0</v>
      </c>
      <c r="J634" t="n">
        <v>0</v>
      </c>
      <c r="K634" t="n">
        <v>0</v>
      </c>
      <c r="L634" t="n">
        <v>0</v>
      </c>
      <c r="M634" t="n">
        <v>0</v>
      </c>
      <c r="N634" t="n">
        <v>0</v>
      </c>
      <c r="O634" t="n">
        <v>0</v>
      </c>
      <c r="P634" t="n">
        <v>0</v>
      </c>
      <c r="Q634" t="n">
        <v>0</v>
      </c>
      <c r="R634" s="2" t="inlineStr"/>
    </row>
    <row r="635" ht="15" customHeight="1">
      <c r="A635" t="inlineStr">
        <is>
          <t>A 18634-2024</t>
        </is>
      </c>
      <c r="B635" s="1" t="n">
        <v>45425</v>
      </c>
      <c r="C635" s="1" t="n">
        <v>45474</v>
      </c>
      <c r="D635" t="inlineStr">
        <is>
          <t>VÄSTERNORRLANDS LÄN</t>
        </is>
      </c>
      <c r="E635" t="inlineStr">
        <is>
          <t>TIMRÅ</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19455-2024</t>
        </is>
      </c>
      <c r="B636" s="1" t="n">
        <v>45429</v>
      </c>
      <c r="C636" s="1" t="n">
        <v>45474</v>
      </c>
      <c r="D636" t="inlineStr">
        <is>
          <t>VÄSTERNORRLANDS LÄN</t>
        </is>
      </c>
      <c r="E636" t="inlineStr">
        <is>
          <t>TIMRÅ</t>
        </is>
      </c>
      <c r="G636" t="n">
        <v>1.3</v>
      </c>
      <c r="H636" t="n">
        <v>0</v>
      </c>
      <c r="I636" t="n">
        <v>0</v>
      </c>
      <c r="J636" t="n">
        <v>0</v>
      </c>
      <c r="K636" t="n">
        <v>0</v>
      </c>
      <c r="L636" t="n">
        <v>0</v>
      </c>
      <c r="M636" t="n">
        <v>0</v>
      </c>
      <c r="N636" t="n">
        <v>0</v>
      </c>
      <c r="O636" t="n">
        <v>0</v>
      </c>
      <c r="P636" t="n">
        <v>0</v>
      </c>
      <c r="Q636" t="n">
        <v>0</v>
      </c>
      <c r="R636" s="2" t="inlineStr"/>
    </row>
    <row r="637" ht="15" customHeight="1">
      <c r="A637" t="inlineStr">
        <is>
          <t>A 19558-2024</t>
        </is>
      </c>
      <c r="B637" s="1" t="n">
        <v>45429</v>
      </c>
      <c r="C637" s="1" t="n">
        <v>45474</v>
      </c>
      <c r="D637" t="inlineStr">
        <is>
          <t>VÄSTERNORRLANDS LÄN</t>
        </is>
      </c>
      <c r="E637" t="inlineStr">
        <is>
          <t>TIMRÅ</t>
        </is>
      </c>
      <c r="G637" t="n">
        <v>4.6</v>
      </c>
      <c r="H637" t="n">
        <v>0</v>
      </c>
      <c r="I637" t="n">
        <v>0</v>
      </c>
      <c r="J637" t="n">
        <v>0</v>
      </c>
      <c r="K637" t="n">
        <v>0</v>
      </c>
      <c r="L637" t="n">
        <v>0</v>
      </c>
      <c r="M637" t="n">
        <v>0</v>
      </c>
      <c r="N637" t="n">
        <v>0</v>
      </c>
      <c r="O637" t="n">
        <v>0</v>
      </c>
      <c r="P637" t="n">
        <v>0</v>
      </c>
      <c r="Q637" t="n">
        <v>0</v>
      </c>
      <c r="R637" s="2" t="inlineStr"/>
    </row>
    <row r="638" ht="15" customHeight="1">
      <c r="A638" t="inlineStr">
        <is>
          <t>A 20089-2024</t>
        </is>
      </c>
      <c r="B638" s="1" t="n">
        <v>45434</v>
      </c>
      <c r="C638" s="1" t="n">
        <v>45474</v>
      </c>
      <c r="D638" t="inlineStr">
        <is>
          <t>VÄSTERNORRLANDS LÄN</t>
        </is>
      </c>
      <c r="E638" t="inlineStr">
        <is>
          <t>TIMRÅ</t>
        </is>
      </c>
      <c r="G638" t="n">
        <v>1</v>
      </c>
      <c r="H638" t="n">
        <v>0</v>
      </c>
      <c r="I638" t="n">
        <v>0</v>
      </c>
      <c r="J638" t="n">
        <v>0</v>
      </c>
      <c r="K638" t="n">
        <v>0</v>
      </c>
      <c r="L638" t="n">
        <v>0</v>
      </c>
      <c r="M638" t="n">
        <v>0</v>
      </c>
      <c r="N638" t="n">
        <v>0</v>
      </c>
      <c r="O638" t="n">
        <v>0</v>
      </c>
      <c r="P638" t="n">
        <v>0</v>
      </c>
      <c r="Q638" t="n">
        <v>0</v>
      </c>
      <c r="R638" s="2" t="inlineStr"/>
    </row>
    <row r="639" ht="15" customHeight="1">
      <c r="A639" t="inlineStr">
        <is>
          <t>A 20226-2024</t>
        </is>
      </c>
      <c r="B639" s="1" t="n">
        <v>45434</v>
      </c>
      <c r="C639" s="1" t="n">
        <v>45474</v>
      </c>
      <c r="D639" t="inlineStr">
        <is>
          <t>VÄSTERNORRLANDS LÄN</t>
        </is>
      </c>
      <c r="E639" t="inlineStr">
        <is>
          <t>TIMRÅ</t>
        </is>
      </c>
      <c r="G639" t="n">
        <v>0.6</v>
      </c>
      <c r="H639" t="n">
        <v>0</v>
      </c>
      <c r="I639" t="n">
        <v>0</v>
      </c>
      <c r="J639" t="n">
        <v>0</v>
      </c>
      <c r="K639" t="n">
        <v>0</v>
      </c>
      <c r="L639" t="n">
        <v>0</v>
      </c>
      <c r="M639" t="n">
        <v>0</v>
      </c>
      <c r="N639" t="n">
        <v>0</v>
      </c>
      <c r="O639" t="n">
        <v>0</v>
      </c>
      <c r="P639" t="n">
        <v>0</v>
      </c>
      <c r="Q639" t="n">
        <v>0</v>
      </c>
      <c r="R639" s="2" t="inlineStr"/>
    </row>
    <row r="640" ht="15" customHeight="1">
      <c r="A640" t="inlineStr">
        <is>
          <t>A 20230-2024</t>
        </is>
      </c>
      <c r="B640" s="1" t="n">
        <v>45434</v>
      </c>
      <c r="C640" s="1" t="n">
        <v>45474</v>
      </c>
      <c r="D640" t="inlineStr">
        <is>
          <t>VÄSTERNORRLANDS LÄN</t>
        </is>
      </c>
      <c r="E640" t="inlineStr">
        <is>
          <t>TIMRÅ</t>
        </is>
      </c>
      <c r="G640" t="n">
        <v>0.8</v>
      </c>
      <c r="H640" t="n">
        <v>0</v>
      </c>
      <c r="I640" t="n">
        <v>0</v>
      </c>
      <c r="J640" t="n">
        <v>0</v>
      </c>
      <c r="K640" t="n">
        <v>0</v>
      </c>
      <c r="L640" t="n">
        <v>0</v>
      </c>
      <c r="M640" t="n">
        <v>0</v>
      </c>
      <c r="N640" t="n">
        <v>0</v>
      </c>
      <c r="O640" t="n">
        <v>0</v>
      </c>
      <c r="P640" t="n">
        <v>0</v>
      </c>
      <c r="Q640" t="n">
        <v>0</v>
      </c>
      <c r="R640" s="2" t="inlineStr"/>
    </row>
    <row r="641" ht="15" customHeight="1">
      <c r="A641" t="inlineStr">
        <is>
          <t>A 20313-2024</t>
        </is>
      </c>
      <c r="B641" s="1" t="n">
        <v>45434</v>
      </c>
      <c r="C641" s="1" t="n">
        <v>45474</v>
      </c>
      <c r="D641" t="inlineStr">
        <is>
          <t>VÄSTERNORRLANDS LÄN</t>
        </is>
      </c>
      <c r="E641" t="inlineStr">
        <is>
          <t>TIMRÅ</t>
        </is>
      </c>
      <c r="G641" t="n">
        <v>1.6</v>
      </c>
      <c r="H641" t="n">
        <v>0</v>
      </c>
      <c r="I641" t="n">
        <v>0</v>
      </c>
      <c r="J641" t="n">
        <v>0</v>
      </c>
      <c r="K641" t="n">
        <v>0</v>
      </c>
      <c r="L641" t="n">
        <v>0</v>
      </c>
      <c r="M641" t="n">
        <v>0</v>
      </c>
      <c r="N641" t="n">
        <v>0</v>
      </c>
      <c r="O641" t="n">
        <v>0</v>
      </c>
      <c r="P641" t="n">
        <v>0</v>
      </c>
      <c r="Q641" t="n">
        <v>0</v>
      </c>
      <c r="R641" s="2" t="inlineStr"/>
    </row>
    <row r="642" ht="15" customHeight="1">
      <c r="A642" t="inlineStr">
        <is>
          <t>A 20341-2024</t>
        </is>
      </c>
      <c r="B642" s="1" t="n">
        <v>45435</v>
      </c>
      <c r="C642" s="1" t="n">
        <v>45474</v>
      </c>
      <c r="D642" t="inlineStr">
        <is>
          <t>VÄSTERNORRLANDS LÄN</t>
        </is>
      </c>
      <c r="E642" t="inlineStr">
        <is>
          <t>TIMRÅ</t>
        </is>
      </c>
      <c r="G642" t="n">
        <v>2.1</v>
      </c>
      <c r="H642" t="n">
        <v>0</v>
      </c>
      <c r="I642" t="n">
        <v>0</v>
      </c>
      <c r="J642" t="n">
        <v>0</v>
      </c>
      <c r="K642" t="n">
        <v>0</v>
      </c>
      <c r="L642" t="n">
        <v>0</v>
      </c>
      <c r="M642" t="n">
        <v>0</v>
      </c>
      <c r="N642" t="n">
        <v>0</v>
      </c>
      <c r="O642" t="n">
        <v>0</v>
      </c>
      <c r="P642" t="n">
        <v>0</v>
      </c>
      <c r="Q642" t="n">
        <v>0</v>
      </c>
      <c r="R642" s="2" t="inlineStr"/>
    </row>
    <row r="643" ht="15" customHeight="1">
      <c r="A643" t="inlineStr">
        <is>
          <t>A 20346-2024</t>
        </is>
      </c>
      <c r="B643" s="1" t="n">
        <v>45435</v>
      </c>
      <c r="C643" s="1" t="n">
        <v>45474</v>
      </c>
      <c r="D643" t="inlineStr">
        <is>
          <t>VÄSTERNORRLANDS LÄN</t>
        </is>
      </c>
      <c r="E643" t="inlineStr">
        <is>
          <t>TIMRÅ</t>
        </is>
      </c>
      <c r="G643" t="n">
        <v>2.5</v>
      </c>
      <c r="H643" t="n">
        <v>0</v>
      </c>
      <c r="I643" t="n">
        <v>0</v>
      </c>
      <c r="J643" t="n">
        <v>0</v>
      </c>
      <c r="K643" t="n">
        <v>0</v>
      </c>
      <c r="L643" t="n">
        <v>0</v>
      </c>
      <c r="M643" t="n">
        <v>0</v>
      </c>
      <c r="N643" t="n">
        <v>0</v>
      </c>
      <c r="O643" t="n">
        <v>0</v>
      </c>
      <c r="P643" t="n">
        <v>0</v>
      </c>
      <c r="Q643" t="n">
        <v>0</v>
      </c>
      <c r="R643" s="2" t="inlineStr"/>
    </row>
    <row r="644" ht="15" customHeight="1">
      <c r="A644" t="inlineStr">
        <is>
          <t>A 20527-2024</t>
        </is>
      </c>
      <c r="B644" s="1" t="n">
        <v>45436</v>
      </c>
      <c r="C644" s="1" t="n">
        <v>45474</v>
      </c>
      <c r="D644" t="inlineStr">
        <is>
          <t>VÄSTERNORRLANDS LÄN</t>
        </is>
      </c>
      <c r="E644" t="inlineStr">
        <is>
          <t>TIMRÅ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20526-2024</t>
        </is>
      </c>
      <c r="B645" s="1" t="n">
        <v>45435</v>
      </c>
      <c r="C645" s="1" t="n">
        <v>45474</v>
      </c>
      <c r="D645" t="inlineStr">
        <is>
          <t>VÄSTERNORRLANDS LÄN</t>
        </is>
      </c>
      <c r="E645" t="inlineStr">
        <is>
          <t>TIMRÅ</t>
        </is>
      </c>
      <c r="F645" t="inlineStr">
        <is>
          <t>SCA</t>
        </is>
      </c>
      <c r="G645" t="n">
        <v>11.3</v>
      </c>
      <c r="H645" t="n">
        <v>0</v>
      </c>
      <c r="I645" t="n">
        <v>0</v>
      </c>
      <c r="J645" t="n">
        <v>0</v>
      </c>
      <c r="K645" t="n">
        <v>0</v>
      </c>
      <c r="L645" t="n">
        <v>0</v>
      </c>
      <c r="M645" t="n">
        <v>0</v>
      </c>
      <c r="N645" t="n">
        <v>0</v>
      </c>
      <c r="O645" t="n">
        <v>0</v>
      </c>
      <c r="P645" t="n">
        <v>0</v>
      </c>
      <c r="Q645" t="n">
        <v>0</v>
      </c>
      <c r="R645" s="2" t="inlineStr"/>
    </row>
    <row r="646" ht="15" customHeight="1">
      <c r="A646" t="inlineStr">
        <is>
          <t>A 20786-2024</t>
        </is>
      </c>
      <c r="B646" s="1" t="n">
        <v>45437</v>
      </c>
      <c r="C646" s="1" t="n">
        <v>45474</v>
      </c>
      <c r="D646" t="inlineStr">
        <is>
          <t>VÄSTERNORRLANDS LÄN</t>
        </is>
      </c>
      <c r="E646" t="inlineStr">
        <is>
          <t>TIMRÅ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20899-2024</t>
        </is>
      </c>
      <c r="B647" s="1" t="n">
        <v>45439</v>
      </c>
      <c r="C647" s="1" t="n">
        <v>45474</v>
      </c>
      <c r="D647" t="inlineStr">
        <is>
          <t>VÄSTERNORRLANDS LÄN</t>
        </is>
      </c>
      <c r="E647" t="inlineStr">
        <is>
          <t>TIMRÅ</t>
        </is>
      </c>
      <c r="G647" t="n">
        <v>2.1</v>
      </c>
      <c r="H647" t="n">
        <v>0</v>
      </c>
      <c r="I647" t="n">
        <v>0</v>
      </c>
      <c r="J647" t="n">
        <v>0</v>
      </c>
      <c r="K647" t="n">
        <v>0</v>
      </c>
      <c r="L647" t="n">
        <v>0</v>
      </c>
      <c r="M647" t="n">
        <v>0</v>
      </c>
      <c r="N647" t="n">
        <v>0</v>
      </c>
      <c r="O647" t="n">
        <v>0</v>
      </c>
      <c r="P647" t="n">
        <v>0</v>
      </c>
      <c r="Q647" t="n">
        <v>0</v>
      </c>
      <c r="R647" s="2" t="inlineStr"/>
    </row>
    <row r="648" ht="15" customHeight="1">
      <c r="A648" t="inlineStr">
        <is>
          <t>A 20936-2024</t>
        </is>
      </c>
      <c r="B648" s="1" t="n">
        <v>45439</v>
      </c>
      <c r="C648" s="1" t="n">
        <v>45474</v>
      </c>
      <c r="D648" t="inlineStr">
        <is>
          <t>VÄSTERNORRLANDS LÄN</t>
        </is>
      </c>
      <c r="E648" t="inlineStr">
        <is>
          <t>TIMRÅ</t>
        </is>
      </c>
      <c r="G648" t="n">
        <v>0.5</v>
      </c>
      <c r="H648" t="n">
        <v>0</v>
      </c>
      <c r="I648" t="n">
        <v>0</v>
      </c>
      <c r="J648" t="n">
        <v>0</v>
      </c>
      <c r="K648" t="n">
        <v>0</v>
      </c>
      <c r="L648" t="n">
        <v>0</v>
      </c>
      <c r="M648" t="n">
        <v>0</v>
      </c>
      <c r="N648" t="n">
        <v>0</v>
      </c>
      <c r="O648" t="n">
        <v>0</v>
      </c>
      <c r="P648" t="n">
        <v>0</v>
      </c>
      <c r="Q648" t="n">
        <v>0</v>
      </c>
      <c r="R648" s="2" t="inlineStr"/>
    </row>
    <row r="649" ht="15" customHeight="1">
      <c r="A649" t="inlineStr">
        <is>
          <t>A 20938-2024</t>
        </is>
      </c>
      <c r="B649" s="1" t="n">
        <v>45439</v>
      </c>
      <c r="C649" s="1" t="n">
        <v>45474</v>
      </c>
      <c r="D649" t="inlineStr">
        <is>
          <t>VÄSTERNORRLANDS LÄN</t>
        </is>
      </c>
      <c r="E649" t="inlineStr">
        <is>
          <t>TIMRÅ</t>
        </is>
      </c>
      <c r="G649" t="n">
        <v>1.3</v>
      </c>
      <c r="H649" t="n">
        <v>0</v>
      </c>
      <c r="I649" t="n">
        <v>0</v>
      </c>
      <c r="J649" t="n">
        <v>0</v>
      </c>
      <c r="K649" t="n">
        <v>0</v>
      </c>
      <c r="L649" t="n">
        <v>0</v>
      </c>
      <c r="M649" t="n">
        <v>0</v>
      </c>
      <c r="N649" t="n">
        <v>0</v>
      </c>
      <c r="O649" t="n">
        <v>0</v>
      </c>
      <c r="P649" t="n">
        <v>0</v>
      </c>
      <c r="Q649" t="n">
        <v>0</v>
      </c>
      <c r="R649" s="2" t="inlineStr"/>
    </row>
    <row r="650" ht="15" customHeight="1">
      <c r="A650" t="inlineStr">
        <is>
          <t>A 21362-2024</t>
        </is>
      </c>
      <c r="B650" s="1" t="n">
        <v>45440</v>
      </c>
      <c r="C650" s="1" t="n">
        <v>45474</v>
      </c>
      <c r="D650" t="inlineStr">
        <is>
          <t>VÄSTERNORRLANDS LÄN</t>
        </is>
      </c>
      <c r="E650" t="inlineStr">
        <is>
          <t>TIMRÅ</t>
        </is>
      </c>
      <c r="F650" t="inlineStr">
        <is>
          <t>SCA</t>
        </is>
      </c>
      <c r="G650" t="n">
        <v>15.2</v>
      </c>
      <c r="H650" t="n">
        <v>0</v>
      </c>
      <c r="I650" t="n">
        <v>0</v>
      </c>
      <c r="J650" t="n">
        <v>0</v>
      </c>
      <c r="K650" t="n">
        <v>0</v>
      </c>
      <c r="L650" t="n">
        <v>0</v>
      </c>
      <c r="M650" t="n">
        <v>0</v>
      </c>
      <c r="N650" t="n">
        <v>0</v>
      </c>
      <c r="O650" t="n">
        <v>0</v>
      </c>
      <c r="P650" t="n">
        <v>0</v>
      </c>
      <c r="Q650" t="n">
        <v>0</v>
      </c>
      <c r="R650" s="2" t="inlineStr"/>
    </row>
    <row r="651" ht="15" customHeight="1">
      <c r="A651" t="inlineStr">
        <is>
          <t>A 21131-2024</t>
        </is>
      </c>
      <c r="B651" s="1" t="n">
        <v>45440</v>
      </c>
      <c r="C651" s="1" t="n">
        <v>45474</v>
      </c>
      <c r="D651" t="inlineStr">
        <is>
          <t>VÄSTERNORRLANDS LÄN</t>
        </is>
      </c>
      <c r="E651" t="inlineStr">
        <is>
          <t>TIMRÅ</t>
        </is>
      </c>
      <c r="G651" t="n">
        <v>10.8</v>
      </c>
      <c r="H651" t="n">
        <v>0</v>
      </c>
      <c r="I651" t="n">
        <v>0</v>
      </c>
      <c r="J651" t="n">
        <v>0</v>
      </c>
      <c r="K651" t="n">
        <v>0</v>
      </c>
      <c r="L651" t="n">
        <v>0</v>
      </c>
      <c r="M651" t="n">
        <v>0</v>
      </c>
      <c r="N651" t="n">
        <v>0</v>
      </c>
      <c r="O651" t="n">
        <v>0</v>
      </c>
      <c r="P651" t="n">
        <v>0</v>
      </c>
      <c r="Q651" t="n">
        <v>0</v>
      </c>
      <c r="R651" s="2" t="inlineStr"/>
    </row>
    <row r="652" ht="15" customHeight="1">
      <c r="A652" t="inlineStr">
        <is>
          <t>A 21607-2024</t>
        </is>
      </c>
      <c r="B652" s="1" t="n">
        <v>45441</v>
      </c>
      <c r="C652" s="1" t="n">
        <v>45474</v>
      </c>
      <c r="D652" t="inlineStr">
        <is>
          <t>VÄSTERNORRLANDS LÄN</t>
        </is>
      </c>
      <c r="E652" t="inlineStr">
        <is>
          <t>TIMRÅ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21443-2024</t>
        </is>
      </c>
      <c r="B653" s="1" t="n">
        <v>45441</v>
      </c>
      <c r="C653" s="1" t="n">
        <v>45474</v>
      </c>
      <c r="D653" t="inlineStr">
        <is>
          <t>VÄSTERNORRLANDS LÄN</t>
        </is>
      </c>
      <c r="E653" t="inlineStr">
        <is>
          <t>TIMRÅ</t>
        </is>
      </c>
      <c r="G653" t="n">
        <v>0.5</v>
      </c>
      <c r="H653" t="n">
        <v>0</v>
      </c>
      <c r="I653" t="n">
        <v>0</v>
      </c>
      <c r="J653" t="n">
        <v>0</v>
      </c>
      <c r="K653" t="n">
        <v>0</v>
      </c>
      <c r="L653" t="n">
        <v>0</v>
      </c>
      <c r="M653" t="n">
        <v>0</v>
      </c>
      <c r="N653" t="n">
        <v>0</v>
      </c>
      <c r="O653" t="n">
        <v>0</v>
      </c>
      <c r="P653" t="n">
        <v>0</v>
      </c>
      <c r="Q653" t="n">
        <v>0</v>
      </c>
      <c r="R653" s="2" t="inlineStr"/>
    </row>
    <row r="654" ht="15" customHeight="1">
      <c r="A654" t="inlineStr">
        <is>
          <t>A 21447-2024</t>
        </is>
      </c>
      <c r="B654" s="1" t="n">
        <v>45441</v>
      </c>
      <c r="C654" s="1" t="n">
        <v>45474</v>
      </c>
      <c r="D654" t="inlineStr">
        <is>
          <t>VÄSTERNORRLANDS LÄN</t>
        </is>
      </c>
      <c r="E654" t="inlineStr">
        <is>
          <t>TIMRÅ</t>
        </is>
      </c>
      <c r="G654" t="n">
        <v>1.3</v>
      </c>
      <c r="H654" t="n">
        <v>0</v>
      </c>
      <c r="I654" t="n">
        <v>0</v>
      </c>
      <c r="J654" t="n">
        <v>0</v>
      </c>
      <c r="K654" t="n">
        <v>0</v>
      </c>
      <c r="L654" t="n">
        <v>0</v>
      </c>
      <c r="M654" t="n">
        <v>0</v>
      </c>
      <c r="N654" t="n">
        <v>0</v>
      </c>
      <c r="O654" t="n">
        <v>0</v>
      </c>
      <c r="P654" t="n">
        <v>0</v>
      </c>
      <c r="Q654" t="n">
        <v>0</v>
      </c>
      <c r="R654" s="2" t="inlineStr"/>
    </row>
    <row r="655" ht="15" customHeight="1">
      <c r="A655" t="inlineStr">
        <is>
          <t>A 22368-2024</t>
        </is>
      </c>
      <c r="B655" s="1" t="n">
        <v>45446</v>
      </c>
      <c r="C655" s="1" t="n">
        <v>45474</v>
      </c>
      <c r="D655" t="inlineStr">
        <is>
          <t>VÄSTERNORRLANDS LÄN</t>
        </is>
      </c>
      <c r="E655" t="inlineStr">
        <is>
          <t>TIMRÅ</t>
        </is>
      </c>
      <c r="G655" t="n">
        <v>1.2</v>
      </c>
      <c r="H655" t="n">
        <v>0</v>
      </c>
      <c r="I655" t="n">
        <v>0</v>
      </c>
      <c r="J655" t="n">
        <v>0</v>
      </c>
      <c r="K655" t="n">
        <v>0</v>
      </c>
      <c r="L655" t="n">
        <v>0</v>
      </c>
      <c r="M655" t="n">
        <v>0</v>
      </c>
      <c r="N655" t="n">
        <v>0</v>
      </c>
      <c r="O655" t="n">
        <v>0</v>
      </c>
      <c r="P655" t="n">
        <v>0</v>
      </c>
      <c r="Q655" t="n">
        <v>0</v>
      </c>
      <c r="R655" s="2" t="inlineStr"/>
    </row>
    <row r="656" ht="15" customHeight="1">
      <c r="A656" t="inlineStr">
        <is>
          <t>A 22416-2024</t>
        </is>
      </c>
      <c r="B656" s="1" t="n">
        <v>45446</v>
      </c>
      <c r="C656" s="1" t="n">
        <v>45474</v>
      </c>
      <c r="D656" t="inlineStr">
        <is>
          <t>VÄSTERNORRLANDS LÄN</t>
        </is>
      </c>
      <c r="E656" t="inlineStr">
        <is>
          <t>TIMRÅ</t>
        </is>
      </c>
      <c r="G656" t="n">
        <v>2.3</v>
      </c>
      <c r="H656" t="n">
        <v>0</v>
      </c>
      <c r="I656" t="n">
        <v>0</v>
      </c>
      <c r="J656" t="n">
        <v>0</v>
      </c>
      <c r="K656" t="n">
        <v>0</v>
      </c>
      <c r="L656" t="n">
        <v>0</v>
      </c>
      <c r="M656" t="n">
        <v>0</v>
      </c>
      <c r="N656" t="n">
        <v>0</v>
      </c>
      <c r="O656" t="n">
        <v>0</v>
      </c>
      <c r="P656" t="n">
        <v>0</v>
      </c>
      <c r="Q656" t="n">
        <v>0</v>
      </c>
      <c r="R656" s="2" t="inlineStr"/>
    </row>
    <row r="657" ht="15" customHeight="1">
      <c r="A657" t="inlineStr">
        <is>
          <t>A 22486-2024</t>
        </is>
      </c>
      <c r="B657" s="1" t="n">
        <v>45446</v>
      </c>
      <c r="C657" s="1" t="n">
        <v>45474</v>
      </c>
      <c r="D657" t="inlineStr">
        <is>
          <t>VÄSTERNORRLANDS LÄN</t>
        </is>
      </c>
      <c r="E657" t="inlineStr">
        <is>
          <t>TIMRÅ</t>
        </is>
      </c>
      <c r="G657" t="n">
        <v>6.8</v>
      </c>
      <c r="H657" t="n">
        <v>0</v>
      </c>
      <c r="I657" t="n">
        <v>0</v>
      </c>
      <c r="J657" t="n">
        <v>0</v>
      </c>
      <c r="K657" t="n">
        <v>0</v>
      </c>
      <c r="L657" t="n">
        <v>0</v>
      </c>
      <c r="M657" t="n">
        <v>0</v>
      </c>
      <c r="N657" t="n">
        <v>0</v>
      </c>
      <c r="O657" t="n">
        <v>0</v>
      </c>
      <c r="P657" t="n">
        <v>0</v>
      </c>
      <c r="Q657" t="n">
        <v>0</v>
      </c>
      <c r="R657" s="2" t="inlineStr"/>
    </row>
    <row r="658" ht="15" customHeight="1">
      <c r="A658" t="inlineStr">
        <is>
          <t>A 22669-2024</t>
        </is>
      </c>
      <c r="B658" s="1" t="n">
        <v>45447</v>
      </c>
      <c r="C658" s="1" t="n">
        <v>45474</v>
      </c>
      <c r="D658" t="inlineStr">
        <is>
          <t>VÄSTERNORRLANDS LÄN</t>
        </is>
      </c>
      <c r="E658" t="inlineStr">
        <is>
          <t>TIMRÅ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23049-2024</t>
        </is>
      </c>
      <c r="B659" s="1" t="n">
        <v>45450</v>
      </c>
      <c r="C659" s="1" t="n">
        <v>45474</v>
      </c>
      <c r="D659" t="inlineStr">
        <is>
          <t>VÄSTERNORRLANDS LÄN</t>
        </is>
      </c>
      <c r="E659" t="inlineStr">
        <is>
          <t>TIMRÅ</t>
        </is>
      </c>
      <c r="G659" t="n">
        <v>8.4</v>
      </c>
      <c r="H659" t="n">
        <v>0</v>
      </c>
      <c r="I659" t="n">
        <v>0</v>
      </c>
      <c r="J659" t="n">
        <v>0</v>
      </c>
      <c r="K659" t="n">
        <v>0</v>
      </c>
      <c r="L659" t="n">
        <v>0</v>
      </c>
      <c r="M659" t="n">
        <v>0</v>
      </c>
      <c r="N659" t="n">
        <v>0</v>
      </c>
      <c r="O659" t="n">
        <v>0</v>
      </c>
      <c r="P659" t="n">
        <v>0</v>
      </c>
      <c r="Q659" t="n">
        <v>0</v>
      </c>
      <c r="R659" s="2" t="inlineStr"/>
    </row>
    <row r="660" ht="15" customHeight="1">
      <c r="A660" t="inlineStr">
        <is>
          <t>A 23556-2024</t>
        </is>
      </c>
      <c r="B660" s="1" t="n">
        <v>45453</v>
      </c>
      <c r="C660" s="1" t="n">
        <v>45474</v>
      </c>
      <c r="D660" t="inlineStr">
        <is>
          <t>VÄSTERNORRLANDS LÄN</t>
        </is>
      </c>
      <c r="E660" t="inlineStr">
        <is>
          <t>TIMRÅ</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23725-2024</t>
        </is>
      </c>
      <c r="B661" s="1" t="n">
        <v>45455</v>
      </c>
      <c r="C661" s="1" t="n">
        <v>45474</v>
      </c>
      <c r="D661" t="inlineStr">
        <is>
          <t>VÄSTERNORRLANDS LÄN</t>
        </is>
      </c>
      <c r="E661" t="inlineStr">
        <is>
          <t>TIMRÅ</t>
        </is>
      </c>
      <c r="G661" t="n">
        <v>2.6</v>
      </c>
      <c r="H661" t="n">
        <v>0</v>
      </c>
      <c r="I661" t="n">
        <v>0</v>
      </c>
      <c r="J661" t="n">
        <v>0</v>
      </c>
      <c r="K661" t="n">
        <v>0</v>
      </c>
      <c r="L661" t="n">
        <v>0</v>
      </c>
      <c r="M661" t="n">
        <v>0</v>
      </c>
      <c r="N661" t="n">
        <v>0</v>
      </c>
      <c r="O661" t="n">
        <v>0</v>
      </c>
      <c r="P661" t="n">
        <v>0</v>
      </c>
      <c r="Q661" t="n">
        <v>0</v>
      </c>
      <c r="R661" s="2" t="inlineStr"/>
    </row>
    <row r="662" ht="15" customHeight="1">
      <c r="A662" t="inlineStr">
        <is>
          <t>A 23851-2024</t>
        </is>
      </c>
      <c r="B662" s="1" t="n">
        <v>45455</v>
      </c>
      <c r="C662" s="1" t="n">
        <v>45474</v>
      </c>
      <c r="D662" t="inlineStr">
        <is>
          <t>VÄSTERNORRLANDS LÄN</t>
        </is>
      </c>
      <c r="E662" t="inlineStr">
        <is>
          <t>TIMRÅ</t>
        </is>
      </c>
      <c r="G662" t="n">
        <v>3.5</v>
      </c>
      <c r="H662" t="n">
        <v>0</v>
      </c>
      <c r="I662" t="n">
        <v>0</v>
      </c>
      <c r="J662" t="n">
        <v>0</v>
      </c>
      <c r="K662" t="n">
        <v>0</v>
      </c>
      <c r="L662" t="n">
        <v>0</v>
      </c>
      <c r="M662" t="n">
        <v>0</v>
      </c>
      <c r="N662" t="n">
        <v>0</v>
      </c>
      <c r="O662" t="n">
        <v>0</v>
      </c>
      <c r="P662" t="n">
        <v>0</v>
      </c>
      <c r="Q662" t="n">
        <v>0</v>
      </c>
      <c r="R662" s="2" t="inlineStr"/>
    </row>
    <row r="663" ht="15" customHeight="1">
      <c r="A663" t="inlineStr">
        <is>
          <t>A 23878-2024</t>
        </is>
      </c>
      <c r="B663" s="1" t="n">
        <v>45455</v>
      </c>
      <c r="C663" s="1" t="n">
        <v>45474</v>
      </c>
      <c r="D663" t="inlineStr">
        <is>
          <t>VÄSTERNORRLANDS LÄN</t>
        </is>
      </c>
      <c r="E663" t="inlineStr">
        <is>
          <t>TIMRÅ</t>
        </is>
      </c>
      <c r="G663" t="n">
        <v>2.1</v>
      </c>
      <c r="H663" t="n">
        <v>0</v>
      </c>
      <c r="I663" t="n">
        <v>0</v>
      </c>
      <c r="J663" t="n">
        <v>0</v>
      </c>
      <c r="K663" t="n">
        <v>0</v>
      </c>
      <c r="L663" t="n">
        <v>0</v>
      </c>
      <c r="M663" t="n">
        <v>0</v>
      </c>
      <c r="N663" t="n">
        <v>0</v>
      </c>
      <c r="O663" t="n">
        <v>0</v>
      </c>
      <c r="P663" t="n">
        <v>0</v>
      </c>
      <c r="Q663" t="n">
        <v>0</v>
      </c>
      <c r="R663" s="2" t="inlineStr"/>
    </row>
    <row r="664" ht="15" customHeight="1">
      <c r="A664" t="inlineStr">
        <is>
          <t>A 24739-2024</t>
        </is>
      </c>
      <c r="B664" s="1" t="n">
        <v>45460</v>
      </c>
      <c r="C664" s="1" t="n">
        <v>45474</v>
      </c>
      <c r="D664" t="inlineStr">
        <is>
          <t>VÄSTERNORRLANDS LÄN</t>
        </is>
      </c>
      <c r="E664" t="inlineStr">
        <is>
          <t>TIMRÅ</t>
        </is>
      </c>
      <c r="G664" t="n">
        <v>0.9</v>
      </c>
      <c r="H664" t="n">
        <v>0</v>
      </c>
      <c r="I664" t="n">
        <v>0</v>
      </c>
      <c r="J664" t="n">
        <v>0</v>
      </c>
      <c r="K664" t="n">
        <v>0</v>
      </c>
      <c r="L664" t="n">
        <v>0</v>
      </c>
      <c r="M664" t="n">
        <v>0</v>
      </c>
      <c r="N664" t="n">
        <v>0</v>
      </c>
      <c r="O664" t="n">
        <v>0</v>
      </c>
      <c r="P664" t="n">
        <v>0</v>
      </c>
      <c r="Q664" t="n">
        <v>0</v>
      </c>
      <c r="R664" s="2" t="inlineStr"/>
    </row>
    <row r="665">
      <c r="A665" t="inlineStr">
        <is>
          <t>A 26662-2024</t>
        </is>
      </c>
      <c r="B665" s="1" t="n">
        <v>45469</v>
      </c>
      <c r="C665" s="1" t="n">
        <v>45474</v>
      </c>
      <c r="D665" t="inlineStr">
        <is>
          <t>VÄSTERNORRLANDS LÄN</t>
        </is>
      </c>
      <c r="E665" t="inlineStr">
        <is>
          <t>TIMRÅ</t>
        </is>
      </c>
      <c r="F665" t="inlineStr">
        <is>
          <t>SCA</t>
        </is>
      </c>
      <c r="G665" t="n">
        <v>1.7</v>
      </c>
      <c r="H665" t="n">
        <v>0</v>
      </c>
      <c r="I665" t="n">
        <v>0</v>
      </c>
      <c r="J665" t="n">
        <v>0</v>
      </c>
      <c r="K665" t="n">
        <v>0</v>
      </c>
      <c r="L665" t="n">
        <v>0</v>
      </c>
      <c r="M665" t="n">
        <v>0</v>
      </c>
      <c r="N665" t="n">
        <v>0</v>
      </c>
      <c r="O665" t="n">
        <v>0</v>
      </c>
      <c r="P665" t="n">
        <v>0</v>
      </c>
      <c r="Q665" t="n">
        <v>0</v>
      </c>
      <c r="R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2024-07-01T10:13:19Z</dcterms:created>
  <dcterms:modified xmlns:dcterms="http://purl.org/dc/terms/" xmlns:xsi="http://www.w3.org/2001/XMLSchema-instance" xsi:type="dcterms:W3CDTF">2024-07-01T10:13:20Z</dcterms:modified>
</cp:coreProperties>
</file>