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45706</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45706</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45706</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45706</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45706</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45706</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45706</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45706</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45706</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45706</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45706</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45706</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45706</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45706</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45706</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45706</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45706</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45706</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45706</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45706</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45706</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45706</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45706</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45706</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45706</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45706</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45706</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45706</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45706</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45706</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45706</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45706</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45706</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45706</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45706</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45706</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45706</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45706</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45706</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45706</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45706</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45706</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45706</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45706</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45706</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45706</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45706</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45706</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45706</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45706</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45706</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45706</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45706</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45706</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45706</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45706</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45706</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45706</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45706</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45706</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45706</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45706</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45706</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45706</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45706</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45706</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45706</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45706</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45706</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45706</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45706</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45706</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7272-2025</t>
        </is>
      </c>
      <c r="B98" s="1" t="n">
        <v>45702</v>
      </c>
      <c r="C98" s="1" t="n">
        <v>45706</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Reliktbock</t>
        </is>
      </c>
      <c r="S98">
        <f>HYPERLINK("https://klasma.github.io/Logging_2262/artfynd/A 7272-2025 artfynd.xlsx", "A 7272-2025")</f>
        <v/>
      </c>
      <c r="T98">
        <f>HYPERLINK("https://klasma.github.io/Logging_2262/kartor/A 7272-2025 karta.png", "A 7272-2025")</f>
        <v/>
      </c>
      <c r="V98">
        <f>HYPERLINK("https://klasma.github.io/Logging_2262/klagomål/A 7272-2025 FSC-klagomål.docx", "A 7272-2025")</f>
        <v/>
      </c>
      <c r="W98">
        <f>HYPERLINK("https://klasma.github.io/Logging_2262/klagomålsmail/A 7272-2025 FSC-klagomål mail.docx", "A 7272-2025")</f>
        <v/>
      </c>
      <c r="X98">
        <f>HYPERLINK("https://klasma.github.io/Logging_2262/tillsyn/A 7272-2025 tillsynsbegäran.docx", "A 7272-2025")</f>
        <v/>
      </c>
      <c r="Y98">
        <f>HYPERLINK("https://klasma.github.io/Logging_2262/tillsynsmail/A 7272-2025 tillsynsbegäran mail.docx", "A 7272-2025")</f>
        <v/>
      </c>
    </row>
    <row r="99" ht="15" customHeight="1">
      <c r="A99" t="inlineStr">
        <is>
          <t>A 17858-2019</t>
        </is>
      </c>
      <c r="B99" s="1" t="n">
        <v>43556</v>
      </c>
      <c r="C99" s="1" t="n">
        <v>45706</v>
      </c>
      <c r="D99" t="inlineStr">
        <is>
          <t>VÄSTERNORRLANDS LÄN</t>
        </is>
      </c>
      <c r="E99" t="inlineStr">
        <is>
          <t>TIMRÅ</t>
        </is>
      </c>
      <c r="F99" t="inlineStr">
        <is>
          <t>SCA</t>
        </is>
      </c>
      <c r="G99" t="n">
        <v>5.2</v>
      </c>
      <c r="H99" t="n">
        <v>0</v>
      </c>
      <c r="I99" t="n">
        <v>0</v>
      </c>
      <c r="J99" t="n">
        <v>0</v>
      </c>
      <c r="K99" t="n">
        <v>0</v>
      </c>
      <c r="L99" t="n">
        <v>0</v>
      </c>
      <c r="M99" t="n">
        <v>0</v>
      </c>
      <c r="N99" t="n">
        <v>0</v>
      </c>
      <c r="O99" t="n">
        <v>0</v>
      </c>
      <c r="P99" t="n">
        <v>0</v>
      </c>
      <c r="Q99" t="n">
        <v>0</v>
      </c>
      <c r="R99" s="2" t="inlineStr"/>
    </row>
    <row r="100" ht="15" customHeight="1">
      <c r="A100" t="inlineStr">
        <is>
          <t>A 18703-2019</t>
        </is>
      </c>
      <c r="B100" s="1" t="n">
        <v>43559</v>
      </c>
      <c r="C100" s="1" t="n">
        <v>45706</v>
      </c>
      <c r="D100" t="inlineStr">
        <is>
          <t>VÄSTERNORRLANDS LÄN</t>
        </is>
      </c>
      <c r="E100" t="inlineStr">
        <is>
          <t>TIMRÅ</t>
        </is>
      </c>
      <c r="G100" t="n">
        <v>5</v>
      </c>
      <c r="H100" t="n">
        <v>0</v>
      </c>
      <c r="I100" t="n">
        <v>0</v>
      </c>
      <c r="J100" t="n">
        <v>0</v>
      </c>
      <c r="K100" t="n">
        <v>0</v>
      </c>
      <c r="L100" t="n">
        <v>0</v>
      </c>
      <c r="M100" t="n">
        <v>0</v>
      </c>
      <c r="N100" t="n">
        <v>0</v>
      </c>
      <c r="O100" t="n">
        <v>0</v>
      </c>
      <c r="P100" t="n">
        <v>0</v>
      </c>
      <c r="Q100" t="n">
        <v>0</v>
      </c>
      <c r="R100" s="2" t="inlineStr"/>
    </row>
    <row r="101" ht="15" customHeight="1">
      <c r="A101" t="inlineStr">
        <is>
          <t>A 20205-2019</t>
        </is>
      </c>
      <c r="B101" s="1" t="n">
        <v>43570</v>
      </c>
      <c r="C101" s="1" t="n">
        <v>45706</v>
      </c>
      <c r="D101" t="inlineStr">
        <is>
          <t>VÄSTERNORRLANDS LÄN</t>
        </is>
      </c>
      <c r="E101" t="inlineStr">
        <is>
          <t>TIMRÅ</t>
        </is>
      </c>
      <c r="F101" t="inlineStr">
        <is>
          <t>SCA</t>
        </is>
      </c>
      <c r="G101" t="n">
        <v>29.1</v>
      </c>
      <c r="H101" t="n">
        <v>0</v>
      </c>
      <c r="I101" t="n">
        <v>0</v>
      </c>
      <c r="J101" t="n">
        <v>0</v>
      </c>
      <c r="K101" t="n">
        <v>0</v>
      </c>
      <c r="L101" t="n">
        <v>0</v>
      </c>
      <c r="M101" t="n">
        <v>0</v>
      </c>
      <c r="N101" t="n">
        <v>0</v>
      </c>
      <c r="O101" t="n">
        <v>0</v>
      </c>
      <c r="P101" t="n">
        <v>0</v>
      </c>
      <c r="Q101" t="n">
        <v>0</v>
      </c>
      <c r="R101" s="2" t="inlineStr"/>
    </row>
    <row r="102" ht="15" customHeight="1">
      <c r="A102" t="inlineStr">
        <is>
          <t>A 20591-2019</t>
        </is>
      </c>
      <c r="B102" s="1" t="n">
        <v>43572</v>
      </c>
      <c r="C102" s="1" t="n">
        <v>45706</v>
      </c>
      <c r="D102" t="inlineStr">
        <is>
          <t>VÄSTERNORRLANDS LÄN</t>
        </is>
      </c>
      <c r="E102" t="inlineStr">
        <is>
          <t>TIMRÅ</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22036-2019</t>
        </is>
      </c>
      <c r="B103" s="1" t="n">
        <v>43584</v>
      </c>
      <c r="C103" s="1" t="n">
        <v>45706</v>
      </c>
      <c r="D103" t="inlineStr">
        <is>
          <t>VÄSTERNORRLANDS LÄN</t>
        </is>
      </c>
      <c r="E103" t="inlineStr">
        <is>
          <t>TIMRÅ</t>
        </is>
      </c>
      <c r="G103" t="n">
        <v>0.4</v>
      </c>
      <c r="H103" t="n">
        <v>0</v>
      </c>
      <c r="I103" t="n">
        <v>0</v>
      </c>
      <c r="J103" t="n">
        <v>0</v>
      </c>
      <c r="K103" t="n">
        <v>0</v>
      </c>
      <c r="L103" t="n">
        <v>0</v>
      </c>
      <c r="M103" t="n">
        <v>0</v>
      </c>
      <c r="N103" t="n">
        <v>0</v>
      </c>
      <c r="O103" t="n">
        <v>0</v>
      </c>
      <c r="P103" t="n">
        <v>0</v>
      </c>
      <c r="Q103" t="n">
        <v>0</v>
      </c>
      <c r="R103" s="2" t="inlineStr"/>
    </row>
    <row r="104" ht="15" customHeight="1">
      <c r="A104" t="inlineStr">
        <is>
          <t>A 22345-2019</t>
        </is>
      </c>
      <c r="B104" s="1" t="n">
        <v>43587</v>
      </c>
      <c r="C104" s="1" t="n">
        <v>45706</v>
      </c>
      <c r="D104" t="inlineStr">
        <is>
          <t>VÄSTERNORRLANDS LÄN</t>
        </is>
      </c>
      <c r="E104" t="inlineStr">
        <is>
          <t>TIMRÅ</t>
        </is>
      </c>
      <c r="G104" t="n">
        <v>0.3</v>
      </c>
      <c r="H104" t="n">
        <v>0</v>
      </c>
      <c r="I104" t="n">
        <v>0</v>
      </c>
      <c r="J104" t="n">
        <v>0</v>
      </c>
      <c r="K104" t="n">
        <v>0</v>
      </c>
      <c r="L104" t="n">
        <v>0</v>
      </c>
      <c r="M104" t="n">
        <v>0</v>
      </c>
      <c r="N104" t="n">
        <v>0</v>
      </c>
      <c r="O104" t="n">
        <v>0</v>
      </c>
      <c r="P104" t="n">
        <v>0</v>
      </c>
      <c r="Q104" t="n">
        <v>0</v>
      </c>
      <c r="R104" s="2" t="inlineStr"/>
    </row>
    <row r="105" ht="15" customHeight="1">
      <c r="A105" t="inlineStr">
        <is>
          <t>A 23074-2019</t>
        </is>
      </c>
      <c r="B105" s="1" t="n">
        <v>43591</v>
      </c>
      <c r="C105" s="1" t="n">
        <v>45706</v>
      </c>
      <c r="D105" t="inlineStr">
        <is>
          <t>VÄSTERNORRLANDS LÄN</t>
        </is>
      </c>
      <c r="E105" t="inlineStr">
        <is>
          <t>TIMRÅ</t>
        </is>
      </c>
      <c r="G105" t="n">
        <v>1.3</v>
      </c>
      <c r="H105" t="n">
        <v>0</v>
      </c>
      <c r="I105" t="n">
        <v>0</v>
      </c>
      <c r="J105" t="n">
        <v>0</v>
      </c>
      <c r="K105" t="n">
        <v>0</v>
      </c>
      <c r="L105" t="n">
        <v>0</v>
      </c>
      <c r="M105" t="n">
        <v>0</v>
      </c>
      <c r="N105" t="n">
        <v>0</v>
      </c>
      <c r="O105" t="n">
        <v>0</v>
      </c>
      <c r="P105" t="n">
        <v>0</v>
      </c>
      <c r="Q105" t="n">
        <v>0</v>
      </c>
      <c r="R105" s="2" t="inlineStr"/>
    </row>
    <row r="106" ht="15" customHeight="1">
      <c r="A106" t="inlineStr">
        <is>
          <t>A 24767-2019</t>
        </is>
      </c>
      <c r="B106" s="1" t="n">
        <v>43601</v>
      </c>
      <c r="C106" s="1" t="n">
        <v>45706</v>
      </c>
      <c r="D106" t="inlineStr">
        <is>
          <t>VÄSTERNORRLANDS LÄN</t>
        </is>
      </c>
      <c r="E106" t="inlineStr">
        <is>
          <t>TIMRÅ</t>
        </is>
      </c>
      <c r="G106" t="n">
        <v>6.1</v>
      </c>
      <c r="H106" t="n">
        <v>0</v>
      </c>
      <c r="I106" t="n">
        <v>0</v>
      </c>
      <c r="J106" t="n">
        <v>0</v>
      </c>
      <c r="K106" t="n">
        <v>0</v>
      </c>
      <c r="L106" t="n">
        <v>0</v>
      </c>
      <c r="M106" t="n">
        <v>0</v>
      </c>
      <c r="N106" t="n">
        <v>0</v>
      </c>
      <c r="O106" t="n">
        <v>0</v>
      </c>
      <c r="P106" t="n">
        <v>0</v>
      </c>
      <c r="Q106" t="n">
        <v>0</v>
      </c>
      <c r="R106" s="2" t="inlineStr"/>
    </row>
    <row r="107" ht="15" customHeight="1">
      <c r="A107" t="inlineStr">
        <is>
          <t>A 29163-2019</t>
        </is>
      </c>
      <c r="B107" s="1" t="n">
        <v>43628</v>
      </c>
      <c r="C107" s="1" t="n">
        <v>45706</v>
      </c>
      <c r="D107" t="inlineStr">
        <is>
          <t>VÄSTERNORRLANDS LÄN</t>
        </is>
      </c>
      <c r="E107" t="inlineStr">
        <is>
          <t>TIMRÅ</t>
        </is>
      </c>
      <c r="G107" t="n">
        <v>4.6</v>
      </c>
      <c r="H107" t="n">
        <v>0</v>
      </c>
      <c r="I107" t="n">
        <v>0</v>
      </c>
      <c r="J107" t="n">
        <v>0</v>
      </c>
      <c r="K107" t="n">
        <v>0</v>
      </c>
      <c r="L107" t="n">
        <v>0</v>
      </c>
      <c r="M107" t="n">
        <v>0</v>
      </c>
      <c r="N107" t="n">
        <v>0</v>
      </c>
      <c r="O107" t="n">
        <v>0</v>
      </c>
      <c r="P107" t="n">
        <v>0</v>
      </c>
      <c r="Q107" t="n">
        <v>0</v>
      </c>
      <c r="R107" s="2" t="inlineStr"/>
    </row>
    <row r="108" ht="15" customHeight="1">
      <c r="A108" t="inlineStr">
        <is>
          <t>A 29485-2019</t>
        </is>
      </c>
      <c r="B108" s="1" t="n">
        <v>43629</v>
      </c>
      <c r="C108" s="1" t="n">
        <v>45706</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29751-2019</t>
        </is>
      </c>
      <c r="B109" s="1" t="n">
        <v>43630</v>
      </c>
      <c r="C109" s="1" t="n">
        <v>45706</v>
      </c>
      <c r="D109" t="inlineStr">
        <is>
          <t>VÄSTERNORRLANDS LÄN</t>
        </is>
      </c>
      <c r="E109" t="inlineStr">
        <is>
          <t>TIMRÅ</t>
        </is>
      </c>
      <c r="G109" t="n">
        <v>3.7</v>
      </c>
      <c r="H109" t="n">
        <v>0</v>
      </c>
      <c r="I109" t="n">
        <v>0</v>
      </c>
      <c r="J109" t="n">
        <v>0</v>
      </c>
      <c r="K109" t="n">
        <v>0</v>
      </c>
      <c r="L109" t="n">
        <v>0</v>
      </c>
      <c r="M109" t="n">
        <v>0</v>
      </c>
      <c r="N109" t="n">
        <v>0</v>
      </c>
      <c r="O109" t="n">
        <v>0</v>
      </c>
      <c r="P109" t="n">
        <v>0</v>
      </c>
      <c r="Q109" t="n">
        <v>0</v>
      </c>
      <c r="R109" s="2" t="inlineStr"/>
    </row>
    <row r="110" ht="15" customHeight="1">
      <c r="A110" t="inlineStr">
        <is>
          <t>A 32982-2019</t>
        </is>
      </c>
      <c r="B110" s="1" t="n">
        <v>43648</v>
      </c>
      <c r="C110" s="1" t="n">
        <v>45706</v>
      </c>
      <c r="D110" t="inlineStr">
        <is>
          <t>VÄSTERNORRLANDS LÄN</t>
        </is>
      </c>
      <c r="E110" t="inlineStr">
        <is>
          <t>TIMRÅ</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33835-2019</t>
        </is>
      </c>
      <c r="B111" s="1" t="n">
        <v>43651</v>
      </c>
      <c r="C111" s="1" t="n">
        <v>45706</v>
      </c>
      <c r="D111" t="inlineStr">
        <is>
          <t>VÄSTERNORRLANDS LÄN</t>
        </is>
      </c>
      <c r="E111" t="inlineStr">
        <is>
          <t>TIMRÅ</t>
        </is>
      </c>
      <c r="G111" t="n">
        <v>6.2</v>
      </c>
      <c r="H111" t="n">
        <v>0</v>
      </c>
      <c r="I111" t="n">
        <v>0</v>
      </c>
      <c r="J111" t="n">
        <v>0</v>
      </c>
      <c r="K111" t="n">
        <v>0</v>
      </c>
      <c r="L111" t="n">
        <v>0</v>
      </c>
      <c r="M111" t="n">
        <v>0</v>
      </c>
      <c r="N111" t="n">
        <v>0</v>
      </c>
      <c r="O111" t="n">
        <v>0</v>
      </c>
      <c r="P111" t="n">
        <v>0</v>
      </c>
      <c r="Q111" t="n">
        <v>0</v>
      </c>
      <c r="R111" s="2" t="inlineStr"/>
    </row>
    <row r="112" ht="15" customHeight="1">
      <c r="A112" t="inlineStr">
        <is>
          <t>A 33834-2019</t>
        </is>
      </c>
      <c r="B112" s="1" t="n">
        <v>43651</v>
      </c>
      <c r="C112" s="1" t="n">
        <v>45706</v>
      </c>
      <c r="D112" t="inlineStr">
        <is>
          <t>VÄSTERNORRLANDS LÄN</t>
        </is>
      </c>
      <c r="E112" t="inlineStr">
        <is>
          <t>TIMRÅ</t>
        </is>
      </c>
      <c r="G112" t="n">
        <v>4.5</v>
      </c>
      <c r="H112" t="n">
        <v>0</v>
      </c>
      <c r="I112" t="n">
        <v>0</v>
      </c>
      <c r="J112" t="n">
        <v>0</v>
      </c>
      <c r="K112" t="n">
        <v>0</v>
      </c>
      <c r="L112" t="n">
        <v>0</v>
      </c>
      <c r="M112" t="n">
        <v>0</v>
      </c>
      <c r="N112" t="n">
        <v>0</v>
      </c>
      <c r="O112" t="n">
        <v>0</v>
      </c>
      <c r="P112" t="n">
        <v>0</v>
      </c>
      <c r="Q112" t="n">
        <v>0</v>
      </c>
      <c r="R112" s="2" t="inlineStr"/>
    </row>
    <row r="113" ht="15" customHeight="1">
      <c r="A113" t="inlineStr">
        <is>
          <t>A 34106-2019</t>
        </is>
      </c>
      <c r="B113" s="1" t="n">
        <v>43654</v>
      </c>
      <c r="C113" s="1" t="n">
        <v>45706</v>
      </c>
      <c r="D113" t="inlineStr">
        <is>
          <t>VÄSTERNORRLANDS LÄN</t>
        </is>
      </c>
      <c r="E113" t="inlineStr">
        <is>
          <t>TIMRÅ</t>
        </is>
      </c>
      <c r="G113" t="n">
        <v>1</v>
      </c>
      <c r="H113" t="n">
        <v>0</v>
      </c>
      <c r="I113" t="n">
        <v>0</v>
      </c>
      <c r="J113" t="n">
        <v>0</v>
      </c>
      <c r="K113" t="n">
        <v>0</v>
      </c>
      <c r="L113" t="n">
        <v>0</v>
      </c>
      <c r="M113" t="n">
        <v>0</v>
      </c>
      <c r="N113" t="n">
        <v>0</v>
      </c>
      <c r="O113" t="n">
        <v>0</v>
      </c>
      <c r="P113" t="n">
        <v>0</v>
      </c>
      <c r="Q113" t="n">
        <v>0</v>
      </c>
      <c r="R113" s="2" t="inlineStr"/>
    </row>
    <row r="114" ht="15" customHeight="1">
      <c r="A114" t="inlineStr">
        <is>
          <t>A 35877-2019</t>
        </is>
      </c>
      <c r="B114" s="1" t="n">
        <v>43665</v>
      </c>
      <c r="C114" s="1" t="n">
        <v>45706</v>
      </c>
      <c r="D114" t="inlineStr">
        <is>
          <t>VÄSTERNORRLANDS LÄN</t>
        </is>
      </c>
      <c r="E114" t="inlineStr">
        <is>
          <t>TIMRÅ</t>
        </is>
      </c>
      <c r="G114" t="n">
        <v>3.7</v>
      </c>
      <c r="H114" t="n">
        <v>0</v>
      </c>
      <c r="I114" t="n">
        <v>0</v>
      </c>
      <c r="J114" t="n">
        <v>0</v>
      </c>
      <c r="K114" t="n">
        <v>0</v>
      </c>
      <c r="L114" t="n">
        <v>0</v>
      </c>
      <c r="M114" t="n">
        <v>0</v>
      </c>
      <c r="N114" t="n">
        <v>0</v>
      </c>
      <c r="O114" t="n">
        <v>0</v>
      </c>
      <c r="P114" t="n">
        <v>0</v>
      </c>
      <c r="Q114" t="n">
        <v>0</v>
      </c>
      <c r="R114" s="2" t="inlineStr"/>
    </row>
    <row r="115" ht="15" customHeight="1">
      <c r="A115" t="inlineStr">
        <is>
          <t>A 36176-2019</t>
        </is>
      </c>
      <c r="B115" s="1" t="n">
        <v>43668</v>
      </c>
      <c r="C115" s="1" t="n">
        <v>45706</v>
      </c>
      <c r="D115" t="inlineStr">
        <is>
          <t>VÄSTERNORRLANDS LÄN</t>
        </is>
      </c>
      <c r="E115" t="inlineStr">
        <is>
          <t>TIMRÅ</t>
        </is>
      </c>
      <c r="G115" t="n">
        <v>1.3</v>
      </c>
      <c r="H115" t="n">
        <v>0</v>
      </c>
      <c r="I115" t="n">
        <v>0</v>
      </c>
      <c r="J115" t="n">
        <v>0</v>
      </c>
      <c r="K115" t="n">
        <v>0</v>
      </c>
      <c r="L115" t="n">
        <v>0</v>
      </c>
      <c r="M115" t="n">
        <v>0</v>
      </c>
      <c r="N115" t="n">
        <v>0</v>
      </c>
      <c r="O115" t="n">
        <v>0</v>
      </c>
      <c r="P115" t="n">
        <v>0</v>
      </c>
      <c r="Q115" t="n">
        <v>0</v>
      </c>
      <c r="R115" s="2" t="inlineStr"/>
    </row>
    <row r="116" ht="15" customHeight="1">
      <c r="A116" t="inlineStr">
        <is>
          <t>A 36806-2019</t>
        </is>
      </c>
      <c r="B116" s="1" t="n">
        <v>43672</v>
      </c>
      <c r="C116" s="1" t="n">
        <v>45706</v>
      </c>
      <c r="D116" t="inlineStr">
        <is>
          <t>VÄSTERNORRLANDS LÄN</t>
        </is>
      </c>
      <c r="E116" t="inlineStr">
        <is>
          <t>TIMRÅ</t>
        </is>
      </c>
      <c r="G116" t="n">
        <v>3.8</v>
      </c>
      <c r="H116" t="n">
        <v>0</v>
      </c>
      <c r="I116" t="n">
        <v>0</v>
      </c>
      <c r="J116" t="n">
        <v>0</v>
      </c>
      <c r="K116" t="n">
        <v>0</v>
      </c>
      <c r="L116" t="n">
        <v>0</v>
      </c>
      <c r="M116" t="n">
        <v>0</v>
      </c>
      <c r="N116" t="n">
        <v>0</v>
      </c>
      <c r="O116" t="n">
        <v>0</v>
      </c>
      <c r="P116" t="n">
        <v>0</v>
      </c>
      <c r="Q116" t="n">
        <v>0</v>
      </c>
      <c r="R116" s="2" t="inlineStr"/>
    </row>
    <row r="117" ht="15" customHeight="1">
      <c r="A117" t="inlineStr">
        <is>
          <t>A 40956-2019</t>
        </is>
      </c>
      <c r="B117" s="1" t="n">
        <v>43697</v>
      </c>
      <c r="C117" s="1" t="n">
        <v>45706</v>
      </c>
      <c r="D117" t="inlineStr">
        <is>
          <t>VÄSTERNORRLANDS LÄN</t>
        </is>
      </c>
      <c r="E117" t="inlineStr">
        <is>
          <t>TIMRÅ</t>
        </is>
      </c>
      <c r="G117" t="n">
        <v>1.3</v>
      </c>
      <c r="H117" t="n">
        <v>0</v>
      </c>
      <c r="I117" t="n">
        <v>0</v>
      </c>
      <c r="J117" t="n">
        <v>0</v>
      </c>
      <c r="K117" t="n">
        <v>0</v>
      </c>
      <c r="L117" t="n">
        <v>0</v>
      </c>
      <c r="M117" t="n">
        <v>0</v>
      </c>
      <c r="N117" t="n">
        <v>0</v>
      </c>
      <c r="O117" t="n">
        <v>0</v>
      </c>
      <c r="P117" t="n">
        <v>0</v>
      </c>
      <c r="Q117" t="n">
        <v>0</v>
      </c>
      <c r="R117" s="2" t="inlineStr"/>
    </row>
    <row r="118" ht="15" customHeight="1">
      <c r="A118" t="inlineStr">
        <is>
          <t>A 43975-2019</t>
        </is>
      </c>
      <c r="B118" s="1" t="n">
        <v>43708</v>
      </c>
      <c r="C118" s="1" t="n">
        <v>45706</v>
      </c>
      <c r="D118" t="inlineStr">
        <is>
          <t>VÄSTERNORRLANDS LÄN</t>
        </is>
      </c>
      <c r="E118" t="inlineStr">
        <is>
          <t>TIMRÅ</t>
        </is>
      </c>
      <c r="G118" t="n">
        <v>1.4</v>
      </c>
      <c r="H118" t="n">
        <v>0</v>
      </c>
      <c r="I118" t="n">
        <v>0</v>
      </c>
      <c r="J118" t="n">
        <v>0</v>
      </c>
      <c r="K118" t="n">
        <v>0</v>
      </c>
      <c r="L118" t="n">
        <v>0</v>
      </c>
      <c r="M118" t="n">
        <v>0</v>
      </c>
      <c r="N118" t="n">
        <v>0</v>
      </c>
      <c r="O118" t="n">
        <v>0</v>
      </c>
      <c r="P118" t="n">
        <v>0</v>
      </c>
      <c r="Q118" t="n">
        <v>0</v>
      </c>
      <c r="R118" s="2" t="inlineStr"/>
    </row>
    <row r="119" ht="15" customHeight="1">
      <c r="A119" t="inlineStr">
        <is>
          <t>A 44673-2019</t>
        </is>
      </c>
      <c r="B119" s="1" t="n">
        <v>43712</v>
      </c>
      <c r="C119" s="1" t="n">
        <v>45706</v>
      </c>
      <c r="D119" t="inlineStr">
        <is>
          <t>VÄSTERNORRLANDS LÄN</t>
        </is>
      </c>
      <c r="E119" t="inlineStr">
        <is>
          <t>TIMRÅ</t>
        </is>
      </c>
      <c r="G119" t="n">
        <v>1.8</v>
      </c>
      <c r="H119" t="n">
        <v>0</v>
      </c>
      <c r="I119" t="n">
        <v>0</v>
      </c>
      <c r="J119" t="n">
        <v>0</v>
      </c>
      <c r="K119" t="n">
        <v>0</v>
      </c>
      <c r="L119" t="n">
        <v>0</v>
      </c>
      <c r="M119" t="n">
        <v>0</v>
      </c>
      <c r="N119" t="n">
        <v>0</v>
      </c>
      <c r="O119" t="n">
        <v>0</v>
      </c>
      <c r="P119" t="n">
        <v>0</v>
      </c>
      <c r="Q119" t="n">
        <v>0</v>
      </c>
      <c r="R119" s="2" t="inlineStr"/>
    </row>
    <row r="120" ht="15" customHeight="1">
      <c r="A120" t="inlineStr">
        <is>
          <t>A 47656-2019</t>
        </is>
      </c>
      <c r="B120" s="1" t="n">
        <v>43724</v>
      </c>
      <c r="C120" s="1" t="n">
        <v>45706</v>
      </c>
      <c r="D120" t="inlineStr">
        <is>
          <t>VÄSTERNORRLANDS LÄN</t>
        </is>
      </c>
      <c r="E120" t="inlineStr">
        <is>
          <t>TIMRÅ</t>
        </is>
      </c>
      <c r="G120" t="n">
        <v>8</v>
      </c>
      <c r="H120" t="n">
        <v>0</v>
      </c>
      <c r="I120" t="n">
        <v>0</v>
      </c>
      <c r="J120" t="n">
        <v>0</v>
      </c>
      <c r="K120" t="n">
        <v>0</v>
      </c>
      <c r="L120" t="n">
        <v>0</v>
      </c>
      <c r="M120" t="n">
        <v>0</v>
      </c>
      <c r="N120" t="n">
        <v>0</v>
      </c>
      <c r="O120" t="n">
        <v>0</v>
      </c>
      <c r="P120" t="n">
        <v>0</v>
      </c>
      <c r="Q120" t="n">
        <v>0</v>
      </c>
      <c r="R120" s="2" t="inlineStr"/>
    </row>
    <row r="121" ht="15" customHeight="1">
      <c r="A121" t="inlineStr">
        <is>
          <t>A 48964-2019</t>
        </is>
      </c>
      <c r="B121" s="1" t="n">
        <v>43728</v>
      </c>
      <c r="C121" s="1" t="n">
        <v>45706</v>
      </c>
      <c r="D121" t="inlineStr">
        <is>
          <t>VÄSTERNORRLANDS LÄN</t>
        </is>
      </c>
      <c r="E121" t="inlineStr">
        <is>
          <t>TIMRÅ</t>
        </is>
      </c>
      <c r="G121" t="n">
        <v>7.8</v>
      </c>
      <c r="H121" t="n">
        <v>0</v>
      </c>
      <c r="I121" t="n">
        <v>0</v>
      </c>
      <c r="J121" t="n">
        <v>0</v>
      </c>
      <c r="K121" t="n">
        <v>0</v>
      </c>
      <c r="L121" t="n">
        <v>0</v>
      </c>
      <c r="M121" t="n">
        <v>0</v>
      </c>
      <c r="N121" t="n">
        <v>0</v>
      </c>
      <c r="O121" t="n">
        <v>0</v>
      </c>
      <c r="P121" t="n">
        <v>0</v>
      </c>
      <c r="Q121" t="n">
        <v>0</v>
      </c>
      <c r="R121" s="2" t="inlineStr"/>
    </row>
    <row r="122" ht="15" customHeight="1">
      <c r="A122" t="inlineStr">
        <is>
          <t>A 50604-2019</t>
        </is>
      </c>
      <c r="B122" s="1" t="n">
        <v>43735</v>
      </c>
      <c r="C122" s="1" t="n">
        <v>45706</v>
      </c>
      <c r="D122" t="inlineStr">
        <is>
          <t>VÄSTERNORRLANDS LÄN</t>
        </is>
      </c>
      <c r="E122" t="inlineStr">
        <is>
          <t>TIMRÅ</t>
        </is>
      </c>
      <c r="G122" t="n">
        <v>7.7</v>
      </c>
      <c r="H122" t="n">
        <v>0</v>
      </c>
      <c r="I122" t="n">
        <v>0</v>
      </c>
      <c r="J122" t="n">
        <v>0</v>
      </c>
      <c r="K122" t="n">
        <v>0</v>
      </c>
      <c r="L122" t="n">
        <v>0</v>
      </c>
      <c r="M122" t="n">
        <v>0</v>
      </c>
      <c r="N122" t="n">
        <v>0</v>
      </c>
      <c r="O122" t="n">
        <v>0</v>
      </c>
      <c r="P122" t="n">
        <v>0</v>
      </c>
      <c r="Q122" t="n">
        <v>0</v>
      </c>
      <c r="R122" s="2" t="inlineStr"/>
    </row>
    <row r="123" ht="15" customHeight="1">
      <c r="A123" t="inlineStr">
        <is>
          <t>A 51297-2019</t>
        </is>
      </c>
      <c r="B123" s="1" t="n">
        <v>43739</v>
      </c>
      <c r="C123" s="1" t="n">
        <v>45706</v>
      </c>
      <c r="D123" t="inlineStr">
        <is>
          <t>VÄSTERNORRLANDS LÄN</t>
        </is>
      </c>
      <c r="E123" t="inlineStr">
        <is>
          <t>TIMRÅ</t>
        </is>
      </c>
      <c r="G123" t="n">
        <v>2</v>
      </c>
      <c r="H123" t="n">
        <v>0</v>
      </c>
      <c r="I123" t="n">
        <v>0</v>
      </c>
      <c r="J123" t="n">
        <v>0</v>
      </c>
      <c r="K123" t="n">
        <v>0</v>
      </c>
      <c r="L123" t="n">
        <v>0</v>
      </c>
      <c r="M123" t="n">
        <v>0</v>
      </c>
      <c r="N123" t="n">
        <v>0</v>
      </c>
      <c r="O123" t="n">
        <v>0</v>
      </c>
      <c r="P123" t="n">
        <v>0</v>
      </c>
      <c r="Q123" t="n">
        <v>0</v>
      </c>
      <c r="R123" s="2" t="inlineStr"/>
    </row>
    <row r="124" ht="15" customHeight="1">
      <c r="A124" t="inlineStr">
        <is>
          <t>A 52869-2019</t>
        </is>
      </c>
      <c r="B124" s="1" t="n">
        <v>43739</v>
      </c>
      <c r="C124" s="1" t="n">
        <v>45706</v>
      </c>
      <c r="D124" t="inlineStr">
        <is>
          <t>VÄSTERNORRLANDS LÄN</t>
        </is>
      </c>
      <c r="E124" t="inlineStr">
        <is>
          <t>TIMRÅ</t>
        </is>
      </c>
      <c r="G124" t="n">
        <v>4</v>
      </c>
      <c r="H124" t="n">
        <v>0</v>
      </c>
      <c r="I124" t="n">
        <v>0</v>
      </c>
      <c r="J124" t="n">
        <v>0</v>
      </c>
      <c r="K124" t="n">
        <v>0</v>
      </c>
      <c r="L124" t="n">
        <v>0</v>
      </c>
      <c r="M124" t="n">
        <v>0</v>
      </c>
      <c r="N124" t="n">
        <v>0</v>
      </c>
      <c r="O124" t="n">
        <v>0</v>
      </c>
      <c r="P124" t="n">
        <v>0</v>
      </c>
      <c r="Q124" t="n">
        <v>0</v>
      </c>
      <c r="R124" s="2" t="inlineStr"/>
    </row>
    <row r="125" ht="15" customHeight="1">
      <c r="A125" t="inlineStr">
        <is>
          <t>A 51907-2019</t>
        </is>
      </c>
      <c r="B125" s="1" t="n">
        <v>43741</v>
      </c>
      <c r="C125" s="1" t="n">
        <v>45706</v>
      </c>
      <c r="D125" t="inlineStr">
        <is>
          <t>VÄSTERNORRLANDS LÄN</t>
        </is>
      </c>
      <c r="E125" t="inlineStr">
        <is>
          <t>TIMRÅ</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53162-2019</t>
        </is>
      </c>
      <c r="B126" s="1" t="n">
        <v>43747</v>
      </c>
      <c r="C126" s="1" t="n">
        <v>45706</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54072-2019</t>
        </is>
      </c>
      <c r="B127" s="1" t="n">
        <v>43752</v>
      </c>
      <c r="C127" s="1" t="n">
        <v>45706</v>
      </c>
      <c r="D127" t="inlineStr">
        <is>
          <t>VÄSTERNORRLANDS LÄN</t>
        </is>
      </c>
      <c r="E127" t="inlineStr">
        <is>
          <t>TIMRÅ</t>
        </is>
      </c>
      <c r="G127" t="n">
        <v>12.8</v>
      </c>
      <c r="H127" t="n">
        <v>0</v>
      </c>
      <c r="I127" t="n">
        <v>0</v>
      </c>
      <c r="J127" t="n">
        <v>0</v>
      </c>
      <c r="K127" t="n">
        <v>0</v>
      </c>
      <c r="L127" t="n">
        <v>0</v>
      </c>
      <c r="M127" t="n">
        <v>0</v>
      </c>
      <c r="N127" t="n">
        <v>0</v>
      </c>
      <c r="O127" t="n">
        <v>0</v>
      </c>
      <c r="P127" t="n">
        <v>0</v>
      </c>
      <c r="Q127" t="n">
        <v>0</v>
      </c>
      <c r="R127" s="2" t="inlineStr"/>
    </row>
    <row r="128" ht="15" customHeight="1">
      <c r="A128" t="inlineStr">
        <is>
          <t>A 54365-2019</t>
        </is>
      </c>
      <c r="B128" s="1" t="n">
        <v>43753</v>
      </c>
      <c r="C128" s="1" t="n">
        <v>45706</v>
      </c>
      <c r="D128" t="inlineStr">
        <is>
          <t>VÄSTERNORRLANDS LÄN</t>
        </is>
      </c>
      <c r="E128" t="inlineStr">
        <is>
          <t>TIMRÅ</t>
        </is>
      </c>
      <c r="G128" t="n">
        <v>0.6</v>
      </c>
      <c r="H128" t="n">
        <v>0</v>
      </c>
      <c r="I128" t="n">
        <v>0</v>
      </c>
      <c r="J128" t="n">
        <v>0</v>
      </c>
      <c r="K128" t="n">
        <v>0</v>
      </c>
      <c r="L128" t="n">
        <v>0</v>
      </c>
      <c r="M128" t="n">
        <v>0</v>
      </c>
      <c r="N128" t="n">
        <v>0</v>
      </c>
      <c r="O128" t="n">
        <v>0</v>
      </c>
      <c r="P128" t="n">
        <v>0</v>
      </c>
      <c r="Q128" t="n">
        <v>0</v>
      </c>
      <c r="R128" s="2" t="inlineStr"/>
    </row>
    <row r="129" ht="15" customHeight="1">
      <c r="A129" t="inlineStr">
        <is>
          <t>A 56316-2019</t>
        </is>
      </c>
      <c r="B129" s="1" t="n">
        <v>43756</v>
      </c>
      <c r="C129" s="1" t="n">
        <v>45706</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55809-2019</t>
        </is>
      </c>
      <c r="B130" s="1" t="n">
        <v>43759</v>
      </c>
      <c r="C130" s="1" t="n">
        <v>45706</v>
      </c>
      <c r="D130" t="inlineStr">
        <is>
          <t>VÄSTERNORRLANDS LÄN</t>
        </is>
      </c>
      <c r="E130" t="inlineStr">
        <is>
          <t>TIMRÅ</t>
        </is>
      </c>
      <c r="G130" t="n">
        <v>5.9</v>
      </c>
      <c r="H130" t="n">
        <v>0</v>
      </c>
      <c r="I130" t="n">
        <v>0</v>
      </c>
      <c r="J130" t="n">
        <v>0</v>
      </c>
      <c r="K130" t="n">
        <v>0</v>
      </c>
      <c r="L130" t="n">
        <v>0</v>
      </c>
      <c r="M130" t="n">
        <v>0</v>
      </c>
      <c r="N130" t="n">
        <v>0</v>
      </c>
      <c r="O130" t="n">
        <v>0</v>
      </c>
      <c r="P130" t="n">
        <v>0</v>
      </c>
      <c r="Q130" t="n">
        <v>0</v>
      </c>
      <c r="R130" s="2" t="inlineStr"/>
    </row>
    <row r="131" ht="15" customHeight="1">
      <c r="A131" t="inlineStr">
        <is>
          <t>A 56065-2019</t>
        </is>
      </c>
      <c r="B131" s="1" t="n">
        <v>43759</v>
      </c>
      <c r="C131" s="1" t="n">
        <v>45706</v>
      </c>
      <c r="D131" t="inlineStr">
        <is>
          <t>VÄSTERNORRLANDS LÄN</t>
        </is>
      </c>
      <c r="E131" t="inlineStr">
        <is>
          <t>TIMRÅ</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56178-2019</t>
        </is>
      </c>
      <c r="B132" s="1" t="n">
        <v>43761</v>
      </c>
      <c r="C132" s="1" t="n">
        <v>45706</v>
      </c>
      <c r="D132" t="inlineStr">
        <is>
          <t>VÄSTERNORRLANDS LÄN</t>
        </is>
      </c>
      <c r="E132" t="inlineStr">
        <is>
          <t>TIMRÅ</t>
        </is>
      </c>
      <c r="G132" t="n">
        <v>0.8</v>
      </c>
      <c r="H132" t="n">
        <v>0</v>
      </c>
      <c r="I132" t="n">
        <v>0</v>
      </c>
      <c r="J132" t="n">
        <v>0</v>
      </c>
      <c r="K132" t="n">
        <v>0</v>
      </c>
      <c r="L132" t="n">
        <v>0</v>
      </c>
      <c r="M132" t="n">
        <v>0</v>
      </c>
      <c r="N132" t="n">
        <v>0</v>
      </c>
      <c r="O132" t="n">
        <v>0</v>
      </c>
      <c r="P132" t="n">
        <v>0</v>
      </c>
      <c r="Q132" t="n">
        <v>0</v>
      </c>
      <c r="R132" s="2" t="inlineStr"/>
    </row>
    <row r="133" ht="15" customHeight="1">
      <c r="A133" t="inlineStr">
        <is>
          <t>A 58711-2019</t>
        </is>
      </c>
      <c r="B133" s="1" t="n">
        <v>43768</v>
      </c>
      <c r="C133" s="1" t="n">
        <v>45706</v>
      </c>
      <c r="D133" t="inlineStr">
        <is>
          <t>VÄSTERNORRLANDS LÄN</t>
        </is>
      </c>
      <c r="E133" t="inlineStr">
        <is>
          <t>TIMRÅ</t>
        </is>
      </c>
      <c r="G133" t="n">
        <v>3.6</v>
      </c>
      <c r="H133" t="n">
        <v>0</v>
      </c>
      <c r="I133" t="n">
        <v>0</v>
      </c>
      <c r="J133" t="n">
        <v>0</v>
      </c>
      <c r="K133" t="n">
        <v>0</v>
      </c>
      <c r="L133" t="n">
        <v>0</v>
      </c>
      <c r="M133" t="n">
        <v>0</v>
      </c>
      <c r="N133" t="n">
        <v>0</v>
      </c>
      <c r="O133" t="n">
        <v>0</v>
      </c>
      <c r="P133" t="n">
        <v>0</v>
      </c>
      <c r="Q133" t="n">
        <v>0</v>
      </c>
      <c r="R133" s="2" t="inlineStr"/>
    </row>
    <row r="134" ht="15" customHeight="1">
      <c r="A134" t="inlineStr">
        <is>
          <t>A 58867-2019</t>
        </is>
      </c>
      <c r="B134" s="1" t="n">
        <v>43774</v>
      </c>
      <c r="C134" s="1" t="n">
        <v>45706</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60849-2019</t>
        </is>
      </c>
      <c r="B135" s="1" t="n">
        <v>43781</v>
      </c>
      <c r="C135" s="1" t="n">
        <v>45706</v>
      </c>
      <c r="D135" t="inlineStr">
        <is>
          <t>VÄSTERNORRLANDS LÄN</t>
        </is>
      </c>
      <c r="E135" t="inlineStr">
        <is>
          <t>TIMRÅ</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62282-2019</t>
        </is>
      </c>
      <c r="B136" s="1" t="n">
        <v>43782</v>
      </c>
      <c r="C136" s="1" t="n">
        <v>45706</v>
      </c>
      <c r="D136" t="inlineStr">
        <is>
          <t>VÄSTERNORRLANDS LÄN</t>
        </is>
      </c>
      <c r="E136" t="inlineStr">
        <is>
          <t>TIMRÅ</t>
        </is>
      </c>
      <c r="G136" t="n">
        <v>1.1</v>
      </c>
      <c r="H136" t="n">
        <v>0</v>
      </c>
      <c r="I136" t="n">
        <v>0</v>
      </c>
      <c r="J136" t="n">
        <v>0</v>
      </c>
      <c r="K136" t="n">
        <v>0</v>
      </c>
      <c r="L136" t="n">
        <v>0</v>
      </c>
      <c r="M136" t="n">
        <v>0</v>
      </c>
      <c r="N136" t="n">
        <v>0</v>
      </c>
      <c r="O136" t="n">
        <v>0</v>
      </c>
      <c r="P136" t="n">
        <v>0</v>
      </c>
      <c r="Q136" t="n">
        <v>0</v>
      </c>
      <c r="R136" s="2" t="inlineStr"/>
    </row>
    <row r="137" ht="15" customHeight="1">
      <c r="A137" t="inlineStr">
        <is>
          <t>A 63685-2019</t>
        </is>
      </c>
      <c r="B137" s="1" t="n">
        <v>43788</v>
      </c>
      <c r="C137" s="1" t="n">
        <v>45706</v>
      </c>
      <c r="D137" t="inlineStr">
        <is>
          <t>VÄSTERNORRLANDS LÄN</t>
        </is>
      </c>
      <c r="E137" t="inlineStr">
        <is>
          <t>TIMRÅ</t>
        </is>
      </c>
      <c r="G137" t="n">
        <v>1.9</v>
      </c>
      <c r="H137" t="n">
        <v>0</v>
      </c>
      <c r="I137" t="n">
        <v>0</v>
      </c>
      <c r="J137" t="n">
        <v>0</v>
      </c>
      <c r="K137" t="n">
        <v>0</v>
      </c>
      <c r="L137" t="n">
        <v>0</v>
      </c>
      <c r="M137" t="n">
        <v>0</v>
      </c>
      <c r="N137" t="n">
        <v>0</v>
      </c>
      <c r="O137" t="n">
        <v>0</v>
      </c>
      <c r="P137" t="n">
        <v>0</v>
      </c>
      <c r="Q137" t="n">
        <v>0</v>
      </c>
      <c r="R137" s="2" t="inlineStr"/>
    </row>
    <row r="138" ht="15" customHeight="1">
      <c r="A138" t="inlineStr">
        <is>
          <t>A 63836-2019</t>
        </is>
      </c>
      <c r="B138" s="1" t="n">
        <v>43795</v>
      </c>
      <c r="C138" s="1" t="n">
        <v>45706</v>
      </c>
      <c r="D138" t="inlineStr">
        <is>
          <t>VÄSTERNORRLANDS LÄN</t>
        </is>
      </c>
      <c r="E138" t="inlineStr">
        <is>
          <t>TIMRÅ</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65954-2019</t>
        </is>
      </c>
      <c r="B139" s="1" t="n">
        <v>43801</v>
      </c>
      <c r="C139" s="1" t="n">
        <v>45706</v>
      </c>
      <c r="D139" t="inlineStr">
        <is>
          <t>VÄSTERNORRLANDS LÄN</t>
        </is>
      </c>
      <c r="E139" t="inlineStr">
        <is>
          <t>TIMRÅ</t>
        </is>
      </c>
      <c r="G139" t="n">
        <v>9.1</v>
      </c>
      <c r="H139" t="n">
        <v>0</v>
      </c>
      <c r="I139" t="n">
        <v>0</v>
      </c>
      <c r="J139" t="n">
        <v>0</v>
      </c>
      <c r="K139" t="n">
        <v>0</v>
      </c>
      <c r="L139" t="n">
        <v>0</v>
      </c>
      <c r="M139" t="n">
        <v>0</v>
      </c>
      <c r="N139" t="n">
        <v>0</v>
      </c>
      <c r="O139" t="n">
        <v>0</v>
      </c>
      <c r="P139" t="n">
        <v>0</v>
      </c>
      <c r="Q139" t="n">
        <v>0</v>
      </c>
      <c r="R139" s="2" t="inlineStr"/>
    </row>
    <row r="140" ht="15" customHeight="1">
      <c r="A140" t="inlineStr">
        <is>
          <t>A 65367-2019</t>
        </is>
      </c>
      <c r="B140" s="1" t="n">
        <v>43803</v>
      </c>
      <c r="C140" s="1" t="n">
        <v>45706</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66385-2019</t>
        </is>
      </c>
      <c r="B141" s="1" t="n">
        <v>43808</v>
      </c>
      <c r="C141" s="1" t="n">
        <v>45706</v>
      </c>
      <c r="D141" t="inlineStr">
        <is>
          <t>VÄSTERNORRLANDS LÄN</t>
        </is>
      </c>
      <c r="E141" t="inlineStr">
        <is>
          <t>TIMRÅ</t>
        </is>
      </c>
      <c r="G141" t="n">
        <v>1.5</v>
      </c>
      <c r="H141" t="n">
        <v>0</v>
      </c>
      <c r="I141" t="n">
        <v>0</v>
      </c>
      <c r="J141" t="n">
        <v>0</v>
      </c>
      <c r="K141" t="n">
        <v>0</v>
      </c>
      <c r="L141" t="n">
        <v>0</v>
      </c>
      <c r="M141" t="n">
        <v>0</v>
      </c>
      <c r="N141" t="n">
        <v>0</v>
      </c>
      <c r="O141" t="n">
        <v>0</v>
      </c>
      <c r="P141" t="n">
        <v>0</v>
      </c>
      <c r="Q141" t="n">
        <v>0</v>
      </c>
      <c r="R141" s="2" t="inlineStr"/>
    </row>
    <row r="142" ht="15" customHeight="1">
      <c r="A142" t="inlineStr">
        <is>
          <t>A 66415-2019</t>
        </is>
      </c>
      <c r="B142" s="1" t="n">
        <v>43808</v>
      </c>
      <c r="C142" s="1" t="n">
        <v>45706</v>
      </c>
      <c r="D142" t="inlineStr">
        <is>
          <t>VÄSTERNORRLANDS LÄN</t>
        </is>
      </c>
      <c r="E142" t="inlineStr">
        <is>
          <t>TIMRÅ</t>
        </is>
      </c>
      <c r="G142" t="n">
        <v>2.8</v>
      </c>
      <c r="H142" t="n">
        <v>0</v>
      </c>
      <c r="I142" t="n">
        <v>0</v>
      </c>
      <c r="J142" t="n">
        <v>0</v>
      </c>
      <c r="K142" t="n">
        <v>0</v>
      </c>
      <c r="L142" t="n">
        <v>0</v>
      </c>
      <c r="M142" t="n">
        <v>0</v>
      </c>
      <c r="N142" t="n">
        <v>0</v>
      </c>
      <c r="O142" t="n">
        <v>0</v>
      </c>
      <c r="P142" t="n">
        <v>0</v>
      </c>
      <c r="Q142" t="n">
        <v>0</v>
      </c>
      <c r="R142" s="2" t="inlineStr"/>
    </row>
    <row r="143" ht="15" customHeight="1">
      <c r="A143" t="inlineStr">
        <is>
          <t>A 66387-2019</t>
        </is>
      </c>
      <c r="B143" s="1" t="n">
        <v>43808</v>
      </c>
      <c r="C143" s="1" t="n">
        <v>45706</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67825-2019</t>
        </is>
      </c>
      <c r="B144" s="1" t="n">
        <v>43815</v>
      </c>
      <c r="C144" s="1" t="n">
        <v>45706</v>
      </c>
      <c r="D144" t="inlineStr">
        <is>
          <t>VÄSTERNORRLANDS LÄN</t>
        </is>
      </c>
      <c r="E144" t="inlineStr">
        <is>
          <t>TIMRÅ</t>
        </is>
      </c>
      <c r="G144" t="n">
        <v>2.6</v>
      </c>
      <c r="H144" t="n">
        <v>0</v>
      </c>
      <c r="I144" t="n">
        <v>0</v>
      </c>
      <c r="J144" t="n">
        <v>0</v>
      </c>
      <c r="K144" t="n">
        <v>0</v>
      </c>
      <c r="L144" t="n">
        <v>0</v>
      </c>
      <c r="M144" t="n">
        <v>0</v>
      </c>
      <c r="N144" t="n">
        <v>0</v>
      </c>
      <c r="O144" t="n">
        <v>0</v>
      </c>
      <c r="P144" t="n">
        <v>0</v>
      </c>
      <c r="Q144" t="n">
        <v>0</v>
      </c>
      <c r="R144" s="2" t="inlineStr"/>
    </row>
    <row r="145" ht="15" customHeight="1">
      <c r="A145" t="inlineStr">
        <is>
          <t>A 1298-2020</t>
        </is>
      </c>
      <c r="B145" s="1" t="n">
        <v>43842</v>
      </c>
      <c r="C145" s="1" t="n">
        <v>45706</v>
      </c>
      <c r="D145" t="inlineStr">
        <is>
          <t>VÄSTERNORRLANDS LÄN</t>
        </is>
      </c>
      <c r="E145" t="inlineStr">
        <is>
          <t>TIMRÅ</t>
        </is>
      </c>
      <c r="G145" t="n">
        <v>10.8</v>
      </c>
      <c r="H145" t="n">
        <v>0</v>
      </c>
      <c r="I145" t="n">
        <v>0</v>
      </c>
      <c r="J145" t="n">
        <v>0</v>
      </c>
      <c r="K145" t="n">
        <v>0</v>
      </c>
      <c r="L145" t="n">
        <v>0</v>
      </c>
      <c r="M145" t="n">
        <v>0</v>
      </c>
      <c r="N145" t="n">
        <v>0</v>
      </c>
      <c r="O145" t="n">
        <v>0</v>
      </c>
      <c r="P145" t="n">
        <v>0</v>
      </c>
      <c r="Q145" t="n">
        <v>0</v>
      </c>
      <c r="R145" s="2" t="inlineStr"/>
    </row>
    <row r="146" ht="15" customHeight="1">
      <c r="A146" t="inlineStr">
        <is>
          <t>A 3007-2020</t>
        </is>
      </c>
      <c r="B146" s="1" t="n">
        <v>43850</v>
      </c>
      <c r="C146" s="1" t="n">
        <v>45706</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3006-2020</t>
        </is>
      </c>
      <c r="B147" s="1" t="n">
        <v>43850</v>
      </c>
      <c r="C147" s="1" t="n">
        <v>45706</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3010-2020</t>
        </is>
      </c>
      <c r="B148" s="1" t="n">
        <v>43850</v>
      </c>
      <c r="C148" s="1" t="n">
        <v>45706</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3030-2020</t>
        </is>
      </c>
      <c r="B149" s="1" t="n">
        <v>43851</v>
      </c>
      <c r="C149" s="1" t="n">
        <v>45706</v>
      </c>
      <c r="D149" t="inlineStr">
        <is>
          <t>VÄSTERNORRLANDS LÄN</t>
        </is>
      </c>
      <c r="E149" t="inlineStr">
        <is>
          <t>TIMRÅ</t>
        </is>
      </c>
      <c r="F149" t="inlineStr">
        <is>
          <t>Kyrkan</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3285-2020</t>
        </is>
      </c>
      <c r="B150" s="1" t="n">
        <v>43852</v>
      </c>
      <c r="C150" s="1" t="n">
        <v>45706</v>
      </c>
      <c r="D150" t="inlineStr">
        <is>
          <t>VÄSTERNORRLANDS LÄN</t>
        </is>
      </c>
      <c r="E150" t="inlineStr">
        <is>
          <t>TIMRÅ</t>
        </is>
      </c>
      <c r="G150" t="n">
        <v>0.6</v>
      </c>
      <c r="H150" t="n">
        <v>0</v>
      </c>
      <c r="I150" t="n">
        <v>0</v>
      </c>
      <c r="J150" t="n">
        <v>0</v>
      </c>
      <c r="K150" t="n">
        <v>0</v>
      </c>
      <c r="L150" t="n">
        <v>0</v>
      </c>
      <c r="M150" t="n">
        <v>0</v>
      </c>
      <c r="N150" t="n">
        <v>0</v>
      </c>
      <c r="O150" t="n">
        <v>0</v>
      </c>
      <c r="P150" t="n">
        <v>0</v>
      </c>
      <c r="Q150" t="n">
        <v>0</v>
      </c>
      <c r="R150" s="2" t="inlineStr"/>
    </row>
    <row r="151" ht="15" customHeight="1">
      <c r="A151" t="inlineStr">
        <is>
          <t>A 3283-2020</t>
        </is>
      </c>
      <c r="B151" s="1" t="n">
        <v>43852</v>
      </c>
      <c r="C151" s="1" t="n">
        <v>45706</v>
      </c>
      <c r="D151" t="inlineStr">
        <is>
          <t>VÄSTERNORRLANDS LÄN</t>
        </is>
      </c>
      <c r="E151" t="inlineStr">
        <is>
          <t>TIMRÅ</t>
        </is>
      </c>
      <c r="G151" t="n">
        <v>3</v>
      </c>
      <c r="H151" t="n">
        <v>0</v>
      </c>
      <c r="I151" t="n">
        <v>0</v>
      </c>
      <c r="J151" t="n">
        <v>0</v>
      </c>
      <c r="K151" t="n">
        <v>0</v>
      </c>
      <c r="L151" t="n">
        <v>0</v>
      </c>
      <c r="M151" t="n">
        <v>0</v>
      </c>
      <c r="N151" t="n">
        <v>0</v>
      </c>
      <c r="O151" t="n">
        <v>0</v>
      </c>
      <c r="P151" t="n">
        <v>0</v>
      </c>
      <c r="Q151" t="n">
        <v>0</v>
      </c>
      <c r="R151" s="2" t="inlineStr"/>
    </row>
    <row r="152" ht="15" customHeight="1">
      <c r="A152" t="inlineStr">
        <is>
          <t>A 7134-2020</t>
        </is>
      </c>
      <c r="B152" s="1" t="n">
        <v>43868</v>
      </c>
      <c r="C152" s="1" t="n">
        <v>45706</v>
      </c>
      <c r="D152" t="inlineStr">
        <is>
          <t>VÄSTERNORRLANDS LÄN</t>
        </is>
      </c>
      <c r="E152" t="inlineStr">
        <is>
          <t>TIMRÅ</t>
        </is>
      </c>
      <c r="F152" t="inlineStr">
        <is>
          <t>SCA</t>
        </is>
      </c>
      <c r="G152" t="n">
        <v>25.8</v>
      </c>
      <c r="H152" t="n">
        <v>0</v>
      </c>
      <c r="I152" t="n">
        <v>0</v>
      </c>
      <c r="J152" t="n">
        <v>0</v>
      </c>
      <c r="K152" t="n">
        <v>0</v>
      </c>
      <c r="L152" t="n">
        <v>0</v>
      </c>
      <c r="M152" t="n">
        <v>0</v>
      </c>
      <c r="N152" t="n">
        <v>0</v>
      </c>
      <c r="O152" t="n">
        <v>0</v>
      </c>
      <c r="P152" t="n">
        <v>0</v>
      </c>
      <c r="Q152" t="n">
        <v>0</v>
      </c>
      <c r="R152" s="2" t="inlineStr"/>
    </row>
    <row r="153" ht="15" customHeight="1">
      <c r="A153" t="inlineStr">
        <is>
          <t>A 8279-2020</t>
        </is>
      </c>
      <c r="B153" s="1" t="n">
        <v>43874</v>
      </c>
      <c r="C153" s="1" t="n">
        <v>45706</v>
      </c>
      <c r="D153" t="inlineStr">
        <is>
          <t>VÄSTERNORRLANDS LÄN</t>
        </is>
      </c>
      <c r="E153" t="inlineStr">
        <is>
          <t>TIMRÅ</t>
        </is>
      </c>
      <c r="G153" t="n">
        <v>10.9</v>
      </c>
      <c r="H153" t="n">
        <v>0</v>
      </c>
      <c r="I153" t="n">
        <v>0</v>
      </c>
      <c r="J153" t="n">
        <v>0</v>
      </c>
      <c r="K153" t="n">
        <v>0</v>
      </c>
      <c r="L153" t="n">
        <v>0</v>
      </c>
      <c r="M153" t="n">
        <v>0</v>
      </c>
      <c r="N153" t="n">
        <v>0</v>
      </c>
      <c r="O153" t="n">
        <v>0</v>
      </c>
      <c r="P153" t="n">
        <v>0</v>
      </c>
      <c r="Q153" t="n">
        <v>0</v>
      </c>
      <c r="R153" s="2" t="inlineStr"/>
    </row>
    <row r="154" ht="15" customHeight="1">
      <c r="A154" t="inlineStr">
        <is>
          <t>A 9029-2020</t>
        </is>
      </c>
      <c r="B154" s="1" t="n">
        <v>43879</v>
      </c>
      <c r="C154" s="1" t="n">
        <v>45706</v>
      </c>
      <c r="D154" t="inlineStr">
        <is>
          <t>VÄSTERNORRLANDS LÄN</t>
        </is>
      </c>
      <c r="E154" t="inlineStr">
        <is>
          <t>TIMRÅ</t>
        </is>
      </c>
      <c r="G154" t="n">
        <v>6.3</v>
      </c>
      <c r="H154" t="n">
        <v>0</v>
      </c>
      <c r="I154" t="n">
        <v>0</v>
      </c>
      <c r="J154" t="n">
        <v>0</v>
      </c>
      <c r="K154" t="n">
        <v>0</v>
      </c>
      <c r="L154" t="n">
        <v>0</v>
      </c>
      <c r="M154" t="n">
        <v>0</v>
      </c>
      <c r="N154" t="n">
        <v>0</v>
      </c>
      <c r="O154" t="n">
        <v>0</v>
      </c>
      <c r="P154" t="n">
        <v>0</v>
      </c>
      <c r="Q154" t="n">
        <v>0</v>
      </c>
      <c r="R154" s="2" t="inlineStr"/>
    </row>
    <row r="155" ht="15" customHeight="1">
      <c r="A155" t="inlineStr">
        <is>
          <t>A 9097-2020</t>
        </is>
      </c>
      <c r="B155" s="1" t="n">
        <v>43879</v>
      </c>
      <c r="C155" s="1" t="n">
        <v>45706</v>
      </c>
      <c r="D155" t="inlineStr">
        <is>
          <t>VÄSTERNORRLANDS LÄN</t>
        </is>
      </c>
      <c r="E155" t="inlineStr">
        <is>
          <t>TIMRÅ</t>
        </is>
      </c>
      <c r="G155" t="n">
        <v>7.4</v>
      </c>
      <c r="H155" t="n">
        <v>0</v>
      </c>
      <c r="I155" t="n">
        <v>0</v>
      </c>
      <c r="J155" t="n">
        <v>0</v>
      </c>
      <c r="K155" t="n">
        <v>0</v>
      </c>
      <c r="L155" t="n">
        <v>0</v>
      </c>
      <c r="M155" t="n">
        <v>0</v>
      </c>
      <c r="N155" t="n">
        <v>0</v>
      </c>
      <c r="O155" t="n">
        <v>0</v>
      </c>
      <c r="P155" t="n">
        <v>0</v>
      </c>
      <c r="Q155" t="n">
        <v>0</v>
      </c>
      <c r="R155" s="2" t="inlineStr"/>
    </row>
    <row r="156" ht="15" customHeight="1">
      <c r="A156" t="inlineStr">
        <is>
          <t>A 10377-2020</t>
        </is>
      </c>
      <c r="B156" s="1" t="n">
        <v>43885</v>
      </c>
      <c r="C156" s="1" t="n">
        <v>45706</v>
      </c>
      <c r="D156" t="inlineStr">
        <is>
          <t>VÄSTERNORRLANDS LÄN</t>
        </is>
      </c>
      <c r="E156" t="inlineStr">
        <is>
          <t>TIMRÅ</t>
        </is>
      </c>
      <c r="G156" t="n">
        <v>1.6</v>
      </c>
      <c r="H156" t="n">
        <v>0</v>
      </c>
      <c r="I156" t="n">
        <v>0</v>
      </c>
      <c r="J156" t="n">
        <v>0</v>
      </c>
      <c r="K156" t="n">
        <v>0</v>
      </c>
      <c r="L156" t="n">
        <v>0</v>
      </c>
      <c r="M156" t="n">
        <v>0</v>
      </c>
      <c r="N156" t="n">
        <v>0</v>
      </c>
      <c r="O156" t="n">
        <v>0</v>
      </c>
      <c r="P156" t="n">
        <v>0</v>
      </c>
      <c r="Q156" t="n">
        <v>0</v>
      </c>
      <c r="R156" s="2" t="inlineStr"/>
    </row>
    <row r="157" ht="15" customHeight="1">
      <c r="A157" t="inlineStr">
        <is>
          <t>A 13782-2020</t>
        </is>
      </c>
      <c r="B157" s="1" t="n">
        <v>43903</v>
      </c>
      <c r="C157" s="1" t="n">
        <v>45706</v>
      </c>
      <c r="D157" t="inlineStr">
        <is>
          <t>VÄSTERNORRLANDS LÄN</t>
        </is>
      </c>
      <c r="E157" t="inlineStr">
        <is>
          <t>TIMRÅ</t>
        </is>
      </c>
      <c r="G157" t="n">
        <v>4.1</v>
      </c>
      <c r="H157" t="n">
        <v>0</v>
      </c>
      <c r="I157" t="n">
        <v>0</v>
      </c>
      <c r="J157" t="n">
        <v>0</v>
      </c>
      <c r="K157" t="n">
        <v>0</v>
      </c>
      <c r="L157" t="n">
        <v>0</v>
      </c>
      <c r="M157" t="n">
        <v>0</v>
      </c>
      <c r="N157" t="n">
        <v>0</v>
      </c>
      <c r="O157" t="n">
        <v>0</v>
      </c>
      <c r="P157" t="n">
        <v>0</v>
      </c>
      <c r="Q157" t="n">
        <v>0</v>
      </c>
      <c r="R157" s="2" t="inlineStr"/>
    </row>
    <row r="158" ht="15" customHeight="1">
      <c r="A158" t="inlineStr">
        <is>
          <t>A 15631-2020</t>
        </is>
      </c>
      <c r="B158" s="1" t="n">
        <v>43914</v>
      </c>
      <c r="C158" s="1" t="n">
        <v>45706</v>
      </c>
      <c r="D158" t="inlineStr">
        <is>
          <t>VÄSTERNORRLANDS LÄN</t>
        </is>
      </c>
      <c r="E158" t="inlineStr">
        <is>
          <t>TIMRÅ</t>
        </is>
      </c>
      <c r="G158" t="n">
        <v>1.1</v>
      </c>
      <c r="H158" t="n">
        <v>0</v>
      </c>
      <c r="I158" t="n">
        <v>0</v>
      </c>
      <c r="J158" t="n">
        <v>0</v>
      </c>
      <c r="K158" t="n">
        <v>0</v>
      </c>
      <c r="L158" t="n">
        <v>0</v>
      </c>
      <c r="M158" t="n">
        <v>0</v>
      </c>
      <c r="N158" t="n">
        <v>0</v>
      </c>
      <c r="O158" t="n">
        <v>0</v>
      </c>
      <c r="P158" t="n">
        <v>0</v>
      </c>
      <c r="Q158" t="n">
        <v>0</v>
      </c>
      <c r="R158" s="2" t="inlineStr"/>
    </row>
    <row r="159" ht="15" customHeight="1">
      <c r="A159" t="inlineStr">
        <is>
          <t>A 17822-2020</t>
        </is>
      </c>
      <c r="B159" s="1" t="n">
        <v>43924</v>
      </c>
      <c r="C159" s="1" t="n">
        <v>45706</v>
      </c>
      <c r="D159" t="inlineStr">
        <is>
          <t>VÄSTERNORRLANDS LÄN</t>
        </is>
      </c>
      <c r="E159" t="inlineStr">
        <is>
          <t>TIMRÅ</t>
        </is>
      </c>
      <c r="G159" t="n">
        <v>0.2</v>
      </c>
      <c r="H159" t="n">
        <v>0</v>
      </c>
      <c r="I159" t="n">
        <v>0</v>
      </c>
      <c r="J159" t="n">
        <v>0</v>
      </c>
      <c r="K159" t="n">
        <v>0</v>
      </c>
      <c r="L159" t="n">
        <v>0</v>
      </c>
      <c r="M159" t="n">
        <v>0</v>
      </c>
      <c r="N159" t="n">
        <v>0</v>
      </c>
      <c r="O159" t="n">
        <v>0</v>
      </c>
      <c r="P159" t="n">
        <v>0</v>
      </c>
      <c r="Q159" t="n">
        <v>0</v>
      </c>
      <c r="R159" s="2" t="inlineStr"/>
    </row>
    <row r="160" ht="15" customHeight="1">
      <c r="A160" t="inlineStr">
        <is>
          <t>A 18107-2020</t>
        </is>
      </c>
      <c r="B160" s="1" t="n">
        <v>43927</v>
      </c>
      <c r="C160" s="1" t="n">
        <v>45706</v>
      </c>
      <c r="D160" t="inlineStr">
        <is>
          <t>VÄSTERNORRLANDS LÄN</t>
        </is>
      </c>
      <c r="E160" t="inlineStr">
        <is>
          <t>TIMRÅ</t>
        </is>
      </c>
      <c r="G160" t="n">
        <v>0.9</v>
      </c>
      <c r="H160" t="n">
        <v>0</v>
      </c>
      <c r="I160" t="n">
        <v>0</v>
      </c>
      <c r="J160" t="n">
        <v>0</v>
      </c>
      <c r="K160" t="n">
        <v>0</v>
      </c>
      <c r="L160" t="n">
        <v>0</v>
      </c>
      <c r="M160" t="n">
        <v>0</v>
      </c>
      <c r="N160" t="n">
        <v>0</v>
      </c>
      <c r="O160" t="n">
        <v>0</v>
      </c>
      <c r="P160" t="n">
        <v>0</v>
      </c>
      <c r="Q160" t="n">
        <v>0</v>
      </c>
      <c r="R160" s="2" t="inlineStr"/>
    </row>
    <row r="161" ht="15" customHeight="1">
      <c r="A161" t="inlineStr">
        <is>
          <t>A 18211-2020</t>
        </is>
      </c>
      <c r="B161" s="1" t="n">
        <v>43927</v>
      </c>
      <c r="C161" s="1" t="n">
        <v>45706</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18208-2020</t>
        </is>
      </c>
      <c r="B162" s="1" t="n">
        <v>43927</v>
      </c>
      <c r="C162" s="1" t="n">
        <v>45706</v>
      </c>
      <c r="D162" t="inlineStr">
        <is>
          <t>VÄSTERNORRLANDS LÄN</t>
        </is>
      </c>
      <c r="E162" t="inlineStr">
        <is>
          <t>TIMRÅ</t>
        </is>
      </c>
      <c r="G162" t="n">
        <v>8.9</v>
      </c>
      <c r="H162" t="n">
        <v>0</v>
      </c>
      <c r="I162" t="n">
        <v>0</v>
      </c>
      <c r="J162" t="n">
        <v>0</v>
      </c>
      <c r="K162" t="n">
        <v>0</v>
      </c>
      <c r="L162" t="n">
        <v>0</v>
      </c>
      <c r="M162" t="n">
        <v>0</v>
      </c>
      <c r="N162" t="n">
        <v>0</v>
      </c>
      <c r="O162" t="n">
        <v>0</v>
      </c>
      <c r="P162" t="n">
        <v>0</v>
      </c>
      <c r="Q162" t="n">
        <v>0</v>
      </c>
      <c r="R162" s="2" t="inlineStr"/>
    </row>
    <row r="163" ht="15" customHeight="1">
      <c r="A163" t="inlineStr">
        <is>
          <t>A 19769-2020</t>
        </is>
      </c>
      <c r="B163" s="1" t="n">
        <v>43937</v>
      </c>
      <c r="C163" s="1" t="n">
        <v>45706</v>
      </c>
      <c r="D163" t="inlineStr">
        <is>
          <t>VÄSTERNORRLANDS LÄN</t>
        </is>
      </c>
      <c r="E163" t="inlineStr">
        <is>
          <t>TIMRÅ</t>
        </is>
      </c>
      <c r="G163" t="n">
        <v>2.1</v>
      </c>
      <c r="H163" t="n">
        <v>0</v>
      </c>
      <c r="I163" t="n">
        <v>0</v>
      </c>
      <c r="J163" t="n">
        <v>0</v>
      </c>
      <c r="K163" t="n">
        <v>0</v>
      </c>
      <c r="L163" t="n">
        <v>0</v>
      </c>
      <c r="M163" t="n">
        <v>0</v>
      </c>
      <c r="N163" t="n">
        <v>0</v>
      </c>
      <c r="O163" t="n">
        <v>0</v>
      </c>
      <c r="P163" t="n">
        <v>0</v>
      </c>
      <c r="Q163" t="n">
        <v>0</v>
      </c>
      <c r="R163" s="2" t="inlineStr"/>
    </row>
    <row r="164" ht="15" customHeight="1">
      <c r="A164" t="inlineStr">
        <is>
          <t>A 19792-2020</t>
        </is>
      </c>
      <c r="B164" s="1" t="n">
        <v>43937</v>
      </c>
      <c r="C164" s="1" t="n">
        <v>45706</v>
      </c>
      <c r="D164" t="inlineStr">
        <is>
          <t>VÄSTERNORRLANDS LÄN</t>
        </is>
      </c>
      <c r="E164" t="inlineStr">
        <is>
          <t>TIMRÅ</t>
        </is>
      </c>
      <c r="G164" t="n">
        <v>1.2</v>
      </c>
      <c r="H164" t="n">
        <v>0</v>
      </c>
      <c r="I164" t="n">
        <v>0</v>
      </c>
      <c r="J164" t="n">
        <v>0</v>
      </c>
      <c r="K164" t="n">
        <v>0</v>
      </c>
      <c r="L164" t="n">
        <v>0</v>
      </c>
      <c r="M164" t="n">
        <v>0</v>
      </c>
      <c r="N164" t="n">
        <v>0</v>
      </c>
      <c r="O164" t="n">
        <v>0</v>
      </c>
      <c r="P164" t="n">
        <v>0</v>
      </c>
      <c r="Q164" t="n">
        <v>0</v>
      </c>
      <c r="R164" s="2" t="inlineStr"/>
    </row>
    <row r="165" ht="15" customHeight="1">
      <c r="A165" t="inlineStr">
        <is>
          <t>A 19311-2020</t>
        </is>
      </c>
      <c r="B165" s="1" t="n">
        <v>43937</v>
      </c>
      <c r="C165" s="1" t="n">
        <v>45706</v>
      </c>
      <c r="D165" t="inlineStr">
        <is>
          <t>VÄSTERNORRLANDS LÄN</t>
        </is>
      </c>
      <c r="E165" t="inlineStr">
        <is>
          <t>TIMRÅ</t>
        </is>
      </c>
      <c r="G165" t="n">
        <v>1.5</v>
      </c>
      <c r="H165" t="n">
        <v>0</v>
      </c>
      <c r="I165" t="n">
        <v>0</v>
      </c>
      <c r="J165" t="n">
        <v>0</v>
      </c>
      <c r="K165" t="n">
        <v>0</v>
      </c>
      <c r="L165" t="n">
        <v>0</v>
      </c>
      <c r="M165" t="n">
        <v>0</v>
      </c>
      <c r="N165" t="n">
        <v>0</v>
      </c>
      <c r="O165" t="n">
        <v>0</v>
      </c>
      <c r="P165" t="n">
        <v>0</v>
      </c>
      <c r="Q165" t="n">
        <v>0</v>
      </c>
      <c r="R165" s="2" t="inlineStr"/>
    </row>
    <row r="166" ht="15" customHeight="1">
      <c r="A166" t="inlineStr">
        <is>
          <t>A 19764-2020</t>
        </is>
      </c>
      <c r="B166" s="1" t="n">
        <v>43937</v>
      </c>
      <c r="C166" s="1" t="n">
        <v>45706</v>
      </c>
      <c r="D166" t="inlineStr">
        <is>
          <t>VÄSTERNORRLANDS LÄN</t>
        </is>
      </c>
      <c r="E166" t="inlineStr">
        <is>
          <t>TIMRÅ</t>
        </is>
      </c>
      <c r="G166" t="n">
        <v>3.1</v>
      </c>
      <c r="H166" t="n">
        <v>0</v>
      </c>
      <c r="I166" t="n">
        <v>0</v>
      </c>
      <c r="J166" t="n">
        <v>0</v>
      </c>
      <c r="K166" t="n">
        <v>0</v>
      </c>
      <c r="L166" t="n">
        <v>0</v>
      </c>
      <c r="M166" t="n">
        <v>0</v>
      </c>
      <c r="N166" t="n">
        <v>0</v>
      </c>
      <c r="O166" t="n">
        <v>0</v>
      </c>
      <c r="P166" t="n">
        <v>0</v>
      </c>
      <c r="Q166" t="n">
        <v>0</v>
      </c>
      <c r="R166" s="2" t="inlineStr"/>
    </row>
    <row r="167" ht="15" customHeight="1">
      <c r="A167" t="inlineStr">
        <is>
          <t>A 19785-2020</t>
        </is>
      </c>
      <c r="B167" s="1" t="n">
        <v>43937</v>
      </c>
      <c r="C167" s="1" t="n">
        <v>45706</v>
      </c>
      <c r="D167" t="inlineStr">
        <is>
          <t>VÄSTERNORRLANDS LÄN</t>
        </is>
      </c>
      <c r="E167" t="inlineStr">
        <is>
          <t>TIMRÅ</t>
        </is>
      </c>
      <c r="G167" t="n">
        <v>2</v>
      </c>
      <c r="H167" t="n">
        <v>0</v>
      </c>
      <c r="I167" t="n">
        <v>0</v>
      </c>
      <c r="J167" t="n">
        <v>0</v>
      </c>
      <c r="K167" t="n">
        <v>0</v>
      </c>
      <c r="L167" t="n">
        <v>0</v>
      </c>
      <c r="M167" t="n">
        <v>0</v>
      </c>
      <c r="N167" t="n">
        <v>0</v>
      </c>
      <c r="O167" t="n">
        <v>0</v>
      </c>
      <c r="P167" t="n">
        <v>0</v>
      </c>
      <c r="Q167" t="n">
        <v>0</v>
      </c>
      <c r="R167" s="2" t="inlineStr"/>
    </row>
    <row r="168" ht="15" customHeight="1">
      <c r="A168" t="inlineStr">
        <is>
          <t>A 19796-2020</t>
        </is>
      </c>
      <c r="B168" s="1" t="n">
        <v>43937</v>
      </c>
      <c r="C168" s="1" t="n">
        <v>45706</v>
      </c>
      <c r="D168" t="inlineStr">
        <is>
          <t>VÄSTERNORRLANDS LÄN</t>
        </is>
      </c>
      <c r="E168" t="inlineStr">
        <is>
          <t>TIMRÅ</t>
        </is>
      </c>
      <c r="G168" t="n">
        <v>1.4</v>
      </c>
      <c r="H168" t="n">
        <v>0</v>
      </c>
      <c r="I168" t="n">
        <v>0</v>
      </c>
      <c r="J168" t="n">
        <v>0</v>
      </c>
      <c r="K168" t="n">
        <v>0</v>
      </c>
      <c r="L168" t="n">
        <v>0</v>
      </c>
      <c r="M168" t="n">
        <v>0</v>
      </c>
      <c r="N168" t="n">
        <v>0</v>
      </c>
      <c r="O168" t="n">
        <v>0</v>
      </c>
      <c r="P168" t="n">
        <v>0</v>
      </c>
      <c r="Q168" t="n">
        <v>0</v>
      </c>
      <c r="R168" s="2" t="inlineStr"/>
    </row>
    <row r="169" ht="15" customHeight="1">
      <c r="A169" t="inlineStr">
        <is>
          <t>A 19809-2020</t>
        </is>
      </c>
      <c r="B169" s="1" t="n">
        <v>43937</v>
      </c>
      <c r="C169" s="1" t="n">
        <v>45706</v>
      </c>
      <c r="D169" t="inlineStr">
        <is>
          <t>VÄSTERNORRLANDS LÄN</t>
        </is>
      </c>
      <c r="E169" t="inlineStr">
        <is>
          <t>TIMRÅ</t>
        </is>
      </c>
      <c r="G169" t="n">
        <v>4.5</v>
      </c>
      <c r="H169" t="n">
        <v>0</v>
      </c>
      <c r="I169" t="n">
        <v>0</v>
      </c>
      <c r="J169" t="n">
        <v>0</v>
      </c>
      <c r="K169" t="n">
        <v>0</v>
      </c>
      <c r="L169" t="n">
        <v>0</v>
      </c>
      <c r="M169" t="n">
        <v>0</v>
      </c>
      <c r="N169" t="n">
        <v>0</v>
      </c>
      <c r="O169" t="n">
        <v>0</v>
      </c>
      <c r="P169" t="n">
        <v>0</v>
      </c>
      <c r="Q169" t="n">
        <v>0</v>
      </c>
      <c r="R169" s="2" t="inlineStr"/>
    </row>
    <row r="170" ht="15" customHeight="1">
      <c r="A170" t="inlineStr">
        <is>
          <t>A 19761-2020</t>
        </is>
      </c>
      <c r="B170" s="1" t="n">
        <v>43937</v>
      </c>
      <c r="C170" s="1" t="n">
        <v>45706</v>
      </c>
      <c r="D170" t="inlineStr">
        <is>
          <t>VÄSTERNORRLANDS LÄN</t>
        </is>
      </c>
      <c r="E170" t="inlineStr">
        <is>
          <t>TIMRÅ</t>
        </is>
      </c>
      <c r="G170" t="n">
        <v>0.4</v>
      </c>
      <c r="H170" t="n">
        <v>0</v>
      </c>
      <c r="I170" t="n">
        <v>0</v>
      </c>
      <c r="J170" t="n">
        <v>0</v>
      </c>
      <c r="K170" t="n">
        <v>0</v>
      </c>
      <c r="L170" t="n">
        <v>0</v>
      </c>
      <c r="M170" t="n">
        <v>0</v>
      </c>
      <c r="N170" t="n">
        <v>0</v>
      </c>
      <c r="O170" t="n">
        <v>0</v>
      </c>
      <c r="P170" t="n">
        <v>0</v>
      </c>
      <c r="Q170" t="n">
        <v>0</v>
      </c>
      <c r="R170" s="2" t="inlineStr"/>
    </row>
    <row r="171" ht="15" customHeight="1">
      <c r="A171" t="inlineStr">
        <is>
          <t>A 19774-2020</t>
        </is>
      </c>
      <c r="B171" s="1" t="n">
        <v>43937</v>
      </c>
      <c r="C171" s="1" t="n">
        <v>45706</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19794-2020</t>
        </is>
      </c>
      <c r="B172" s="1" t="n">
        <v>43937</v>
      </c>
      <c r="C172" s="1" t="n">
        <v>45706</v>
      </c>
      <c r="D172" t="inlineStr">
        <is>
          <t>VÄSTERNORRLANDS LÄN</t>
        </is>
      </c>
      <c r="E172" t="inlineStr">
        <is>
          <t>TIMRÅ</t>
        </is>
      </c>
      <c r="G172" t="n">
        <v>3</v>
      </c>
      <c r="H172" t="n">
        <v>0</v>
      </c>
      <c r="I172" t="n">
        <v>0</v>
      </c>
      <c r="J172" t="n">
        <v>0</v>
      </c>
      <c r="K172" t="n">
        <v>0</v>
      </c>
      <c r="L172" t="n">
        <v>0</v>
      </c>
      <c r="M172" t="n">
        <v>0</v>
      </c>
      <c r="N172" t="n">
        <v>0</v>
      </c>
      <c r="O172" t="n">
        <v>0</v>
      </c>
      <c r="P172" t="n">
        <v>0</v>
      </c>
      <c r="Q172" t="n">
        <v>0</v>
      </c>
      <c r="R172" s="2" t="inlineStr"/>
    </row>
    <row r="173" ht="15" customHeight="1">
      <c r="A173" t="inlineStr">
        <is>
          <t>A 19807-2020</t>
        </is>
      </c>
      <c r="B173" s="1" t="n">
        <v>43937</v>
      </c>
      <c r="C173" s="1" t="n">
        <v>45706</v>
      </c>
      <c r="D173" t="inlineStr">
        <is>
          <t>VÄSTERNORRLANDS LÄN</t>
        </is>
      </c>
      <c r="E173" t="inlineStr">
        <is>
          <t>TIMRÅ</t>
        </is>
      </c>
      <c r="G173" t="n">
        <v>3.4</v>
      </c>
      <c r="H173" t="n">
        <v>0</v>
      </c>
      <c r="I173" t="n">
        <v>0</v>
      </c>
      <c r="J173" t="n">
        <v>0</v>
      </c>
      <c r="K173" t="n">
        <v>0</v>
      </c>
      <c r="L173" t="n">
        <v>0</v>
      </c>
      <c r="M173" t="n">
        <v>0</v>
      </c>
      <c r="N173" t="n">
        <v>0</v>
      </c>
      <c r="O173" t="n">
        <v>0</v>
      </c>
      <c r="P173" t="n">
        <v>0</v>
      </c>
      <c r="Q173" t="n">
        <v>0</v>
      </c>
      <c r="R173" s="2" t="inlineStr"/>
    </row>
    <row r="174" ht="15" customHeight="1">
      <c r="A174" t="inlineStr">
        <is>
          <t>A 19765-2020</t>
        </is>
      </c>
      <c r="B174" s="1" t="n">
        <v>43937</v>
      </c>
      <c r="C174" s="1" t="n">
        <v>45706</v>
      </c>
      <c r="D174" t="inlineStr">
        <is>
          <t>VÄSTERNORRLANDS LÄN</t>
        </is>
      </c>
      <c r="E174" t="inlineStr">
        <is>
          <t>TIMRÅ</t>
        </is>
      </c>
      <c r="G174" t="n">
        <v>1.2</v>
      </c>
      <c r="H174" t="n">
        <v>0</v>
      </c>
      <c r="I174" t="n">
        <v>0</v>
      </c>
      <c r="J174" t="n">
        <v>0</v>
      </c>
      <c r="K174" t="n">
        <v>0</v>
      </c>
      <c r="L174" t="n">
        <v>0</v>
      </c>
      <c r="M174" t="n">
        <v>0</v>
      </c>
      <c r="N174" t="n">
        <v>0</v>
      </c>
      <c r="O174" t="n">
        <v>0</v>
      </c>
      <c r="P174" t="n">
        <v>0</v>
      </c>
      <c r="Q174" t="n">
        <v>0</v>
      </c>
      <c r="R174" s="2" t="inlineStr"/>
    </row>
    <row r="175" ht="15" customHeight="1">
      <c r="A175" t="inlineStr">
        <is>
          <t>A 19789-2020</t>
        </is>
      </c>
      <c r="B175" s="1" t="n">
        <v>43937</v>
      </c>
      <c r="C175" s="1" t="n">
        <v>45706</v>
      </c>
      <c r="D175" t="inlineStr">
        <is>
          <t>VÄSTERNORRLANDS LÄN</t>
        </is>
      </c>
      <c r="E175" t="inlineStr">
        <is>
          <t>TIMRÅ</t>
        </is>
      </c>
      <c r="G175" t="n">
        <v>0.3</v>
      </c>
      <c r="H175" t="n">
        <v>0</v>
      </c>
      <c r="I175" t="n">
        <v>0</v>
      </c>
      <c r="J175" t="n">
        <v>0</v>
      </c>
      <c r="K175" t="n">
        <v>0</v>
      </c>
      <c r="L175" t="n">
        <v>0</v>
      </c>
      <c r="M175" t="n">
        <v>0</v>
      </c>
      <c r="N175" t="n">
        <v>0</v>
      </c>
      <c r="O175" t="n">
        <v>0</v>
      </c>
      <c r="P175" t="n">
        <v>0</v>
      </c>
      <c r="Q175" t="n">
        <v>0</v>
      </c>
      <c r="R175" s="2" t="inlineStr"/>
    </row>
    <row r="176" ht="15" customHeight="1">
      <c r="A176" t="inlineStr">
        <is>
          <t>A 21210-2020</t>
        </is>
      </c>
      <c r="B176" s="1" t="n">
        <v>43951</v>
      </c>
      <c r="C176" s="1" t="n">
        <v>45706</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21874-2020</t>
        </is>
      </c>
      <c r="B177" s="1" t="n">
        <v>43955</v>
      </c>
      <c r="C177" s="1" t="n">
        <v>45706</v>
      </c>
      <c r="D177" t="inlineStr">
        <is>
          <t>VÄSTERNORRLANDS LÄN</t>
        </is>
      </c>
      <c r="E177" t="inlineStr">
        <is>
          <t>TIMRÅ</t>
        </is>
      </c>
      <c r="G177" t="n">
        <v>7.5</v>
      </c>
      <c r="H177" t="n">
        <v>0</v>
      </c>
      <c r="I177" t="n">
        <v>0</v>
      </c>
      <c r="J177" t="n">
        <v>0</v>
      </c>
      <c r="K177" t="n">
        <v>0</v>
      </c>
      <c r="L177" t="n">
        <v>0</v>
      </c>
      <c r="M177" t="n">
        <v>0</v>
      </c>
      <c r="N177" t="n">
        <v>0</v>
      </c>
      <c r="O177" t="n">
        <v>0</v>
      </c>
      <c r="P177" t="n">
        <v>0</v>
      </c>
      <c r="Q177" t="n">
        <v>0</v>
      </c>
      <c r="R177" s="2" t="inlineStr"/>
    </row>
    <row r="178" ht="15" customHeight="1">
      <c r="A178" t="inlineStr">
        <is>
          <t>A 21598-2020</t>
        </is>
      </c>
      <c r="B178" s="1" t="n">
        <v>43956</v>
      </c>
      <c r="C178" s="1" t="n">
        <v>45706</v>
      </c>
      <c r="D178" t="inlineStr">
        <is>
          <t>VÄSTERNORRLANDS LÄN</t>
        </is>
      </c>
      <c r="E178" t="inlineStr">
        <is>
          <t>TIMRÅ</t>
        </is>
      </c>
      <c r="G178" t="n">
        <v>5</v>
      </c>
      <c r="H178" t="n">
        <v>0</v>
      </c>
      <c r="I178" t="n">
        <v>0</v>
      </c>
      <c r="J178" t="n">
        <v>0</v>
      </c>
      <c r="K178" t="n">
        <v>0</v>
      </c>
      <c r="L178" t="n">
        <v>0</v>
      </c>
      <c r="M178" t="n">
        <v>0</v>
      </c>
      <c r="N178" t="n">
        <v>0</v>
      </c>
      <c r="O178" t="n">
        <v>0</v>
      </c>
      <c r="P178" t="n">
        <v>0</v>
      </c>
      <c r="Q178" t="n">
        <v>0</v>
      </c>
      <c r="R178" s="2" t="inlineStr"/>
    </row>
    <row r="179" ht="15" customHeight="1">
      <c r="A179" t="inlineStr">
        <is>
          <t>A 24263-2020</t>
        </is>
      </c>
      <c r="B179" s="1" t="n">
        <v>43971</v>
      </c>
      <c r="C179" s="1" t="n">
        <v>45706</v>
      </c>
      <c r="D179" t="inlineStr">
        <is>
          <t>VÄSTERNORRLANDS LÄN</t>
        </is>
      </c>
      <c r="E179" t="inlineStr">
        <is>
          <t>TIMRÅ</t>
        </is>
      </c>
      <c r="G179" t="n">
        <v>1.4</v>
      </c>
      <c r="H179" t="n">
        <v>0</v>
      </c>
      <c r="I179" t="n">
        <v>0</v>
      </c>
      <c r="J179" t="n">
        <v>0</v>
      </c>
      <c r="K179" t="n">
        <v>0</v>
      </c>
      <c r="L179" t="n">
        <v>0</v>
      </c>
      <c r="M179" t="n">
        <v>0</v>
      </c>
      <c r="N179" t="n">
        <v>0</v>
      </c>
      <c r="O179" t="n">
        <v>0</v>
      </c>
      <c r="P179" t="n">
        <v>0</v>
      </c>
      <c r="Q179" t="n">
        <v>0</v>
      </c>
      <c r="R179" s="2" t="inlineStr"/>
    </row>
    <row r="180" ht="15" customHeight="1">
      <c r="A180" t="inlineStr">
        <is>
          <t>A 29475-2020</t>
        </is>
      </c>
      <c r="B180" s="1" t="n">
        <v>44004</v>
      </c>
      <c r="C180" s="1" t="n">
        <v>45706</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33966-2020</t>
        </is>
      </c>
      <c r="B181" s="1" t="n">
        <v>44028</v>
      </c>
      <c r="C181" s="1" t="n">
        <v>45706</v>
      </c>
      <c r="D181" t="inlineStr">
        <is>
          <t>VÄSTERNORRLANDS LÄN</t>
        </is>
      </c>
      <c r="E181" t="inlineStr">
        <is>
          <t>TIMRÅ</t>
        </is>
      </c>
      <c r="G181" t="n">
        <v>4.9</v>
      </c>
      <c r="H181" t="n">
        <v>0</v>
      </c>
      <c r="I181" t="n">
        <v>0</v>
      </c>
      <c r="J181" t="n">
        <v>0</v>
      </c>
      <c r="K181" t="n">
        <v>0</v>
      </c>
      <c r="L181" t="n">
        <v>0</v>
      </c>
      <c r="M181" t="n">
        <v>0</v>
      </c>
      <c r="N181" t="n">
        <v>0</v>
      </c>
      <c r="O181" t="n">
        <v>0</v>
      </c>
      <c r="P181" t="n">
        <v>0</v>
      </c>
      <c r="Q181" t="n">
        <v>0</v>
      </c>
      <c r="R181" s="2" t="inlineStr"/>
    </row>
    <row r="182" ht="15" customHeight="1">
      <c r="A182" t="inlineStr">
        <is>
          <t>A 35531-2020</t>
        </is>
      </c>
      <c r="B182" s="1" t="n">
        <v>44043</v>
      </c>
      <c r="C182" s="1" t="n">
        <v>45706</v>
      </c>
      <c r="D182" t="inlineStr">
        <is>
          <t>VÄSTERNORRLANDS LÄN</t>
        </is>
      </c>
      <c r="E182" t="inlineStr">
        <is>
          <t>TIMRÅ</t>
        </is>
      </c>
      <c r="G182" t="n">
        <v>0.9</v>
      </c>
      <c r="H182" t="n">
        <v>0</v>
      </c>
      <c r="I182" t="n">
        <v>0</v>
      </c>
      <c r="J182" t="n">
        <v>0</v>
      </c>
      <c r="K182" t="n">
        <v>0</v>
      </c>
      <c r="L182" t="n">
        <v>0</v>
      </c>
      <c r="M182" t="n">
        <v>0</v>
      </c>
      <c r="N182" t="n">
        <v>0</v>
      </c>
      <c r="O182" t="n">
        <v>0</v>
      </c>
      <c r="P182" t="n">
        <v>0</v>
      </c>
      <c r="Q182" t="n">
        <v>0</v>
      </c>
      <c r="R182" s="2" t="inlineStr"/>
    </row>
    <row r="183" ht="15" customHeight="1">
      <c r="A183" t="inlineStr">
        <is>
          <t>A 40413-2020</t>
        </is>
      </c>
      <c r="B183" s="1" t="n">
        <v>44068</v>
      </c>
      <c r="C183" s="1" t="n">
        <v>45706</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40410-2020</t>
        </is>
      </c>
      <c r="B184" s="1" t="n">
        <v>44068</v>
      </c>
      <c r="C184" s="1" t="n">
        <v>45706</v>
      </c>
      <c r="D184" t="inlineStr">
        <is>
          <t>VÄSTERNORRLANDS LÄN</t>
        </is>
      </c>
      <c r="E184" t="inlineStr">
        <is>
          <t>TIMRÅ</t>
        </is>
      </c>
      <c r="G184" t="n">
        <v>0.8</v>
      </c>
      <c r="H184" t="n">
        <v>0</v>
      </c>
      <c r="I184" t="n">
        <v>0</v>
      </c>
      <c r="J184" t="n">
        <v>0</v>
      </c>
      <c r="K184" t="n">
        <v>0</v>
      </c>
      <c r="L184" t="n">
        <v>0</v>
      </c>
      <c r="M184" t="n">
        <v>0</v>
      </c>
      <c r="N184" t="n">
        <v>0</v>
      </c>
      <c r="O184" t="n">
        <v>0</v>
      </c>
      <c r="P184" t="n">
        <v>0</v>
      </c>
      <c r="Q184" t="n">
        <v>0</v>
      </c>
      <c r="R184" s="2" t="inlineStr"/>
    </row>
    <row r="185" ht="15" customHeight="1">
      <c r="A185" t="inlineStr">
        <is>
          <t>A 40737-2020</t>
        </is>
      </c>
      <c r="B185" s="1" t="n">
        <v>44069</v>
      </c>
      <c r="C185" s="1" t="n">
        <v>45706</v>
      </c>
      <c r="D185" t="inlineStr">
        <is>
          <t>VÄSTERNORRLANDS LÄN</t>
        </is>
      </c>
      <c r="E185" t="inlineStr">
        <is>
          <t>TIMRÅ</t>
        </is>
      </c>
      <c r="G185" t="n">
        <v>3.1</v>
      </c>
      <c r="H185" t="n">
        <v>0</v>
      </c>
      <c r="I185" t="n">
        <v>0</v>
      </c>
      <c r="J185" t="n">
        <v>0</v>
      </c>
      <c r="K185" t="n">
        <v>0</v>
      </c>
      <c r="L185" t="n">
        <v>0</v>
      </c>
      <c r="M185" t="n">
        <v>0</v>
      </c>
      <c r="N185" t="n">
        <v>0</v>
      </c>
      <c r="O185" t="n">
        <v>0</v>
      </c>
      <c r="P185" t="n">
        <v>0</v>
      </c>
      <c r="Q185" t="n">
        <v>0</v>
      </c>
      <c r="R185" s="2" t="inlineStr"/>
    </row>
    <row r="186" ht="15" customHeight="1">
      <c r="A186" t="inlineStr">
        <is>
          <t>A 42443-2020</t>
        </is>
      </c>
      <c r="B186" s="1" t="n">
        <v>44074</v>
      </c>
      <c r="C186" s="1" t="n">
        <v>45706</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44503-2020</t>
        </is>
      </c>
      <c r="B187" s="1" t="n">
        <v>44084</v>
      </c>
      <c r="C187" s="1" t="n">
        <v>45706</v>
      </c>
      <c r="D187" t="inlineStr">
        <is>
          <t>VÄSTERNORRLANDS LÄN</t>
        </is>
      </c>
      <c r="E187" t="inlineStr">
        <is>
          <t>TIMRÅ</t>
        </is>
      </c>
      <c r="F187" t="inlineStr">
        <is>
          <t>SCA</t>
        </is>
      </c>
      <c r="G187" t="n">
        <v>7.4</v>
      </c>
      <c r="H187" t="n">
        <v>0</v>
      </c>
      <c r="I187" t="n">
        <v>0</v>
      </c>
      <c r="J187" t="n">
        <v>0</v>
      </c>
      <c r="K187" t="n">
        <v>0</v>
      </c>
      <c r="L187" t="n">
        <v>0</v>
      </c>
      <c r="M187" t="n">
        <v>0</v>
      </c>
      <c r="N187" t="n">
        <v>0</v>
      </c>
      <c r="O187" t="n">
        <v>0</v>
      </c>
      <c r="P187" t="n">
        <v>0</v>
      </c>
      <c r="Q187" t="n">
        <v>0</v>
      </c>
      <c r="R187" s="2" t="inlineStr"/>
    </row>
    <row r="188" ht="15" customHeight="1">
      <c r="A188" t="inlineStr">
        <is>
          <t>A 48574-2020</t>
        </is>
      </c>
      <c r="B188" s="1" t="n">
        <v>44103</v>
      </c>
      <c r="C188" s="1" t="n">
        <v>45706</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50162-2020</t>
        </is>
      </c>
      <c r="B189" s="1" t="n">
        <v>44104</v>
      </c>
      <c r="C189" s="1" t="n">
        <v>45706</v>
      </c>
      <c r="D189" t="inlineStr">
        <is>
          <t>VÄSTERNORRLANDS LÄN</t>
        </is>
      </c>
      <c r="E189" t="inlineStr">
        <is>
          <t>TIMRÅ</t>
        </is>
      </c>
      <c r="G189" t="n">
        <v>6</v>
      </c>
      <c r="H189" t="n">
        <v>0</v>
      </c>
      <c r="I189" t="n">
        <v>0</v>
      </c>
      <c r="J189" t="n">
        <v>0</v>
      </c>
      <c r="K189" t="n">
        <v>0</v>
      </c>
      <c r="L189" t="n">
        <v>0</v>
      </c>
      <c r="M189" t="n">
        <v>0</v>
      </c>
      <c r="N189" t="n">
        <v>0</v>
      </c>
      <c r="O189" t="n">
        <v>0</v>
      </c>
      <c r="P189" t="n">
        <v>0</v>
      </c>
      <c r="Q189" t="n">
        <v>0</v>
      </c>
      <c r="R189" s="2" t="inlineStr"/>
    </row>
    <row r="190" ht="15" customHeight="1">
      <c r="A190" t="inlineStr">
        <is>
          <t>A 51330-2020</t>
        </is>
      </c>
      <c r="B190" s="1" t="n">
        <v>44112</v>
      </c>
      <c r="C190" s="1" t="n">
        <v>45706</v>
      </c>
      <c r="D190" t="inlineStr">
        <is>
          <t>VÄSTERNORRLANDS LÄN</t>
        </is>
      </c>
      <c r="E190" t="inlineStr">
        <is>
          <t>TIMRÅ</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53254-2020</t>
        </is>
      </c>
      <c r="B191" s="1" t="n">
        <v>44123</v>
      </c>
      <c r="C191" s="1" t="n">
        <v>45706</v>
      </c>
      <c r="D191" t="inlineStr">
        <is>
          <t>VÄSTERNORRLANDS LÄN</t>
        </is>
      </c>
      <c r="E191" t="inlineStr">
        <is>
          <t>TIMRÅ</t>
        </is>
      </c>
      <c r="G191" t="n">
        <v>6.1</v>
      </c>
      <c r="H191" t="n">
        <v>0</v>
      </c>
      <c r="I191" t="n">
        <v>0</v>
      </c>
      <c r="J191" t="n">
        <v>0</v>
      </c>
      <c r="K191" t="n">
        <v>0</v>
      </c>
      <c r="L191" t="n">
        <v>0</v>
      </c>
      <c r="M191" t="n">
        <v>0</v>
      </c>
      <c r="N191" t="n">
        <v>0</v>
      </c>
      <c r="O191" t="n">
        <v>0</v>
      </c>
      <c r="P191" t="n">
        <v>0</v>
      </c>
      <c r="Q191" t="n">
        <v>0</v>
      </c>
      <c r="R191" s="2" t="inlineStr"/>
    </row>
    <row r="192" ht="15" customHeight="1">
      <c r="A192" t="inlineStr">
        <is>
          <t>A 54946-2020</t>
        </is>
      </c>
      <c r="B192" s="1" t="n">
        <v>44129</v>
      </c>
      <c r="C192" s="1" t="n">
        <v>45706</v>
      </c>
      <c r="D192" t="inlineStr">
        <is>
          <t>VÄSTERNORRLANDS LÄN</t>
        </is>
      </c>
      <c r="E192" t="inlineStr">
        <is>
          <t>TIMRÅ</t>
        </is>
      </c>
      <c r="G192" t="n">
        <v>0.5</v>
      </c>
      <c r="H192" t="n">
        <v>0</v>
      </c>
      <c r="I192" t="n">
        <v>0</v>
      </c>
      <c r="J192" t="n">
        <v>0</v>
      </c>
      <c r="K192" t="n">
        <v>0</v>
      </c>
      <c r="L192" t="n">
        <v>0</v>
      </c>
      <c r="M192" t="n">
        <v>0</v>
      </c>
      <c r="N192" t="n">
        <v>0</v>
      </c>
      <c r="O192" t="n">
        <v>0</v>
      </c>
      <c r="P192" t="n">
        <v>0</v>
      </c>
      <c r="Q192" t="n">
        <v>0</v>
      </c>
      <c r="R192" s="2" t="inlineStr"/>
    </row>
    <row r="193" ht="15" customHeight="1">
      <c r="A193" t="inlineStr">
        <is>
          <t>A 57007-2020</t>
        </is>
      </c>
      <c r="B193" s="1" t="n">
        <v>44137</v>
      </c>
      <c r="C193" s="1" t="n">
        <v>45706</v>
      </c>
      <c r="D193" t="inlineStr">
        <is>
          <t>VÄSTERNORRLANDS LÄN</t>
        </is>
      </c>
      <c r="E193" t="inlineStr">
        <is>
          <t>TIMRÅ</t>
        </is>
      </c>
      <c r="G193" t="n">
        <v>4.1</v>
      </c>
      <c r="H193" t="n">
        <v>0</v>
      </c>
      <c r="I193" t="n">
        <v>0</v>
      </c>
      <c r="J193" t="n">
        <v>0</v>
      </c>
      <c r="K193" t="n">
        <v>0</v>
      </c>
      <c r="L193" t="n">
        <v>0</v>
      </c>
      <c r="M193" t="n">
        <v>0</v>
      </c>
      <c r="N193" t="n">
        <v>0</v>
      </c>
      <c r="O193" t="n">
        <v>0</v>
      </c>
      <c r="P193" t="n">
        <v>0</v>
      </c>
      <c r="Q193" t="n">
        <v>0</v>
      </c>
      <c r="R193" s="2" t="inlineStr"/>
    </row>
    <row r="194" ht="15" customHeight="1">
      <c r="A194" t="inlineStr">
        <is>
          <t>A 61730-2020</t>
        </is>
      </c>
      <c r="B194" s="1" t="n">
        <v>44158</v>
      </c>
      <c r="C194" s="1" t="n">
        <v>45706</v>
      </c>
      <c r="D194" t="inlineStr">
        <is>
          <t>VÄSTERNORRLANDS LÄN</t>
        </is>
      </c>
      <c r="E194" t="inlineStr">
        <is>
          <t>TIMRÅ</t>
        </is>
      </c>
      <c r="G194" t="n">
        <v>2.8</v>
      </c>
      <c r="H194" t="n">
        <v>0</v>
      </c>
      <c r="I194" t="n">
        <v>0</v>
      </c>
      <c r="J194" t="n">
        <v>0</v>
      </c>
      <c r="K194" t="n">
        <v>0</v>
      </c>
      <c r="L194" t="n">
        <v>0</v>
      </c>
      <c r="M194" t="n">
        <v>0</v>
      </c>
      <c r="N194" t="n">
        <v>0</v>
      </c>
      <c r="O194" t="n">
        <v>0</v>
      </c>
      <c r="P194" t="n">
        <v>0</v>
      </c>
      <c r="Q194" t="n">
        <v>0</v>
      </c>
      <c r="R194" s="2" t="inlineStr"/>
    </row>
    <row r="195" ht="15" customHeight="1">
      <c r="A195" t="inlineStr">
        <is>
          <t>A 63960-2020</t>
        </is>
      </c>
      <c r="B195" s="1" t="n">
        <v>44165</v>
      </c>
      <c r="C195" s="1" t="n">
        <v>45706</v>
      </c>
      <c r="D195" t="inlineStr">
        <is>
          <t>VÄSTERNORRLANDS LÄN</t>
        </is>
      </c>
      <c r="E195" t="inlineStr">
        <is>
          <t>TIMRÅ</t>
        </is>
      </c>
      <c r="G195" t="n">
        <v>3.5</v>
      </c>
      <c r="H195" t="n">
        <v>0</v>
      </c>
      <c r="I195" t="n">
        <v>0</v>
      </c>
      <c r="J195" t="n">
        <v>0</v>
      </c>
      <c r="K195" t="n">
        <v>0</v>
      </c>
      <c r="L195" t="n">
        <v>0</v>
      </c>
      <c r="M195" t="n">
        <v>0</v>
      </c>
      <c r="N195" t="n">
        <v>0</v>
      </c>
      <c r="O195" t="n">
        <v>0</v>
      </c>
      <c r="P195" t="n">
        <v>0</v>
      </c>
      <c r="Q195" t="n">
        <v>0</v>
      </c>
      <c r="R195" s="2" t="inlineStr"/>
    </row>
    <row r="196" ht="15" customHeight="1">
      <c r="A196" t="inlineStr">
        <is>
          <t>A 63927-2020</t>
        </is>
      </c>
      <c r="B196" s="1" t="n">
        <v>44166</v>
      </c>
      <c r="C196" s="1" t="n">
        <v>45706</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64571-2020</t>
        </is>
      </c>
      <c r="B197" s="1" t="n">
        <v>44166</v>
      </c>
      <c r="C197" s="1" t="n">
        <v>45706</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65001-2020</t>
        </is>
      </c>
      <c r="B198" s="1" t="n">
        <v>44167</v>
      </c>
      <c r="C198" s="1" t="n">
        <v>45706</v>
      </c>
      <c r="D198" t="inlineStr">
        <is>
          <t>VÄSTERNORRLANDS LÄN</t>
        </is>
      </c>
      <c r="E198" t="inlineStr">
        <is>
          <t>TIMRÅ</t>
        </is>
      </c>
      <c r="G198" t="n">
        <v>3.3</v>
      </c>
      <c r="H198" t="n">
        <v>0</v>
      </c>
      <c r="I198" t="n">
        <v>0</v>
      </c>
      <c r="J198" t="n">
        <v>0</v>
      </c>
      <c r="K198" t="n">
        <v>0</v>
      </c>
      <c r="L198" t="n">
        <v>0</v>
      </c>
      <c r="M198" t="n">
        <v>0</v>
      </c>
      <c r="N198" t="n">
        <v>0</v>
      </c>
      <c r="O198" t="n">
        <v>0</v>
      </c>
      <c r="P198" t="n">
        <v>0</v>
      </c>
      <c r="Q198" t="n">
        <v>0</v>
      </c>
      <c r="R198" s="2" t="inlineStr"/>
    </row>
    <row r="199" ht="15" customHeight="1">
      <c r="A199" t="inlineStr">
        <is>
          <t>A 66837-2020</t>
        </is>
      </c>
      <c r="B199" s="1" t="n">
        <v>44179</v>
      </c>
      <c r="C199" s="1" t="n">
        <v>45706</v>
      </c>
      <c r="D199" t="inlineStr">
        <is>
          <t>VÄSTERNORRLANDS LÄN</t>
        </is>
      </c>
      <c r="E199" t="inlineStr">
        <is>
          <t>TIMRÅ</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67610-2020</t>
        </is>
      </c>
      <c r="B200" s="1" t="n">
        <v>44181</v>
      </c>
      <c r="C200" s="1" t="n">
        <v>45706</v>
      </c>
      <c r="D200" t="inlineStr">
        <is>
          <t>VÄSTERNORRLANDS LÄN</t>
        </is>
      </c>
      <c r="E200" t="inlineStr">
        <is>
          <t>TIMRÅ</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69203-2020</t>
        </is>
      </c>
      <c r="B201" s="1" t="n">
        <v>44191</v>
      </c>
      <c r="C201" s="1" t="n">
        <v>45706</v>
      </c>
      <c r="D201" t="inlineStr">
        <is>
          <t>VÄSTERNORRLANDS LÄN</t>
        </is>
      </c>
      <c r="E201" t="inlineStr">
        <is>
          <t>TIMRÅ</t>
        </is>
      </c>
      <c r="F201" t="inlineStr">
        <is>
          <t>SCA</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731-2021</t>
        </is>
      </c>
      <c r="B202" s="1" t="n">
        <v>44203</v>
      </c>
      <c r="C202" s="1" t="n">
        <v>45706</v>
      </c>
      <c r="D202" t="inlineStr">
        <is>
          <t>VÄSTERNORRLANDS LÄN</t>
        </is>
      </c>
      <c r="E202" t="inlineStr">
        <is>
          <t>TIMRÅ</t>
        </is>
      </c>
      <c r="G202" t="n">
        <v>3.5</v>
      </c>
      <c r="H202" t="n">
        <v>0</v>
      </c>
      <c r="I202" t="n">
        <v>0</v>
      </c>
      <c r="J202" t="n">
        <v>0</v>
      </c>
      <c r="K202" t="n">
        <v>0</v>
      </c>
      <c r="L202" t="n">
        <v>0</v>
      </c>
      <c r="M202" t="n">
        <v>0</v>
      </c>
      <c r="N202" t="n">
        <v>0</v>
      </c>
      <c r="O202" t="n">
        <v>0</v>
      </c>
      <c r="P202" t="n">
        <v>0</v>
      </c>
      <c r="Q202" t="n">
        <v>0</v>
      </c>
      <c r="R202" s="2" t="inlineStr"/>
    </row>
    <row r="203" ht="15" customHeight="1">
      <c r="A203" t="inlineStr">
        <is>
          <t>A 1555-2021</t>
        </is>
      </c>
      <c r="B203" s="1" t="n">
        <v>44209</v>
      </c>
      <c r="C203" s="1" t="n">
        <v>45706</v>
      </c>
      <c r="D203" t="inlineStr">
        <is>
          <t>VÄSTERNORRLANDS LÄN</t>
        </is>
      </c>
      <c r="E203" t="inlineStr">
        <is>
          <t>TIMRÅ</t>
        </is>
      </c>
      <c r="G203" t="n">
        <v>2.9</v>
      </c>
      <c r="H203" t="n">
        <v>0</v>
      </c>
      <c r="I203" t="n">
        <v>0</v>
      </c>
      <c r="J203" t="n">
        <v>0</v>
      </c>
      <c r="K203" t="n">
        <v>0</v>
      </c>
      <c r="L203" t="n">
        <v>0</v>
      </c>
      <c r="M203" t="n">
        <v>0</v>
      </c>
      <c r="N203" t="n">
        <v>0</v>
      </c>
      <c r="O203" t="n">
        <v>0</v>
      </c>
      <c r="P203" t="n">
        <v>0</v>
      </c>
      <c r="Q203" t="n">
        <v>0</v>
      </c>
      <c r="R203" s="2" t="inlineStr"/>
    </row>
    <row r="204" ht="15" customHeight="1">
      <c r="A204" t="inlineStr">
        <is>
          <t>A 1559-2021</t>
        </is>
      </c>
      <c r="B204" s="1" t="n">
        <v>44209</v>
      </c>
      <c r="C204" s="1" t="n">
        <v>45706</v>
      </c>
      <c r="D204" t="inlineStr">
        <is>
          <t>VÄSTERNORRLANDS LÄN</t>
        </is>
      </c>
      <c r="E204" t="inlineStr">
        <is>
          <t>TIMRÅ</t>
        </is>
      </c>
      <c r="G204" t="n">
        <v>6.7</v>
      </c>
      <c r="H204" t="n">
        <v>0</v>
      </c>
      <c r="I204" t="n">
        <v>0</v>
      </c>
      <c r="J204" t="n">
        <v>0</v>
      </c>
      <c r="K204" t="n">
        <v>0</v>
      </c>
      <c r="L204" t="n">
        <v>0</v>
      </c>
      <c r="M204" t="n">
        <v>0</v>
      </c>
      <c r="N204" t="n">
        <v>0</v>
      </c>
      <c r="O204" t="n">
        <v>0</v>
      </c>
      <c r="P204" t="n">
        <v>0</v>
      </c>
      <c r="Q204" t="n">
        <v>0</v>
      </c>
      <c r="R204" s="2" t="inlineStr"/>
    </row>
    <row r="205" ht="15" customHeight="1">
      <c r="A205" t="inlineStr">
        <is>
          <t>A 2284-2021</t>
        </is>
      </c>
      <c r="B205" s="1" t="n">
        <v>44211</v>
      </c>
      <c r="C205" s="1" t="n">
        <v>45706</v>
      </c>
      <c r="D205" t="inlineStr">
        <is>
          <t>VÄSTERNORRLANDS LÄN</t>
        </is>
      </c>
      <c r="E205" t="inlineStr">
        <is>
          <t>TIMRÅ</t>
        </is>
      </c>
      <c r="G205" t="n">
        <v>2.2</v>
      </c>
      <c r="H205" t="n">
        <v>0</v>
      </c>
      <c r="I205" t="n">
        <v>0</v>
      </c>
      <c r="J205" t="n">
        <v>0</v>
      </c>
      <c r="K205" t="n">
        <v>0</v>
      </c>
      <c r="L205" t="n">
        <v>0</v>
      </c>
      <c r="M205" t="n">
        <v>0</v>
      </c>
      <c r="N205" t="n">
        <v>0</v>
      </c>
      <c r="O205" t="n">
        <v>0</v>
      </c>
      <c r="P205" t="n">
        <v>0</v>
      </c>
      <c r="Q205" t="n">
        <v>0</v>
      </c>
      <c r="R205" s="2" t="inlineStr"/>
    </row>
    <row r="206" ht="15" customHeight="1">
      <c r="A206" t="inlineStr">
        <is>
          <t>A 7367-2021</t>
        </is>
      </c>
      <c r="B206" s="1" t="n">
        <v>44237</v>
      </c>
      <c r="C206" s="1" t="n">
        <v>45706</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9472-2021</t>
        </is>
      </c>
      <c r="B207" s="1" t="n">
        <v>44250</v>
      </c>
      <c r="C207" s="1" t="n">
        <v>45706</v>
      </c>
      <c r="D207" t="inlineStr">
        <is>
          <t>VÄSTERNORRLANDS LÄN</t>
        </is>
      </c>
      <c r="E207" t="inlineStr">
        <is>
          <t>TIMRÅ</t>
        </is>
      </c>
      <c r="G207" t="n">
        <v>4</v>
      </c>
      <c r="H207" t="n">
        <v>0</v>
      </c>
      <c r="I207" t="n">
        <v>0</v>
      </c>
      <c r="J207" t="n">
        <v>0</v>
      </c>
      <c r="K207" t="n">
        <v>0</v>
      </c>
      <c r="L207" t="n">
        <v>0</v>
      </c>
      <c r="M207" t="n">
        <v>0</v>
      </c>
      <c r="N207" t="n">
        <v>0</v>
      </c>
      <c r="O207" t="n">
        <v>0</v>
      </c>
      <c r="P207" t="n">
        <v>0</v>
      </c>
      <c r="Q207" t="n">
        <v>0</v>
      </c>
      <c r="R207" s="2" t="inlineStr"/>
    </row>
    <row r="208" ht="15" customHeight="1">
      <c r="A208" t="inlineStr">
        <is>
          <t>A 9503-2021</t>
        </is>
      </c>
      <c r="B208" s="1" t="n">
        <v>44250</v>
      </c>
      <c r="C208" s="1" t="n">
        <v>45706</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9480-2021</t>
        </is>
      </c>
      <c r="B209" s="1" t="n">
        <v>44250</v>
      </c>
      <c r="C209" s="1" t="n">
        <v>45706</v>
      </c>
      <c r="D209" t="inlineStr">
        <is>
          <t>VÄSTERNORRLANDS LÄN</t>
        </is>
      </c>
      <c r="E209" t="inlineStr">
        <is>
          <t>TIMRÅ</t>
        </is>
      </c>
      <c r="G209" t="n">
        <v>2.7</v>
      </c>
      <c r="H209" t="n">
        <v>0</v>
      </c>
      <c r="I209" t="n">
        <v>0</v>
      </c>
      <c r="J209" t="n">
        <v>0</v>
      </c>
      <c r="K209" t="n">
        <v>0</v>
      </c>
      <c r="L209" t="n">
        <v>0</v>
      </c>
      <c r="M209" t="n">
        <v>0</v>
      </c>
      <c r="N209" t="n">
        <v>0</v>
      </c>
      <c r="O209" t="n">
        <v>0</v>
      </c>
      <c r="P209" t="n">
        <v>0</v>
      </c>
      <c r="Q209" t="n">
        <v>0</v>
      </c>
      <c r="R209" s="2" t="inlineStr"/>
    </row>
    <row r="210" ht="15" customHeight="1">
      <c r="A210" t="inlineStr">
        <is>
          <t>A 20487-2021</t>
        </is>
      </c>
      <c r="B210" s="1" t="n">
        <v>44315</v>
      </c>
      <c r="C210" s="1" t="n">
        <v>45706</v>
      </c>
      <c r="D210" t="inlineStr">
        <is>
          <t>VÄSTERNORRLANDS LÄN</t>
        </is>
      </c>
      <c r="E210" t="inlineStr">
        <is>
          <t>TIMRÅ</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20732-2021</t>
        </is>
      </c>
      <c r="B211" s="1" t="n">
        <v>44316</v>
      </c>
      <c r="C211" s="1" t="n">
        <v>45706</v>
      </c>
      <c r="D211" t="inlineStr">
        <is>
          <t>VÄSTERNORRLANDS LÄN</t>
        </is>
      </c>
      <c r="E211" t="inlineStr">
        <is>
          <t>TIMRÅ</t>
        </is>
      </c>
      <c r="G211" t="n">
        <v>3.8</v>
      </c>
      <c r="H211" t="n">
        <v>0</v>
      </c>
      <c r="I211" t="n">
        <v>0</v>
      </c>
      <c r="J211" t="n">
        <v>0</v>
      </c>
      <c r="K211" t="n">
        <v>0</v>
      </c>
      <c r="L211" t="n">
        <v>0</v>
      </c>
      <c r="M211" t="n">
        <v>0</v>
      </c>
      <c r="N211" t="n">
        <v>0</v>
      </c>
      <c r="O211" t="n">
        <v>0</v>
      </c>
      <c r="P211" t="n">
        <v>0</v>
      </c>
      <c r="Q211" t="n">
        <v>0</v>
      </c>
      <c r="R211" s="2" t="inlineStr"/>
    </row>
    <row r="212" ht="15" customHeight="1">
      <c r="A212" t="inlineStr">
        <is>
          <t>A 23611-2021</t>
        </is>
      </c>
      <c r="B212" s="1" t="n">
        <v>44334</v>
      </c>
      <c r="C212" s="1" t="n">
        <v>45706</v>
      </c>
      <c r="D212" t="inlineStr">
        <is>
          <t>VÄSTERNORRLANDS LÄN</t>
        </is>
      </c>
      <c r="E212" t="inlineStr">
        <is>
          <t>TIMRÅ</t>
        </is>
      </c>
      <c r="G212" t="n">
        <v>13.7</v>
      </c>
      <c r="H212" t="n">
        <v>0</v>
      </c>
      <c r="I212" t="n">
        <v>0</v>
      </c>
      <c r="J212" t="n">
        <v>0</v>
      </c>
      <c r="K212" t="n">
        <v>0</v>
      </c>
      <c r="L212" t="n">
        <v>0</v>
      </c>
      <c r="M212" t="n">
        <v>0</v>
      </c>
      <c r="N212" t="n">
        <v>0</v>
      </c>
      <c r="O212" t="n">
        <v>0</v>
      </c>
      <c r="P212" t="n">
        <v>0</v>
      </c>
      <c r="Q212" t="n">
        <v>0</v>
      </c>
      <c r="R212" s="2" t="inlineStr"/>
    </row>
    <row r="213" ht="15" customHeight="1">
      <c r="A213" t="inlineStr">
        <is>
          <t>A 24513-2021</t>
        </is>
      </c>
      <c r="B213" s="1" t="n">
        <v>44338</v>
      </c>
      <c r="C213" s="1" t="n">
        <v>45706</v>
      </c>
      <c r="D213" t="inlineStr">
        <is>
          <t>VÄSTERNORRLANDS LÄN</t>
        </is>
      </c>
      <c r="E213" t="inlineStr">
        <is>
          <t>TIMRÅ</t>
        </is>
      </c>
      <c r="G213" t="n">
        <v>2.6</v>
      </c>
      <c r="H213" t="n">
        <v>0</v>
      </c>
      <c r="I213" t="n">
        <v>0</v>
      </c>
      <c r="J213" t="n">
        <v>0</v>
      </c>
      <c r="K213" t="n">
        <v>0</v>
      </c>
      <c r="L213" t="n">
        <v>0</v>
      </c>
      <c r="M213" t="n">
        <v>0</v>
      </c>
      <c r="N213" t="n">
        <v>0</v>
      </c>
      <c r="O213" t="n">
        <v>0</v>
      </c>
      <c r="P213" t="n">
        <v>0</v>
      </c>
      <c r="Q213" t="n">
        <v>0</v>
      </c>
      <c r="R213" s="2" t="inlineStr"/>
    </row>
    <row r="214" ht="15" customHeight="1">
      <c r="A214" t="inlineStr">
        <is>
          <t>A 26588-2021</t>
        </is>
      </c>
      <c r="B214" s="1" t="n">
        <v>44348</v>
      </c>
      <c r="C214" s="1" t="n">
        <v>45706</v>
      </c>
      <c r="D214" t="inlineStr">
        <is>
          <t>VÄSTERNORRLANDS LÄN</t>
        </is>
      </c>
      <c r="E214" t="inlineStr">
        <is>
          <t>TIMRÅ</t>
        </is>
      </c>
      <c r="F214" t="inlineStr">
        <is>
          <t>Kyrkan</t>
        </is>
      </c>
      <c r="G214" t="n">
        <v>1.1</v>
      </c>
      <c r="H214" t="n">
        <v>0</v>
      </c>
      <c r="I214" t="n">
        <v>0</v>
      </c>
      <c r="J214" t="n">
        <v>0</v>
      </c>
      <c r="K214" t="n">
        <v>0</v>
      </c>
      <c r="L214" t="n">
        <v>0</v>
      </c>
      <c r="M214" t="n">
        <v>0</v>
      </c>
      <c r="N214" t="n">
        <v>0</v>
      </c>
      <c r="O214" t="n">
        <v>0</v>
      </c>
      <c r="P214" t="n">
        <v>0</v>
      </c>
      <c r="Q214" t="n">
        <v>0</v>
      </c>
      <c r="R214" s="2" t="inlineStr"/>
    </row>
    <row r="215" ht="15" customHeight="1">
      <c r="A215" t="inlineStr">
        <is>
          <t>A 26921-2021</t>
        </is>
      </c>
      <c r="B215" s="1" t="n">
        <v>44349</v>
      </c>
      <c r="C215" s="1" t="n">
        <v>45706</v>
      </c>
      <c r="D215" t="inlineStr">
        <is>
          <t>VÄSTERNORRLANDS LÄN</t>
        </is>
      </c>
      <c r="E215" t="inlineStr">
        <is>
          <t>TIMRÅ</t>
        </is>
      </c>
      <c r="G215" t="n">
        <v>6.6</v>
      </c>
      <c r="H215" t="n">
        <v>0</v>
      </c>
      <c r="I215" t="n">
        <v>0</v>
      </c>
      <c r="J215" t="n">
        <v>0</v>
      </c>
      <c r="K215" t="n">
        <v>0</v>
      </c>
      <c r="L215" t="n">
        <v>0</v>
      </c>
      <c r="M215" t="n">
        <v>0</v>
      </c>
      <c r="N215" t="n">
        <v>0</v>
      </c>
      <c r="O215" t="n">
        <v>0</v>
      </c>
      <c r="P215" t="n">
        <v>0</v>
      </c>
      <c r="Q215" t="n">
        <v>0</v>
      </c>
      <c r="R215" s="2" t="inlineStr"/>
    </row>
    <row r="216" ht="15" customHeight="1">
      <c r="A216" t="inlineStr">
        <is>
          <t>A 26936-2021</t>
        </is>
      </c>
      <c r="B216" s="1" t="n">
        <v>44349</v>
      </c>
      <c r="C216" s="1" t="n">
        <v>45706</v>
      </c>
      <c r="D216" t="inlineStr">
        <is>
          <t>VÄSTERNORRLANDS LÄN</t>
        </is>
      </c>
      <c r="E216" t="inlineStr">
        <is>
          <t>TIMRÅ</t>
        </is>
      </c>
      <c r="G216" t="n">
        <v>4.1</v>
      </c>
      <c r="H216" t="n">
        <v>0</v>
      </c>
      <c r="I216" t="n">
        <v>0</v>
      </c>
      <c r="J216" t="n">
        <v>0</v>
      </c>
      <c r="K216" t="n">
        <v>0</v>
      </c>
      <c r="L216" t="n">
        <v>0</v>
      </c>
      <c r="M216" t="n">
        <v>0</v>
      </c>
      <c r="N216" t="n">
        <v>0</v>
      </c>
      <c r="O216" t="n">
        <v>0</v>
      </c>
      <c r="P216" t="n">
        <v>0</v>
      </c>
      <c r="Q216" t="n">
        <v>0</v>
      </c>
      <c r="R216" s="2" t="inlineStr"/>
    </row>
    <row r="217" ht="15" customHeight="1">
      <c r="A217" t="inlineStr">
        <is>
          <t>A 27243-2021</t>
        </is>
      </c>
      <c r="B217" s="1" t="n">
        <v>44350</v>
      </c>
      <c r="C217" s="1" t="n">
        <v>45706</v>
      </c>
      <c r="D217" t="inlineStr">
        <is>
          <t>VÄSTERNORRLANDS LÄN</t>
        </is>
      </c>
      <c r="E217" t="inlineStr">
        <is>
          <t>TIMRÅ</t>
        </is>
      </c>
      <c r="G217" t="n">
        <v>1.4</v>
      </c>
      <c r="H217" t="n">
        <v>0</v>
      </c>
      <c r="I217" t="n">
        <v>0</v>
      </c>
      <c r="J217" t="n">
        <v>0</v>
      </c>
      <c r="K217" t="n">
        <v>0</v>
      </c>
      <c r="L217" t="n">
        <v>0</v>
      </c>
      <c r="M217" t="n">
        <v>0</v>
      </c>
      <c r="N217" t="n">
        <v>0</v>
      </c>
      <c r="O217" t="n">
        <v>0</v>
      </c>
      <c r="P217" t="n">
        <v>0</v>
      </c>
      <c r="Q217" t="n">
        <v>0</v>
      </c>
      <c r="R217" s="2" t="inlineStr"/>
    </row>
    <row r="218" ht="15" customHeight="1">
      <c r="A218" t="inlineStr">
        <is>
          <t>A 28695-2021</t>
        </is>
      </c>
      <c r="B218" s="1" t="n">
        <v>44357</v>
      </c>
      <c r="C218" s="1" t="n">
        <v>45706</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28706-2021</t>
        </is>
      </c>
      <c r="B219" s="1" t="n">
        <v>44357</v>
      </c>
      <c r="C219" s="1" t="n">
        <v>45706</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28650-2021</t>
        </is>
      </c>
      <c r="B220" s="1" t="n">
        <v>44357</v>
      </c>
      <c r="C220" s="1" t="n">
        <v>45706</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28702-2021</t>
        </is>
      </c>
      <c r="B221" s="1" t="n">
        <v>44357</v>
      </c>
      <c r="C221" s="1" t="n">
        <v>45706</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30098-2021</t>
        </is>
      </c>
      <c r="B222" s="1" t="n">
        <v>44363</v>
      </c>
      <c r="C222" s="1" t="n">
        <v>45706</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30091-2021</t>
        </is>
      </c>
      <c r="B223" s="1" t="n">
        <v>44363</v>
      </c>
      <c r="C223" s="1" t="n">
        <v>45706</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30591-2021</t>
        </is>
      </c>
      <c r="B224" s="1" t="n">
        <v>44364</v>
      </c>
      <c r="C224" s="1" t="n">
        <v>45706</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32287-2021</t>
        </is>
      </c>
      <c r="B225" s="1" t="n">
        <v>44371</v>
      </c>
      <c r="C225" s="1" t="n">
        <v>45706</v>
      </c>
      <c r="D225" t="inlineStr">
        <is>
          <t>VÄSTERNORRLANDS LÄN</t>
        </is>
      </c>
      <c r="E225" t="inlineStr">
        <is>
          <t>TIMRÅ</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32210-2021</t>
        </is>
      </c>
      <c r="B226" s="1" t="n">
        <v>44371</v>
      </c>
      <c r="C226" s="1" t="n">
        <v>45706</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32484-2021</t>
        </is>
      </c>
      <c r="B227" s="1" t="n">
        <v>44371</v>
      </c>
      <c r="C227" s="1" t="n">
        <v>45706</v>
      </c>
      <c r="D227" t="inlineStr">
        <is>
          <t>VÄSTERNORRLANDS LÄN</t>
        </is>
      </c>
      <c r="E227" t="inlineStr">
        <is>
          <t>TIMRÅ</t>
        </is>
      </c>
      <c r="F227" t="inlineStr">
        <is>
          <t>SCA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32487-2021</t>
        </is>
      </c>
      <c r="B228" s="1" t="n">
        <v>44371</v>
      </c>
      <c r="C228" s="1" t="n">
        <v>45706</v>
      </c>
      <c r="D228" t="inlineStr">
        <is>
          <t>VÄSTERNORRLANDS LÄN</t>
        </is>
      </c>
      <c r="E228" t="inlineStr">
        <is>
          <t>TIMRÅ</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32483-2021</t>
        </is>
      </c>
      <c r="B229" s="1" t="n">
        <v>44371</v>
      </c>
      <c r="C229" s="1" t="n">
        <v>45706</v>
      </c>
      <c r="D229" t="inlineStr">
        <is>
          <t>VÄSTERNORRLANDS LÄN</t>
        </is>
      </c>
      <c r="E229" t="inlineStr">
        <is>
          <t>TIMRÅ</t>
        </is>
      </c>
      <c r="F229" t="inlineStr">
        <is>
          <t>Kyrkan</t>
        </is>
      </c>
      <c r="G229" t="n">
        <v>6.3</v>
      </c>
      <c r="H229" t="n">
        <v>0</v>
      </c>
      <c r="I229" t="n">
        <v>0</v>
      </c>
      <c r="J229" t="n">
        <v>0</v>
      </c>
      <c r="K229" t="n">
        <v>0</v>
      </c>
      <c r="L229" t="n">
        <v>0</v>
      </c>
      <c r="M229" t="n">
        <v>0</v>
      </c>
      <c r="N229" t="n">
        <v>0</v>
      </c>
      <c r="O229" t="n">
        <v>0</v>
      </c>
      <c r="P229" t="n">
        <v>0</v>
      </c>
      <c r="Q229" t="n">
        <v>0</v>
      </c>
      <c r="R229" s="2" t="inlineStr"/>
    </row>
    <row r="230" ht="15" customHeight="1">
      <c r="A230" t="inlineStr">
        <is>
          <t>A 34035-2021</t>
        </is>
      </c>
      <c r="B230" s="1" t="n">
        <v>44378</v>
      </c>
      <c r="C230" s="1" t="n">
        <v>45706</v>
      </c>
      <c r="D230" t="inlineStr">
        <is>
          <t>VÄSTERNORRLANDS LÄN</t>
        </is>
      </c>
      <c r="E230" t="inlineStr">
        <is>
          <t>TIMRÅ</t>
        </is>
      </c>
      <c r="G230" t="n">
        <v>4</v>
      </c>
      <c r="H230" t="n">
        <v>0</v>
      </c>
      <c r="I230" t="n">
        <v>0</v>
      </c>
      <c r="J230" t="n">
        <v>0</v>
      </c>
      <c r="K230" t="n">
        <v>0</v>
      </c>
      <c r="L230" t="n">
        <v>0</v>
      </c>
      <c r="M230" t="n">
        <v>0</v>
      </c>
      <c r="N230" t="n">
        <v>0</v>
      </c>
      <c r="O230" t="n">
        <v>0</v>
      </c>
      <c r="P230" t="n">
        <v>0</v>
      </c>
      <c r="Q230" t="n">
        <v>0</v>
      </c>
      <c r="R230" s="2" t="inlineStr"/>
    </row>
    <row r="231" ht="15" customHeight="1">
      <c r="A231" t="inlineStr">
        <is>
          <t>A 34767-2021</t>
        </is>
      </c>
      <c r="B231" s="1" t="n">
        <v>44382</v>
      </c>
      <c r="C231" s="1" t="n">
        <v>45706</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35262-2021</t>
        </is>
      </c>
      <c r="B232" s="1" t="n">
        <v>44384</v>
      </c>
      <c r="C232" s="1" t="n">
        <v>45706</v>
      </c>
      <c r="D232" t="inlineStr">
        <is>
          <t>VÄSTERNORRLANDS LÄN</t>
        </is>
      </c>
      <c r="E232" t="inlineStr">
        <is>
          <t>TIMRÅ</t>
        </is>
      </c>
      <c r="G232" t="n">
        <v>2.1</v>
      </c>
      <c r="H232" t="n">
        <v>0</v>
      </c>
      <c r="I232" t="n">
        <v>0</v>
      </c>
      <c r="J232" t="n">
        <v>0</v>
      </c>
      <c r="K232" t="n">
        <v>0</v>
      </c>
      <c r="L232" t="n">
        <v>0</v>
      </c>
      <c r="M232" t="n">
        <v>0</v>
      </c>
      <c r="N232" t="n">
        <v>0</v>
      </c>
      <c r="O232" t="n">
        <v>0</v>
      </c>
      <c r="P232" t="n">
        <v>0</v>
      </c>
      <c r="Q232" t="n">
        <v>0</v>
      </c>
      <c r="R232" s="2" t="inlineStr"/>
    </row>
    <row r="233" ht="15" customHeight="1">
      <c r="A233" t="inlineStr">
        <is>
          <t>A 35413-2021</t>
        </is>
      </c>
      <c r="B233" s="1" t="n">
        <v>44385</v>
      </c>
      <c r="C233" s="1" t="n">
        <v>45706</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35417-2021</t>
        </is>
      </c>
      <c r="B234" s="1" t="n">
        <v>44385</v>
      </c>
      <c r="C234" s="1" t="n">
        <v>45706</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36987-2021</t>
        </is>
      </c>
      <c r="B235" s="1" t="n">
        <v>44393</v>
      </c>
      <c r="C235" s="1" t="n">
        <v>45706</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37165-2021</t>
        </is>
      </c>
      <c r="B236" s="1" t="n">
        <v>44396</v>
      </c>
      <c r="C236" s="1" t="n">
        <v>45706</v>
      </c>
      <c r="D236" t="inlineStr">
        <is>
          <t>VÄSTERNORRLANDS LÄN</t>
        </is>
      </c>
      <c r="E236" t="inlineStr">
        <is>
          <t>TIMRÅ</t>
        </is>
      </c>
      <c r="G236" t="n">
        <v>6.8</v>
      </c>
      <c r="H236" t="n">
        <v>0</v>
      </c>
      <c r="I236" t="n">
        <v>0</v>
      </c>
      <c r="J236" t="n">
        <v>0</v>
      </c>
      <c r="K236" t="n">
        <v>0</v>
      </c>
      <c r="L236" t="n">
        <v>0</v>
      </c>
      <c r="M236" t="n">
        <v>0</v>
      </c>
      <c r="N236" t="n">
        <v>0</v>
      </c>
      <c r="O236" t="n">
        <v>0</v>
      </c>
      <c r="P236" t="n">
        <v>0</v>
      </c>
      <c r="Q236" t="n">
        <v>0</v>
      </c>
      <c r="R236" s="2" t="inlineStr"/>
    </row>
    <row r="237" ht="15" customHeight="1">
      <c r="A237" t="inlineStr">
        <is>
          <t>A 39534-2021</t>
        </is>
      </c>
      <c r="B237" s="1" t="n">
        <v>44416</v>
      </c>
      <c r="C237" s="1" t="n">
        <v>45706</v>
      </c>
      <c r="D237" t="inlineStr">
        <is>
          <t>VÄSTERNORRLANDS LÄN</t>
        </is>
      </c>
      <c r="E237" t="inlineStr">
        <is>
          <t>TIMRÅ</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39821-2021</t>
        </is>
      </c>
      <c r="B238" s="1" t="n">
        <v>44417</v>
      </c>
      <c r="C238" s="1" t="n">
        <v>45706</v>
      </c>
      <c r="D238" t="inlineStr">
        <is>
          <t>VÄSTERNORRLANDS LÄN</t>
        </is>
      </c>
      <c r="E238" t="inlineStr">
        <is>
          <t>TIMRÅ</t>
        </is>
      </c>
      <c r="G238" t="n">
        <v>0.4</v>
      </c>
      <c r="H238" t="n">
        <v>0</v>
      </c>
      <c r="I238" t="n">
        <v>0</v>
      </c>
      <c r="J238" t="n">
        <v>0</v>
      </c>
      <c r="K238" t="n">
        <v>0</v>
      </c>
      <c r="L238" t="n">
        <v>0</v>
      </c>
      <c r="M238" t="n">
        <v>0</v>
      </c>
      <c r="N238" t="n">
        <v>0</v>
      </c>
      <c r="O238" t="n">
        <v>0</v>
      </c>
      <c r="P238" t="n">
        <v>0</v>
      </c>
      <c r="Q238" t="n">
        <v>0</v>
      </c>
      <c r="R238" s="2" t="inlineStr"/>
    </row>
    <row r="239" ht="15" customHeight="1">
      <c r="A239" t="inlineStr">
        <is>
          <t>A 40519-2021</t>
        </is>
      </c>
      <c r="B239" s="1" t="n">
        <v>44420</v>
      </c>
      <c r="C239" s="1" t="n">
        <v>45706</v>
      </c>
      <c r="D239" t="inlineStr">
        <is>
          <t>VÄSTERNORRLANDS LÄN</t>
        </is>
      </c>
      <c r="E239" t="inlineStr">
        <is>
          <t>TIMRÅ</t>
        </is>
      </c>
      <c r="G239" t="n">
        <v>1.7</v>
      </c>
      <c r="H239" t="n">
        <v>0</v>
      </c>
      <c r="I239" t="n">
        <v>0</v>
      </c>
      <c r="J239" t="n">
        <v>0</v>
      </c>
      <c r="K239" t="n">
        <v>0</v>
      </c>
      <c r="L239" t="n">
        <v>0</v>
      </c>
      <c r="M239" t="n">
        <v>0</v>
      </c>
      <c r="N239" t="n">
        <v>0</v>
      </c>
      <c r="O239" t="n">
        <v>0</v>
      </c>
      <c r="P239" t="n">
        <v>0</v>
      </c>
      <c r="Q239" t="n">
        <v>0</v>
      </c>
      <c r="R239" s="2" t="inlineStr"/>
    </row>
    <row r="240" ht="15" customHeight="1">
      <c r="A240" t="inlineStr">
        <is>
          <t>A 43848-2021</t>
        </is>
      </c>
      <c r="B240" s="1" t="n">
        <v>44434</v>
      </c>
      <c r="C240" s="1" t="n">
        <v>45706</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45441-2021</t>
        </is>
      </c>
      <c r="B241" s="1" t="n">
        <v>44440</v>
      </c>
      <c r="C241" s="1" t="n">
        <v>45706</v>
      </c>
      <c r="D241" t="inlineStr">
        <is>
          <t>VÄSTERNORRLANDS LÄN</t>
        </is>
      </c>
      <c r="E241" t="inlineStr">
        <is>
          <t>TIMRÅ</t>
        </is>
      </c>
      <c r="G241" t="n">
        <v>2</v>
      </c>
      <c r="H241" t="n">
        <v>0</v>
      </c>
      <c r="I241" t="n">
        <v>0</v>
      </c>
      <c r="J241" t="n">
        <v>0</v>
      </c>
      <c r="K241" t="n">
        <v>0</v>
      </c>
      <c r="L241" t="n">
        <v>0</v>
      </c>
      <c r="M241" t="n">
        <v>0</v>
      </c>
      <c r="N241" t="n">
        <v>0</v>
      </c>
      <c r="O241" t="n">
        <v>0</v>
      </c>
      <c r="P241" t="n">
        <v>0</v>
      </c>
      <c r="Q241" t="n">
        <v>0</v>
      </c>
      <c r="R241" s="2" t="inlineStr"/>
    </row>
    <row r="242" ht="15" customHeight="1">
      <c r="A242" t="inlineStr">
        <is>
          <t>A 47203-2021</t>
        </is>
      </c>
      <c r="B242" s="1" t="n">
        <v>44447</v>
      </c>
      <c r="C242" s="1" t="n">
        <v>45706</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47569-2021</t>
        </is>
      </c>
      <c r="B243" s="1" t="n">
        <v>44447</v>
      </c>
      <c r="C243" s="1" t="n">
        <v>45706</v>
      </c>
      <c r="D243" t="inlineStr">
        <is>
          <t>VÄSTERNORRLANDS LÄN</t>
        </is>
      </c>
      <c r="E243" t="inlineStr">
        <is>
          <t>TIMRÅ</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47570-2021</t>
        </is>
      </c>
      <c r="B244" s="1" t="n">
        <v>44448</v>
      </c>
      <c r="C244" s="1" t="n">
        <v>45706</v>
      </c>
      <c r="D244" t="inlineStr">
        <is>
          <t>VÄSTERNORRLANDS LÄN</t>
        </is>
      </c>
      <c r="E244" t="inlineStr">
        <is>
          <t>TIMRÅ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49056-2021</t>
        </is>
      </c>
      <c r="B245" s="1" t="n">
        <v>44453</v>
      </c>
      <c r="C245" s="1" t="n">
        <v>45706</v>
      </c>
      <c r="D245" t="inlineStr">
        <is>
          <t>VÄSTERNORRLANDS LÄN</t>
        </is>
      </c>
      <c r="E245" t="inlineStr">
        <is>
          <t>TIMRÅ</t>
        </is>
      </c>
      <c r="G245" t="n">
        <v>3.4</v>
      </c>
      <c r="H245" t="n">
        <v>0</v>
      </c>
      <c r="I245" t="n">
        <v>0</v>
      </c>
      <c r="J245" t="n">
        <v>0</v>
      </c>
      <c r="K245" t="n">
        <v>0</v>
      </c>
      <c r="L245" t="n">
        <v>0</v>
      </c>
      <c r="M245" t="n">
        <v>0</v>
      </c>
      <c r="N245" t="n">
        <v>0</v>
      </c>
      <c r="O245" t="n">
        <v>0</v>
      </c>
      <c r="P245" t="n">
        <v>0</v>
      </c>
      <c r="Q245" t="n">
        <v>0</v>
      </c>
      <c r="R245" s="2" t="inlineStr"/>
    </row>
    <row r="246" ht="15" customHeight="1">
      <c r="A246" t="inlineStr">
        <is>
          <t>A 49486-2021</t>
        </is>
      </c>
      <c r="B246" s="1" t="n">
        <v>44455</v>
      </c>
      <c r="C246" s="1" t="n">
        <v>45706</v>
      </c>
      <c r="D246" t="inlineStr">
        <is>
          <t>VÄSTERNORRLANDS LÄN</t>
        </is>
      </c>
      <c r="E246" t="inlineStr">
        <is>
          <t>TIMRÅ</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53305-2021</t>
        </is>
      </c>
      <c r="B247" s="1" t="n">
        <v>44467</v>
      </c>
      <c r="C247" s="1" t="n">
        <v>45706</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53699-2021</t>
        </is>
      </c>
      <c r="B248" s="1" t="n">
        <v>44469</v>
      </c>
      <c r="C248" s="1" t="n">
        <v>45706</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53703-2021</t>
        </is>
      </c>
      <c r="B249" s="1" t="n">
        <v>44469</v>
      </c>
      <c r="C249" s="1" t="n">
        <v>45706</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59570-2021</t>
        </is>
      </c>
      <c r="B250" s="1" t="n">
        <v>44491</v>
      </c>
      <c r="C250" s="1" t="n">
        <v>45706</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59964-2021</t>
        </is>
      </c>
      <c r="B251" s="1" t="n">
        <v>44494</v>
      </c>
      <c r="C251" s="1" t="n">
        <v>45706</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64433-2021</t>
        </is>
      </c>
      <c r="B252" s="1" t="n">
        <v>44511</v>
      </c>
      <c r="C252" s="1" t="n">
        <v>45706</v>
      </c>
      <c r="D252" t="inlineStr">
        <is>
          <t>VÄSTERNORRLANDS LÄN</t>
        </is>
      </c>
      <c r="E252" t="inlineStr">
        <is>
          <t>TIMRÅ</t>
        </is>
      </c>
      <c r="G252" t="n">
        <v>0.6</v>
      </c>
      <c r="H252" t="n">
        <v>0</v>
      </c>
      <c r="I252" t="n">
        <v>0</v>
      </c>
      <c r="J252" t="n">
        <v>0</v>
      </c>
      <c r="K252" t="n">
        <v>0</v>
      </c>
      <c r="L252" t="n">
        <v>0</v>
      </c>
      <c r="M252" t="n">
        <v>0</v>
      </c>
      <c r="N252" t="n">
        <v>0</v>
      </c>
      <c r="O252" t="n">
        <v>0</v>
      </c>
      <c r="P252" t="n">
        <v>0</v>
      </c>
      <c r="Q252" t="n">
        <v>0</v>
      </c>
      <c r="R252" s="2" t="inlineStr"/>
    </row>
    <row r="253" ht="15" customHeight="1">
      <c r="A253" t="inlineStr">
        <is>
          <t>A 66154-2021</t>
        </is>
      </c>
      <c r="B253" s="1" t="n">
        <v>44517</v>
      </c>
      <c r="C253" s="1" t="n">
        <v>45706</v>
      </c>
      <c r="D253" t="inlineStr">
        <is>
          <t>VÄSTERNORRLANDS LÄN</t>
        </is>
      </c>
      <c r="E253" t="inlineStr">
        <is>
          <t>TIMRÅ</t>
        </is>
      </c>
      <c r="G253" t="n">
        <v>5.6</v>
      </c>
      <c r="H253" t="n">
        <v>0</v>
      </c>
      <c r="I253" t="n">
        <v>0</v>
      </c>
      <c r="J253" t="n">
        <v>0</v>
      </c>
      <c r="K253" t="n">
        <v>0</v>
      </c>
      <c r="L253" t="n">
        <v>0</v>
      </c>
      <c r="M253" t="n">
        <v>0</v>
      </c>
      <c r="N253" t="n">
        <v>0</v>
      </c>
      <c r="O253" t="n">
        <v>0</v>
      </c>
      <c r="P253" t="n">
        <v>0</v>
      </c>
      <c r="Q253" t="n">
        <v>0</v>
      </c>
      <c r="R253" s="2" t="inlineStr"/>
    </row>
    <row r="254" ht="15" customHeight="1">
      <c r="A254" t="inlineStr">
        <is>
          <t>A 66409-2021</t>
        </is>
      </c>
      <c r="B254" s="1" t="n">
        <v>44518</v>
      </c>
      <c r="C254" s="1" t="n">
        <v>45706</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67065-2021</t>
        </is>
      </c>
      <c r="B255" s="1" t="n">
        <v>44522</v>
      </c>
      <c r="C255" s="1" t="n">
        <v>45706</v>
      </c>
      <c r="D255" t="inlineStr">
        <is>
          <t>VÄSTERNORRLANDS LÄN</t>
        </is>
      </c>
      <c r="E255" t="inlineStr">
        <is>
          <t>TIMRÅ</t>
        </is>
      </c>
      <c r="G255" t="n">
        <v>2.6</v>
      </c>
      <c r="H255" t="n">
        <v>0</v>
      </c>
      <c r="I255" t="n">
        <v>0</v>
      </c>
      <c r="J255" t="n">
        <v>0</v>
      </c>
      <c r="K255" t="n">
        <v>0</v>
      </c>
      <c r="L255" t="n">
        <v>0</v>
      </c>
      <c r="M255" t="n">
        <v>0</v>
      </c>
      <c r="N255" t="n">
        <v>0</v>
      </c>
      <c r="O255" t="n">
        <v>0</v>
      </c>
      <c r="P255" t="n">
        <v>0</v>
      </c>
      <c r="Q255" t="n">
        <v>0</v>
      </c>
      <c r="R255" s="2" t="inlineStr"/>
    </row>
    <row r="256" ht="15" customHeight="1">
      <c r="A256" t="inlineStr">
        <is>
          <t>A 67063-2021</t>
        </is>
      </c>
      <c r="B256" s="1" t="n">
        <v>44522</v>
      </c>
      <c r="C256" s="1" t="n">
        <v>45706</v>
      </c>
      <c r="D256" t="inlineStr">
        <is>
          <t>VÄSTERNORRLANDS LÄN</t>
        </is>
      </c>
      <c r="E256" t="inlineStr">
        <is>
          <t>TIMRÅ</t>
        </is>
      </c>
      <c r="G256" t="n">
        <v>1.9</v>
      </c>
      <c r="H256" t="n">
        <v>0</v>
      </c>
      <c r="I256" t="n">
        <v>0</v>
      </c>
      <c r="J256" t="n">
        <v>0</v>
      </c>
      <c r="K256" t="n">
        <v>0</v>
      </c>
      <c r="L256" t="n">
        <v>0</v>
      </c>
      <c r="M256" t="n">
        <v>0</v>
      </c>
      <c r="N256" t="n">
        <v>0</v>
      </c>
      <c r="O256" t="n">
        <v>0</v>
      </c>
      <c r="P256" t="n">
        <v>0</v>
      </c>
      <c r="Q256" t="n">
        <v>0</v>
      </c>
      <c r="R256" s="2" t="inlineStr"/>
    </row>
    <row r="257" ht="15" customHeight="1">
      <c r="A257" t="inlineStr">
        <is>
          <t>A 67673-2021</t>
        </is>
      </c>
      <c r="B257" s="1" t="n">
        <v>44524</v>
      </c>
      <c r="C257" s="1" t="n">
        <v>45706</v>
      </c>
      <c r="D257" t="inlineStr">
        <is>
          <t>VÄSTERNORRLANDS LÄN</t>
        </is>
      </c>
      <c r="E257" t="inlineStr">
        <is>
          <t>TIMRÅ</t>
        </is>
      </c>
      <c r="G257" t="n">
        <v>6.8</v>
      </c>
      <c r="H257" t="n">
        <v>0</v>
      </c>
      <c r="I257" t="n">
        <v>0</v>
      </c>
      <c r="J257" t="n">
        <v>0</v>
      </c>
      <c r="K257" t="n">
        <v>0</v>
      </c>
      <c r="L257" t="n">
        <v>0</v>
      </c>
      <c r="M257" t="n">
        <v>0</v>
      </c>
      <c r="N257" t="n">
        <v>0</v>
      </c>
      <c r="O257" t="n">
        <v>0</v>
      </c>
      <c r="P257" t="n">
        <v>0</v>
      </c>
      <c r="Q257" t="n">
        <v>0</v>
      </c>
      <c r="R257" s="2" t="inlineStr"/>
    </row>
    <row r="258" ht="15" customHeight="1">
      <c r="A258" t="inlineStr">
        <is>
          <t>A 68391-2021</t>
        </is>
      </c>
      <c r="B258" s="1" t="n">
        <v>44526</v>
      </c>
      <c r="C258" s="1" t="n">
        <v>45706</v>
      </c>
      <c r="D258" t="inlineStr">
        <is>
          <t>VÄSTERNORRLANDS LÄN</t>
        </is>
      </c>
      <c r="E258" t="inlineStr">
        <is>
          <t>TIMRÅ</t>
        </is>
      </c>
      <c r="G258" t="n">
        <v>2.2</v>
      </c>
      <c r="H258" t="n">
        <v>0</v>
      </c>
      <c r="I258" t="n">
        <v>0</v>
      </c>
      <c r="J258" t="n">
        <v>0</v>
      </c>
      <c r="K258" t="n">
        <v>0</v>
      </c>
      <c r="L258" t="n">
        <v>0</v>
      </c>
      <c r="M258" t="n">
        <v>0</v>
      </c>
      <c r="N258" t="n">
        <v>0</v>
      </c>
      <c r="O258" t="n">
        <v>0</v>
      </c>
      <c r="P258" t="n">
        <v>0</v>
      </c>
      <c r="Q258" t="n">
        <v>0</v>
      </c>
      <c r="R258" s="2" t="inlineStr"/>
    </row>
    <row r="259" ht="15" customHeight="1">
      <c r="A259" t="inlineStr">
        <is>
          <t>A 68774-2021</t>
        </is>
      </c>
      <c r="B259" s="1" t="n">
        <v>44529</v>
      </c>
      <c r="C259" s="1" t="n">
        <v>45706</v>
      </c>
      <c r="D259" t="inlineStr">
        <is>
          <t>VÄSTERNORRLANDS LÄN</t>
        </is>
      </c>
      <c r="E259" t="inlineStr">
        <is>
          <t>TIMRÅ</t>
        </is>
      </c>
      <c r="G259" t="n">
        <v>0.5</v>
      </c>
      <c r="H259" t="n">
        <v>0</v>
      </c>
      <c r="I259" t="n">
        <v>0</v>
      </c>
      <c r="J259" t="n">
        <v>0</v>
      </c>
      <c r="K259" t="n">
        <v>0</v>
      </c>
      <c r="L259" t="n">
        <v>0</v>
      </c>
      <c r="M259" t="n">
        <v>0</v>
      </c>
      <c r="N259" t="n">
        <v>0</v>
      </c>
      <c r="O259" t="n">
        <v>0</v>
      </c>
      <c r="P259" t="n">
        <v>0</v>
      </c>
      <c r="Q259" t="n">
        <v>0</v>
      </c>
      <c r="R259" s="2" t="inlineStr"/>
    </row>
    <row r="260" ht="15" customHeight="1">
      <c r="A260" t="inlineStr">
        <is>
          <t>A 69274-2021</t>
        </is>
      </c>
      <c r="B260" s="1" t="n">
        <v>44530</v>
      </c>
      <c r="C260" s="1" t="n">
        <v>45706</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69266-2021</t>
        </is>
      </c>
      <c r="B261" s="1" t="n">
        <v>44530</v>
      </c>
      <c r="C261" s="1" t="n">
        <v>45706</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69278-2021</t>
        </is>
      </c>
      <c r="B262" s="1" t="n">
        <v>44531</v>
      </c>
      <c r="C262" s="1" t="n">
        <v>45706</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69663-2021</t>
        </is>
      </c>
      <c r="B263" s="1" t="n">
        <v>44531</v>
      </c>
      <c r="C263" s="1" t="n">
        <v>45706</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70507-2021</t>
        </is>
      </c>
      <c r="B264" s="1" t="n">
        <v>44536</v>
      </c>
      <c r="C264" s="1" t="n">
        <v>45706</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70906-2021</t>
        </is>
      </c>
      <c r="B265" s="1" t="n">
        <v>44537</v>
      </c>
      <c r="C265" s="1" t="n">
        <v>45706</v>
      </c>
      <c r="D265" t="inlineStr">
        <is>
          <t>VÄSTERNORRLANDS LÄN</t>
        </is>
      </c>
      <c r="E265" t="inlineStr">
        <is>
          <t>TIMRÅ</t>
        </is>
      </c>
      <c r="G265" t="n">
        <v>3.9</v>
      </c>
      <c r="H265" t="n">
        <v>0</v>
      </c>
      <c r="I265" t="n">
        <v>0</v>
      </c>
      <c r="J265" t="n">
        <v>0</v>
      </c>
      <c r="K265" t="n">
        <v>0</v>
      </c>
      <c r="L265" t="n">
        <v>0</v>
      </c>
      <c r="M265" t="n">
        <v>0</v>
      </c>
      <c r="N265" t="n">
        <v>0</v>
      </c>
      <c r="O265" t="n">
        <v>0</v>
      </c>
      <c r="P265" t="n">
        <v>0</v>
      </c>
      <c r="Q265" t="n">
        <v>0</v>
      </c>
      <c r="R265" s="2" t="inlineStr"/>
    </row>
    <row r="266" ht="15" customHeight="1">
      <c r="A266" t="inlineStr">
        <is>
          <t>A 71213-2021</t>
        </is>
      </c>
      <c r="B266" s="1" t="n">
        <v>44539</v>
      </c>
      <c r="C266" s="1" t="n">
        <v>45706</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73225-2021</t>
        </is>
      </c>
      <c r="B267" s="1" t="n">
        <v>44550</v>
      </c>
      <c r="C267" s="1" t="n">
        <v>45706</v>
      </c>
      <c r="D267" t="inlineStr">
        <is>
          <t>VÄSTERNORRLANDS LÄN</t>
        </is>
      </c>
      <c r="E267" t="inlineStr">
        <is>
          <t>TIMRÅ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74020-2021</t>
        </is>
      </c>
      <c r="B268" s="1" t="n">
        <v>44557</v>
      </c>
      <c r="C268" s="1" t="n">
        <v>45706</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74043-2021</t>
        </is>
      </c>
      <c r="B269" s="1" t="n">
        <v>44557</v>
      </c>
      <c r="C269" s="1" t="n">
        <v>45706</v>
      </c>
      <c r="D269" t="inlineStr">
        <is>
          <t>VÄSTERNORRLANDS LÄN</t>
        </is>
      </c>
      <c r="E269" t="inlineStr">
        <is>
          <t>TIMRÅ</t>
        </is>
      </c>
      <c r="G269" t="n">
        <v>0.1</v>
      </c>
      <c r="H269" t="n">
        <v>0</v>
      </c>
      <c r="I269" t="n">
        <v>0</v>
      </c>
      <c r="J269" t="n">
        <v>0</v>
      </c>
      <c r="K269" t="n">
        <v>0</v>
      </c>
      <c r="L269" t="n">
        <v>0</v>
      </c>
      <c r="M269" t="n">
        <v>0</v>
      </c>
      <c r="N269" t="n">
        <v>0</v>
      </c>
      <c r="O269" t="n">
        <v>0</v>
      </c>
      <c r="P269" t="n">
        <v>0</v>
      </c>
      <c r="Q269" t="n">
        <v>0</v>
      </c>
      <c r="R269" s="2" t="inlineStr"/>
    </row>
    <row r="270" ht="15" customHeight="1">
      <c r="A270" t="inlineStr">
        <is>
          <t>A 74044-2021</t>
        </is>
      </c>
      <c r="B270" s="1" t="n">
        <v>44557</v>
      </c>
      <c r="C270" s="1" t="n">
        <v>45706</v>
      </c>
      <c r="D270" t="inlineStr">
        <is>
          <t>VÄSTERNORRLANDS LÄN</t>
        </is>
      </c>
      <c r="E270" t="inlineStr">
        <is>
          <t>TIMRÅ</t>
        </is>
      </c>
      <c r="G270" t="n">
        <v>0.2</v>
      </c>
      <c r="H270" t="n">
        <v>0</v>
      </c>
      <c r="I270" t="n">
        <v>0</v>
      </c>
      <c r="J270" t="n">
        <v>0</v>
      </c>
      <c r="K270" t="n">
        <v>0</v>
      </c>
      <c r="L270" t="n">
        <v>0</v>
      </c>
      <c r="M270" t="n">
        <v>0</v>
      </c>
      <c r="N270" t="n">
        <v>0</v>
      </c>
      <c r="O270" t="n">
        <v>0</v>
      </c>
      <c r="P270" t="n">
        <v>0</v>
      </c>
      <c r="Q270" t="n">
        <v>0</v>
      </c>
      <c r="R270" s="2" t="inlineStr"/>
    </row>
    <row r="271" ht="15" customHeight="1">
      <c r="A271" t="inlineStr">
        <is>
          <t>A 74148-2021</t>
        </is>
      </c>
      <c r="B271" s="1" t="n">
        <v>44557</v>
      </c>
      <c r="C271" s="1" t="n">
        <v>45706</v>
      </c>
      <c r="D271" t="inlineStr">
        <is>
          <t>VÄSTERNORRLANDS LÄN</t>
        </is>
      </c>
      <c r="E271" t="inlineStr">
        <is>
          <t>TIMRÅ</t>
        </is>
      </c>
      <c r="G271" t="n">
        <v>0.7</v>
      </c>
      <c r="H271" t="n">
        <v>0</v>
      </c>
      <c r="I271" t="n">
        <v>0</v>
      </c>
      <c r="J271" t="n">
        <v>0</v>
      </c>
      <c r="K271" t="n">
        <v>0</v>
      </c>
      <c r="L271" t="n">
        <v>0</v>
      </c>
      <c r="M271" t="n">
        <v>0</v>
      </c>
      <c r="N271" t="n">
        <v>0</v>
      </c>
      <c r="O271" t="n">
        <v>0</v>
      </c>
      <c r="P271" t="n">
        <v>0</v>
      </c>
      <c r="Q271" t="n">
        <v>0</v>
      </c>
      <c r="R271" s="2" t="inlineStr"/>
    </row>
    <row r="272" ht="15" customHeight="1">
      <c r="A272" t="inlineStr">
        <is>
          <t>A 74150-2021</t>
        </is>
      </c>
      <c r="B272" s="1" t="n">
        <v>44557</v>
      </c>
      <c r="C272" s="1" t="n">
        <v>45706</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74177-2021</t>
        </is>
      </c>
      <c r="B273" s="1" t="n">
        <v>44558</v>
      </c>
      <c r="C273" s="1" t="n">
        <v>45706</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580-2022</t>
        </is>
      </c>
      <c r="B274" s="1" t="n">
        <v>44566</v>
      </c>
      <c r="C274" s="1" t="n">
        <v>45706</v>
      </c>
      <c r="D274" t="inlineStr">
        <is>
          <t>VÄSTERNORRLANDS LÄN</t>
        </is>
      </c>
      <c r="E274" t="inlineStr">
        <is>
          <t>TIMRÅ</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1078-2022</t>
        </is>
      </c>
      <c r="B275" s="1" t="n">
        <v>44571</v>
      </c>
      <c r="C275" s="1" t="n">
        <v>45706</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1855-2022</t>
        </is>
      </c>
      <c r="B276" s="1" t="n">
        <v>44574</v>
      </c>
      <c r="C276" s="1" t="n">
        <v>45706</v>
      </c>
      <c r="D276" t="inlineStr">
        <is>
          <t>VÄSTERNORRLANDS LÄN</t>
        </is>
      </c>
      <c r="E276" t="inlineStr">
        <is>
          <t>TIMRÅ</t>
        </is>
      </c>
      <c r="G276" t="n">
        <v>3.1</v>
      </c>
      <c r="H276" t="n">
        <v>0</v>
      </c>
      <c r="I276" t="n">
        <v>0</v>
      </c>
      <c r="J276" t="n">
        <v>0</v>
      </c>
      <c r="K276" t="n">
        <v>0</v>
      </c>
      <c r="L276" t="n">
        <v>0</v>
      </c>
      <c r="M276" t="n">
        <v>0</v>
      </c>
      <c r="N276" t="n">
        <v>0</v>
      </c>
      <c r="O276" t="n">
        <v>0</v>
      </c>
      <c r="P276" t="n">
        <v>0</v>
      </c>
      <c r="Q276" t="n">
        <v>0</v>
      </c>
      <c r="R276" s="2" t="inlineStr"/>
    </row>
    <row r="277" ht="15" customHeight="1">
      <c r="A277" t="inlineStr">
        <is>
          <t>A 2073-2022</t>
        </is>
      </c>
      <c r="B277" s="1" t="n">
        <v>44575</v>
      </c>
      <c r="C277" s="1" t="n">
        <v>45706</v>
      </c>
      <c r="D277" t="inlineStr">
        <is>
          <t>VÄSTERNORRLANDS LÄN</t>
        </is>
      </c>
      <c r="E277" t="inlineStr">
        <is>
          <t>TIMRÅ</t>
        </is>
      </c>
      <c r="G277" t="n">
        <v>2.5</v>
      </c>
      <c r="H277" t="n">
        <v>0</v>
      </c>
      <c r="I277" t="n">
        <v>0</v>
      </c>
      <c r="J277" t="n">
        <v>0</v>
      </c>
      <c r="K277" t="n">
        <v>0</v>
      </c>
      <c r="L277" t="n">
        <v>0</v>
      </c>
      <c r="M277" t="n">
        <v>0</v>
      </c>
      <c r="N277" t="n">
        <v>0</v>
      </c>
      <c r="O277" t="n">
        <v>0</v>
      </c>
      <c r="P277" t="n">
        <v>0</v>
      </c>
      <c r="Q277" t="n">
        <v>0</v>
      </c>
      <c r="R277" s="2" t="inlineStr"/>
    </row>
    <row r="278" ht="15" customHeight="1">
      <c r="A278" t="inlineStr">
        <is>
          <t>A 2226-2022</t>
        </is>
      </c>
      <c r="B278" s="1" t="n">
        <v>44578</v>
      </c>
      <c r="C278" s="1" t="n">
        <v>45706</v>
      </c>
      <c r="D278" t="inlineStr">
        <is>
          <t>VÄSTERNORRLANDS LÄN</t>
        </is>
      </c>
      <c r="E278" t="inlineStr">
        <is>
          <t>TIMRÅ</t>
        </is>
      </c>
      <c r="G278" t="n">
        <v>2.9</v>
      </c>
      <c r="H278" t="n">
        <v>0</v>
      </c>
      <c r="I278" t="n">
        <v>0</v>
      </c>
      <c r="J278" t="n">
        <v>0</v>
      </c>
      <c r="K278" t="n">
        <v>0</v>
      </c>
      <c r="L278" t="n">
        <v>0</v>
      </c>
      <c r="M278" t="n">
        <v>0</v>
      </c>
      <c r="N278" t="n">
        <v>0</v>
      </c>
      <c r="O278" t="n">
        <v>0</v>
      </c>
      <c r="P278" t="n">
        <v>0</v>
      </c>
      <c r="Q278" t="n">
        <v>0</v>
      </c>
      <c r="R278" s="2" t="inlineStr"/>
    </row>
    <row r="279" ht="15" customHeight="1">
      <c r="A279" t="inlineStr">
        <is>
          <t>A 5649-2022</t>
        </is>
      </c>
      <c r="B279" s="1" t="n">
        <v>44595</v>
      </c>
      <c r="C279" s="1" t="n">
        <v>45706</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7152-2022</t>
        </is>
      </c>
      <c r="B280" s="1" t="n">
        <v>44603</v>
      </c>
      <c r="C280" s="1" t="n">
        <v>45706</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7670-2022</t>
        </is>
      </c>
      <c r="B281" s="1" t="n">
        <v>44607</v>
      </c>
      <c r="C281" s="1" t="n">
        <v>45706</v>
      </c>
      <c r="D281" t="inlineStr">
        <is>
          <t>VÄSTERNORRLANDS LÄN</t>
        </is>
      </c>
      <c r="E281" t="inlineStr">
        <is>
          <t>TIMRÅ</t>
        </is>
      </c>
      <c r="G281" t="n">
        <v>3.6</v>
      </c>
      <c r="H281" t="n">
        <v>0</v>
      </c>
      <c r="I281" t="n">
        <v>0</v>
      </c>
      <c r="J281" t="n">
        <v>0</v>
      </c>
      <c r="K281" t="n">
        <v>0</v>
      </c>
      <c r="L281" t="n">
        <v>0</v>
      </c>
      <c r="M281" t="n">
        <v>0</v>
      </c>
      <c r="N281" t="n">
        <v>0</v>
      </c>
      <c r="O281" t="n">
        <v>0</v>
      </c>
      <c r="P281" t="n">
        <v>0</v>
      </c>
      <c r="Q281" t="n">
        <v>0</v>
      </c>
      <c r="R281" s="2" t="inlineStr"/>
    </row>
    <row r="282" ht="15" customHeight="1">
      <c r="A282" t="inlineStr">
        <is>
          <t>A 7966-2022</t>
        </is>
      </c>
      <c r="B282" s="1" t="n">
        <v>44608</v>
      </c>
      <c r="C282" s="1" t="n">
        <v>45706</v>
      </c>
      <c r="D282" t="inlineStr">
        <is>
          <t>VÄSTERNORRLANDS LÄN</t>
        </is>
      </c>
      <c r="E282" t="inlineStr">
        <is>
          <t>TIMRÅ</t>
        </is>
      </c>
      <c r="F282" t="inlineStr">
        <is>
          <t>SCA</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8336-2022</t>
        </is>
      </c>
      <c r="B283" s="1" t="n">
        <v>44610</v>
      </c>
      <c r="C283" s="1" t="n">
        <v>45706</v>
      </c>
      <c r="D283" t="inlineStr">
        <is>
          <t>VÄSTERNORRLANDS LÄN</t>
        </is>
      </c>
      <c r="E283" t="inlineStr">
        <is>
          <t>TIMRÅ</t>
        </is>
      </c>
      <c r="F283" t="inlineStr">
        <is>
          <t>Kommuner</t>
        </is>
      </c>
      <c r="G283" t="n">
        <v>1.2</v>
      </c>
      <c r="H283" t="n">
        <v>0</v>
      </c>
      <c r="I283" t="n">
        <v>0</v>
      </c>
      <c r="J283" t="n">
        <v>0</v>
      </c>
      <c r="K283" t="n">
        <v>0</v>
      </c>
      <c r="L283" t="n">
        <v>0</v>
      </c>
      <c r="M283" t="n">
        <v>0</v>
      </c>
      <c r="N283" t="n">
        <v>0</v>
      </c>
      <c r="O283" t="n">
        <v>0</v>
      </c>
      <c r="P283" t="n">
        <v>0</v>
      </c>
      <c r="Q283" t="n">
        <v>0</v>
      </c>
      <c r="R283" s="2" t="inlineStr"/>
    </row>
    <row r="284" ht="15" customHeight="1">
      <c r="A284" t="inlineStr">
        <is>
          <t>A 9203-2022</t>
        </is>
      </c>
      <c r="B284" s="1" t="n">
        <v>44615</v>
      </c>
      <c r="C284" s="1" t="n">
        <v>45706</v>
      </c>
      <c r="D284" t="inlineStr">
        <is>
          <t>VÄSTERNORRLANDS LÄN</t>
        </is>
      </c>
      <c r="E284" t="inlineStr">
        <is>
          <t>TIMRÅ</t>
        </is>
      </c>
      <c r="G284" t="n">
        <v>5.5</v>
      </c>
      <c r="H284" t="n">
        <v>0</v>
      </c>
      <c r="I284" t="n">
        <v>0</v>
      </c>
      <c r="J284" t="n">
        <v>0</v>
      </c>
      <c r="K284" t="n">
        <v>0</v>
      </c>
      <c r="L284" t="n">
        <v>0</v>
      </c>
      <c r="M284" t="n">
        <v>0</v>
      </c>
      <c r="N284" t="n">
        <v>0</v>
      </c>
      <c r="O284" t="n">
        <v>0</v>
      </c>
      <c r="P284" t="n">
        <v>0</v>
      </c>
      <c r="Q284" t="n">
        <v>0</v>
      </c>
      <c r="R284" s="2" t="inlineStr"/>
    </row>
    <row r="285" ht="15" customHeight="1">
      <c r="A285" t="inlineStr">
        <is>
          <t>A 9202-2022</t>
        </is>
      </c>
      <c r="B285" s="1" t="n">
        <v>44615</v>
      </c>
      <c r="C285" s="1" t="n">
        <v>45706</v>
      </c>
      <c r="D285" t="inlineStr">
        <is>
          <t>VÄSTERNORRLANDS LÄN</t>
        </is>
      </c>
      <c r="E285" t="inlineStr">
        <is>
          <t>TIMRÅ</t>
        </is>
      </c>
      <c r="G285" t="n">
        <v>2.1</v>
      </c>
      <c r="H285" t="n">
        <v>0</v>
      </c>
      <c r="I285" t="n">
        <v>0</v>
      </c>
      <c r="J285" t="n">
        <v>0</v>
      </c>
      <c r="K285" t="n">
        <v>0</v>
      </c>
      <c r="L285" t="n">
        <v>0</v>
      </c>
      <c r="M285" t="n">
        <v>0</v>
      </c>
      <c r="N285" t="n">
        <v>0</v>
      </c>
      <c r="O285" t="n">
        <v>0</v>
      </c>
      <c r="P285" t="n">
        <v>0</v>
      </c>
      <c r="Q285" t="n">
        <v>0</v>
      </c>
      <c r="R285" s="2" t="inlineStr"/>
    </row>
    <row r="286" ht="15" customHeight="1">
      <c r="A286" t="inlineStr">
        <is>
          <t>A 9256-2022</t>
        </is>
      </c>
      <c r="B286" s="1" t="n">
        <v>44616</v>
      </c>
      <c r="C286" s="1" t="n">
        <v>45706</v>
      </c>
      <c r="D286" t="inlineStr">
        <is>
          <t>VÄSTERNORRLANDS LÄN</t>
        </is>
      </c>
      <c r="E286" t="inlineStr">
        <is>
          <t>TIMRÅ</t>
        </is>
      </c>
      <c r="G286" t="n">
        <v>1.8</v>
      </c>
      <c r="H286" t="n">
        <v>0</v>
      </c>
      <c r="I286" t="n">
        <v>0</v>
      </c>
      <c r="J286" t="n">
        <v>0</v>
      </c>
      <c r="K286" t="n">
        <v>0</v>
      </c>
      <c r="L286" t="n">
        <v>0</v>
      </c>
      <c r="M286" t="n">
        <v>0</v>
      </c>
      <c r="N286" t="n">
        <v>0</v>
      </c>
      <c r="O286" t="n">
        <v>0</v>
      </c>
      <c r="P286" t="n">
        <v>0</v>
      </c>
      <c r="Q286" t="n">
        <v>0</v>
      </c>
      <c r="R286" s="2" t="inlineStr"/>
    </row>
    <row r="287" ht="15" customHeight="1">
      <c r="A287" t="inlineStr">
        <is>
          <t>A 9317-2022</t>
        </is>
      </c>
      <c r="B287" s="1" t="n">
        <v>44616</v>
      </c>
      <c r="C287" s="1" t="n">
        <v>45706</v>
      </c>
      <c r="D287" t="inlineStr">
        <is>
          <t>VÄSTERNORRLANDS LÄN</t>
        </is>
      </c>
      <c r="E287" t="inlineStr">
        <is>
          <t>TIMRÅ</t>
        </is>
      </c>
      <c r="G287" t="n">
        <v>1.1</v>
      </c>
      <c r="H287" t="n">
        <v>0</v>
      </c>
      <c r="I287" t="n">
        <v>0</v>
      </c>
      <c r="J287" t="n">
        <v>0</v>
      </c>
      <c r="K287" t="n">
        <v>0</v>
      </c>
      <c r="L287" t="n">
        <v>0</v>
      </c>
      <c r="M287" t="n">
        <v>0</v>
      </c>
      <c r="N287" t="n">
        <v>0</v>
      </c>
      <c r="O287" t="n">
        <v>0</v>
      </c>
      <c r="P287" t="n">
        <v>0</v>
      </c>
      <c r="Q287" t="n">
        <v>0</v>
      </c>
      <c r="R287" s="2" t="inlineStr"/>
    </row>
    <row r="288" ht="15" customHeight="1">
      <c r="A288" t="inlineStr">
        <is>
          <t>A 11269-2022</t>
        </is>
      </c>
      <c r="B288" s="1" t="n">
        <v>44629</v>
      </c>
      <c r="C288" s="1" t="n">
        <v>45706</v>
      </c>
      <c r="D288" t="inlineStr">
        <is>
          <t>VÄSTERNORRLANDS LÄN</t>
        </is>
      </c>
      <c r="E288" t="inlineStr">
        <is>
          <t>TIMRÅ</t>
        </is>
      </c>
      <c r="G288" t="n">
        <v>16</v>
      </c>
      <c r="H288" t="n">
        <v>0</v>
      </c>
      <c r="I288" t="n">
        <v>0</v>
      </c>
      <c r="J288" t="n">
        <v>0</v>
      </c>
      <c r="K288" t="n">
        <v>0</v>
      </c>
      <c r="L288" t="n">
        <v>0</v>
      </c>
      <c r="M288" t="n">
        <v>0</v>
      </c>
      <c r="N288" t="n">
        <v>0</v>
      </c>
      <c r="O288" t="n">
        <v>0</v>
      </c>
      <c r="P288" t="n">
        <v>0</v>
      </c>
      <c r="Q288" t="n">
        <v>0</v>
      </c>
      <c r="R288" s="2" t="inlineStr"/>
    </row>
    <row r="289" ht="15" customHeight="1">
      <c r="A289" t="inlineStr">
        <is>
          <t>A 11479-2022</t>
        </is>
      </c>
      <c r="B289" s="1" t="n">
        <v>44630</v>
      </c>
      <c r="C289" s="1" t="n">
        <v>45706</v>
      </c>
      <c r="D289" t="inlineStr">
        <is>
          <t>VÄSTERNORRLANDS LÄN</t>
        </is>
      </c>
      <c r="E289" t="inlineStr">
        <is>
          <t>TIMRÅ</t>
        </is>
      </c>
      <c r="G289" t="n">
        <v>2.9</v>
      </c>
      <c r="H289" t="n">
        <v>0</v>
      </c>
      <c r="I289" t="n">
        <v>0</v>
      </c>
      <c r="J289" t="n">
        <v>0</v>
      </c>
      <c r="K289" t="n">
        <v>0</v>
      </c>
      <c r="L289" t="n">
        <v>0</v>
      </c>
      <c r="M289" t="n">
        <v>0</v>
      </c>
      <c r="N289" t="n">
        <v>0</v>
      </c>
      <c r="O289" t="n">
        <v>0</v>
      </c>
      <c r="P289" t="n">
        <v>0</v>
      </c>
      <c r="Q289" t="n">
        <v>0</v>
      </c>
      <c r="R289" s="2" t="inlineStr"/>
    </row>
    <row r="290" ht="15" customHeight="1">
      <c r="A290" t="inlineStr">
        <is>
          <t>A 12205-2022</t>
        </is>
      </c>
      <c r="B290" s="1" t="n">
        <v>44636</v>
      </c>
      <c r="C290" s="1" t="n">
        <v>45706</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12782-2022</t>
        </is>
      </c>
      <c r="B291" s="1" t="n">
        <v>44641</v>
      </c>
      <c r="C291" s="1" t="n">
        <v>45706</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12780-2022</t>
        </is>
      </c>
      <c r="B292" s="1" t="n">
        <v>44641</v>
      </c>
      <c r="C292" s="1" t="n">
        <v>45706</v>
      </c>
      <c r="D292" t="inlineStr">
        <is>
          <t>VÄSTERNORRLANDS LÄN</t>
        </is>
      </c>
      <c r="E292" t="inlineStr">
        <is>
          <t>TIMRÅ</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12779-2022</t>
        </is>
      </c>
      <c r="B293" s="1" t="n">
        <v>44641</v>
      </c>
      <c r="C293" s="1" t="n">
        <v>45706</v>
      </c>
      <c r="D293" t="inlineStr">
        <is>
          <t>VÄSTERNORRLANDS LÄN</t>
        </is>
      </c>
      <c r="E293" t="inlineStr">
        <is>
          <t>TIMRÅ</t>
        </is>
      </c>
      <c r="G293" t="n">
        <v>0.9</v>
      </c>
      <c r="H293" t="n">
        <v>0</v>
      </c>
      <c r="I293" t="n">
        <v>0</v>
      </c>
      <c r="J293" t="n">
        <v>0</v>
      </c>
      <c r="K293" t="n">
        <v>0</v>
      </c>
      <c r="L293" t="n">
        <v>0</v>
      </c>
      <c r="M293" t="n">
        <v>0</v>
      </c>
      <c r="N293" t="n">
        <v>0</v>
      </c>
      <c r="O293" t="n">
        <v>0</v>
      </c>
      <c r="P293" t="n">
        <v>0</v>
      </c>
      <c r="Q293" t="n">
        <v>0</v>
      </c>
      <c r="R293" s="2" t="inlineStr"/>
    </row>
    <row r="294" ht="15" customHeight="1">
      <c r="A294" t="inlineStr">
        <is>
          <t>A 12882-2022</t>
        </is>
      </c>
      <c r="B294" s="1" t="n">
        <v>44642</v>
      </c>
      <c r="C294" s="1" t="n">
        <v>45706</v>
      </c>
      <c r="D294" t="inlineStr">
        <is>
          <t>VÄSTERNORRLANDS LÄN</t>
        </is>
      </c>
      <c r="E294" t="inlineStr">
        <is>
          <t>TIMRÅ</t>
        </is>
      </c>
      <c r="G294" t="n">
        <v>0.4</v>
      </c>
      <c r="H294" t="n">
        <v>0</v>
      </c>
      <c r="I294" t="n">
        <v>0</v>
      </c>
      <c r="J294" t="n">
        <v>0</v>
      </c>
      <c r="K294" t="n">
        <v>0</v>
      </c>
      <c r="L294" t="n">
        <v>0</v>
      </c>
      <c r="M294" t="n">
        <v>0</v>
      </c>
      <c r="N294" t="n">
        <v>0</v>
      </c>
      <c r="O294" t="n">
        <v>0</v>
      </c>
      <c r="P294" t="n">
        <v>0</v>
      </c>
      <c r="Q294" t="n">
        <v>0</v>
      </c>
      <c r="R294" s="2" t="inlineStr"/>
    </row>
    <row r="295" ht="15" customHeight="1">
      <c r="A295" t="inlineStr">
        <is>
          <t>A 12880-2022</t>
        </is>
      </c>
      <c r="B295" s="1" t="n">
        <v>44642</v>
      </c>
      <c r="C295" s="1" t="n">
        <v>45706</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12885-2022</t>
        </is>
      </c>
      <c r="B296" s="1" t="n">
        <v>44642</v>
      </c>
      <c r="C296" s="1" t="n">
        <v>45706</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14680-2022</t>
        </is>
      </c>
      <c r="B297" s="1" t="n">
        <v>44655</v>
      </c>
      <c r="C297" s="1" t="n">
        <v>45706</v>
      </c>
      <c r="D297" t="inlineStr">
        <is>
          <t>VÄSTERNORRLANDS LÄN</t>
        </is>
      </c>
      <c r="E297" t="inlineStr">
        <is>
          <t>TIMRÅ</t>
        </is>
      </c>
      <c r="G297" t="n">
        <v>8.9</v>
      </c>
      <c r="H297" t="n">
        <v>0</v>
      </c>
      <c r="I297" t="n">
        <v>0</v>
      </c>
      <c r="J297" t="n">
        <v>0</v>
      </c>
      <c r="K297" t="n">
        <v>0</v>
      </c>
      <c r="L297" t="n">
        <v>0</v>
      </c>
      <c r="M297" t="n">
        <v>0</v>
      </c>
      <c r="N297" t="n">
        <v>0</v>
      </c>
      <c r="O297" t="n">
        <v>0</v>
      </c>
      <c r="P297" t="n">
        <v>0</v>
      </c>
      <c r="Q297" t="n">
        <v>0</v>
      </c>
      <c r="R297" s="2" t="inlineStr"/>
    </row>
    <row r="298" ht="15" customHeight="1">
      <c r="A298" t="inlineStr">
        <is>
          <t>A 16519-2022</t>
        </is>
      </c>
      <c r="B298" s="1" t="n">
        <v>44672</v>
      </c>
      <c r="C298" s="1" t="n">
        <v>45706</v>
      </c>
      <c r="D298" t="inlineStr">
        <is>
          <t>VÄSTERNORRLANDS LÄN</t>
        </is>
      </c>
      <c r="E298" t="inlineStr">
        <is>
          <t>TIMRÅ</t>
        </is>
      </c>
      <c r="G298" t="n">
        <v>3</v>
      </c>
      <c r="H298" t="n">
        <v>0</v>
      </c>
      <c r="I298" t="n">
        <v>0</v>
      </c>
      <c r="J298" t="n">
        <v>0</v>
      </c>
      <c r="K298" t="n">
        <v>0</v>
      </c>
      <c r="L298" t="n">
        <v>0</v>
      </c>
      <c r="M298" t="n">
        <v>0</v>
      </c>
      <c r="N298" t="n">
        <v>0</v>
      </c>
      <c r="O298" t="n">
        <v>0</v>
      </c>
      <c r="P298" t="n">
        <v>0</v>
      </c>
      <c r="Q298" t="n">
        <v>0</v>
      </c>
      <c r="R298" s="2" t="inlineStr"/>
    </row>
    <row r="299" ht="15" customHeight="1">
      <c r="A299" t="inlineStr">
        <is>
          <t>A 17040-2022</t>
        </is>
      </c>
      <c r="B299" s="1" t="n">
        <v>44676</v>
      </c>
      <c r="C299" s="1" t="n">
        <v>45706</v>
      </c>
      <c r="D299" t="inlineStr">
        <is>
          <t>VÄSTERNORRLANDS LÄN</t>
        </is>
      </c>
      <c r="E299" t="inlineStr">
        <is>
          <t>TIMRÅ</t>
        </is>
      </c>
      <c r="G299" t="n">
        <v>3.5</v>
      </c>
      <c r="H299" t="n">
        <v>0</v>
      </c>
      <c r="I299" t="n">
        <v>0</v>
      </c>
      <c r="J299" t="n">
        <v>0</v>
      </c>
      <c r="K299" t="n">
        <v>0</v>
      </c>
      <c r="L299" t="n">
        <v>0</v>
      </c>
      <c r="M299" t="n">
        <v>0</v>
      </c>
      <c r="N299" t="n">
        <v>0</v>
      </c>
      <c r="O299" t="n">
        <v>0</v>
      </c>
      <c r="P299" t="n">
        <v>0</v>
      </c>
      <c r="Q299" t="n">
        <v>0</v>
      </c>
      <c r="R299" s="2" t="inlineStr"/>
    </row>
    <row r="300" ht="15" customHeight="1">
      <c r="A300" t="inlineStr">
        <is>
          <t>A 22194-2022</t>
        </is>
      </c>
      <c r="B300" s="1" t="n">
        <v>44712</v>
      </c>
      <c r="C300" s="1" t="n">
        <v>45706</v>
      </c>
      <c r="D300" t="inlineStr">
        <is>
          <t>VÄSTERNORRLANDS LÄN</t>
        </is>
      </c>
      <c r="E300" t="inlineStr">
        <is>
          <t>TIMRÅ</t>
        </is>
      </c>
      <c r="G300" t="n">
        <v>0.9</v>
      </c>
      <c r="H300" t="n">
        <v>0</v>
      </c>
      <c r="I300" t="n">
        <v>0</v>
      </c>
      <c r="J300" t="n">
        <v>0</v>
      </c>
      <c r="K300" t="n">
        <v>0</v>
      </c>
      <c r="L300" t="n">
        <v>0</v>
      </c>
      <c r="M300" t="n">
        <v>0</v>
      </c>
      <c r="N300" t="n">
        <v>0</v>
      </c>
      <c r="O300" t="n">
        <v>0</v>
      </c>
      <c r="P300" t="n">
        <v>0</v>
      </c>
      <c r="Q300" t="n">
        <v>0</v>
      </c>
      <c r="R300" s="2" t="inlineStr"/>
    </row>
    <row r="301" ht="15" customHeight="1">
      <c r="A301" t="inlineStr">
        <is>
          <t>A 23670-2022</t>
        </is>
      </c>
      <c r="B301" s="1" t="n">
        <v>44722</v>
      </c>
      <c r="C301" s="1" t="n">
        <v>45706</v>
      </c>
      <c r="D301" t="inlineStr">
        <is>
          <t>VÄSTERNORRLANDS LÄN</t>
        </is>
      </c>
      <c r="E301" t="inlineStr">
        <is>
          <t>TIMRÅ</t>
        </is>
      </c>
      <c r="G301" t="n">
        <v>4.9</v>
      </c>
      <c r="H301" t="n">
        <v>0</v>
      </c>
      <c r="I301" t="n">
        <v>0</v>
      </c>
      <c r="J301" t="n">
        <v>0</v>
      </c>
      <c r="K301" t="n">
        <v>0</v>
      </c>
      <c r="L301" t="n">
        <v>0</v>
      </c>
      <c r="M301" t="n">
        <v>0</v>
      </c>
      <c r="N301" t="n">
        <v>0</v>
      </c>
      <c r="O301" t="n">
        <v>0</v>
      </c>
      <c r="P301" t="n">
        <v>0</v>
      </c>
      <c r="Q301" t="n">
        <v>0</v>
      </c>
      <c r="R301" s="2" t="inlineStr"/>
    </row>
    <row r="302" ht="15" customHeight="1">
      <c r="A302" t="inlineStr">
        <is>
          <t>A 23693-2022</t>
        </is>
      </c>
      <c r="B302" s="1" t="n">
        <v>44721</v>
      </c>
      <c r="C302" s="1" t="n">
        <v>45706</v>
      </c>
      <c r="D302" t="inlineStr">
        <is>
          <t>VÄSTERNORRLANDS LÄN</t>
        </is>
      </c>
      <c r="E302" t="inlineStr">
        <is>
          <t>TIMRÅ</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23676-2022</t>
        </is>
      </c>
      <c r="B303" s="1" t="n">
        <v>44721</v>
      </c>
      <c r="C303" s="1" t="n">
        <v>45706</v>
      </c>
      <c r="D303" t="inlineStr">
        <is>
          <t>VÄSTERNORRLANDS LÄN</t>
        </is>
      </c>
      <c r="E303" t="inlineStr">
        <is>
          <t>TIMRÅ</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24304-2022</t>
        </is>
      </c>
      <c r="B304" s="1" t="n">
        <v>44725</v>
      </c>
      <c r="C304" s="1" t="n">
        <v>45706</v>
      </c>
      <c r="D304" t="inlineStr">
        <is>
          <t>VÄSTERNORRLANDS LÄN</t>
        </is>
      </c>
      <c r="E304" t="inlineStr">
        <is>
          <t>TIMRÅ</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24306-2022</t>
        </is>
      </c>
      <c r="B305" s="1" t="n">
        <v>44726</v>
      </c>
      <c r="C305" s="1" t="n">
        <v>45706</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24305-2022</t>
        </is>
      </c>
      <c r="B306" s="1" t="n">
        <v>44726</v>
      </c>
      <c r="C306" s="1" t="n">
        <v>45706</v>
      </c>
      <c r="D306" t="inlineStr">
        <is>
          <t>VÄSTERNORRLANDS LÄN</t>
        </is>
      </c>
      <c r="E306" t="inlineStr">
        <is>
          <t>TIMRÅ</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24988-2022</t>
        </is>
      </c>
      <c r="B307" s="1" t="n">
        <v>44728</v>
      </c>
      <c r="C307" s="1" t="n">
        <v>45706</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25414-2022</t>
        </is>
      </c>
      <c r="B308" s="1" t="n">
        <v>44732</v>
      </c>
      <c r="C308" s="1" t="n">
        <v>45706</v>
      </c>
      <c r="D308" t="inlineStr">
        <is>
          <t>VÄSTERNORRLANDS LÄN</t>
        </is>
      </c>
      <c r="E308" t="inlineStr">
        <is>
          <t>TIMRÅ</t>
        </is>
      </c>
      <c r="G308" t="n">
        <v>7.7</v>
      </c>
      <c r="H308" t="n">
        <v>0</v>
      </c>
      <c r="I308" t="n">
        <v>0</v>
      </c>
      <c r="J308" t="n">
        <v>0</v>
      </c>
      <c r="K308" t="n">
        <v>0</v>
      </c>
      <c r="L308" t="n">
        <v>0</v>
      </c>
      <c r="M308" t="n">
        <v>0</v>
      </c>
      <c r="N308" t="n">
        <v>0</v>
      </c>
      <c r="O308" t="n">
        <v>0</v>
      </c>
      <c r="P308" t="n">
        <v>0</v>
      </c>
      <c r="Q308" t="n">
        <v>0</v>
      </c>
      <c r="R308" s="2" t="inlineStr"/>
    </row>
    <row r="309" ht="15" customHeight="1">
      <c r="A309" t="inlineStr">
        <is>
          <t>A 25644-2022</t>
        </is>
      </c>
      <c r="B309" s="1" t="n">
        <v>44732</v>
      </c>
      <c r="C309" s="1" t="n">
        <v>45706</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29308-2022</t>
        </is>
      </c>
      <c r="B310" s="1" t="n">
        <v>44750</v>
      </c>
      <c r="C310" s="1" t="n">
        <v>45706</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29306-2022</t>
        </is>
      </c>
      <c r="B311" s="1" t="n">
        <v>44751</v>
      </c>
      <c r="C311" s="1" t="n">
        <v>45706</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31489-2022</t>
        </is>
      </c>
      <c r="B312" s="1" t="n">
        <v>44774</v>
      </c>
      <c r="C312" s="1" t="n">
        <v>45706</v>
      </c>
      <c r="D312" t="inlineStr">
        <is>
          <t>VÄSTERNORRLANDS LÄN</t>
        </is>
      </c>
      <c r="E312" t="inlineStr">
        <is>
          <t>TIMRÅ</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31981-2022</t>
        </is>
      </c>
      <c r="B313" s="1" t="n">
        <v>44778</v>
      </c>
      <c r="C313" s="1" t="n">
        <v>45706</v>
      </c>
      <c r="D313" t="inlineStr">
        <is>
          <t>VÄSTERNORRLANDS LÄN</t>
        </is>
      </c>
      <c r="E313" t="inlineStr">
        <is>
          <t>TIMRÅ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32519-2022</t>
        </is>
      </c>
      <c r="B314" s="1" t="n">
        <v>44782</v>
      </c>
      <c r="C314" s="1" t="n">
        <v>45706</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33719-2022</t>
        </is>
      </c>
      <c r="B315" s="1" t="n">
        <v>44790</v>
      </c>
      <c r="C315" s="1" t="n">
        <v>45706</v>
      </c>
      <c r="D315" t="inlineStr">
        <is>
          <t>VÄSTERNORRLANDS LÄN</t>
        </is>
      </c>
      <c r="E315" t="inlineStr">
        <is>
          <t>TIMRÅ</t>
        </is>
      </c>
      <c r="G315" t="n">
        <v>2.3</v>
      </c>
      <c r="H315" t="n">
        <v>0</v>
      </c>
      <c r="I315" t="n">
        <v>0</v>
      </c>
      <c r="J315" t="n">
        <v>0</v>
      </c>
      <c r="K315" t="n">
        <v>0</v>
      </c>
      <c r="L315" t="n">
        <v>0</v>
      </c>
      <c r="M315" t="n">
        <v>0</v>
      </c>
      <c r="N315" t="n">
        <v>0</v>
      </c>
      <c r="O315" t="n">
        <v>0</v>
      </c>
      <c r="P315" t="n">
        <v>0</v>
      </c>
      <c r="Q315" t="n">
        <v>0</v>
      </c>
      <c r="R315" s="2" t="inlineStr"/>
    </row>
    <row r="316" ht="15" customHeight="1">
      <c r="A316" t="inlineStr">
        <is>
          <t>A 34041-2022</t>
        </is>
      </c>
      <c r="B316" s="1" t="n">
        <v>44790</v>
      </c>
      <c r="C316" s="1" t="n">
        <v>45706</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34053-2022</t>
        </is>
      </c>
      <c r="B317" s="1" t="n">
        <v>44790</v>
      </c>
      <c r="C317" s="1" t="n">
        <v>45706</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34038-2022</t>
        </is>
      </c>
      <c r="B318" s="1" t="n">
        <v>44791</v>
      </c>
      <c r="C318" s="1" t="n">
        <v>45706</v>
      </c>
      <c r="D318" t="inlineStr">
        <is>
          <t>VÄSTERNORRLANDS LÄN</t>
        </is>
      </c>
      <c r="E318" t="inlineStr">
        <is>
          <t>TIMRÅ</t>
        </is>
      </c>
      <c r="G318" t="n">
        <v>2.5</v>
      </c>
      <c r="H318" t="n">
        <v>0</v>
      </c>
      <c r="I318" t="n">
        <v>0</v>
      </c>
      <c r="J318" t="n">
        <v>0</v>
      </c>
      <c r="K318" t="n">
        <v>0</v>
      </c>
      <c r="L318" t="n">
        <v>0</v>
      </c>
      <c r="M318" t="n">
        <v>0</v>
      </c>
      <c r="N318" t="n">
        <v>0</v>
      </c>
      <c r="O318" t="n">
        <v>0</v>
      </c>
      <c r="P318" t="n">
        <v>0</v>
      </c>
      <c r="Q318" t="n">
        <v>0</v>
      </c>
      <c r="R318" s="2" t="inlineStr"/>
    </row>
    <row r="319" ht="15" customHeight="1">
      <c r="A319" t="inlineStr">
        <is>
          <t>A 34099-2022</t>
        </is>
      </c>
      <c r="B319" s="1" t="n">
        <v>44791</v>
      </c>
      <c r="C319" s="1" t="n">
        <v>45706</v>
      </c>
      <c r="D319" t="inlineStr">
        <is>
          <t>VÄSTERNORRLANDS LÄN</t>
        </is>
      </c>
      <c r="E319" t="inlineStr">
        <is>
          <t>TIMRÅ</t>
        </is>
      </c>
      <c r="G319" t="n">
        <v>2.7</v>
      </c>
      <c r="H319" t="n">
        <v>0</v>
      </c>
      <c r="I319" t="n">
        <v>0</v>
      </c>
      <c r="J319" t="n">
        <v>0</v>
      </c>
      <c r="K319" t="n">
        <v>0</v>
      </c>
      <c r="L319" t="n">
        <v>0</v>
      </c>
      <c r="M319" t="n">
        <v>0</v>
      </c>
      <c r="N319" t="n">
        <v>0</v>
      </c>
      <c r="O319" t="n">
        <v>0</v>
      </c>
      <c r="P319" t="n">
        <v>0</v>
      </c>
      <c r="Q319" t="n">
        <v>0</v>
      </c>
      <c r="R319" s="2" t="inlineStr"/>
    </row>
    <row r="320" ht="15" customHeight="1">
      <c r="A320" t="inlineStr">
        <is>
          <t>A 34246-2022</t>
        </is>
      </c>
      <c r="B320" s="1" t="n">
        <v>44791</v>
      </c>
      <c r="C320" s="1" t="n">
        <v>45706</v>
      </c>
      <c r="D320" t="inlineStr">
        <is>
          <t>VÄSTERNORRLANDS LÄN</t>
        </is>
      </c>
      <c r="E320" t="inlineStr">
        <is>
          <t>TIMRÅ</t>
        </is>
      </c>
      <c r="G320" t="n">
        <v>7.7</v>
      </c>
      <c r="H320" t="n">
        <v>0</v>
      </c>
      <c r="I320" t="n">
        <v>0</v>
      </c>
      <c r="J320" t="n">
        <v>0</v>
      </c>
      <c r="K320" t="n">
        <v>0</v>
      </c>
      <c r="L320" t="n">
        <v>0</v>
      </c>
      <c r="M320" t="n">
        <v>0</v>
      </c>
      <c r="N320" t="n">
        <v>0</v>
      </c>
      <c r="O320" t="n">
        <v>0</v>
      </c>
      <c r="P320" t="n">
        <v>0</v>
      </c>
      <c r="Q320" t="n">
        <v>0</v>
      </c>
      <c r="R320" s="2" t="inlineStr"/>
    </row>
    <row r="321" ht="15" customHeight="1">
      <c r="A321" t="inlineStr">
        <is>
          <t>A 35477-2022</t>
        </is>
      </c>
      <c r="B321" s="1" t="n">
        <v>44799</v>
      </c>
      <c r="C321" s="1" t="n">
        <v>45706</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35448-2022</t>
        </is>
      </c>
      <c r="B322" s="1" t="n">
        <v>44798</v>
      </c>
      <c r="C322" s="1" t="n">
        <v>45706</v>
      </c>
      <c r="D322" t="inlineStr">
        <is>
          <t>VÄSTERNORRLANDS LÄN</t>
        </is>
      </c>
      <c r="E322" t="inlineStr">
        <is>
          <t>TIMRÅ</t>
        </is>
      </c>
      <c r="G322" t="n">
        <v>2.8</v>
      </c>
      <c r="H322" t="n">
        <v>0</v>
      </c>
      <c r="I322" t="n">
        <v>0</v>
      </c>
      <c r="J322" t="n">
        <v>0</v>
      </c>
      <c r="K322" t="n">
        <v>0</v>
      </c>
      <c r="L322" t="n">
        <v>0</v>
      </c>
      <c r="M322" t="n">
        <v>0</v>
      </c>
      <c r="N322" t="n">
        <v>0</v>
      </c>
      <c r="O322" t="n">
        <v>0</v>
      </c>
      <c r="P322" t="n">
        <v>0</v>
      </c>
      <c r="Q322" t="n">
        <v>0</v>
      </c>
      <c r="R322" s="2" t="inlineStr"/>
    </row>
    <row r="323" ht="15" customHeight="1">
      <c r="A323" t="inlineStr">
        <is>
          <t>A 35758-2022</t>
        </is>
      </c>
      <c r="B323" s="1" t="n">
        <v>44799</v>
      </c>
      <c r="C323" s="1" t="n">
        <v>45706</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36564-2022</t>
        </is>
      </c>
      <c r="B324" s="1" t="n">
        <v>44804</v>
      </c>
      <c r="C324" s="1" t="n">
        <v>45706</v>
      </c>
      <c r="D324" t="inlineStr">
        <is>
          <t>VÄSTERNORRLANDS LÄN</t>
        </is>
      </c>
      <c r="E324" t="inlineStr">
        <is>
          <t>TIMRÅ</t>
        </is>
      </c>
      <c r="G324" t="n">
        <v>16.6</v>
      </c>
      <c r="H324" t="n">
        <v>0</v>
      </c>
      <c r="I324" t="n">
        <v>0</v>
      </c>
      <c r="J324" t="n">
        <v>0</v>
      </c>
      <c r="K324" t="n">
        <v>0</v>
      </c>
      <c r="L324" t="n">
        <v>0</v>
      </c>
      <c r="M324" t="n">
        <v>0</v>
      </c>
      <c r="N324" t="n">
        <v>0</v>
      </c>
      <c r="O324" t="n">
        <v>0</v>
      </c>
      <c r="P324" t="n">
        <v>0</v>
      </c>
      <c r="Q324" t="n">
        <v>0</v>
      </c>
      <c r="R324" s="2" t="inlineStr"/>
    </row>
    <row r="325" ht="15" customHeight="1">
      <c r="A325" t="inlineStr">
        <is>
          <t>A 38445-2022</t>
        </is>
      </c>
      <c r="B325" s="1" t="n">
        <v>44813</v>
      </c>
      <c r="C325" s="1" t="n">
        <v>45706</v>
      </c>
      <c r="D325" t="inlineStr">
        <is>
          <t>VÄSTERNORRLANDS LÄN</t>
        </is>
      </c>
      <c r="E325" t="inlineStr">
        <is>
          <t>TIMRÅ</t>
        </is>
      </c>
      <c r="G325" t="n">
        <v>0.7</v>
      </c>
      <c r="H325" t="n">
        <v>0</v>
      </c>
      <c r="I325" t="n">
        <v>0</v>
      </c>
      <c r="J325" t="n">
        <v>0</v>
      </c>
      <c r="K325" t="n">
        <v>0</v>
      </c>
      <c r="L325" t="n">
        <v>0</v>
      </c>
      <c r="M325" t="n">
        <v>0</v>
      </c>
      <c r="N325" t="n">
        <v>0</v>
      </c>
      <c r="O325" t="n">
        <v>0</v>
      </c>
      <c r="P325" t="n">
        <v>0</v>
      </c>
      <c r="Q325" t="n">
        <v>0</v>
      </c>
      <c r="R325" s="2" t="inlineStr"/>
    </row>
    <row r="326" ht="15" customHeight="1">
      <c r="A326" t="inlineStr">
        <is>
          <t>A 39108-2022</t>
        </is>
      </c>
      <c r="B326" s="1" t="n">
        <v>44817</v>
      </c>
      <c r="C326" s="1" t="n">
        <v>45706</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39691-2022</t>
        </is>
      </c>
      <c r="B327" s="1" t="n">
        <v>44819</v>
      </c>
      <c r="C327" s="1" t="n">
        <v>45706</v>
      </c>
      <c r="D327" t="inlineStr">
        <is>
          <t>VÄSTERNORRLANDS LÄN</t>
        </is>
      </c>
      <c r="E327" t="inlineStr">
        <is>
          <t>TIMRÅ</t>
        </is>
      </c>
      <c r="G327" t="n">
        <v>1.4</v>
      </c>
      <c r="H327" t="n">
        <v>0</v>
      </c>
      <c r="I327" t="n">
        <v>0</v>
      </c>
      <c r="J327" t="n">
        <v>0</v>
      </c>
      <c r="K327" t="n">
        <v>0</v>
      </c>
      <c r="L327" t="n">
        <v>0</v>
      </c>
      <c r="M327" t="n">
        <v>0</v>
      </c>
      <c r="N327" t="n">
        <v>0</v>
      </c>
      <c r="O327" t="n">
        <v>0</v>
      </c>
      <c r="P327" t="n">
        <v>0</v>
      </c>
      <c r="Q327" t="n">
        <v>0</v>
      </c>
      <c r="R327" s="2" t="inlineStr"/>
    </row>
    <row r="328" ht="15" customHeight="1">
      <c r="A328" t="inlineStr">
        <is>
          <t>A 40270-2022</t>
        </is>
      </c>
      <c r="B328" s="1" t="n">
        <v>44821</v>
      </c>
      <c r="C328" s="1" t="n">
        <v>45706</v>
      </c>
      <c r="D328" t="inlineStr">
        <is>
          <t>VÄSTERNORRLANDS LÄN</t>
        </is>
      </c>
      <c r="E328" t="inlineStr">
        <is>
          <t>TIMRÅ</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41465-2022</t>
        </is>
      </c>
      <c r="B329" s="1" t="n">
        <v>44827</v>
      </c>
      <c r="C329" s="1" t="n">
        <v>45706</v>
      </c>
      <c r="D329" t="inlineStr">
        <is>
          <t>VÄSTERNORRLANDS LÄN</t>
        </is>
      </c>
      <c r="E329" t="inlineStr">
        <is>
          <t>TIMRÅ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41457-2022</t>
        </is>
      </c>
      <c r="B330" s="1" t="n">
        <v>44826</v>
      </c>
      <c r="C330" s="1" t="n">
        <v>45706</v>
      </c>
      <c r="D330" t="inlineStr">
        <is>
          <t>VÄSTERNORRLANDS LÄN</t>
        </is>
      </c>
      <c r="E330" t="inlineStr">
        <is>
          <t>TIMRÅ</t>
        </is>
      </c>
      <c r="G330" t="n">
        <v>2.9</v>
      </c>
      <c r="H330" t="n">
        <v>0</v>
      </c>
      <c r="I330" t="n">
        <v>0</v>
      </c>
      <c r="J330" t="n">
        <v>0</v>
      </c>
      <c r="K330" t="n">
        <v>0</v>
      </c>
      <c r="L330" t="n">
        <v>0</v>
      </c>
      <c r="M330" t="n">
        <v>0</v>
      </c>
      <c r="N330" t="n">
        <v>0</v>
      </c>
      <c r="O330" t="n">
        <v>0</v>
      </c>
      <c r="P330" t="n">
        <v>0</v>
      </c>
      <c r="Q330" t="n">
        <v>0</v>
      </c>
      <c r="R330" s="2" t="inlineStr"/>
    </row>
    <row r="331" ht="15" customHeight="1">
      <c r="A331" t="inlineStr">
        <is>
          <t>A 42281-2022</t>
        </is>
      </c>
      <c r="B331" s="1" t="n">
        <v>44830</v>
      </c>
      <c r="C331" s="1" t="n">
        <v>45706</v>
      </c>
      <c r="D331" t="inlineStr">
        <is>
          <t>VÄSTERNORRLANDS LÄN</t>
        </is>
      </c>
      <c r="E331" t="inlineStr">
        <is>
          <t>TIMRÅ</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43233-2022</t>
        </is>
      </c>
      <c r="B332" s="1" t="n">
        <v>44833</v>
      </c>
      <c r="C332" s="1" t="n">
        <v>45706</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43135-2022</t>
        </is>
      </c>
      <c r="B333" s="1" t="n">
        <v>44833</v>
      </c>
      <c r="C333" s="1" t="n">
        <v>45706</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43162-2022</t>
        </is>
      </c>
      <c r="B334" s="1" t="n">
        <v>44834</v>
      </c>
      <c r="C334" s="1" t="n">
        <v>45706</v>
      </c>
      <c r="D334" t="inlineStr">
        <is>
          <t>VÄSTERNORRLANDS LÄN</t>
        </is>
      </c>
      <c r="E334" t="inlineStr">
        <is>
          <t>TIMRÅ</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43237-2022</t>
        </is>
      </c>
      <c r="B335" s="1" t="n">
        <v>44833</v>
      </c>
      <c r="C335" s="1" t="n">
        <v>45706</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44432-2022</t>
        </is>
      </c>
      <c r="B336" s="1" t="n">
        <v>44839</v>
      </c>
      <c r="C336" s="1" t="n">
        <v>45706</v>
      </c>
      <c r="D336" t="inlineStr">
        <is>
          <t>VÄSTERNORRLANDS LÄN</t>
        </is>
      </c>
      <c r="E336" t="inlineStr">
        <is>
          <t>TIMRÅ</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44759-2022</t>
        </is>
      </c>
      <c r="B337" s="1" t="n">
        <v>44840</v>
      </c>
      <c r="C337" s="1" t="n">
        <v>45706</v>
      </c>
      <c r="D337" t="inlineStr">
        <is>
          <t>VÄSTERNORRLANDS LÄN</t>
        </is>
      </c>
      <c r="E337" t="inlineStr">
        <is>
          <t>TIMRÅ</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45688-2022</t>
        </is>
      </c>
      <c r="B338" s="1" t="n">
        <v>44845</v>
      </c>
      <c r="C338" s="1" t="n">
        <v>45706</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45695-2022</t>
        </is>
      </c>
      <c r="B339" s="1" t="n">
        <v>44846</v>
      </c>
      <c r="C339" s="1" t="n">
        <v>45706</v>
      </c>
      <c r="D339" t="inlineStr">
        <is>
          <t>VÄSTERNORRLANDS LÄN</t>
        </is>
      </c>
      <c r="E339" t="inlineStr">
        <is>
          <t>TIMRÅ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46021-2022</t>
        </is>
      </c>
      <c r="B340" s="1" t="n">
        <v>44846</v>
      </c>
      <c r="C340" s="1" t="n">
        <v>45706</v>
      </c>
      <c r="D340" t="inlineStr">
        <is>
          <t>VÄSTERNORRLANDS LÄN</t>
        </is>
      </c>
      <c r="E340" t="inlineStr">
        <is>
          <t>TIMRÅ</t>
        </is>
      </c>
      <c r="F340" t="inlineStr">
        <is>
          <t>Kyrkan</t>
        </is>
      </c>
      <c r="G340" t="n">
        <v>18</v>
      </c>
      <c r="H340" t="n">
        <v>0</v>
      </c>
      <c r="I340" t="n">
        <v>0</v>
      </c>
      <c r="J340" t="n">
        <v>0</v>
      </c>
      <c r="K340" t="n">
        <v>0</v>
      </c>
      <c r="L340" t="n">
        <v>0</v>
      </c>
      <c r="M340" t="n">
        <v>0</v>
      </c>
      <c r="N340" t="n">
        <v>0</v>
      </c>
      <c r="O340" t="n">
        <v>0</v>
      </c>
      <c r="P340" t="n">
        <v>0</v>
      </c>
      <c r="Q340" t="n">
        <v>0</v>
      </c>
      <c r="R340" s="2" t="inlineStr"/>
    </row>
    <row r="341" ht="15" customHeight="1">
      <c r="A341" t="inlineStr">
        <is>
          <t>A 46028-2022</t>
        </is>
      </c>
      <c r="B341" s="1" t="n">
        <v>44846</v>
      </c>
      <c r="C341" s="1" t="n">
        <v>45706</v>
      </c>
      <c r="D341" t="inlineStr">
        <is>
          <t>VÄSTERNORRLANDS LÄN</t>
        </is>
      </c>
      <c r="E341" t="inlineStr">
        <is>
          <t>TIMRÅ</t>
        </is>
      </c>
      <c r="F341" t="inlineStr">
        <is>
          <t>Kyrkan</t>
        </is>
      </c>
      <c r="G341" t="n">
        <v>7.9</v>
      </c>
      <c r="H341" t="n">
        <v>0</v>
      </c>
      <c r="I341" t="n">
        <v>0</v>
      </c>
      <c r="J341" t="n">
        <v>0</v>
      </c>
      <c r="K341" t="n">
        <v>0</v>
      </c>
      <c r="L341" t="n">
        <v>0</v>
      </c>
      <c r="M341" t="n">
        <v>0</v>
      </c>
      <c r="N341" t="n">
        <v>0</v>
      </c>
      <c r="O341" t="n">
        <v>0</v>
      </c>
      <c r="P341" t="n">
        <v>0</v>
      </c>
      <c r="Q341" t="n">
        <v>0</v>
      </c>
      <c r="R341" s="2" t="inlineStr"/>
    </row>
    <row r="342" ht="15" customHeight="1">
      <c r="A342" t="inlineStr">
        <is>
          <t>A 46650-2022</t>
        </is>
      </c>
      <c r="B342" s="1" t="n">
        <v>44849</v>
      </c>
      <c r="C342" s="1" t="n">
        <v>45706</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46971-2022</t>
        </is>
      </c>
      <c r="B343" s="1" t="n">
        <v>44852</v>
      </c>
      <c r="C343" s="1" t="n">
        <v>45706</v>
      </c>
      <c r="D343" t="inlineStr">
        <is>
          <t>VÄSTERNORRLANDS LÄN</t>
        </is>
      </c>
      <c r="E343" t="inlineStr">
        <is>
          <t>TIMRÅ</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47293-2022</t>
        </is>
      </c>
      <c r="B344" s="1" t="n">
        <v>44853</v>
      </c>
      <c r="C344" s="1" t="n">
        <v>45706</v>
      </c>
      <c r="D344" t="inlineStr">
        <is>
          <t>VÄSTERNORRLANDS LÄN</t>
        </is>
      </c>
      <c r="E344" t="inlineStr">
        <is>
          <t>TIMRÅ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47347-2022</t>
        </is>
      </c>
      <c r="B345" s="1" t="n">
        <v>44852</v>
      </c>
      <c r="C345" s="1" t="n">
        <v>45706</v>
      </c>
      <c r="D345" t="inlineStr">
        <is>
          <t>VÄSTERNORRLANDS LÄN</t>
        </is>
      </c>
      <c r="E345" t="inlineStr">
        <is>
          <t>TIMRÅ</t>
        </is>
      </c>
      <c r="G345" t="n">
        <v>1.7</v>
      </c>
      <c r="H345" t="n">
        <v>0</v>
      </c>
      <c r="I345" t="n">
        <v>0</v>
      </c>
      <c r="J345" t="n">
        <v>0</v>
      </c>
      <c r="K345" t="n">
        <v>0</v>
      </c>
      <c r="L345" t="n">
        <v>0</v>
      </c>
      <c r="M345" t="n">
        <v>0</v>
      </c>
      <c r="N345" t="n">
        <v>0</v>
      </c>
      <c r="O345" t="n">
        <v>0</v>
      </c>
      <c r="P345" t="n">
        <v>0</v>
      </c>
      <c r="Q345" t="n">
        <v>0</v>
      </c>
      <c r="R345" s="2" t="inlineStr"/>
    </row>
    <row r="346" ht="15" customHeight="1">
      <c r="A346" t="inlineStr">
        <is>
          <t>A 47562-2022</t>
        </is>
      </c>
      <c r="B346" s="1" t="n">
        <v>44853</v>
      </c>
      <c r="C346" s="1" t="n">
        <v>45706</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47588-2022</t>
        </is>
      </c>
      <c r="B347" s="1" t="n">
        <v>44854</v>
      </c>
      <c r="C347" s="1" t="n">
        <v>45706</v>
      </c>
      <c r="D347" t="inlineStr">
        <is>
          <t>VÄSTERNORRLANDS LÄN</t>
        </is>
      </c>
      <c r="E347" t="inlineStr">
        <is>
          <t>TIMRÅ</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47697-2022</t>
        </is>
      </c>
      <c r="B348" s="1" t="n">
        <v>44854</v>
      </c>
      <c r="C348" s="1" t="n">
        <v>45706</v>
      </c>
      <c r="D348" t="inlineStr">
        <is>
          <t>VÄSTERNORRLANDS LÄN</t>
        </is>
      </c>
      <c r="E348" t="inlineStr">
        <is>
          <t>TIMRÅ</t>
        </is>
      </c>
      <c r="G348" t="n">
        <v>3.4</v>
      </c>
      <c r="H348" t="n">
        <v>0</v>
      </c>
      <c r="I348" t="n">
        <v>0</v>
      </c>
      <c r="J348" t="n">
        <v>0</v>
      </c>
      <c r="K348" t="n">
        <v>0</v>
      </c>
      <c r="L348" t="n">
        <v>0</v>
      </c>
      <c r="M348" t="n">
        <v>0</v>
      </c>
      <c r="N348" t="n">
        <v>0</v>
      </c>
      <c r="O348" t="n">
        <v>0</v>
      </c>
      <c r="P348" t="n">
        <v>0</v>
      </c>
      <c r="Q348" t="n">
        <v>0</v>
      </c>
      <c r="R348" s="2" t="inlineStr"/>
    </row>
    <row r="349" ht="15" customHeight="1">
      <c r="A349" t="inlineStr">
        <is>
          <t>A 47815-2022</t>
        </is>
      </c>
      <c r="B349" s="1" t="n">
        <v>44854</v>
      </c>
      <c r="C349" s="1" t="n">
        <v>45706</v>
      </c>
      <c r="D349" t="inlineStr">
        <is>
          <t>VÄSTERNORRLANDS LÄN</t>
        </is>
      </c>
      <c r="E349" t="inlineStr">
        <is>
          <t>TIMRÅ</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48083-2022</t>
        </is>
      </c>
      <c r="B350" s="1" t="n">
        <v>44855</v>
      </c>
      <c r="C350" s="1" t="n">
        <v>45706</v>
      </c>
      <c r="D350" t="inlineStr">
        <is>
          <t>VÄSTERNORRLANDS LÄN</t>
        </is>
      </c>
      <c r="E350" t="inlineStr">
        <is>
          <t>TIMRÅ</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48916-2022</t>
        </is>
      </c>
      <c r="B351" s="1" t="n">
        <v>44860</v>
      </c>
      <c r="C351" s="1" t="n">
        <v>45706</v>
      </c>
      <c r="D351" t="inlineStr">
        <is>
          <t>VÄSTERNORRLANDS LÄN</t>
        </is>
      </c>
      <c r="E351" t="inlineStr">
        <is>
          <t>TIMRÅ</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48918-2022</t>
        </is>
      </c>
      <c r="B352" s="1" t="n">
        <v>44859</v>
      </c>
      <c r="C352" s="1" t="n">
        <v>45706</v>
      </c>
      <c r="D352" t="inlineStr">
        <is>
          <t>VÄSTERNORRLANDS LÄN</t>
        </is>
      </c>
      <c r="E352" t="inlineStr">
        <is>
          <t>TIMRÅ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49203-2022</t>
        </is>
      </c>
      <c r="B353" s="1" t="n">
        <v>44860</v>
      </c>
      <c r="C353" s="1" t="n">
        <v>45706</v>
      </c>
      <c r="D353" t="inlineStr">
        <is>
          <t>VÄSTERNORRLANDS LÄN</t>
        </is>
      </c>
      <c r="E353" t="inlineStr">
        <is>
          <t>TIMRÅ</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50660-2022</t>
        </is>
      </c>
      <c r="B354" s="1" t="n">
        <v>44866</v>
      </c>
      <c r="C354" s="1" t="n">
        <v>45706</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52096-2022</t>
        </is>
      </c>
      <c r="B355" s="1" t="n">
        <v>44868</v>
      </c>
      <c r="C355" s="1" t="n">
        <v>45706</v>
      </c>
      <c r="D355" t="inlineStr">
        <is>
          <t>VÄSTERNORRLANDS LÄN</t>
        </is>
      </c>
      <c r="E355" t="inlineStr">
        <is>
          <t>TIMRÅ</t>
        </is>
      </c>
      <c r="G355" t="n">
        <v>1.4</v>
      </c>
      <c r="H355" t="n">
        <v>0</v>
      </c>
      <c r="I355" t="n">
        <v>0</v>
      </c>
      <c r="J355" t="n">
        <v>0</v>
      </c>
      <c r="K355" t="n">
        <v>0</v>
      </c>
      <c r="L355" t="n">
        <v>0</v>
      </c>
      <c r="M355" t="n">
        <v>0</v>
      </c>
      <c r="N355" t="n">
        <v>0</v>
      </c>
      <c r="O355" t="n">
        <v>0</v>
      </c>
      <c r="P355" t="n">
        <v>0</v>
      </c>
      <c r="Q355" t="n">
        <v>0</v>
      </c>
      <c r="R355" s="2" t="inlineStr"/>
    </row>
    <row r="356" ht="15" customHeight="1">
      <c r="A356" t="inlineStr">
        <is>
          <t>A 51564-2022</t>
        </is>
      </c>
      <c r="B356" s="1" t="n">
        <v>44869</v>
      </c>
      <c r="C356" s="1" t="n">
        <v>45706</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51546-2022</t>
        </is>
      </c>
      <c r="B357" s="1" t="n">
        <v>44869</v>
      </c>
      <c r="C357" s="1" t="n">
        <v>45706</v>
      </c>
      <c r="D357" t="inlineStr">
        <is>
          <t>VÄSTERNORRLANDS LÄN</t>
        </is>
      </c>
      <c r="E357" t="inlineStr">
        <is>
          <t>TIMRÅ</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52213-2022</t>
        </is>
      </c>
      <c r="B358" s="1" t="n">
        <v>44869</v>
      </c>
      <c r="C358" s="1" t="n">
        <v>45706</v>
      </c>
      <c r="D358" t="inlineStr">
        <is>
          <t>VÄSTERNORRLANDS LÄN</t>
        </is>
      </c>
      <c r="E358" t="inlineStr">
        <is>
          <t>TIMRÅ</t>
        </is>
      </c>
      <c r="G358" t="n">
        <v>11.4</v>
      </c>
      <c r="H358" t="n">
        <v>0</v>
      </c>
      <c r="I358" t="n">
        <v>0</v>
      </c>
      <c r="J358" t="n">
        <v>0</v>
      </c>
      <c r="K358" t="n">
        <v>0</v>
      </c>
      <c r="L358" t="n">
        <v>0</v>
      </c>
      <c r="M358" t="n">
        <v>0</v>
      </c>
      <c r="N358" t="n">
        <v>0</v>
      </c>
      <c r="O358" t="n">
        <v>0</v>
      </c>
      <c r="P358" t="n">
        <v>0</v>
      </c>
      <c r="Q358" t="n">
        <v>0</v>
      </c>
      <c r="R358" s="2" t="inlineStr"/>
    </row>
    <row r="359" ht="15" customHeight="1">
      <c r="A359" t="inlineStr">
        <is>
          <t>A 52232-2022</t>
        </is>
      </c>
      <c r="B359" s="1" t="n">
        <v>44869</v>
      </c>
      <c r="C359" s="1" t="n">
        <v>45706</v>
      </c>
      <c r="D359" t="inlineStr">
        <is>
          <t>VÄSTERNORRLANDS LÄN</t>
        </is>
      </c>
      <c r="E359" t="inlineStr">
        <is>
          <t>TIMRÅ</t>
        </is>
      </c>
      <c r="G359" t="n">
        <v>7.9</v>
      </c>
      <c r="H359" t="n">
        <v>0</v>
      </c>
      <c r="I359" t="n">
        <v>0</v>
      </c>
      <c r="J359" t="n">
        <v>0</v>
      </c>
      <c r="K359" t="n">
        <v>0</v>
      </c>
      <c r="L359" t="n">
        <v>0</v>
      </c>
      <c r="M359" t="n">
        <v>0</v>
      </c>
      <c r="N359" t="n">
        <v>0</v>
      </c>
      <c r="O359" t="n">
        <v>0</v>
      </c>
      <c r="P359" t="n">
        <v>0</v>
      </c>
      <c r="Q359" t="n">
        <v>0</v>
      </c>
      <c r="R359" s="2" t="inlineStr"/>
    </row>
    <row r="360" ht="15" customHeight="1">
      <c r="A360" t="inlineStr">
        <is>
          <t>A 52220-2022</t>
        </is>
      </c>
      <c r="B360" s="1" t="n">
        <v>44869</v>
      </c>
      <c r="C360" s="1" t="n">
        <v>45706</v>
      </c>
      <c r="D360" t="inlineStr">
        <is>
          <t>VÄSTERNORRLANDS LÄN</t>
        </is>
      </c>
      <c r="E360" t="inlineStr">
        <is>
          <t>TIMRÅ</t>
        </is>
      </c>
      <c r="G360" t="n">
        <v>5.5</v>
      </c>
      <c r="H360" t="n">
        <v>0</v>
      </c>
      <c r="I360" t="n">
        <v>0</v>
      </c>
      <c r="J360" t="n">
        <v>0</v>
      </c>
      <c r="K360" t="n">
        <v>0</v>
      </c>
      <c r="L360" t="n">
        <v>0</v>
      </c>
      <c r="M360" t="n">
        <v>0</v>
      </c>
      <c r="N360" t="n">
        <v>0</v>
      </c>
      <c r="O360" t="n">
        <v>0</v>
      </c>
      <c r="P360" t="n">
        <v>0</v>
      </c>
      <c r="Q360" t="n">
        <v>0</v>
      </c>
      <c r="R360" s="2" t="inlineStr"/>
    </row>
    <row r="361" ht="15" customHeight="1">
      <c r="A361" t="inlineStr">
        <is>
          <t>A 51999-2022</t>
        </is>
      </c>
      <c r="B361" s="1" t="n">
        <v>44872</v>
      </c>
      <c r="C361" s="1" t="n">
        <v>45706</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52010-2022</t>
        </is>
      </c>
      <c r="B362" s="1" t="n">
        <v>44872</v>
      </c>
      <c r="C362" s="1" t="n">
        <v>45706</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52474-2022</t>
        </is>
      </c>
      <c r="B363" s="1" t="n">
        <v>44874</v>
      </c>
      <c r="C363" s="1" t="n">
        <v>45706</v>
      </c>
      <c r="D363" t="inlineStr">
        <is>
          <t>VÄSTERNORRLANDS LÄN</t>
        </is>
      </c>
      <c r="E363" t="inlineStr">
        <is>
          <t>TIMRÅ</t>
        </is>
      </c>
      <c r="G363" t="n">
        <v>0.7</v>
      </c>
      <c r="H363" t="n">
        <v>0</v>
      </c>
      <c r="I363" t="n">
        <v>0</v>
      </c>
      <c r="J363" t="n">
        <v>0</v>
      </c>
      <c r="K363" t="n">
        <v>0</v>
      </c>
      <c r="L363" t="n">
        <v>0</v>
      </c>
      <c r="M363" t="n">
        <v>0</v>
      </c>
      <c r="N363" t="n">
        <v>0</v>
      </c>
      <c r="O363" t="n">
        <v>0</v>
      </c>
      <c r="P363" t="n">
        <v>0</v>
      </c>
      <c r="Q363" t="n">
        <v>0</v>
      </c>
      <c r="R363" s="2" t="inlineStr"/>
    </row>
    <row r="364" ht="15" customHeight="1">
      <c r="A364" t="inlineStr">
        <is>
          <t>A 52448-2022</t>
        </is>
      </c>
      <c r="B364" s="1" t="n">
        <v>44874</v>
      </c>
      <c r="C364" s="1" t="n">
        <v>45706</v>
      </c>
      <c r="D364" t="inlineStr">
        <is>
          <t>VÄSTERNORRLANDS LÄN</t>
        </is>
      </c>
      <c r="E364" t="inlineStr">
        <is>
          <t>TIMRÅ</t>
        </is>
      </c>
      <c r="G364" t="n">
        <v>2.3</v>
      </c>
      <c r="H364" t="n">
        <v>0</v>
      </c>
      <c r="I364" t="n">
        <v>0</v>
      </c>
      <c r="J364" t="n">
        <v>0</v>
      </c>
      <c r="K364" t="n">
        <v>0</v>
      </c>
      <c r="L364" t="n">
        <v>0</v>
      </c>
      <c r="M364" t="n">
        <v>0</v>
      </c>
      <c r="N364" t="n">
        <v>0</v>
      </c>
      <c r="O364" t="n">
        <v>0</v>
      </c>
      <c r="P364" t="n">
        <v>0</v>
      </c>
      <c r="Q364" t="n">
        <v>0</v>
      </c>
      <c r="R364" s="2" t="inlineStr"/>
    </row>
    <row r="365" ht="15" customHeight="1">
      <c r="A365" t="inlineStr">
        <is>
          <t>A 52705-2022</t>
        </is>
      </c>
      <c r="B365" s="1" t="n">
        <v>44874</v>
      </c>
      <c r="C365" s="1" t="n">
        <v>45706</v>
      </c>
      <c r="D365" t="inlineStr">
        <is>
          <t>VÄSTERNORRLANDS LÄN</t>
        </is>
      </c>
      <c r="E365" t="inlineStr">
        <is>
          <t>TIMRÅ</t>
        </is>
      </c>
      <c r="G365" t="n">
        <v>1.6</v>
      </c>
      <c r="H365" t="n">
        <v>0</v>
      </c>
      <c r="I365" t="n">
        <v>0</v>
      </c>
      <c r="J365" t="n">
        <v>0</v>
      </c>
      <c r="K365" t="n">
        <v>0</v>
      </c>
      <c r="L365" t="n">
        <v>0</v>
      </c>
      <c r="M365" t="n">
        <v>0</v>
      </c>
      <c r="N365" t="n">
        <v>0</v>
      </c>
      <c r="O365" t="n">
        <v>0</v>
      </c>
      <c r="P365" t="n">
        <v>0</v>
      </c>
      <c r="Q365" t="n">
        <v>0</v>
      </c>
      <c r="R365" s="2" t="inlineStr"/>
    </row>
    <row r="366" ht="15" customHeight="1">
      <c r="A366" t="inlineStr">
        <is>
          <t>A 53659-2022</t>
        </is>
      </c>
      <c r="B366" s="1" t="n">
        <v>44879</v>
      </c>
      <c r="C366" s="1" t="n">
        <v>45706</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53957-2022</t>
        </is>
      </c>
      <c r="B367" s="1" t="n">
        <v>44880</v>
      </c>
      <c r="C367" s="1" t="n">
        <v>45706</v>
      </c>
      <c r="D367" t="inlineStr">
        <is>
          <t>VÄSTERNORRLANDS LÄN</t>
        </is>
      </c>
      <c r="E367" t="inlineStr">
        <is>
          <t>TIMRÅ</t>
        </is>
      </c>
      <c r="F367" t="inlineStr">
        <is>
          <t>SCA</t>
        </is>
      </c>
      <c r="G367" t="n">
        <v>6.4</v>
      </c>
      <c r="H367" t="n">
        <v>0</v>
      </c>
      <c r="I367" t="n">
        <v>0</v>
      </c>
      <c r="J367" t="n">
        <v>0</v>
      </c>
      <c r="K367" t="n">
        <v>0</v>
      </c>
      <c r="L367" t="n">
        <v>0</v>
      </c>
      <c r="M367" t="n">
        <v>0</v>
      </c>
      <c r="N367" t="n">
        <v>0</v>
      </c>
      <c r="O367" t="n">
        <v>0</v>
      </c>
      <c r="P367" t="n">
        <v>0</v>
      </c>
      <c r="Q367" t="n">
        <v>0</v>
      </c>
      <c r="R367" s="2" t="inlineStr"/>
    </row>
    <row r="368" ht="15" customHeight="1">
      <c r="A368" t="inlineStr">
        <is>
          <t>A 55357-2022</t>
        </is>
      </c>
      <c r="B368" s="1" t="n">
        <v>44882</v>
      </c>
      <c r="C368" s="1" t="n">
        <v>45706</v>
      </c>
      <c r="D368" t="inlineStr">
        <is>
          <t>VÄSTERNORRLANDS LÄN</t>
        </is>
      </c>
      <c r="E368" t="inlineStr">
        <is>
          <t>TIMRÅ</t>
        </is>
      </c>
      <c r="G368" t="n">
        <v>17.3</v>
      </c>
      <c r="H368" t="n">
        <v>0</v>
      </c>
      <c r="I368" t="n">
        <v>0</v>
      </c>
      <c r="J368" t="n">
        <v>0</v>
      </c>
      <c r="K368" t="n">
        <v>0</v>
      </c>
      <c r="L368" t="n">
        <v>0</v>
      </c>
      <c r="M368" t="n">
        <v>0</v>
      </c>
      <c r="N368" t="n">
        <v>0</v>
      </c>
      <c r="O368" t="n">
        <v>0</v>
      </c>
      <c r="P368" t="n">
        <v>0</v>
      </c>
      <c r="Q368" t="n">
        <v>0</v>
      </c>
      <c r="R368" s="2" t="inlineStr"/>
    </row>
    <row r="369" ht="15" customHeight="1">
      <c r="A369" t="inlineStr">
        <is>
          <t>A 54747-2022</t>
        </is>
      </c>
      <c r="B369" s="1" t="n">
        <v>44883</v>
      </c>
      <c r="C369" s="1" t="n">
        <v>45706</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55179-2022</t>
        </is>
      </c>
      <c r="B370" s="1" t="n">
        <v>44886</v>
      </c>
      <c r="C370" s="1" t="n">
        <v>45706</v>
      </c>
      <c r="D370" t="inlineStr">
        <is>
          <t>VÄSTERNORRLANDS LÄN</t>
        </is>
      </c>
      <c r="E370" t="inlineStr">
        <is>
          <t>TIMRÅ</t>
        </is>
      </c>
      <c r="G370" t="n">
        <v>0.4</v>
      </c>
      <c r="H370" t="n">
        <v>0</v>
      </c>
      <c r="I370" t="n">
        <v>0</v>
      </c>
      <c r="J370" t="n">
        <v>0</v>
      </c>
      <c r="K370" t="n">
        <v>0</v>
      </c>
      <c r="L370" t="n">
        <v>0</v>
      </c>
      <c r="M370" t="n">
        <v>0</v>
      </c>
      <c r="N370" t="n">
        <v>0</v>
      </c>
      <c r="O370" t="n">
        <v>0</v>
      </c>
      <c r="P370" t="n">
        <v>0</v>
      </c>
      <c r="Q370" t="n">
        <v>0</v>
      </c>
      <c r="R370" s="2" t="inlineStr"/>
    </row>
    <row r="371" ht="15" customHeight="1">
      <c r="A371" t="inlineStr">
        <is>
          <t>A 55240-2022</t>
        </is>
      </c>
      <c r="B371" s="1" t="n">
        <v>44887</v>
      </c>
      <c r="C371" s="1" t="n">
        <v>45706</v>
      </c>
      <c r="D371" t="inlineStr">
        <is>
          <t>VÄSTERNORRLANDS LÄN</t>
        </is>
      </c>
      <c r="E371" t="inlineStr">
        <is>
          <t>TIMRÅ</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55521-2022</t>
        </is>
      </c>
      <c r="B372" s="1" t="n">
        <v>44887</v>
      </c>
      <c r="C372" s="1" t="n">
        <v>45706</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55511-2022</t>
        </is>
      </c>
      <c r="B373" s="1" t="n">
        <v>44887</v>
      </c>
      <c r="C373" s="1" t="n">
        <v>45706</v>
      </c>
      <c r="D373" t="inlineStr">
        <is>
          <t>VÄSTERNORRLANDS LÄN</t>
        </is>
      </c>
      <c r="E373" t="inlineStr">
        <is>
          <t>TIMRÅ</t>
        </is>
      </c>
      <c r="G373" t="n">
        <v>0.5</v>
      </c>
      <c r="H373" t="n">
        <v>0</v>
      </c>
      <c r="I373" t="n">
        <v>0</v>
      </c>
      <c r="J373" t="n">
        <v>0</v>
      </c>
      <c r="K373" t="n">
        <v>0</v>
      </c>
      <c r="L373" t="n">
        <v>0</v>
      </c>
      <c r="M373" t="n">
        <v>0</v>
      </c>
      <c r="N373" t="n">
        <v>0</v>
      </c>
      <c r="O373" t="n">
        <v>0</v>
      </c>
      <c r="P373" t="n">
        <v>0</v>
      </c>
      <c r="Q373" t="n">
        <v>0</v>
      </c>
      <c r="R373" s="2" t="inlineStr"/>
    </row>
    <row r="374" ht="15" customHeight="1">
      <c r="A374" t="inlineStr">
        <is>
          <t>A 55510-2022</t>
        </is>
      </c>
      <c r="B374" s="1" t="n">
        <v>44887</v>
      </c>
      <c r="C374" s="1" t="n">
        <v>45706</v>
      </c>
      <c r="D374" t="inlineStr">
        <is>
          <t>VÄSTERNORRLANDS LÄN</t>
        </is>
      </c>
      <c r="E374" t="inlineStr">
        <is>
          <t>TIMRÅ</t>
        </is>
      </c>
      <c r="G374" t="n">
        <v>0.8</v>
      </c>
      <c r="H374" t="n">
        <v>0</v>
      </c>
      <c r="I374" t="n">
        <v>0</v>
      </c>
      <c r="J374" t="n">
        <v>0</v>
      </c>
      <c r="K374" t="n">
        <v>0</v>
      </c>
      <c r="L374" t="n">
        <v>0</v>
      </c>
      <c r="M374" t="n">
        <v>0</v>
      </c>
      <c r="N374" t="n">
        <v>0</v>
      </c>
      <c r="O374" t="n">
        <v>0</v>
      </c>
      <c r="P374" t="n">
        <v>0</v>
      </c>
      <c r="Q374" t="n">
        <v>0</v>
      </c>
      <c r="R374" s="2" t="inlineStr"/>
    </row>
    <row r="375" ht="15" customHeight="1">
      <c r="A375" t="inlineStr">
        <is>
          <t>A 55517-2022</t>
        </is>
      </c>
      <c r="B375" s="1" t="n">
        <v>44887</v>
      </c>
      <c r="C375" s="1" t="n">
        <v>45706</v>
      </c>
      <c r="D375" t="inlineStr">
        <is>
          <t>VÄSTERNORRLANDS LÄN</t>
        </is>
      </c>
      <c r="E375" t="inlineStr">
        <is>
          <t>TIMRÅ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55872-2022</t>
        </is>
      </c>
      <c r="B376" s="1" t="n">
        <v>44888</v>
      </c>
      <c r="C376" s="1" t="n">
        <v>45706</v>
      </c>
      <c r="D376" t="inlineStr">
        <is>
          <t>VÄSTERNORRLANDS LÄN</t>
        </is>
      </c>
      <c r="E376" t="inlineStr">
        <is>
          <t>TIMRÅ</t>
        </is>
      </c>
      <c r="G376" t="n">
        <v>4.7</v>
      </c>
      <c r="H376" t="n">
        <v>0</v>
      </c>
      <c r="I376" t="n">
        <v>0</v>
      </c>
      <c r="J376" t="n">
        <v>0</v>
      </c>
      <c r="K376" t="n">
        <v>0</v>
      </c>
      <c r="L376" t="n">
        <v>0</v>
      </c>
      <c r="M376" t="n">
        <v>0</v>
      </c>
      <c r="N376" t="n">
        <v>0</v>
      </c>
      <c r="O376" t="n">
        <v>0</v>
      </c>
      <c r="P376" t="n">
        <v>0</v>
      </c>
      <c r="Q376" t="n">
        <v>0</v>
      </c>
      <c r="R376" s="2" t="inlineStr"/>
    </row>
    <row r="377" ht="15" customHeight="1">
      <c r="A377" t="inlineStr">
        <is>
          <t>A 55886-2022</t>
        </is>
      </c>
      <c r="B377" s="1" t="n">
        <v>44888</v>
      </c>
      <c r="C377" s="1" t="n">
        <v>45706</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56170-2022</t>
        </is>
      </c>
      <c r="B378" s="1" t="n">
        <v>44889</v>
      </c>
      <c r="C378" s="1" t="n">
        <v>45706</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57403-2022</t>
        </is>
      </c>
      <c r="B379" s="1" t="n">
        <v>44889</v>
      </c>
      <c r="C379" s="1" t="n">
        <v>45706</v>
      </c>
      <c r="D379" t="inlineStr">
        <is>
          <t>VÄSTERNORRLANDS LÄN</t>
        </is>
      </c>
      <c r="E379" t="inlineStr">
        <is>
          <t>TIMRÅ</t>
        </is>
      </c>
      <c r="G379" t="n">
        <v>9.6</v>
      </c>
      <c r="H379" t="n">
        <v>0</v>
      </c>
      <c r="I379" t="n">
        <v>0</v>
      </c>
      <c r="J379" t="n">
        <v>0</v>
      </c>
      <c r="K379" t="n">
        <v>0</v>
      </c>
      <c r="L379" t="n">
        <v>0</v>
      </c>
      <c r="M379" t="n">
        <v>0</v>
      </c>
      <c r="N379" t="n">
        <v>0</v>
      </c>
      <c r="O379" t="n">
        <v>0</v>
      </c>
      <c r="P379" t="n">
        <v>0</v>
      </c>
      <c r="Q379" t="n">
        <v>0</v>
      </c>
      <c r="R379" s="2" t="inlineStr"/>
    </row>
    <row r="380" ht="15" customHeight="1">
      <c r="A380" t="inlineStr">
        <is>
          <t>A 57380-2022</t>
        </is>
      </c>
      <c r="B380" s="1" t="n">
        <v>44889</v>
      </c>
      <c r="C380" s="1" t="n">
        <v>45706</v>
      </c>
      <c r="D380" t="inlineStr">
        <is>
          <t>VÄSTERNORRLANDS LÄN</t>
        </is>
      </c>
      <c r="E380" t="inlineStr">
        <is>
          <t>TIMRÅ</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56410-2022</t>
        </is>
      </c>
      <c r="B381" s="1" t="n">
        <v>44890</v>
      </c>
      <c r="C381" s="1" t="n">
        <v>45706</v>
      </c>
      <c r="D381" t="inlineStr">
        <is>
          <t>VÄSTERNORRLANDS LÄN</t>
        </is>
      </c>
      <c r="E381" t="inlineStr">
        <is>
          <t>TIMRÅ</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56723-2022</t>
        </is>
      </c>
      <c r="B382" s="1" t="n">
        <v>44893</v>
      </c>
      <c r="C382" s="1" t="n">
        <v>45706</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57268-2022</t>
        </is>
      </c>
      <c r="B383" s="1" t="n">
        <v>44895</v>
      </c>
      <c r="C383" s="1" t="n">
        <v>45706</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57841-2022</t>
        </is>
      </c>
      <c r="B384" s="1" t="n">
        <v>44897</v>
      </c>
      <c r="C384" s="1" t="n">
        <v>45706</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57840-2022</t>
        </is>
      </c>
      <c r="B385" s="1" t="n">
        <v>44897</v>
      </c>
      <c r="C385" s="1" t="n">
        <v>45706</v>
      </c>
      <c r="D385" t="inlineStr">
        <is>
          <t>VÄSTERNORRLANDS LÄN</t>
        </is>
      </c>
      <c r="E385" t="inlineStr">
        <is>
          <t>TIMRÅ</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58188-2022</t>
        </is>
      </c>
      <c r="B386" s="1" t="n">
        <v>44900</v>
      </c>
      <c r="C386" s="1" t="n">
        <v>45706</v>
      </c>
      <c r="D386" t="inlineStr">
        <is>
          <t>VÄSTERNORRLANDS LÄN</t>
        </is>
      </c>
      <c r="E386" t="inlineStr">
        <is>
          <t>TIMRÅ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59942-2022</t>
        </is>
      </c>
      <c r="B387" s="1" t="n">
        <v>44901</v>
      </c>
      <c r="C387" s="1" t="n">
        <v>45706</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59128-2022</t>
        </is>
      </c>
      <c r="B388" s="1" t="n">
        <v>44904</v>
      </c>
      <c r="C388" s="1" t="n">
        <v>45706</v>
      </c>
      <c r="D388" t="inlineStr">
        <is>
          <t>VÄSTERNORRLANDS LÄN</t>
        </is>
      </c>
      <c r="E388" t="inlineStr">
        <is>
          <t>TIMRÅ</t>
        </is>
      </c>
      <c r="G388" t="n">
        <v>9</v>
      </c>
      <c r="H388" t="n">
        <v>0</v>
      </c>
      <c r="I388" t="n">
        <v>0</v>
      </c>
      <c r="J388" t="n">
        <v>0</v>
      </c>
      <c r="K388" t="n">
        <v>0</v>
      </c>
      <c r="L388" t="n">
        <v>0</v>
      </c>
      <c r="M388" t="n">
        <v>0</v>
      </c>
      <c r="N388" t="n">
        <v>0</v>
      </c>
      <c r="O388" t="n">
        <v>0</v>
      </c>
      <c r="P388" t="n">
        <v>0</v>
      </c>
      <c r="Q388" t="n">
        <v>0</v>
      </c>
      <c r="R388" s="2" t="inlineStr"/>
    </row>
    <row r="389" ht="15" customHeight="1">
      <c r="A389" t="inlineStr">
        <is>
          <t>A 60166-2022</t>
        </is>
      </c>
      <c r="B389" s="1" t="n">
        <v>44909</v>
      </c>
      <c r="C389" s="1" t="n">
        <v>45706</v>
      </c>
      <c r="D389" t="inlineStr">
        <is>
          <t>VÄSTERNORRLANDS LÄN</t>
        </is>
      </c>
      <c r="E389" t="inlineStr">
        <is>
          <t>TIMRÅ</t>
        </is>
      </c>
      <c r="G389" t="n">
        <v>1.8</v>
      </c>
      <c r="H389" t="n">
        <v>0</v>
      </c>
      <c r="I389" t="n">
        <v>0</v>
      </c>
      <c r="J389" t="n">
        <v>0</v>
      </c>
      <c r="K389" t="n">
        <v>0</v>
      </c>
      <c r="L389" t="n">
        <v>0</v>
      </c>
      <c r="M389" t="n">
        <v>0</v>
      </c>
      <c r="N389" t="n">
        <v>0</v>
      </c>
      <c r="O389" t="n">
        <v>0</v>
      </c>
      <c r="P389" t="n">
        <v>0</v>
      </c>
      <c r="Q389" t="n">
        <v>0</v>
      </c>
      <c r="R389" s="2" t="inlineStr"/>
    </row>
    <row r="390" ht="15" customHeight="1">
      <c r="A390" t="inlineStr">
        <is>
          <t>A 61576-2022</t>
        </is>
      </c>
      <c r="B390" s="1" t="n">
        <v>44910</v>
      </c>
      <c r="C390" s="1" t="n">
        <v>45706</v>
      </c>
      <c r="D390" t="inlineStr">
        <is>
          <t>VÄSTERNORRLANDS LÄN</t>
        </is>
      </c>
      <c r="E390" t="inlineStr">
        <is>
          <t>TIMRÅ</t>
        </is>
      </c>
      <c r="G390" t="n">
        <v>4</v>
      </c>
      <c r="H390" t="n">
        <v>0</v>
      </c>
      <c r="I390" t="n">
        <v>0</v>
      </c>
      <c r="J390" t="n">
        <v>0</v>
      </c>
      <c r="K390" t="n">
        <v>0</v>
      </c>
      <c r="L390" t="n">
        <v>0</v>
      </c>
      <c r="M390" t="n">
        <v>0</v>
      </c>
      <c r="N390" t="n">
        <v>0</v>
      </c>
      <c r="O390" t="n">
        <v>0</v>
      </c>
      <c r="P390" t="n">
        <v>0</v>
      </c>
      <c r="Q390" t="n">
        <v>0</v>
      </c>
      <c r="R390" s="2" t="inlineStr"/>
    </row>
    <row r="391" ht="15" customHeight="1">
      <c r="A391" t="inlineStr">
        <is>
          <t>A 61373-2022</t>
        </is>
      </c>
      <c r="B391" s="1" t="n">
        <v>44915</v>
      </c>
      <c r="C391" s="1" t="n">
        <v>45706</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62113-2022</t>
        </is>
      </c>
      <c r="B392" s="1" t="n">
        <v>44921</v>
      </c>
      <c r="C392" s="1" t="n">
        <v>45706</v>
      </c>
      <c r="D392" t="inlineStr">
        <is>
          <t>VÄSTERNORRLANDS LÄN</t>
        </is>
      </c>
      <c r="E392" t="inlineStr">
        <is>
          <t>TIMRÅ</t>
        </is>
      </c>
      <c r="G392" t="n">
        <v>1</v>
      </c>
      <c r="H392" t="n">
        <v>0</v>
      </c>
      <c r="I392" t="n">
        <v>0</v>
      </c>
      <c r="J392" t="n">
        <v>0</v>
      </c>
      <c r="K392" t="n">
        <v>0</v>
      </c>
      <c r="L392" t="n">
        <v>0</v>
      </c>
      <c r="M392" t="n">
        <v>0</v>
      </c>
      <c r="N392" t="n">
        <v>0</v>
      </c>
      <c r="O392" t="n">
        <v>0</v>
      </c>
      <c r="P392" t="n">
        <v>0</v>
      </c>
      <c r="Q392" t="n">
        <v>0</v>
      </c>
      <c r="R392" s="2" t="inlineStr"/>
    </row>
    <row r="393" ht="15" customHeight="1">
      <c r="A393" t="inlineStr">
        <is>
          <t>A 528-2023</t>
        </is>
      </c>
      <c r="B393" s="1" t="n">
        <v>44924</v>
      </c>
      <c r="C393" s="1" t="n">
        <v>45706</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524-2023</t>
        </is>
      </c>
      <c r="B394" s="1" t="n">
        <v>44924</v>
      </c>
      <c r="C394" s="1" t="n">
        <v>45706</v>
      </c>
      <c r="D394" t="inlineStr">
        <is>
          <t>VÄSTERNORRLANDS LÄN</t>
        </is>
      </c>
      <c r="E394" t="inlineStr">
        <is>
          <t>TIMRÅ</t>
        </is>
      </c>
      <c r="G394" t="n">
        <v>3</v>
      </c>
      <c r="H394" t="n">
        <v>0</v>
      </c>
      <c r="I394" t="n">
        <v>0</v>
      </c>
      <c r="J394" t="n">
        <v>0</v>
      </c>
      <c r="K394" t="n">
        <v>0</v>
      </c>
      <c r="L394" t="n">
        <v>0</v>
      </c>
      <c r="M394" t="n">
        <v>0</v>
      </c>
      <c r="N394" t="n">
        <v>0</v>
      </c>
      <c r="O394" t="n">
        <v>0</v>
      </c>
      <c r="P394" t="n">
        <v>0</v>
      </c>
      <c r="Q394" t="n">
        <v>0</v>
      </c>
      <c r="R394" s="2" t="inlineStr"/>
    </row>
    <row r="395" ht="15" customHeight="1">
      <c r="A395" t="inlineStr">
        <is>
          <t>A 704-2023</t>
        </is>
      </c>
      <c r="B395" s="1" t="n">
        <v>44930</v>
      </c>
      <c r="C395" s="1" t="n">
        <v>45706</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1416-2023</t>
        </is>
      </c>
      <c r="B396" s="1" t="n">
        <v>44936</v>
      </c>
      <c r="C396" s="1" t="n">
        <v>45706</v>
      </c>
      <c r="D396" t="inlineStr">
        <is>
          <t>VÄSTERNORRLANDS LÄN</t>
        </is>
      </c>
      <c r="E396" t="inlineStr">
        <is>
          <t>TIMRÅ</t>
        </is>
      </c>
      <c r="G396" t="n">
        <v>0.6</v>
      </c>
      <c r="H396" t="n">
        <v>0</v>
      </c>
      <c r="I396" t="n">
        <v>0</v>
      </c>
      <c r="J396" t="n">
        <v>0</v>
      </c>
      <c r="K396" t="n">
        <v>0</v>
      </c>
      <c r="L396" t="n">
        <v>0</v>
      </c>
      <c r="M396" t="n">
        <v>0</v>
      </c>
      <c r="N396" t="n">
        <v>0</v>
      </c>
      <c r="O396" t="n">
        <v>0</v>
      </c>
      <c r="P396" t="n">
        <v>0</v>
      </c>
      <c r="Q396" t="n">
        <v>0</v>
      </c>
      <c r="R396" s="2" t="inlineStr"/>
    </row>
    <row r="397" ht="15" customHeight="1">
      <c r="A397" t="inlineStr">
        <is>
          <t>A 1415-2023</t>
        </is>
      </c>
      <c r="B397" s="1" t="n">
        <v>44936</v>
      </c>
      <c r="C397" s="1" t="n">
        <v>45706</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1896-2023</t>
        </is>
      </c>
      <c r="B398" s="1" t="n">
        <v>44939</v>
      </c>
      <c r="C398" s="1" t="n">
        <v>45706</v>
      </c>
      <c r="D398" t="inlineStr">
        <is>
          <t>VÄSTERNORRLANDS LÄN</t>
        </is>
      </c>
      <c r="E398" t="inlineStr">
        <is>
          <t>TIMRÅ</t>
        </is>
      </c>
      <c r="G398" t="n">
        <v>7.6</v>
      </c>
      <c r="H398" t="n">
        <v>0</v>
      </c>
      <c r="I398" t="n">
        <v>0</v>
      </c>
      <c r="J398" t="n">
        <v>0</v>
      </c>
      <c r="K398" t="n">
        <v>0</v>
      </c>
      <c r="L398" t="n">
        <v>0</v>
      </c>
      <c r="M398" t="n">
        <v>0</v>
      </c>
      <c r="N398" t="n">
        <v>0</v>
      </c>
      <c r="O398" t="n">
        <v>0</v>
      </c>
      <c r="P398" t="n">
        <v>0</v>
      </c>
      <c r="Q398" t="n">
        <v>0</v>
      </c>
      <c r="R398" s="2" t="inlineStr"/>
    </row>
    <row r="399" ht="15" customHeight="1">
      <c r="A399" t="inlineStr">
        <is>
          <t>A 1935-2023</t>
        </is>
      </c>
      <c r="B399" s="1" t="n">
        <v>44939</v>
      </c>
      <c r="C399" s="1" t="n">
        <v>45706</v>
      </c>
      <c r="D399" t="inlineStr">
        <is>
          <t>VÄSTERNORRLANDS LÄN</t>
        </is>
      </c>
      <c r="E399" t="inlineStr">
        <is>
          <t>TIMRÅ</t>
        </is>
      </c>
      <c r="G399" t="n">
        <v>5</v>
      </c>
      <c r="H399" t="n">
        <v>0</v>
      </c>
      <c r="I399" t="n">
        <v>0</v>
      </c>
      <c r="J399" t="n">
        <v>0</v>
      </c>
      <c r="K399" t="n">
        <v>0</v>
      </c>
      <c r="L399" t="n">
        <v>0</v>
      </c>
      <c r="M399" t="n">
        <v>0</v>
      </c>
      <c r="N399" t="n">
        <v>0</v>
      </c>
      <c r="O399" t="n">
        <v>0</v>
      </c>
      <c r="P399" t="n">
        <v>0</v>
      </c>
      <c r="Q399" t="n">
        <v>0</v>
      </c>
      <c r="R399" s="2" t="inlineStr"/>
    </row>
    <row r="400" ht="15" customHeight="1">
      <c r="A400" t="inlineStr">
        <is>
          <t>A 2434-2023</t>
        </is>
      </c>
      <c r="B400" s="1" t="n">
        <v>44943</v>
      </c>
      <c r="C400" s="1" t="n">
        <v>45706</v>
      </c>
      <c r="D400" t="inlineStr">
        <is>
          <t>VÄSTERNORRLANDS LÄN</t>
        </is>
      </c>
      <c r="E400" t="inlineStr">
        <is>
          <t>TIMRÅ</t>
        </is>
      </c>
      <c r="G400" t="n">
        <v>6.6</v>
      </c>
      <c r="H400" t="n">
        <v>0</v>
      </c>
      <c r="I400" t="n">
        <v>0</v>
      </c>
      <c r="J400" t="n">
        <v>0</v>
      </c>
      <c r="K400" t="n">
        <v>0</v>
      </c>
      <c r="L400" t="n">
        <v>0</v>
      </c>
      <c r="M400" t="n">
        <v>0</v>
      </c>
      <c r="N400" t="n">
        <v>0</v>
      </c>
      <c r="O400" t="n">
        <v>0</v>
      </c>
      <c r="P400" t="n">
        <v>0</v>
      </c>
      <c r="Q400" t="n">
        <v>0</v>
      </c>
      <c r="R400" s="2" t="inlineStr"/>
    </row>
    <row r="401" ht="15" customHeight="1">
      <c r="A401" t="inlineStr">
        <is>
          <t>A 4124-2023</t>
        </is>
      </c>
      <c r="B401" s="1" t="n">
        <v>44952</v>
      </c>
      <c r="C401" s="1" t="n">
        <v>45706</v>
      </c>
      <c r="D401" t="inlineStr">
        <is>
          <t>VÄSTERNORRLANDS LÄN</t>
        </is>
      </c>
      <c r="E401" t="inlineStr">
        <is>
          <t>TIMRÅ</t>
        </is>
      </c>
      <c r="G401" t="n">
        <v>4.4</v>
      </c>
      <c r="H401" t="n">
        <v>0</v>
      </c>
      <c r="I401" t="n">
        <v>0</v>
      </c>
      <c r="J401" t="n">
        <v>0</v>
      </c>
      <c r="K401" t="n">
        <v>0</v>
      </c>
      <c r="L401" t="n">
        <v>0</v>
      </c>
      <c r="M401" t="n">
        <v>0</v>
      </c>
      <c r="N401" t="n">
        <v>0</v>
      </c>
      <c r="O401" t="n">
        <v>0</v>
      </c>
      <c r="P401" t="n">
        <v>0</v>
      </c>
      <c r="Q401" t="n">
        <v>0</v>
      </c>
      <c r="R401" s="2" t="inlineStr"/>
    </row>
    <row r="402" ht="15" customHeight="1">
      <c r="A402" t="inlineStr">
        <is>
          <t>A 4123-2023</t>
        </is>
      </c>
      <c r="B402" s="1" t="n">
        <v>44952</v>
      </c>
      <c r="C402" s="1" t="n">
        <v>45706</v>
      </c>
      <c r="D402" t="inlineStr">
        <is>
          <t>VÄSTERNORRLANDS LÄN</t>
        </is>
      </c>
      <c r="E402" t="inlineStr">
        <is>
          <t>TIMRÅ</t>
        </is>
      </c>
      <c r="G402" t="n">
        <v>9.5</v>
      </c>
      <c r="H402" t="n">
        <v>0</v>
      </c>
      <c r="I402" t="n">
        <v>0</v>
      </c>
      <c r="J402" t="n">
        <v>0</v>
      </c>
      <c r="K402" t="n">
        <v>0</v>
      </c>
      <c r="L402" t="n">
        <v>0</v>
      </c>
      <c r="M402" t="n">
        <v>0</v>
      </c>
      <c r="N402" t="n">
        <v>0</v>
      </c>
      <c r="O402" t="n">
        <v>0</v>
      </c>
      <c r="P402" t="n">
        <v>0</v>
      </c>
      <c r="Q402" t="n">
        <v>0</v>
      </c>
      <c r="R402" s="2" t="inlineStr"/>
    </row>
    <row r="403" ht="15" customHeight="1">
      <c r="A403" t="inlineStr">
        <is>
          <t>A 4126-2023</t>
        </is>
      </c>
      <c r="B403" s="1" t="n">
        <v>44952</v>
      </c>
      <c r="C403" s="1" t="n">
        <v>45706</v>
      </c>
      <c r="D403" t="inlineStr">
        <is>
          <t>VÄSTERNORRLANDS LÄN</t>
        </is>
      </c>
      <c r="E403" t="inlineStr">
        <is>
          <t>TIMRÅ</t>
        </is>
      </c>
      <c r="G403" t="n">
        <v>1.7</v>
      </c>
      <c r="H403" t="n">
        <v>0</v>
      </c>
      <c r="I403" t="n">
        <v>0</v>
      </c>
      <c r="J403" t="n">
        <v>0</v>
      </c>
      <c r="K403" t="n">
        <v>0</v>
      </c>
      <c r="L403" t="n">
        <v>0</v>
      </c>
      <c r="M403" t="n">
        <v>0</v>
      </c>
      <c r="N403" t="n">
        <v>0</v>
      </c>
      <c r="O403" t="n">
        <v>0</v>
      </c>
      <c r="P403" t="n">
        <v>0</v>
      </c>
      <c r="Q403" t="n">
        <v>0</v>
      </c>
      <c r="R403" s="2" t="inlineStr"/>
    </row>
    <row r="404" ht="15" customHeight="1">
      <c r="A404" t="inlineStr">
        <is>
          <t>A 4125-2023</t>
        </is>
      </c>
      <c r="B404" s="1" t="n">
        <v>44952</v>
      </c>
      <c r="C404" s="1" t="n">
        <v>45706</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4129-2023</t>
        </is>
      </c>
      <c r="B405" s="1" t="n">
        <v>44952</v>
      </c>
      <c r="C405" s="1" t="n">
        <v>45706</v>
      </c>
      <c r="D405" t="inlineStr">
        <is>
          <t>VÄSTERNORRLANDS LÄN</t>
        </is>
      </c>
      <c r="E405" t="inlineStr">
        <is>
          <t>TIMRÅ</t>
        </is>
      </c>
      <c r="G405" t="n">
        <v>13.3</v>
      </c>
      <c r="H405" t="n">
        <v>0</v>
      </c>
      <c r="I405" t="n">
        <v>0</v>
      </c>
      <c r="J405" t="n">
        <v>0</v>
      </c>
      <c r="K405" t="n">
        <v>0</v>
      </c>
      <c r="L405" t="n">
        <v>0</v>
      </c>
      <c r="M405" t="n">
        <v>0</v>
      </c>
      <c r="N405" t="n">
        <v>0</v>
      </c>
      <c r="O405" t="n">
        <v>0</v>
      </c>
      <c r="P405" t="n">
        <v>0</v>
      </c>
      <c r="Q405" t="n">
        <v>0</v>
      </c>
      <c r="R405" s="2" t="inlineStr"/>
    </row>
    <row r="406" ht="15" customHeight="1">
      <c r="A406" t="inlineStr">
        <is>
          <t>A 6772-2023</t>
        </is>
      </c>
      <c r="B406" s="1" t="n">
        <v>44966</v>
      </c>
      <c r="C406" s="1" t="n">
        <v>45706</v>
      </c>
      <c r="D406" t="inlineStr">
        <is>
          <t>VÄSTERNORRLANDS LÄN</t>
        </is>
      </c>
      <c r="E406" t="inlineStr">
        <is>
          <t>TIMRÅ</t>
        </is>
      </c>
      <c r="G406" t="n">
        <v>1.9</v>
      </c>
      <c r="H406" t="n">
        <v>0</v>
      </c>
      <c r="I406" t="n">
        <v>0</v>
      </c>
      <c r="J406" t="n">
        <v>0</v>
      </c>
      <c r="K406" t="n">
        <v>0</v>
      </c>
      <c r="L406" t="n">
        <v>0</v>
      </c>
      <c r="M406" t="n">
        <v>0</v>
      </c>
      <c r="N406" t="n">
        <v>0</v>
      </c>
      <c r="O406" t="n">
        <v>0</v>
      </c>
      <c r="P406" t="n">
        <v>0</v>
      </c>
      <c r="Q406" t="n">
        <v>0</v>
      </c>
      <c r="R406" s="2" t="inlineStr"/>
    </row>
    <row r="407" ht="15" customHeight="1">
      <c r="A407" t="inlineStr">
        <is>
          <t>A 6770-2023</t>
        </is>
      </c>
      <c r="B407" s="1" t="n">
        <v>44966</v>
      </c>
      <c r="C407" s="1" t="n">
        <v>45706</v>
      </c>
      <c r="D407" t="inlineStr">
        <is>
          <t>VÄSTERNORRLANDS LÄN</t>
        </is>
      </c>
      <c r="E407" t="inlineStr">
        <is>
          <t>TIMRÅ</t>
        </is>
      </c>
      <c r="G407" t="n">
        <v>3.3</v>
      </c>
      <c r="H407" t="n">
        <v>0</v>
      </c>
      <c r="I407" t="n">
        <v>0</v>
      </c>
      <c r="J407" t="n">
        <v>0</v>
      </c>
      <c r="K407" t="n">
        <v>0</v>
      </c>
      <c r="L407" t="n">
        <v>0</v>
      </c>
      <c r="M407" t="n">
        <v>0</v>
      </c>
      <c r="N407" t="n">
        <v>0</v>
      </c>
      <c r="O407" t="n">
        <v>0</v>
      </c>
      <c r="P407" t="n">
        <v>0</v>
      </c>
      <c r="Q407" t="n">
        <v>0</v>
      </c>
      <c r="R407" s="2" t="inlineStr"/>
    </row>
    <row r="408" ht="15" customHeight="1">
      <c r="A408" t="inlineStr">
        <is>
          <t>A 6771-2023</t>
        </is>
      </c>
      <c r="B408" s="1" t="n">
        <v>44966</v>
      </c>
      <c r="C408" s="1" t="n">
        <v>45706</v>
      </c>
      <c r="D408" t="inlineStr">
        <is>
          <t>VÄSTERNORRLANDS LÄN</t>
        </is>
      </c>
      <c r="E408" t="inlineStr">
        <is>
          <t>TIMRÅ</t>
        </is>
      </c>
      <c r="G408" t="n">
        <v>3</v>
      </c>
      <c r="H408" t="n">
        <v>0</v>
      </c>
      <c r="I408" t="n">
        <v>0</v>
      </c>
      <c r="J408" t="n">
        <v>0</v>
      </c>
      <c r="K408" t="n">
        <v>0</v>
      </c>
      <c r="L408" t="n">
        <v>0</v>
      </c>
      <c r="M408" t="n">
        <v>0</v>
      </c>
      <c r="N408" t="n">
        <v>0</v>
      </c>
      <c r="O408" t="n">
        <v>0</v>
      </c>
      <c r="P408" t="n">
        <v>0</v>
      </c>
      <c r="Q408" t="n">
        <v>0</v>
      </c>
      <c r="R408" s="2" t="inlineStr"/>
    </row>
    <row r="409" ht="15" customHeight="1">
      <c r="A409" t="inlineStr">
        <is>
          <t>A 8632-2023</t>
        </is>
      </c>
      <c r="B409" s="1" t="n">
        <v>44977</v>
      </c>
      <c r="C409" s="1" t="n">
        <v>45706</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9612-2023</t>
        </is>
      </c>
      <c r="B410" s="1" t="n">
        <v>44983</v>
      </c>
      <c r="C410" s="1" t="n">
        <v>45706</v>
      </c>
      <c r="D410" t="inlineStr">
        <is>
          <t>VÄSTERNORRLANDS LÄN</t>
        </is>
      </c>
      <c r="E410" t="inlineStr">
        <is>
          <t>TIMRÅ</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9880-2023</t>
        </is>
      </c>
      <c r="B411" s="1" t="n">
        <v>44984</v>
      </c>
      <c r="C411" s="1" t="n">
        <v>45706</v>
      </c>
      <c r="D411" t="inlineStr">
        <is>
          <t>VÄSTERNORRLANDS LÄN</t>
        </is>
      </c>
      <c r="E411" t="inlineStr">
        <is>
          <t>TIMRÅ</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10103-2023</t>
        </is>
      </c>
      <c r="B412" s="1" t="n">
        <v>44985</v>
      </c>
      <c r="C412" s="1" t="n">
        <v>45706</v>
      </c>
      <c r="D412" t="inlineStr">
        <is>
          <t>VÄSTERNORRLANDS LÄN</t>
        </is>
      </c>
      <c r="E412" t="inlineStr">
        <is>
          <t>TIMRÅ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10104-2023</t>
        </is>
      </c>
      <c r="B413" s="1" t="n">
        <v>44985</v>
      </c>
      <c r="C413" s="1" t="n">
        <v>45706</v>
      </c>
      <c r="D413" t="inlineStr">
        <is>
          <t>VÄSTERNORRLANDS LÄN</t>
        </is>
      </c>
      <c r="E413" t="inlineStr">
        <is>
          <t>TIMRÅ</t>
        </is>
      </c>
      <c r="F413" t="inlineStr">
        <is>
          <t>SCA</t>
        </is>
      </c>
      <c r="G413" t="n">
        <v>10.5</v>
      </c>
      <c r="H413" t="n">
        <v>0</v>
      </c>
      <c r="I413" t="n">
        <v>0</v>
      </c>
      <c r="J413" t="n">
        <v>0</v>
      </c>
      <c r="K413" t="n">
        <v>0</v>
      </c>
      <c r="L413" t="n">
        <v>0</v>
      </c>
      <c r="M413" t="n">
        <v>0</v>
      </c>
      <c r="N413" t="n">
        <v>0</v>
      </c>
      <c r="O413" t="n">
        <v>0</v>
      </c>
      <c r="P413" t="n">
        <v>0</v>
      </c>
      <c r="Q413" t="n">
        <v>0</v>
      </c>
      <c r="R413" s="2" t="inlineStr"/>
    </row>
    <row r="414" ht="15" customHeight="1">
      <c r="A414" t="inlineStr">
        <is>
          <t>A 10312-2023</t>
        </is>
      </c>
      <c r="B414" s="1" t="n">
        <v>44986</v>
      </c>
      <c r="C414" s="1" t="n">
        <v>45706</v>
      </c>
      <c r="D414" t="inlineStr">
        <is>
          <t>VÄSTERNORRLANDS LÄN</t>
        </is>
      </c>
      <c r="E414" t="inlineStr">
        <is>
          <t>TIMRÅ</t>
        </is>
      </c>
      <c r="F414" t="inlineStr">
        <is>
          <t>SCA</t>
        </is>
      </c>
      <c r="G414" t="n">
        <v>38.4</v>
      </c>
      <c r="H414" t="n">
        <v>0</v>
      </c>
      <c r="I414" t="n">
        <v>0</v>
      </c>
      <c r="J414" t="n">
        <v>0</v>
      </c>
      <c r="K414" t="n">
        <v>0</v>
      </c>
      <c r="L414" t="n">
        <v>0</v>
      </c>
      <c r="M414" t="n">
        <v>0</v>
      </c>
      <c r="N414" t="n">
        <v>0</v>
      </c>
      <c r="O414" t="n">
        <v>0</v>
      </c>
      <c r="P414" t="n">
        <v>0</v>
      </c>
      <c r="Q414" t="n">
        <v>0</v>
      </c>
      <c r="R414" s="2" t="inlineStr"/>
    </row>
    <row r="415" ht="15" customHeight="1">
      <c r="A415" t="inlineStr">
        <is>
          <t>A 10556-2023</t>
        </is>
      </c>
      <c r="B415" s="1" t="n">
        <v>44987</v>
      </c>
      <c r="C415" s="1" t="n">
        <v>45706</v>
      </c>
      <c r="D415" t="inlineStr">
        <is>
          <t>VÄSTERNORRLANDS LÄN</t>
        </is>
      </c>
      <c r="E415" t="inlineStr">
        <is>
          <t>TIMRÅ</t>
        </is>
      </c>
      <c r="F415" t="inlineStr">
        <is>
          <t>SCA</t>
        </is>
      </c>
      <c r="G415" t="n">
        <v>9.5</v>
      </c>
      <c r="H415" t="n">
        <v>0</v>
      </c>
      <c r="I415" t="n">
        <v>0</v>
      </c>
      <c r="J415" t="n">
        <v>0</v>
      </c>
      <c r="K415" t="n">
        <v>0</v>
      </c>
      <c r="L415" t="n">
        <v>0</v>
      </c>
      <c r="M415" t="n">
        <v>0</v>
      </c>
      <c r="N415" t="n">
        <v>0</v>
      </c>
      <c r="O415" t="n">
        <v>0</v>
      </c>
      <c r="P415" t="n">
        <v>0</v>
      </c>
      <c r="Q415" t="n">
        <v>0</v>
      </c>
      <c r="R415" s="2" t="inlineStr"/>
    </row>
    <row r="416" ht="15" customHeight="1">
      <c r="A416" t="inlineStr">
        <is>
          <t>A 10773-2023</t>
        </is>
      </c>
      <c r="B416" s="1" t="n">
        <v>44988</v>
      </c>
      <c r="C416" s="1" t="n">
        <v>45706</v>
      </c>
      <c r="D416" t="inlineStr">
        <is>
          <t>VÄSTERNORRLANDS LÄN</t>
        </is>
      </c>
      <c r="E416" t="inlineStr">
        <is>
          <t>TIMRÅ</t>
        </is>
      </c>
      <c r="F416" t="inlineStr">
        <is>
          <t>SCA</t>
        </is>
      </c>
      <c r="G416" t="n">
        <v>17.3</v>
      </c>
      <c r="H416" t="n">
        <v>0</v>
      </c>
      <c r="I416" t="n">
        <v>0</v>
      </c>
      <c r="J416" t="n">
        <v>0</v>
      </c>
      <c r="K416" t="n">
        <v>0</v>
      </c>
      <c r="L416" t="n">
        <v>0</v>
      </c>
      <c r="M416" t="n">
        <v>0</v>
      </c>
      <c r="N416" t="n">
        <v>0</v>
      </c>
      <c r="O416" t="n">
        <v>0</v>
      </c>
      <c r="P416" t="n">
        <v>0</v>
      </c>
      <c r="Q416" t="n">
        <v>0</v>
      </c>
      <c r="R416" s="2" t="inlineStr"/>
    </row>
    <row r="417" ht="15" customHeight="1">
      <c r="A417" t="inlineStr">
        <is>
          <t>A 13256-2023</t>
        </is>
      </c>
      <c r="B417" s="1" t="n">
        <v>45002</v>
      </c>
      <c r="C417" s="1" t="n">
        <v>45706</v>
      </c>
      <c r="D417" t="inlineStr">
        <is>
          <t>VÄSTERNORRLANDS LÄN</t>
        </is>
      </c>
      <c r="E417" t="inlineStr">
        <is>
          <t>TIMRÅ</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13254-2023</t>
        </is>
      </c>
      <c r="B418" s="1" t="n">
        <v>45002</v>
      </c>
      <c r="C418" s="1" t="n">
        <v>45706</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13255-2023</t>
        </is>
      </c>
      <c r="B419" s="1" t="n">
        <v>45002</v>
      </c>
      <c r="C419" s="1" t="n">
        <v>45706</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13253-2023</t>
        </is>
      </c>
      <c r="B420" s="1" t="n">
        <v>45002</v>
      </c>
      <c r="C420" s="1" t="n">
        <v>45706</v>
      </c>
      <c r="D420" t="inlineStr">
        <is>
          <t>VÄSTERNORRLANDS LÄN</t>
        </is>
      </c>
      <c r="E420" t="inlineStr">
        <is>
          <t>TIMRÅ</t>
        </is>
      </c>
      <c r="F420" t="inlineStr">
        <is>
          <t>SCA</t>
        </is>
      </c>
      <c r="G420" t="n">
        <v>10.1</v>
      </c>
      <c r="H420" t="n">
        <v>0</v>
      </c>
      <c r="I420" t="n">
        <v>0</v>
      </c>
      <c r="J420" t="n">
        <v>0</v>
      </c>
      <c r="K420" t="n">
        <v>0</v>
      </c>
      <c r="L420" t="n">
        <v>0</v>
      </c>
      <c r="M420" t="n">
        <v>0</v>
      </c>
      <c r="N420" t="n">
        <v>0</v>
      </c>
      <c r="O420" t="n">
        <v>0</v>
      </c>
      <c r="P420" t="n">
        <v>0</v>
      </c>
      <c r="Q420" t="n">
        <v>0</v>
      </c>
      <c r="R420" s="2" t="inlineStr"/>
    </row>
    <row r="421" ht="15" customHeight="1">
      <c r="A421" t="inlineStr">
        <is>
          <t>A 13446-2023</t>
        </is>
      </c>
      <c r="B421" s="1" t="n">
        <v>45005</v>
      </c>
      <c r="C421" s="1" t="n">
        <v>45706</v>
      </c>
      <c r="D421" t="inlineStr">
        <is>
          <t>VÄSTERNORRLANDS LÄN</t>
        </is>
      </c>
      <c r="E421" t="inlineStr">
        <is>
          <t>TIMRÅ</t>
        </is>
      </c>
      <c r="G421" t="n">
        <v>1.6</v>
      </c>
      <c r="H421" t="n">
        <v>0</v>
      </c>
      <c r="I421" t="n">
        <v>0</v>
      </c>
      <c r="J421" t="n">
        <v>0</v>
      </c>
      <c r="K421" t="n">
        <v>0</v>
      </c>
      <c r="L421" t="n">
        <v>0</v>
      </c>
      <c r="M421" t="n">
        <v>0</v>
      </c>
      <c r="N421" t="n">
        <v>0</v>
      </c>
      <c r="O421" t="n">
        <v>0</v>
      </c>
      <c r="P421" t="n">
        <v>0</v>
      </c>
      <c r="Q421" t="n">
        <v>0</v>
      </c>
      <c r="R421" s="2" t="inlineStr"/>
    </row>
    <row r="422" ht="15" customHeight="1">
      <c r="A422" t="inlineStr">
        <is>
          <t>A 14865-2023</t>
        </is>
      </c>
      <c r="B422" s="1" t="n">
        <v>45015</v>
      </c>
      <c r="C422" s="1" t="n">
        <v>45706</v>
      </c>
      <c r="D422" t="inlineStr">
        <is>
          <t>VÄSTERNORRLANDS LÄN</t>
        </is>
      </c>
      <c r="E422" t="inlineStr">
        <is>
          <t>TIMRÅ</t>
        </is>
      </c>
      <c r="F422" t="inlineStr">
        <is>
          <t>SCA</t>
        </is>
      </c>
      <c r="G422" t="n">
        <v>20.1</v>
      </c>
      <c r="H422" t="n">
        <v>0</v>
      </c>
      <c r="I422" t="n">
        <v>0</v>
      </c>
      <c r="J422" t="n">
        <v>0</v>
      </c>
      <c r="K422" t="n">
        <v>0</v>
      </c>
      <c r="L422" t="n">
        <v>0</v>
      </c>
      <c r="M422" t="n">
        <v>0</v>
      </c>
      <c r="N422" t="n">
        <v>0</v>
      </c>
      <c r="O422" t="n">
        <v>0</v>
      </c>
      <c r="P422" t="n">
        <v>0</v>
      </c>
      <c r="Q422" t="n">
        <v>0</v>
      </c>
      <c r="R422" s="2" t="inlineStr"/>
    </row>
    <row r="423" ht="15" customHeight="1">
      <c r="A423" t="inlineStr">
        <is>
          <t>A 14863-2023</t>
        </is>
      </c>
      <c r="B423" s="1" t="n">
        <v>45015</v>
      </c>
      <c r="C423" s="1" t="n">
        <v>45706</v>
      </c>
      <c r="D423" t="inlineStr">
        <is>
          <t>VÄSTERNORRLANDS LÄN</t>
        </is>
      </c>
      <c r="E423" t="inlineStr">
        <is>
          <t>TIMRÅ</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14864-2023</t>
        </is>
      </c>
      <c r="B424" s="1" t="n">
        <v>45015</v>
      </c>
      <c r="C424" s="1" t="n">
        <v>45706</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15815-2023</t>
        </is>
      </c>
      <c r="B425" s="1" t="n">
        <v>45022</v>
      </c>
      <c r="C425" s="1" t="n">
        <v>45706</v>
      </c>
      <c r="D425" t="inlineStr">
        <is>
          <t>VÄSTERNORRLANDS LÄN</t>
        </is>
      </c>
      <c r="E425" t="inlineStr">
        <is>
          <t>TIMRÅ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15820-2023</t>
        </is>
      </c>
      <c r="B426" s="1" t="n">
        <v>45022</v>
      </c>
      <c r="C426" s="1" t="n">
        <v>45706</v>
      </c>
      <c r="D426" t="inlineStr">
        <is>
          <t>VÄSTERNORRLANDS LÄN</t>
        </is>
      </c>
      <c r="E426" t="inlineStr">
        <is>
          <t>TIMRÅ</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15816-2023</t>
        </is>
      </c>
      <c r="B427" s="1" t="n">
        <v>45021</v>
      </c>
      <c r="C427" s="1" t="n">
        <v>45706</v>
      </c>
      <c r="D427" t="inlineStr">
        <is>
          <t>VÄSTERNORRLANDS LÄN</t>
        </is>
      </c>
      <c r="E427" t="inlineStr">
        <is>
          <t>TIMRÅ</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15821-2023</t>
        </is>
      </c>
      <c r="B428" s="1" t="n">
        <v>45022</v>
      </c>
      <c r="C428" s="1" t="n">
        <v>45706</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15823-2023</t>
        </is>
      </c>
      <c r="B429" s="1" t="n">
        <v>45021</v>
      </c>
      <c r="C429" s="1" t="n">
        <v>45706</v>
      </c>
      <c r="D429" t="inlineStr">
        <is>
          <t>VÄSTERNORRLANDS LÄN</t>
        </is>
      </c>
      <c r="E429" t="inlineStr">
        <is>
          <t>TIMRÅ</t>
        </is>
      </c>
      <c r="F429" t="inlineStr">
        <is>
          <t>SCA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16554-2023</t>
        </is>
      </c>
      <c r="B430" s="1" t="n">
        <v>45029</v>
      </c>
      <c r="C430" s="1" t="n">
        <v>45706</v>
      </c>
      <c r="D430" t="inlineStr">
        <is>
          <t>VÄSTERNORRLANDS LÄN</t>
        </is>
      </c>
      <c r="E430" t="inlineStr">
        <is>
          <t>TIMRÅ</t>
        </is>
      </c>
      <c r="G430" t="n">
        <v>3.8</v>
      </c>
      <c r="H430" t="n">
        <v>0</v>
      </c>
      <c r="I430" t="n">
        <v>0</v>
      </c>
      <c r="J430" t="n">
        <v>0</v>
      </c>
      <c r="K430" t="n">
        <v>0</v>
      </c>
      <c r="L430" t="n">
        <v>0</v>
      </c>
      <c r="M430" t="n">
        <v>0</v>
      </c>
      <c r="N430" t="n">
        <v>0</v>
      </c>
      <c r="O430" t="n">
        <v>0</v>
      </c>
      <c r="P430" t="n">
        <v>0</v>
      </c>
      <c r="Q430" t="n">
        <v>0</v>
      </c>
      <c r="R430" s="2" t="inlineStr"/>
    </row>
    <row r="431" ht="15" customHeight="1">
      <c r="A431" t="inlineStr">
        <is>
          <t>A 16555-2023</t>
        </is>
      </c>
      <c r="B431" s="1" t="n">
        <v>45029</v>
      </c>
      <c r="C431" s="1" t="n">
        <v>45706</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16786-2023</t>
        </is>
      </c>
      <c r="B432" s="1" t="n">
        <v>45032</v>
      </c>
      <c r="C432" s="1" t="n">
        <v>45706</v>
      </c>
      <c r="D432" t="inlineStr">
        <is>
          <t>VÄSTERNORRLANDS LÄN</t>
        </is>
      </c>
      <c r="E432" t="inlineStr">
        <is>
          <t>TIMRÅ</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17002-2023</t>
        </is>
      </c>
      <c r="B433" s="1" t="n">
        <v>45033</v>
      </c>
      <c r="C433" s="1" t="n">
        <v>45706</v>
      </c>
      <c r="D433" t="inlineStr">
        <is>
          <t>VÄSTERNORRLANDS LÄN</t>
        </is>
      </c>
      <c r="E433" t="inlineStr">
        <is>
          <t>TIMRÅ</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17441-2023</t>
        </is>
      </c>
      <c r="B434" s="1" t="n">
        <v>45036</v>
      </c>
      <c r="C434" s="1" t="n">
        <v>45706</v>
      </c>
      <c r="D434" t="inlineStr">
        <is>
          <t>VÄSTERNORRLANDS LÄN</t>
        </is>
      </c>
      <c r="E434" t="inlineStr">
        <is>
          <t>TIMRÅ</t>
        </is>
      </c>
      <c r="F434" t="inlineStr">
        <is>
          <t>SCA</t>
        </is>
      </c>
      <c r="G434" t="n">
        <v>7.4</v>
      </c>
      <c r="H434" t="n">
        <v>0</v>
      </c>
      <c r="I434" t="n">
        <v>0</v>
      </c>
      <c r="J434" t="n">
        <v>0</v>
      </c>
      <c r="K434" t="n">
        <v>0</v>
      </c>
      <c r="L434" t="n">
        <v>0</v>
      </c>
      <c r="M434" t="n">
        <v>0</v>
      </c>
      <c r="N434" t="n">
        <v>0</v>
      </c>
      <c r="O434" t="n">
        <v>0</v>
      </c>
      <c r="P434" t="n">
        <v>0</v>
      </c>
      <c r="Q434" t="n">
        <v>0</v>
      </c>
      <c r="R434" s="2" t="inlineStr"/>
    </row>
    <row r="435" ht="15" customHeight="1">
      <c r="A435" t="inlineStr">
        <is>
          <t>A 17865-2023</t>
        </is>
      </c>
      <c r="B435" s="1" t="n">
        <v>45038</v>
      </c>
      <c r="C435" s="1" t="n">
        <v>45706</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17936-2023</t>
        </is>
      </c>
      <c r="B436" s="1" t="n">
        <v>45040</v>
      </c>
      <c r="C436" s="1" t="n">
        <v>45706</v>
      </c>
      <c r="D436" t="inlineStr">
        <is>
          <t>VÄSTERNORRLANDS LÄN</t>
        </is>
      </c>
      <c r="E436" t="inlineStr">
        <is>
          <t>TIMRÅ</t>
        </is>
      </c>
      <c r="G436" t="n">
        <v>4.8</v>
      </c>
      <c r="H436" t="n">
        <v>0</v>
      </c>
      <c r="I436" t="n">
        <v>0</v>
      </c>
      <c r="J436" t="n">
        <v>0</v>
      </c>
      <c r="K436" t="n">
        <v>0</v>
      </c>
      <c r="L436" t="n">
        <v>0</v>
      </c>
      <c r="M436" t="n">
        <v>0</v>
      </c>
      <c r="N436" t="n">
        <v>0</v>
      </c>
      <c r="O436" t="n">
        <v>0</v>
      </c>
      <c r="P436" t="n">
        <v>0</v>
      </c>
      <c r="Q436" t="n">
        <v>0</v>
      </c>
      <c r="R436" s="2" t="inlineStr"/>
    </row>
    <row r="437" ht="15" customHeight="1">
      <c r="A437" t="inlineStr">
        <is>
          <t>A 18289-2023</t>
        </is>
      </c>
      <c r="B437" s="1" t="n">
        <v>45040</v>
      </c>
      <c r="C437" s="1" t="n">
        <v>45706</v>
      </c>
      <c r="D437" t="inlineStr">
        <is>
          <t>VÄSTERNORRLANDS LÄN</t>
        </is>
      </c>
      <c r="E437" t="inlineStr">
        <is>
          <t>TIMRÅ</t>
        </is>
      </c>
      <c r="G437" t="n">
        <v>4.5</v>
      </c>
      <c r="H437" t="n">
        <v>0</v>
      </c>
      <c r="I437" t="n">
        <v>0</v>
      </c>
      <c r="J437" t="n">
        <v>0</v>
      </c>
      <c r="K437" t="n">
        <v>0</v>
      </c>
      <c r="L437" t="n">
        <v>0</v>
      </c>
      <c r="M437" t="n">
        <v>0</v>
      </c>
      <c r="N437" t="n">
        <v>0</v>
      </c>
      <c r="O437" t="n">
        <v>0</v>
      </c>
      <c r="P437" t="n">
        <v>0</v>
      </c>
      <c r="Q437" t="n">
        <v>0</v>
      </c>
      <c r="R437" s="2" t="inlineStr"/>
    </row>
    <row r="438" ht="15" customHeight="1">
      <c r="A438" t="inlineStr">
        <is>
          <t>A 18684-2023</t>
        </is>
      </c>
      <c r="B438" s="1" t="n">
        <v>45042</v>
      </c>
      <c r="C438" s="1" t="n">
        <v>45706</v>
      </c>
      <c r="D438" t="inlineStr">
        <is>
          <t>VÄSTERNORRLANDS LÄN</t>
        </is>
      </c>
      <c r="E438" t="inlineStr">
        <is>
          <t>TIMRÅ</t>
        </is>
      </c>
      <c r="G438" t="n">
        <v>5.7</v>
      </c>
      <c r="H438" t="n">
        <v>0</v>
      </c>
      <c r="I438" t="n">
        <v>0</v>
      </c>
      <c r="J438" t="n">
        <v>0</v>
      </c>
      <c r="K438" t="n">
        <v>0</v>
      </c>
      <c r="L438" t="n">
        <v>0</v>
      </c>
      <c r="M438" t="n">
        <v>0</v>
      </c>
      <c r="N438" t="n">
        <v>0</v>
      </c>
      <c r="O438" t="n">
        <v>0</v>
      </c>
      <c r="P438" t="n">
        <v>0</v>
      </c>
      <c r="Q438" t="n">
        <v>0</v>
      </c>
      <c r="R438" s="2" t="inlineStr"/>
    </row>
    <row r="439" ht="15" customHeight="1">
      <c r="A439" t="inlineStr">
        <is>
          <t>A 18778-2023</t>
        </is>
      </c>
      <c r="B439" s="1" t="n">
        <v>45043</v>
      </c>
      <c r="C439" s="1" t="n">
        <v>45706</v>
      </c>
      <c r="D439" t="inlineStr">
        <is>
          <t>VÄSTERNORRLANDS LÄN</t>
        </is>
      </c>
      <c r="E439" t="inlineStr">
        <is>
          <t>TIMRÅ</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19244-2023</t>
        </is>
      </c>
      <c r="B440" s="1" t="n">
        <v>45048</v>
      </c>
      <c r="C440" s="1" t="n">
        <v>45706</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19440-2023</t>
        </is>
      </c>
      <c r="B441" s="1" t="n">
        <v>45049</v>
      </c>
      <c r="C441" s="1" t="n">
        <v>45706</v>
      </c>
      <c r="D441" t="inlineStr">
        <is>
          <t>VÄSTERNORRLANDS LÄN</t>
        </is>
      </c>
      <c r="E441" t="inlineStr">
        <is>
          <t>TIMRÅ</t>
        </is>
      </c>
      <c r="F441" t="inlineStr">
        <is>
          <t>SCA</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20097-2023</t>
        </is>
      </c>
      <c r="B442" s="1" t="n">
        <v>45055</v>
      </c>
      <c r="C442" s="1" t="n">
        <v>45706</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20835-2023</t>
        </is>
      </c>
      <c r="B443" s="1" t="n">
        <v>45058</v>
      </c>
      <c r="C443" s="1" t="n">
        <v>45706</v>
      </c>
      <c r="D443" t="inlineStr">
        <is>
          <t>VÄSTERNORRLANDS LÄN</t>
        </is>
      </c>
      <c r="E443" t="inlineStr">
        <is>
          <t>TIMRÅ</t>
        </is>
      </c>
      <c r="G443" t="n">
        <v>4.4</v>
      </c>
      <c r="H443" t="n">
        <v>0</v>
      </c>
      <c r="I443" t="n">
        <v>0</v>
      </c>
      <c r="J443" t="n">
        <v>0</v>
      </c>
      <c r="K443" t="n">
        <v>0</v>
      </c>
      <c r="L443" t="n">
        <v>0</v>
      </c>
      <c r="M443" t="n">
        <v>0</v>
      </c>
      <c r="N443" t="n">
        <v>0</v>
      </c>
      <c r="O443" t="n">
        <v>0</v>
      </c>
      <c r="P443" t="n">
        <v>0</v>
      </c>
      <c r="Q443" t="n">
        <v>0</v>
      </c>
      <c r="R443" s="2" t="inlineStr"/>
    </row>
    <row r="444" ht="15" customHeight="1">
      <c r="A444" t="inlineStr">
        <is>
          <t>A 20839-2023</t>
        </is>
      </c>
      <c r="B444" s="1" t="n">
        <v>45058</v>
      </c>
      <c r="C444" s="1" t="n">
        <v>45706</v>
      </c>
      <c r="D444" t="inlineStr">
        <is>
          <t>VÄSTERNORRLANDS LÄN</t>
        </is>
      </c>
      <c r="E444" t="inlineStr">
        <is>
          <t>TIMRÅ</t>
        </is>
      </c>
      <c r="G444" t="n">
        <v>7.2</v>
      </c>
      <c r="H444" t="n">
        <v>0</v>
      </c>
      <c r="I444" t="n">
        <v>0</v>
      </c>
      <c r="J444" t="n">
        <v>0</v>
      </c>
      <c r="K444" t="n">
        <v>0</v>
      </c>
      <c r="L444" t="n">
        <v>0</v>
      </c>
      <c r="M444" t="n">
        <v>0</v>
      </c>
      <c r="N444" t="n">
        <v>0</v>
      </c>
      <c r="O444" t="n">
        <v>0</v>
      </c>
      <c r="P444" t="n">
        <v>0</v>
      </c>
      <c r="Q444" t="n">
        <v>0</v>
      </c>
      <c r="R444" s="2" t="inlineStr"/>
    </row>
    <row r="445" ht="15" customHeight="1">
      <c r="A445" t="inlineStr">
        <is>
          <t>A 20837-2023</t>
        </is>
      </c>
      <c r="B445" s="1" t="n">
        <v>45058</v>
      </c>
      <c r="C445" s="1" t="n">
        <v>45706</v>
      </c>
      <c r="D445" t="inlineStr">
        <is>
          <t>VÄSTERNORRLANDS LÄN</t>
        </is>
      </c>
      <c r="E445" t="inlineStr">
        <is>
          <t>TIMRÅ</t>
        </is>
      </c>
      <c r="G445" t="n">
        <v>1.7</v>
      </c>
      <c r="H445" t="n">
        <v>0</v>
      </c>
      <c r="I445" t="n">
        <v>0</v>
      </c>
      <c r="J445" t="n">
        <v>0</v>
      </c>
      <c r="K445" t="n">
        <v>0</v>
      </c>
      <c r="L445" t="n">
        <v>0</v>
      </c>
      <c r="M445" t="n">
        <v>0</v>
      </c>
      <c r="N445" t="n">
        <v>0</v>
      </c>
      <c r="O445" t="n">
        <v>0</v>
      </c>
      <c r="P445" t="n">
        <v>0</v>
      </c>
      <c r="Q445" t="n">
        <v>0</v>
      </c>
      <c r="R445" s="2" t="inlineStr"/>
    </row>
    <row r="446" ht="15" customHeight="1">
      <c r="A446" t="inlineStr">
        <is>
          <t>A 20841-2023</t>
        </is>
      </c>
      <c r="B446" s="1" t="n">
        <v>45058</v>
      </c>
      <c r="C446" s="1" t="n">
        <v>45706</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20834-2023</t>
        </is>
      </c>
      <c r="B447" s="1" t="n">
        <v>45058</v>
      </c>
      <c r="C447" s="1" t="n">
        <v>45706</v>
      </c>
      <c r="D447" t="inlineStr">
        <is>
          <t>VÄSTERNORRLANDS LÄN</t>
        </is>
      </c>
      <c r="E447" t="inlineStr">
        <is>
          <t>TIMRÅ</t>
        </is>
      </c>
      <c r="G447" t="n">
        <v>5</v>
      </c>
      <c r="H447" t="n">
        <v>0</v>
      </c>
      <c r="I447" t="n">
        <v>0</v>
      </c>
      <c r="J447" t="n">
        <v>0</v>
      </c>
      <c r="K447" t="n">
        <v>0</v>
      </c>
      <c r="L447" t="n">
        <v>0</v>
      </c>
      <c r="M447" t="n">
        <v>0</v>
      </c>
      <c r="N447" t="n">
        <v>0</v>
      </c>
      <c r="O447" t="n">
        <v>0</v>
      </c>
      <c r="P447" t="n">
        <v>0</v>
      </c>
      <c r="Q447" t="n">
        <v>0</v>
      </c>
      <c r="R447" s="2" t="inlineStr"/>
    </row>
    <row r="448" ht="15" customHeight="1">
      <c r="A448" t="inlineStr">
        <is>
          <t>A 20843-2023</t>
        </is>
      </c>
      <c r="B448" s="1" t="n">
        <v>45058</v>
      </c>
      <c r="C448" s="1" t="n">
        <v>45706</v>
      </c>
      <c r="D448" t="inlineStr">
        <is>
          <t>VÄSTERNORRLANDS LÄN</t>
        </is>
      </c>
      <c r="E448" t="inlineStr">
        <is>
          <t>TIMRÅ</t>
        </is>
      </c>
      <c r="G448" t="n">
        <v>1.6</v>
      </c>
      <c r="H448" t="n">
        <v>0</v>
      </c>
      <c r="I448" t="n">
        <v>0</v>
      </c>
      <c r="J448" t="n">
        <v>0</v>
      </c>
      <c r="K448" t="n">
        <v>0</v>
      </c>
      <c r="L448" t="n">
        <v>0</v>
      </c>
      <c r="M448" t="n">
        <v>0</v>
      </c>
      <c r="N448" t="n">
        <v>0</v>
      </c>
      <c r="O448" t="n">
        <v>0</v>
      </c>
      <c r="P448" t="n">
        <v>0</v>
      </c>
      <c r="Q448" t="n">
        <v>0</v>
      </c>
      <c r="R448" s="2" t="inlineStr"/>
    </row>
    <row r="449" ht="15" customHeight="1">
      <c r="A449" t="inlineStr">
        <is>
          <t>A 20840-2023</t>
        </is>
      </c>
      <c r="B449" s="1" t="n">
        <v>45058</v>
      </c>
      <c r="C449" s="1" t="n">
        <v>45706</v>
      </c>
      <c r="D449" t="inlineStr">
        <is>
          <t>VÄSTERNORRLANDS LÄN</t>
        </is>
      </c>
      <c r="E449" t="inlineStr">
        <is>
          <t>TIMRÅ</t>
        </is>
      </c>
      <c r="G449" t="n">
        <v>3.1</v>
      </c>
      <c r="H449" t="n">
        <v>0</v>
      </c>
      <c r="I449" t="n">
        <v>0</v>
      </c>
      <c r="J449" t="n">
        <v>0</v>
      </c>
      <c r="K449" t="n">
        <v>0</v>
      </c>
      <c r="L449" t="n">
        <v>0</v>
      </c>
      <c r="M449" t="n">
        <v>0</v>
      </c>
      <c r="N449" t="n">
        <v>0</v>
      </c>
      <c r="O449" t="n">
        <v>0</v>
      </c>
      <c r="P449" t="n">
        <v>0</v>
      </c>
      <c r="Q449" t="n">
        <v>0</v>
      </c>
      <c r="R449" s="2" t="inlineStr"/>
    </row>
    <row r="450" ht="15" customHeight="1">
      <c r="A450" t="inlineStr">
        <is>
          <t>A 20844-2023</t>
        </is>
      </c>
      <c r="B450" s="1" t="n">
        <v>45058</v>
      </c>
      <c r="C450" s="1" t="n">
        <v>45706</v>
      </c>
      <c r="D450" t="inlineStr">
        <is>
          <t>VÄSTERNORRLANDS LÄN</t>
        </is>
      </c>
      <c r="E450" t="inlineStr">
        <is>
          <t>TIMRÅ</t>
        </is>
      </c>
      <c r="G450" t="n">
        <v>1.8</v>
      </c>
      <c r="H450" t="n">
        <v>0</v>
      </c>
      <c r="I450" t="n">
        <v>0</v>
      </c>
      <c r="J450" t="n">
        <v>0</v>
      </c>
      <c r="K450" t="n">
        <v>0</v>
      </c>
      <c r="L450" t="n">
        <v>0</v>
      </c>
      <c r="M450" t="n">
        <v>0</v>
      </c>
      <c r="N450" t="n">
        <v>0</v>
      </c>
      <c r="O450" t="n">
        <v>0</v>
      </c>
      <c r="P450" t="n">
        <v>0</v>
      </c>
      <c r="Q450" t="n">
        <v>0</v>
      </c>
      <c r="R450" s="2" t="inlineStr"/>
    </row>
    <row r="451" ht="15" customHeight="1">
      <c r="A451" t="inlineStr">
        <is>
          <t>A 21356-2023</t>
        </is>
      </c>
      <c r="B451" s="1" t="n">
        <v>45063</v>
      </c>
      <c r="C451" s="1" t="n">
        <v>45706</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24305-2023</t>
        </is>
      </c>
      <c r="B452" s="1" t="n">
        <v>45080</v>
      </c>
      <c r="C452" s="1" t="n">
        <v>45706</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24304-2023</t>
        </is>
      </c>
      <c r="B453" s="1" t="n">
        <v>45079</v>
      </c>
      <c r="C453" s="1" t="n">
        <v>45706</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25301-2023</t>
        </is>
      </c>
      <c r="B454" s="1" t="n">
        <v>45086</v>
      </c>
      <c r="C454" s="1" t="n">
        <v>45706</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27495-2023</t>
        </is>
      </c>
      <c r="B455" s="1" t="n">
        <v>45092</v>
      </c>
      <c r="C455" s="1" t="n">
        <v>45706</v>
      </c>
      <c r="D455" t="inlineStr">
        <is>
          <t>VÄSTERNORRLANDS LÄN</t>
        </is>
      </c>
      <c r="E455" t="inlineStr">
        <is>
          <t>TIMRÅ</t>
        </is>
      </c>
      <c r="G455" t="n">
        <v>2.6</v>
      </c>
      <c r="H455" t="n">
        <v>0</v>
      </c>
      <c r="I455" t="n">
        <v>0</v>
      </c>
      <c r="J455" t="n">
        <v>0</v>
      </c>
      <c r="K455" t="n">
        <v>0</v>
      </c>
      <c r="L455" t="n">
        <v>0</v>
      </c>
      <c r="M455" t="n">
        <v>0</v>
      </c>
      <c r="N455" t="n">
        <v>0</v>
      </c>
      <c r="O455" t="n">
        <v>0</v>
      </c>
      <c r="P455" t="n">
        <v>0</v>
      </c>
      <c r="Q455" t="n">
        <v>0</v>
      </c>
      <c r="R455" s="2" t="inlineStr"/>
    </row>
    <row r="456" ht="15" customHeight="1">
      <c r="A456" t="inlineStr">
        <is>
          <t>A 27489-2023</t>
        </is>
      </c>
      <c r="B456" s="1" t="n">
        <v>45092</v>
      </c>
      <c r="C456" s="1" t="n">
        <v>45706</v>
      </c>
      <c r="D456" t="inlineStr">
        <is>
          <t>VÄSTERNORRLANDS LÄN</t>
        </is>
      </c>
      <c r="E456" t="inlineStr">
        <is>
          <t>TIMRÅ</t>
        </is>
      </c>
      <c r="G456" t="n">
        <v>1.1</v>
      </c>
      <c r="H456" t="n">
        <v>0</v>
      </c>
      <c r="I456" t="n">
        <v>0</v>
      </c>
      <c r="J456" t="n">
        <v>0</v>
      </c>
      <c r="K456" t="n">
        <v>0</v>
      </c>
      <c r="L456" t="n">
        <v>0</v>
      </c>
      <c r="M456" t="n">
        <v>0</v>
      </c>
      <c r="N456" t="n">
        <v>0</v>
      </c>
      <c r="O456" t="n">
        <v>0</v>
      </c>
      <c r="P456" t="n">
        <v>0</v>
      </c>
      <c r="Q456" t="n">
        <v>0</v>
      </c>
      <c r="R456" s="2" t="inlineStr"/>
    </row>
    <row r="457" ht="15" customHeight="1">
      <c r="A457" t="inlineStr">
        <is>
          <t>A 26996-2023</t>
        </is>
      </c>
      <c r="B457" s="1" t="n">
        <v>45093</v>
      </c>
      <c r="C457" s="1" t="n">
        <v>45706</v>
      </c>
      <c r="D457" t="inlineStr">
        <is>
          <t>VÄSTERNORRLANDS LÄN</t>
        </is>
      </c>
      <c r="E457" t="inlineStr">
        <is>
          <t>TIMRÅ</t>
        </is>
      </c>
      <c r="G457" t="n">
        <v>8.4</v>
      </c>
      <c r="H457" t="n">
        <v>0</v>
      </c>
      <c r="I457" t="n">
        <v>0</v>
      </c>
      <c r="J457" t="n">
        <v>0</v>
      </c>
      <c r="K457" t="n">
        <v>0</v>
      </c>
      <c r="L457" t="n">
        <v>0</v>
      </c>
      <c r="M457" t="n">
        <v>0</v>
      </c>
      <c r="N457" t="n">
        <v>0</v>
      </c>
      <c r="O457" t="n">
        <v>0</v>
      </c>
      <c r="P457" t="n">
        <v>0</v>
      </c>
      <c r="Q457" t="n">
        <v>0</v>
      </c>
      <c r="R457" s="2" t="inlineStr"/>
    </row>
    <row r="458" ht="15" customHeight="1">
      <c r="A458" t="inlineStr">
        <is>
          <t>A 28007-2023</t>
        </is>
      </c>
      <c r="B458" s="1" t="n">
        <v>45098</v>
      </c>
      <c r="C458" s="1" t="n">
        <v>45706</v>
      </c>
      <c r="D458" t="inlineStr">
        <is>
          <t>VÄSTERNORRLANDS LÄN</t>
        </is>
      </c>
      <c r="E458" t="inlineStr">
        <is>
          <t>TIMRÅ</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28373-2023</t>
        </is>
      </c>
      <c r="B459" s="1" t="n">
        <v>45100</v>
      </c>
      <c r="C459" s="1" t="n">
        <v>45706</v>
      </c>
      <c r="D459" t="inlineStr">
        <is>
          <t>VÄSTERNORRLANDS LÄN</t>
        </is>
      </c>
      <c r="E459" t="inlineStr">
        <is>
          <t>TIMRÅ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28372-2023</t>
        </is>
      </c>
      <c r="B460" s="1" t="n">
        <v>45100</v>
      </c>
      <c r="C460" s="1" t="n">
        <v>45706</v>
      </c>
      <c r="D460" t="inlineStr">
        <is>
          <t>VÄSTERNORRLANDS LÄN</t>
        </is>
      </c>
      <c r="E460" t="inlineStr">
        <is>
          <t>TIMRÅ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28370-2023</t>
        </is>
      </c>
      <c r="B461" s="1" t="n">
        <v>45100</v>
      </c>
      <c r="C461" s="1" t="n">
        <v>45706</v>
      </c>
      <c r="D461" t="inlineStr">
        <is>
          <t>VÄSTERNORRLANDS LÄN</t>
        </is>
      </c>
      <c r="E461" t="inlineStr">
        <is>
          <t>TIMRÅ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28381-2023</t>
        </is>
      </c>
      <c r="B462" s="1" t="n">
        <v>45099</v>
      </c>
      <c r="C462" s="1" t="n">
        <v>45706</v>
      </c>
      <c r="D462" t="inlineStr">
        <is>
          <t>VÄSTERNORRLANDS LÄN</t>
        </is>
      </c>
      <c r="E462" t="inlineStr">
        <is>
          <t>TIMRÅ</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28369-2023</t>
        </is>
      </c>
      <c r="B463" s="1" t="n">
        <v>45099</v>
      </c>
      <c r="C463" s="1" t="n">
        <v>45706</v>
      </c>
      <c r="D463" t="inlineStr">
        <is>
          <t>VÄSTERNORRLANDS LÄN</t>
        </is>
      </c>
      <c r="E463" t="inlineStr">
        <is>
          <t>TIMRÅ</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28371-2023</t>
        </is>
      </c>
      <c r="B464" s="1" t="n">
        <v>45100</v>
      </c>
      <c r="C464" s="1" t="n">
        <v>45706</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28734-2023</t>
        </is>
      </c>
      <c r="B465" s="1" t="n">
        <v>45104</v>
      </c>
      <c r="C465" s="1" t="n">
        <v>45706</v>
      </c>
      <c r="D465" t="inlineStr">
        <is>
          <t>VÄSTERNORRLANDS LÄN</t>
        </is>
      </c>
      <c r="E465" t="inlineStr">
        <is>
          <t>TIMRÅ</t>
        </is>
      </c>
      <c r="G465" t="n">
        <v>2.1</v>
      </c>
      <c r="H465" t="n">
        <v>0</v>
      </c>
      <c r="I465" t="n">
        <v>0</v>
      </c>
      <c r="J465" t="n">
        <v>0</v>
      </c>
      <c r="K465" t="n">
        <v>0</v>
      </c>
      <c r="L465" t="n">
        <v>0</v>
      </c>
      <c r="M465" t="n">
        <v>0</v>
      </c>
      <c r="N465" t="n">
        <v>0</v>
      </c>
      <c r="O465" t="n">
        <v>0</v>
      </c>
      <c r="P465" t="n">
        <v>0</v>
      </c>
      <c r="Q465" t="n">
        <v>0</v>
      </c>
      <c r="R465" s="2" t="inlineStr"/>
    </row>
    <row r="466" ht="15" customHeight="1">
      <c r="A466" t="inlineStr">
        <is>
          <t>A 28750-2023</t>
        </is>
      </c>
      <c r="B466" s="1" t="n">
        <v>45104</v>
      </c>
      <c r="C466" s="1" t="n">
        <v>45706</v>
      </c>
      <c r="D466" t="inlineStr">
        <is>
          <t>VÄSTERNORRLANDS LÄN</t>
        </is>
      </c>
      <c r="E466" t="inlineStr">
        <is>
          <t>TIMRÅ</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31148-2023</t>
        </is>
      </c>
      <c r="B467" s="1" t="n">
        <v>45103</v>
      </c>
      <c r="C467" s="1" t="n">
        <v>45706</v>
      </c>
      <c r="D467" t="inlineStr">
        <is>
          <t>VÄSTERNORRLANDS LÄN</t>
        </is>
      </c>
      <c r="E467" t="inlineStr">
        <is>
          <t>TIMRÅ</t>
        </is>
      </c>
      <c r="G467" t="n">
        <v>1.5</v>
      </c>
      <c r="H467" t="n">
        <v>0</v>
      </c>
      <c r="I467" t="n">
        <v>0</v>
      </c>
      <c r="J467" t="n">
        <v>0</v>
      </c>
      <c r="K467" t="n">
        <v>0</v>
      </c>
      <c r="L467" t="n">
        <v>0</v>
      </c>
      <c r="M467" t="n">
        <v>0</v>
      </c>
      <c r="N467" t="n">
        <v>0</v>
      </c>
      <c r="O467" t="n">
        <v>0</v>
      </c>
      <c r="P467" t="n">
        <v>0</v>
      </c>
      <c r="Q467" t="n">
        <v>0</v>
      </c>
      <c r="R467" s="2" t="inlineStr"/>
    </row>
    <row r="468" ht="15" customHeight="1">
      <c r="A468" t="inlineStr">
        <is>
          <t>A 31150-2023</t>
        </is>
      </c>
      <c r="B468" s="1" t="n">
        <v>45103</v>
      </c>
      <c r="C468" s="1" t="n">
        <v>45706</v>
      </c>
      <c r="D468" t="inlineStr">
        <is>
          <t>VÄSTERNORRLANDS LÄN</t>
        </is>
      </c>
      <c r="E468" t="inlineStr">
        <is>
          <t>TIMRÅ</t>
        </is>
      </c>
      <c r="G468" t="n">
        <v>0.3</v>
      </c>
      <c r="H468" t="n">
        <v>0</v>
      </c>
      <c r="I468" t="n">
        <v>0</v>
      </c>
      <c r="J468" t="n">
        <v>0</v>
      </c>
      <c r="K468" t="n">
        <v>0</v>
      </c>
      <c r="L468" t="n">
        <v>0</v>
      </c>
      <c r="M468" t="n">
        <v>0</v>
      </c>
      <c r="N468" t="n">
        <v>0</v>
      </c>
      <c r="O468" t="n">
        <v>0</v>
      </c>
      <c r="P468" t="n">
        <v>0</v>
      </c>
      <c r="Q468" t="n">
        <v>0</v>
      </c>
      <c r="R468" s="2" t="inlineStr"/>
    </row>
    <row r="469" ht="15" customHeight="1">
      <c r="A469" t="inlineStr">
        <is>
          <t>A 31154-2023</t>
        </is>
      </c>
      <c r="B469" s="1" t="n">
        <v>45103</v>
      </c>
      <c r="C469" s="1" t="n">
        <v>45706</v>
      </c>
      <c r="D469" t="inlineStr">
        <is>
          <t>VÄSTERNORRLANDS LÄN</t>
        </is>
      </c>
      <c r="E469" t="inlineStr">
        <is>
          <t>TIMRÅ</t>
        </is>
      </c>
      <c r="G469" t="n">
        <v>0.6</v>
      </c>
      <c r="H469" t="n">
        <v>0</v>
      </c>
      <c r="I469" t="n">
        <v>0</v>
      </c>
      <c r="J469" t="n">
        <v>0</v>
      </c>
      <c r="K469" t="n">
        <v>0</v>
      </c>
      <c r="L469" t="n">
        <v>0</v>
      </c>
      <c r="M469" t="n">
        <v>0</v>
      </c>
      <c r="N469" t="n">
        <v>0</v>
      </c>
      <c r="O469" t="n">
        <v>0</v>
      </c>
      <c r="P469" t="n">
        <v>0</v>
      </c>
      <c r="Q469" t="n">
        <v>0</v>
      </c>
      <c r="R469" s="2" t="inlineStr"/>
    </row>
    <row r="470" ht="15" customHeight="1">
      <c r="A470" t="inlineStr">
        <is>
          <t>A 31381-2023</t>
        </is>
      </c>
      <c r="B470" s="1" t="n">
        <v>45104</v>
      </c>
      <c r="C470" s="1" t="n">
        <v>45706</v>
      </c>
      <c r="D470" t="inlineStr">
        <is>
          <t>VÄSTERNORRLANDS LÄN</t>
        </is>
      </c>
      <c r="E470" t="inlineStr">
        <is>
          <t>TIMRÅ</t>
        </is>
      </c>
      <c r="G470" t="n">
        <v>5.6</v>
      </c>
      <c r="H470" t="n">
        <v>0</v>
      </c>
      <c r="I470" t="n">
        <v>0</v>
      </c>
      <c r="J470" t="n">
        <v>0</v>
      </c>
      <c r="K470" t="n">
        <v>0</v>
      </c>
      <c r="L470" t="n">
        <v>0</v>
      </c>
      <c r="M470" t="n">
        <v>0</v>
      </c>
      <c r="N470" t="n">
        <v>0</v>
      </c>
      <c r="O470" t="n">
        <v>0</v>
      </c>
      <c r="P470" t="n">
        <v>0</v>
      </c>
      <c r="Q470" t="n">
        <v>0</v>
      </c>
      <c r="R470" s="2" t="inlineStr"/>
    </row>
    <row r="471" ht="15" customHeight="1">
      <c r="A471" t="inlineStr">
        <is>
          <t>A 31474-2023</t>
        </is>
      </c>
      <c r="B471" s="1" t="n">
        <v>45104</v>
      </c>
      <c r="C471" s="1" t="n">
        <v>45706</v>
      </c>
      <c r="D471" t="inlineStr">
        <is>
          <t>VÄSTERNORRLANDS LÄN</t>
        </is>
      </c>
      <c r="E471" t="inlineStr">
        <is>
          <t>TIMRÅ</t>
        </is>
      </c>
      <c r="G471" t="n">
        <v>1.3</v>
      </c>
      <c r="H471" t="n">
        <v>0</v>
      </c>
      <c r="I471" t="n">
        <v>0</v>
      </c>
      <c r="J471" t="n">
        <v>0</v>
      </c>
      <c r="K471" t="n">
        <v>0</v>
      </c>
      <c r="L471" t="n">
        <v>0</v>
      </c>
      <c r="M471" t="n">
        <v>0</v>
      </c>
      <c r="N471" t="n">
        <v>0</v>
      </c>
      <c r="O471" t="n">
        <v>0</v>
      </c>
      <c r="P471" t="n">
        <v>0</v>
      </c>
      <c r="Q471" t="n">
        <v>0</v>
      </c>
      <c r="R471" s="2" t="inlineStr"/>
    </row>
    <row r="472" ht="15" customHeight="1">
      <c r="A472" t="inlineStr">
        <is>
          <t>A 31378-2023</t>
        </is>
      </c>
      <c r="B472" s="1" t="n">
        <v>45104</v>
      </c>
      <c r="C472" s="1" t="n">
        <v>45706</v>
      </c>
      <c r="D472" t="inlineStr">
        <is>
          <t>VÄSTERNORRLANDS LÄN</t>
        </is>
      </c>
      <c r="E472" t="inlineStr">
        <is>
          <t>TIMRÅ</t>
        </is>
      </c>
      <c r="G472" t="n">
        <v>2.8</v>
      </c>
      <c r="H472" t="n">
        <v>0</v>
      </c>
      <c r="I472" t="n">
        <v>0</v>
      </c>
      <c r="J472" t="n">
        <v>0</v>
      </c>
      <c r="K472" t="n">
        <v>0</v>
      </c>
      <c r="L472" t="n">
        <v>0</v>
      </c>
      <c r="M472" t="n">
        <v>0</v>
      </c>
      <c r="N472" t="n">
        <v>0</v>
      </c>
      <c r="O472" t="n">
        <v>0</v>
      </c>
      <c r="P472" t="n">
        <v>0</v>
      </c>
      <c r="Q472" t="n">
        <v>0</v>
      </c>
      <c r="R472" s="2" t="inlineStr"/>
    </row>
    <row r="473" ht="15" customHeight="1">
      <c r="A473" t="inlineStr">
        <is>
          <t>A 31343-2023</t>
        </is>
      </c>
      <c r="B473" s="1" t="n">
        <v>45104</v>
      </c>
      <c r="C473" s="1" t="n">
        <v>45706</v>
      </c>
      <c r="D473" t="inlineStr">
        <is>
          <t>VÄSTERNORRLANDS LÄN</t>
        </is>
      </c>
      <c r="E473" t="inlineStr">
        <is>
          <t>TIMRÅ</t>
        </is>
      </c>
      <c r="G473" t="n">
        <v>7.1</v>
      </c>
      <c r="H473" t="n">
        <v>0</v>
      </c>
      <c r="I473" t="n">
        <v>0</v>
      </c>
      <c r="J473" t="n">
        <v>0</v>
      </c>
      <c r="K473" t="n">
        <v>0</v>
      </c>
      <c r="L473" t="n">
        <v>0</v>
      </c>
      <c r="M473" t="n">
        <v>0</v>
      </c>
      <c r="N473" t="n">
        <v>0</v>
      </c>
      <c r="O473" t="n">
        <v>0</v>
      </c>
      <c r="P473" t="n">
        <v>0</v>
      </c>
      <c r="Q473" t="n">
        <v>0</v>
      </c>
      <c r="R473" s="2" t="inlineStr"/>
    </row>
    <row r="474" ht="15" customHeight="1">
      <c r="A474" t="inlineStr">
        <is>
          <t>A 31472-2023</t>
        </is>
      </c>
      <c r="B474" s="1" t="n">
        <v>45104</v>
      </c>
      <c r="C474" s="1" t="n">
        <v>45706</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29599-2023</t>
        </is>
      </c>
      <c r="B475" s="1" t="n">
        <v>45106</v>
      </c>
      <c r="C475" s="1" t="n">
        <v>45706</v>
      </c>
      <c r="D475" t="inlineStr">
        <is>
          <t>VÄSTERNORRLANDS LÄN</t>
        </is>
      </c>
      <c r="E475" t="inlineStr">
        <is>
          <t>TIMRÅ</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29948-2023</t>
        </is>
      </c>
      <c r="B476" s="1" t="n">
        <v>45107</v>
      </c>
      <c r="C476" s="1" t="n">
        <v>45706</v>
      </c>
      <c r="D476" t="inlineStr">
        <is>
          <t>VÄSTERNORRLANDS LÄN</t>
        </is>
      </c>
      <c r="E476" t="inlineStr">
        <is>
          <t>TIMRÅ</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32070-2023</t>
        </is>
      </c>
      <c r="B477" s="1" t="n">
        <v>45107</v>
      </c>
      <c r="C477" s="1" t="n">
        <v>45706</v>
      </c>
      <c r="D477" t="inlineStr">
        <is>
          <t>VÄSTERNORRLANDS LÄN</t>
        </is>
      </c>
      <c r="E477" t="inlineStr">
        <is>
          <t>TIMRÅ</t>
        </is>
      </c>
      <c r="G477" t="n">
        <v>1.5</v>
      </c>
      <c r="H477" t="n">
        <v>0</v>
      </c>
      <c r="I477" t="n">
        <v>0</v>
      </c>
      <c r="J477" t="n">
        <v>0</v>
      </c>
      <c r="K477" t="n">
        <v>0</v>
      </c>
      <c r="L477" t="n">
        <v>0</v>
      </c>
      <c r="M477" t="n">
        <v>0</v>
      </c>
      <c r="N477" t="n">
        <v>0</v>
      </c>
      <c r="O477" t="n">
        <v>0</v>
      </c>
      <c r="P477" t="n">
        <v>0</v>
      </c>
      <c r="Q477" t="n">
        <v>0</v>
      </c>
      <c r="R477" s="2" t="inlineStr"/>
    </row>
    <row r="478" ht="15" customHeight="1">
      <c r="A478" t="inlineStr">
        <is>
          <t>A 30315-2023</t>
        </is>
      </c>
      <c r="B478" s="1" t="n">
        <v>45110</v>
      </c>
      <c r="C478" s="1" t="n">
        <v>45706</v>
      </c>
      <c r="D478" t="inlineStr">
        <is>
          <t>VÄSTERNORRLANDS LÄN</t>
        </is>
      </c>
      <c r="E478" t="inlineStr">
        <is>
          <t>TIMRÅ</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30298-2023</t>
        </is>
      </c>
      <c r="B479" s="1" t="n">
        <v>45110</v>
      </c>
      <c r="C479" s="1" t="n">
        <v>45706</v>
      </c>
      <c r="D479" t="inlineStr">
        <is>
          <t>VÄSTERNORRLANDS LÄN</t>
        </is>
      </c>
      <c r="E479" t="inlineStr">
        <is>
          <t>TIMRÅ</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30850-2023</t>
        </is>
      </c>
      <c r="B480" s="1" t="n">
        <v>45112</v>
      </c>
      <c r="C480" s="1" t="n">
        <v>45706</v>
      </c>
      <c r="D480" t="inlineStr">
        <is>
          <t>VÄSTERNORRLANDS LÄN</t>
        </is>
      </c>
      <c r="E480" t="inlineStr">
        <is>
          <t>TIMRÅ</t>
        </is>
      </c>
      <c r="F480" t="inlineStr">
        <is>
          <t>SCA</t>
        </is>
      </c>
      <c r="G480" t="n">
        <v>16.1</v>
      </c>
      <c r="H480" t="n">
        <v>0</v>
      </c>
      <c r="I480" t="n">
        <v>0</v>
      </c>
      <c r="J480" t="n">
        <v>0</v>
      </c>
      <c r="K480" t="n">
        <v>0</v>
      </c>
      <c r="L480" t="n">
        <v>0</v>
      </c>
      <c r="M480" t="n">
        <v>0</v>
      </c>
      <c r="N480" t="n">
        <v>0</v>
      </c>
      <c r="O480" t="n">
        <v>0</v>
      </c>
      <c r="P480" t="n">
        <v>0</v>
      </c>
      <c r="Q480" t="n">
        <v>0</v>
      </c>
      <c r="R480" s="2" t="inlineStr"/>
    </row>
    <row r="481" ht="15" customHeight="1">
      <c r="A481" t="inlineStr">
        <is>
          <t>A 30835-2023</t>
        </is>
      </c>
      <c r="B481" s="1" t="n">
        <v>45113</v>
      </c>
      <c r="C481" s="1" t="n">
        <v>45706</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31562-2023</t>
        </is>
      </c>
      <c r="B482" s="1" t="n">
        <v>45117</v>
      </c>
      <c r="C482" s="1" t="n">
        <v>45706</v>
      </c>
      <c r="D482" t="inlineStr">
        <is>
          <t>VÄSTERNORRLANDS LÄN</t>
        </is>
      </c>
      <c r="E482" t="inlineStr">
        <is>
          <t>TIMRÅ</t>
        </is>
      </c>
      <c r="G482" t="n">
        <v>3.7</v>
      </c>
      <c r="H482" t="n">
        <v>0</v>
      </c>
      <c r="I482" t="n">
        <v>0</v>
      </c>
      <c r="J482" t="n">
        <v>0</v>
      </c>
      <c r="K482" t="n">
        <v>0</v>
      </c>
      <c r="L482" t="n">
        <v>0</v>
      </c>
      <c r="M482" t="n">
        <v>0</v>
      </c>
      <c r="N482" t="n">
        <v>0</v>
      </c>
      <c r="O482" t="n">
        <v>0</v>
      </c>
      <c r="P482" t="n">
        <v>0</v>
      </c>
      <c r="Q482" t="n">
        <v>0</v>
      </c>
      <c r="R482" s="2" t="inlineStr"/>
    </row>
    <row r="483" ht="15" customHeight="1">
      <c r="A483" t="inlineStr">
        <is>
          <t>A 31736-2023</t>
        </is>
      </c>
      <c r="B483" s="1" t="n">
        <v>45117</v>
      </c>
      <c r="C483" s="1" t="n">
        <v>45706</v>
      </c>
      <c r="D483" t="inlineStr">
        <is>
          <t>VÄSTERNORRLANDS LÄN</t>
        </is>
      </c>
      <c r="E483" t="inlineStr">
        <is>
          <t>TIMRÅ</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31741-2023</t>
        </is>
      </c>
      <c r="B484" s="1" t="n">
        <v>45117</v>
      </c>
      <c r="C484" s="1" t="n">
        <v>45706</v>
      </c>
      <c r="D484" t="inlineStr">
        <is>
          <t>VÄSTERNORRLANDS LÄN</t>
        </is>
      </c>
      <c r="E484" t="inlineStr">
        <is>
          <t>TIMRÅ</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32224-2023</t>
        </is>
      </c>
      <c r="B485" s="1" t="n">
        <v>45119</v>
      </c>
      <c r="C485" s="1" t="n">
        <v>45706</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32225-2023</t>
        </is>
      </c>
      <c r="B486" s="1" t="n">
        <v>45119</v>
      </c>
      <c r="C486" s="1" t="n">
        <v>45706</v>
      </c>
      <c r="D486" t="inlineStr">
        <is>
          <t>VÄSTERNORRLANDS LÄN</t>
        </is>
      </c>
      <c r="E486" t="inlineStr">
        <is>
          <t>TIMRÅ</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32223-2023</t>
        </is>
      </c>
      <c r="B487" s="1" t="n">
        <v>45119</v>
      </c>
      <c r="C487" s="1" t="n">
        <v>45706</v>
      </c>
      <c r="D487" t="inlineStr">
        <is>
          <t>VÄSTERNORRLANDS LÄN</t>
        </is>
      </c>
      <c r="E487" t="inlineStr">
        <is>
          <t>TIMRÅ</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32226-2023</t>
        </is>
      </c>
      <c r="B488" s="1" t="n">
        <v>45119</v>
      </c>
      <c r="C488" s="1" t="n">
        <v>45706</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32230-2023</t>
        </is>
      </c>
      <c r="B489" s="1" t="n">
        <v>45120</v>
      </c>
      <c r="C489" s="1" t="n">
        <v>45706</v>
      </c>
      <c r="D489" t="inlineStr">
        <is>
          <t>VÄSTERNORRLANDS LÄN</t>
        </is>
      </c>
      <c r="E489" t="inlineStr">
        <is>
          <t>TIMRÅ</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33667-2023</t>
        </is>
      </c>
      <c r="B490" s="1" t="n">
        <v>45119</v>
      </c>
      <c r="C490" s="1" t="n">
        <v>45706</v>
      </c>
      <c r="D490" t="inlineStr">
        <is>
          <t>VÄSTERNORRLANDS LÄN</t>
        </is>
      </c>
      <c r="E490" t="inlineStr">
        <is>
          <t>TIMRÅ</t>
        </is>
      </c>
      <c r="G490" t="n">
        <v>4.8</v>
      </c>
      <c r="H490" t="n">
        <v>0</v>
      </c>
      <c r="I490" t="n">
        <v>0</v>
      </c>
      <c r="J490" t="n">
        <v>0</v>
      </c>
      <c r="K490" t="n">
        <v>0</v>
      </c>
      <c r="L490" t="n">
        <v>0</v>
      </c>
      <c r="M490" t="n">
        <v>0</v>
      </c>
      <c r="N490" t="n">
        <v>0</v>
      </c>
      <c r="O490" t="n">
        <v>0</v>
      </c>
      <c r="P490" t="n">
        <v>0</v>
      </c>
      <c r="Q490" t="n">
        <v>0</v>
      </c>
      <c r="R490" s="2" t="inlineStr"/>
    </row>
    <row r="491" ht="15" customHeight="1">
      <c r="A491" t="inlineStr">
        <is>
          <t>A 33756-2023</t>
        </is>
      </c>
      <c r="B491" s="1" t="n">
        <v>45120</v>
      </c>
      <c r="C491" s="1" t="n">
        <v>45706</v>
      </c>
      <c r="D491" t="inlineStr">
        <is>
          <t>VÄSTERNORRLANDS LÄN</t>
        </is>
      </c>
      <c r="E491" t="inlineStr">
        <is>
          <t>TIMRÅ</t>
        </is>
      </c>
      <c r="G491" t="n">
        <v>10.5</v>
      </c>
      <c r="H491" t="n">
        <v>0</v>
      </c>
      <c r="I491" t="n">
        <v>0</v>
      </c>
      <c r="J491" t="n">
        <v>0</v>
      </c>
      <c r="K491" t="n">
        <v>0</v>
      </c>
      <c r="L491" t="n">
        <v>0</v>
      </c>
      <c r="M491" t="n">
        <v>0</v>
      </c>
      <c r="N491" t="n">
        <v>0</v>
      </c>
      <c r="O491" t="n">
        <v>0</v>
      </c>
      <c r="P491" t="n">
        <v>0</v>
      </c>
      <c r="Q491" t="n">
        <v>0</v>
      </c>
      <c r="R491" s="2" t="inlineStr"/>
    </row>
    <row r="492" ht="15" customHeight="1">
      <c r="A492" t="inlineStr">
        <is>
          <t>A 33043-2023</t>
        </is>
      </c>
      <c r="B492" s="1" t="n">
        <v>45125</v>
      </c>
      <c r="C492" s="1" t="n">
        <v>45706</v>
      </c>
      <c r="D492" t="inlineStr">
        <is>
          <t>VÄSTERNORRLANDS LÄN</t>
        </is>
      </c>
      <c r="E492" t="inlineStr">
        <is>
          <t>TIMRÅ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34172-2023</t>
        </is>
      </c>
      <c r="B493" s="1" t="n">
        <v>45126</v>
      </c>
      <c r="C493" s="1" t="n">
        <v>45706</v>
      </c>
      <c r="D493" t="inlineStr">
        <is>
          <t>VÄSTERNORRLANDS LÄN</t>
        </is>
      </c>
      <c r="E493" t="inlineStr">
        <is>
          <t>TIMRÅ</t>
        </is>
      </c>
      <c r="G493" t="n">
        <v>4</v>
      </c>
      <c r="H493" t="n">
        <v>0</v>
      </c>
      <c r="I493" t="n">
        <v>0</v>
      </c>
      <c r="J493" t="n">
        <v>0</v>
      </c>
      <c r="K493" t="n">
        <v>0</v>
      </c>
      <c r="L493" t="n">
        <v>0</v>
      </c>
      <c r="M493" t="n">
        <v>0</v>
      </c>
      <c r="N493" t="n">
        <v>0</v>
      </c>
      <c r="O493" t="n">
        <v>0</v>
      </c>
      <c r="P493" t="n">
        <v>0</v>
      </c>
      <c r="Q493" t="n">
        <v>0</v>
      </c>
      <c r="R493" s="2" t="inlineStr"/>
    </row>
    <row r="494" ht="15" customHeight="1">
      <c r="A494" t="inlineStr">
        <is>
          <t>A 35342-2023</t>
        </is>
      </c>
      <c r="B494" s="1" t="n">
        <v>45145</v>
      </c>
      <c r="C494" s="1" t="n">
        <v>45706</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35568-2023</t>
        </is>
      </c>
      <c r="B495" s="1" t="n">
        <v>45146</v>
      </c>
      <c r="C495" s="1" t="n">
        <v>45706</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35763-2023</t>
        </is>
      </c>
      <c r="B496" s="1" t="n">
        <v>45147</v>
      </c>
      <c r="C496" s="1" t="n">
        <v>45706</v>
      </c>
      <c r="D496" t="inlineStr">
        <is>
          <t>VÄSTERNORRLANDS LÄN</t>
        </is>
      </c>
      <c r="E496" t="inlineStr">
        <is>
          <t>TIMRÅ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35939-2023</t>
        </is>
      </c>
      <c r="B497" s="1" t="n">
        <v>45148</v>
      </c>
      <c r="C497" s="1" t="n">
        <v>45706</v>
      </c>
      <c r="D497" t="inlineStr">
        <is>
          <t>VÄSTERNORRLANDS LÄN</t>
        </is>
      </c>
      <c r="E497" t="inlineStr">
        <is>
          <t>TIMRÅ</t>
        </is>
      </c>
      <c r="G497" t="n">
        <v>1.1</v>
      </c>
      <c r="H497" t="n">
        <v>0</v>
      </c>
      <c r="I497" t="n">
        <v>0</v>
      </c>
      <c r="J497" t="n">
        <v>0</v>
      </c>
      <c r="K497" t="n">
        <v>0</v>
      </c>
      <c r="L497" t="n">
        <v>0</v>
      </c>
      <c r="M497" t="n">
        <v>0</v>
      </c>
      <c r="N497" t="n">
        <v>0</v>
      </c>
      <c r="O497" t="n">
        <v>0</v>
      </c>
      <c r="P497" t="n">
        <v>0</v>
      </c>
      <c r="Q497" t="n">
        <v>0</v>
      </c>
      <c r="R497" s="2" t="inlineStr"/>
    </row>
    <row r="498" ht="15" customHeight="1">
      <c r="A498" t="inlineStr">
        <is>
          <t>A 36228-2023</t>
        </is>
      </c>
      <c r="B498" s="1" t="n">
        <v>45149</v>
      </c>
      <c r="C498" s="1" t="n">
        <v>45706</v>
      </c>
      <c r="D498" t="inlineStr">
        <is>
          <t>VÄSTERNORRLANDS LÄN</t>
        </is>
      </c>
      <c r="E498" t="inlineStr">
        <is>
          <t>TIMRÅ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36992-2023</t>
        </is>
      </c>
      <c r="B499" s="1" t="n">
        <v>45154</v>
      </c>
      <c r="C499" s="1" t="n">
        <v>45706</v>
      </c>
      <c r="D499" t="inlineStr">
        <is>
          <t>VÄSTERNORRLANDS LÄN</t>
        </is>
      </c>
      <c r="E499" t="inlineStr">
        <is>
          <t>TIMRÅ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36997-2023</t>
        </is>
      </c>
      <c r="B500" s="1" t="n">
        <v>45154</v>
      </c>
      <c r="C500" s="1" t="n">
        <v>45706</v>
      </c>
      <c r="D500" t="inlineStr">
        <is>
          <t>VÄSTERNORRLANDS LÄN</t>
        </is>
      </c>
      <c r="E500" t="inlineStr">
        <is>
          <t>TIMRÅ</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37259-2023</t>
        </is>
      </c>
      <c r="B501" s="1" t="n">
        <v>45156</v>
      </c>
      <c r="C501" s="1" t="n">
        <v>45706</v>
      </c>
      <c r="D501" t="inlineStr">
        <is>
          <t>VÄSTERNORRLANDS LÄN</t>
        </is>
      </c>
      <c r="E501" t="inlineStr">
        <is>
          <t>TIMRÅ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37808-2023</t>
        </is>
      </c>
      <c r="B502" s="1" t="n">
        <v>45160</v>
      </c>
      <c r="C502" s="1" t="n">
        <v>45706</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38423-2023</t>
        </is>
      </c>
      <c r="B503" s="1" t="n">
        <v>45160</v>
      </c>
      <c r="C503" s="1" t="n">
        <v>45706</v>
      </c>
      <c r="D503" t="inlineStr">
        <is>
          <t>VÄSTERNORRLANDS LÄN</t>
        </is>
      </c>
      <c r="E503" t="inlineStr">
        <is>
          <t>TIMRÅ</t>
        </is>
      </c>
      <c r="G503" t="n">
        <v>6.4</v>
      </c>
      <c r="H503" t="n">
        <v>0</v>
      </c>
      <c r="I503" t="n">
        <v>0</v>
      </c>
      <c r="J503" t="n">
        <v>0</v>
      </c>
      <c r="K503" t="n">
        <v>0</v>
      </c>
      <c r="L503" t="n">
        <v>0</v>
      </c>
      <c r="M503" t="n">
        <v>0</v>
      </c>
      <c r="N503" t="n">
        <v>0</v>
      </c>
      <c r="O503" t="n">
        <v>0</v>
      </c>
      <c r="P503" t="n">
        <v>0</v>
      </c>
      <c r="Q503" t="n">
        <v>0</v>
      </c>
      <c r="R503" s="2" t="inlineStr"/>
    </row>
    <row r="504" ht="15" customHeight="1">
      <c r="A504" t="inlineStr">
        <is>
          <t>A 38360-2023</t>
        </is>
      </c>
      <c r="B504" s="1" t="n">
        <v>45162</v>
      </c>
      <c r="C504" s="1" t="n">
        <v>45706</v>
      </c>
      <c r="D504" t="inlineStr">
        <is>
          <t>VÄSTERNORRLANDS LÄN</t>
        </is>
      </c>
      <c r="E504" t="inlineStr">
        <is>
          <t>TIMRÅ</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39073-2023</t>
        </is>
      </c>
      <c r="B505" s="1" t="n">
        <v>45163</v>
      </c>
      <c r="C505" s="1" t="n">
        <v>45706</v>
      </c>
      <c r="D505" t="inlineStr">
        <is>
          <t>VÄSTERNORRLANDS LÄN</t>
        </is>
      </c>
      <c r="E505" t="inlineStr">
        <is>
          <t>TIMRÅ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39081-2023</t>
        </is>
      </c>
      <c r="B506" s="1" t="n">
        <v>45163</v>
      </c>
      <c r="C506" s="1" t="n">
        <v>45706</v>
      </c>
      <c r="D506" t="inlineStr">
        <is>
          <t>VÄSTERNORRLANDS LÄN</t>
        </is>
      </c>
      <c r="E506" t="inlineStr">
        <is>
          <t>TIMRÅ</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39046-2023</t>
        </is>
      </c>
      <c r="B507" s="1" t="n">
        <v>45163</v>
      </c>
      <c r="C507" s="1" t="n">
        <v>45706</v>
      </c>
      <c r="D507" t="inlineStr">
        <is>
          <t>VÄSTERNORRLANDS LÄN</t>
        </is>
      </c>
      <c r="E507" t="inlineStr">
        <is>
          <t>TIMRÅ</t>
        </is>
      </c>
      <c r="G507" t="n">
        <v>1.8</v>
      </c>
      <c r="H507" t="n">
        <v>0</v>
      </c>
      <c r="I507" t="n">
        <v>0</v>
      </c>
      <c r="J507" t="n">
        <v>0</v>
      </c>
      <c r="K507" t="n">
        <v>0</v>
      </c>
      <c r="L507" t="n">
        <v>0</v>
      </c>
      <c r="M507" t="n">
        <v>0</v>
      </c>
      <c r="N507" t="n">
        <v>0</v>
      </c>
      <c r="O507" t="n">
        <v>0</v>
      </c>
      <c r="P507" t="n">
        <v>0</v>
      </c>
      <c r="Q507" t="n">
        <v>0</v>
      </c>
      <c r="R507" s="2" t="inlineStr"/>
    </row>
    <row r="508" ht="15" customHeight="1">
      <c r="A508" t="inlineStr">
        <is>
          <t>A 39048-2023</t>
        </is>
      </c>
      <c r="B508" s="1" t="n">
        <v>45164</v>
      </c>
      <c r="C508" s="1" t="n">
        <v>45706</v>
      </c>
      <c r="D508" t="inlineStr">
        <is>
          <t>VÄSTERNORRLANDS LÄN</t>
        </is>
      </c>
      <c r="E508" t="inlineStr">
        <is>
          <t>TIMRÅ</t>
        </is>
      </c>
      <c r="G508" t="n">
        <v>5.1</v>
      </c>
      <c r="H508" t="n">
        <v>0</v>
      </c>
      <c r="I508" t="n">
        <v>0</v>
      </c>
      <c r="J508" t="n">
        <v>0</v>
      </c>
      <c r="K508" t="n">
        <v>0</v>
      </c>
      <c r="L508" t="n">
        <v>0</v>
      </c>
      <c r="M508" t="n">
        <v>0</v>
      </c>
      <c r="N508" t="n">
        <v>0</v>
      </c>
      <c r="O508" t="n">
        <v>0</v>
      </c>
      <c r="P508" t="n">
        <v>0</v>
      </c>
      <c r="Q508" t="n">
        <v>0</v>
      </c>
      <c r="R508" s="2" t="inlineStr"/>
    </row>
    <row r="509" ht="15" customHeight="1">
      <c r="A509" t="inlineStr">
        <is>
          <t>A 39072-2023</t>
        </is>
      </c>
      <c r="B509" s="1" t="n">
        <v>45163</v>
      </c>
      <c r="C509" s="1" t="n">
        <v>45706</v>
      </c>
      <c r="D509" t="inlineStr">
        <is>
          <t>VÄSTERNORRLANDS LÄN</t>
        </is>
      </c>
      <c r="E509" t="inlineStr">
        <is>
          <t>TIMRÅ</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39143-2023</t>
        </is>
      </c>
      <c r="B510" s="1" t="n">
        <v>45165</v>
      </c>
      <c r="C510" s="1" t="n">
        <v>45706</v>
      </c>
      <c r="D510" t="inlineStr">
        <is>
          <t>VÄSTERNORRLANDS LÄN</t>
        </is>
      </c>
      <c r="E510" t="inlineStr">
        <is>
          <t>TIMRÅ</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39142-2023</t>
        </is>
      </c>
      <c r="B511" s="1" t="n">
        <v>45165</v>
      </c>
      <c r="C511" s="1" t="n">
        <v>45706</v>
      </c>
      <c r="D511" t="inlineStr">
        <is>
          <t>VÄSTERNORRLANDS LÄN</t>
        </is>
      </c>
      <c r="E511" t="inlineStr">
        <is>
          <t>TIMRÅ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39693-2023</t>
        </is>
      </c>
      <c r="B512" s="1" t="n">
        <v>45166</v>
      </c>
      <c r="C512" s="1" t="n">
        <v>45706</v>
      </c>
      <c r="D512" t="inlineStr">
        <is>
          <t>VÄSTERNORRLANDS LÄN</t>
        </is>
      </c>
      <c r="E512" t="inlineStr">
        <is>
          <t>TIMRÅ</t>
        </is>
      </c>
      <c r="G512" t="n">
        <v>5.8</v>
      </c>
      <c r="H512" t="n">
        <v>0</v>
      </c>
      <c r="I512" t="n">
        <v>0</v>
      </c>
      <c r="J512" t="n">
        <v>0</v>
      </c>
      <c r="K512" t="n">
        <v>0</v>
      </c>
      <c r="L512" t="n">
        <v>0</v>
      </c>
      <c r="M512" t="n">
        <v>0</v>
      </c>
      <c r="N512" t="n">
        <v>0</v>
      </c>
      <c r="O512" t="n">
        <v>0</v>
      </c>
      <c r="P512" t="n">
        <v>0</v>
      </c>
      <c r="Q512" t="n">
        <v>0</v>
      </c>
      <c r="R512" s="2" t="inlineStr"/>
    </row>
    <row r="513" ht="15" customHeight="1">
      <c r="A513" t="inlineStr">
        <is>
          <t>A 39819-2023</t>
        </is>
      </c>
      <c r="B513" s="1" t="n">
        <v>45167</v>
      </c>
      <c r="C513" s="1" t="n">
        <v>45706</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40112-2023</t>
        </is>
      </c>
      <c r="B514" s="1" t="n">
        <v>45168</v>
      </c>
      <c r="C514" s="1" t="n">
        <v>45706</v>
      </c>
      <c r="D514" t="inlineStr">
        <is>
          <t>VÄSTERNORRLANDS LÄN</t>
        </is>
      </c>
      <c r="E514" t="inlineStr">
        <is>
          <t>TIMRÅ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40769-2023</t>
        </is>
      </c>
      <c r="B515" s="1" t="n">
        <v>45170</v>
      </c>
      <c r="C515" s="1" t="n">
        <v>45706</v>
      </c>
      <c r="D515" t="inlineStr">
        <is>
          <t>VÄSTERNORRLANDS LÄN</t>
        </is>
      </c>
      <c r="E515" t="inlineStr">
        <is>
          <t>TIMRÅ</t>
        </is>
      </c>
      <c r="F515" t="inlineStr">
        <is>
          <t>SCA</t>
        </is>
      </c>
      <c r="G515" t="n">
        <v>10.9</v>
      </c>
      <c r="H515" t="n">
        <v>0</v>
      </c>
      <c r="I515" t="n">
        <v>0</v>
      </c>
      <c r="J515" t="n">
        <v>0</v>
      </c>
      <c r="K515" t="n">
        <v>0</v>
      </c>
      <c r="L515" t="n">
        <v>0</v>
      </c>
      <c r="M515" t="n">
        <v>0</v>
      </c>
      <c r="N515" t="n">
        <v>0</v>
      </c>
      <c r="O515" t="n">
        <v>0</v>
      </c>
      <c r="P515" t="n">
        <v>0</v>
      </c>
      <c r="Q515" t="n">
        <v>0</v>
      </c>
      <c r="R515" s="2" t="inlineStr"/>
    </row>
    <row r="516" ht="15" customHeight="1">
      <c r="A516" t="inlineStr">
        <is>
          <t>A 40773-2023</t>
        </is>
      </c>
      <c r="B516" s="1" t="n">
        <v>45171</v>
      </c>
      <c r="C516" s="1" t="n">
        <v>45706</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40774-2023</t>
        </is>
      </c>
      <c r="B517" s="1" t="n">
        <v>45171</v>
      </c>
      <c r="C517" s="1" t="n">
        <v>45706</v>
      </c>
      <c r="D517" t="inlineStr">
        <is>
          <t>VÄSTERNORRLANDS LÄN</t>
        </is>
      </c>
      <c r="E517" t="inlineStr">
        <is>
          <t>TIMRÅ</t>
        </is>
      </c>
      <c r="F517" t="inlineStr">
        <is>
          <t>SCA</t>
        </is>
      </c>
      <c r="G517" t="n">
        <v>12.6</v>
      </c>
      <c r="H517" t="n">
        <v>0</v>
      </c>
      <c r="I517" t="n">
        <v>0</v>
      </c>
      <c r="J517" t="n">
        <v>0</v>
      </c>
      <c r="K517" t="n">
        <v>0</v>
      </c>
      <c r="L517" t="n">
        <v>0</v>
      </c>
      <c r="M517" t="n">
        <v>0</v>
      </c>
      <c r="N517" t="n">
        <v>0</v>
      </c>
      <c r="O517" t="n">
        <v>0</v>
      </c>
      <c r="P517" t="n">
        <v>0</v>
      </c>
      <c r="Q517" t="n">
        <v>0</v>
      </c>
      <c r="R517" s="2" t="inlineStr"/>
    </row>
    <row r="518" ht="15" customHeight="1">
      <c r="A518" t="inlineStr">
        <is>
          <t>A 40767-2023</t>
        </is>
      </c>
      <c r="B518" s="1" t="n">
        <v>45171</v>
      </c>
      <c r="C518" s="1" t="n">
        <v>45706</v>
      </c>
      <c r="D518" t="inlineStr">
        <is>
          <t>VÄSTERNORRLANDS LÄN</t>
        </is>
      </c>
      <c r="E518" t="inlineStr">
        <is>
          <t>TIMRÅ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40768-2023</t>
        </is>
      </c>
      <c r="B519" s="1" t="n">
        <v>45171</v>
      </c>
      <c r="C519" s="1" t="n">
        <v>45706</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41605-2023</t>
        </is>
      </c>
      <c r="B520" s="1" t="n">
        <v>45175</v>
      </c>
      <c r="C520" s="1" t="n">
        <v>45706</v>
      </c>
      <c r="D520" t="inlineStr">
        <is>
          <t>VÄSTERNORRLANDS LÄN</t>
        </is>
      </c>
      <c r="E520" t="inlineStr">
        <is>
          <t>TIMRÅ</t>
        </is>
      </c>
      <c r="G520" t="n">
        <v>1.6</v>
      </c>
      <c r="H520" t="n">
        <v>0</v>
      </c>
      <c r="I520" t="n">
        <v>0</v>
      </c>
      <c r="J520" t="n">
        <v>0</v>
      </c>
      <c r="K520" t="n">
        <v>0</v>
      </c>
      <c r="L520" t="n">
        <v>0</v>
      </c>
      <c r="M520" t="n">
        <v>0</v>
      </c>
      <c r="N520" t="n">
        <v>0</v>
      </c>
      <c r="O520" t="n">
        <v>0</v>
      </c>
      <c r="P520" t="n">
        <v>0</v>
      </c>
      <c r="Q520" t="n">
        <v>0</v>
      </c>
      <c r="R520" s="2" t="inlineStr"/>
    </row>
    <row r="521" ht="15" customHeight="1">
      <c r="A521" t="inlineStr">
        <is>
          <t>A 42161-2023</t>
        </is>
      </c>
      <c r="B521" s="1" t="n">
        <v>45178</v>
      </c>
      <c r="C521" s="1" t="n">
        <v>45706</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42513-2023</t>
        </is>
      </c>
      <c r="B522" s="1" t="n">
        <v>45180</v>
      </c>
      <c r="C522" s="1" t="n">
        <v>45706</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42516-2023</t>
        </is>
      </c>
      <c r="B523" s="1" t="n">
        <v>45180</v>
      </c>
      <c r="C523" s="1" t="n">
        <v>45706</v>
      </c>
      <c r="D523" t="inlineStr">
        <is>
          <t>VÄSTERNORRLANDS LÄN</t>
        </is>
      </c>
      <c r="E523" t="inlineStr">
        <is>
          <t>TIMRÅ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43124-2023</t>
        </is>
      </c>
      <c r="B524" s="1" t="n">
        <v>45182</v>
      </c>
      <c r="C524" s="1" t="n">
        <v>45706</v>
      </c>
      <c r="D524" t="inlineStr">
        <is>
          <t>VÄSTERNORRLANDS LÄN</t>
        </is>
      </c>
      <c r="E524" t="inlineStr">
        <is>
          <t>TIMRÅ</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43130-2023</t>
        </is>
      </c>
      <c r="B525" s="1" t="n">
        <v>45183</v>
      </c>
      <c r="C525" s="1" t="n">
        <v>45706</v>
      </c>
      <c r="D525" t="inlineStr">
        <is>
          <t>VÄSTERNORRLANDS LÄN</t>
        </is>
      </c>
      <c r="E525" t="inlineStr">
        <is>
          <t>TIMRÅ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43128-2023</t>
        </is>
      </c>
      <c r="B526" s="1" t="n">
        <v>45182</v>
      </c>
      <c r="C526" s="1" t="n">
        <v>45706</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43113-2023</t>
        </is>
      </c>
      <c r="B527" s="1" t="n">
        <v>45182</v>
      </c>
      <c r="C527" s="1" t="n">
        <v>45706</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43129-2023</t>
        </is>
      </c>
      <c r="B528" s="1" t="n">
        <v>45182</v>
      </c>
      <c r="C528" s="1" t="n">
        <v>45706</v>
      </c>
      <c r="D528" t="inlineStr">
        <is>
          <t>VÄSTERNORRLANDS LÄN</t>
        </is>
      </c>
      <c r="E528" t="inlineStr">
        <is>
          <t>TIMRÅ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43411-2023</t>
        </is>
      </c>
      <c r="B529" s="1" t="n">
        <v>45183</v>
      </c>
      <c r="C529" s="1" t="n">
        <v>45706</v>
      </c>
      <c r="D529" t="inlineStr">
        <is>
          <t>VÄSTERNORRLANDS LÄN</t>
        </is>
      </c>
      <c r="E529" t="inlineStr">
        <is>
          <t>TIMRÅ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43412-2023</t>
        </is>
      </c>
      <c r="B530" s="1" t="n">
        <v>45184</v>
      </c>
      <c r="C530" s="1" t="n">
        <v>45706</v>
      </c>
      <c r="D530" t="inlineStr">
        <is>
          <t>VÄSTERNORRLANDS LÄN</t>
        </is>
      </c>
      <c r="E530" t="inlineStr">
        <is>
          <t>TIMRÅ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43959-2023</t>
        </is>
      </c>
      <c r="B531" s="1" t="n">
        <v>45188</v>
      </c>
      <c r="C531" s="1" t="n">
        <v>45706</v>
      </c>
      <c r="D531" t="inlineStr">
        <is>
          <t>VÄSTERNORRLANDS LÄN</t>
        </is>
      </c>
      <c r="E531" t="inlineStr">
        <is>
          <t>TIMRÅ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43964-2023</t>
        </is>
      </c>
      <c r="B532" s="1" t="n">
        <v>45187</v>
      </c>
      <c r="C532" s="1" t="n">
        <v>45706</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43983-2023</t>
        </is>
      </c>
      <c r="B533" s="1" t="n">
        <v>45188</v>
      </c>
      <c r="C533" s="1" t="n">
        <v>45706</v>
      </c>
      <c r="D533" t="inlineStr">
        <is>
          <t>VÄSTERNORRLANDS LÄN</t>
        </is>
      </c>
      <c r="E533" t="inlineStr">
        <is>
          <t>TIMRÅ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43962-2023</t>
        </is>
      </c>
      <c r="B534" s="1" t="n">
        <v>45187</v>
      </c>
      <c r="C534" s="1" t="n">
        <v>45706</v>
      </c>
      <c r="D534" t="inlineStr">
        <is>
          <t>VÄSTERNORRLANDS LÄN</t>
        </is>
      </c>
      <c r="E534" t="inlineStr">
        <is>
          <t>TIMRÅ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43994-2023</t>
        </is>
      </c>
      <c r="B535" s="1" t="n">
        <v>45187</v>
      </c>
      <c r="C535" s="1" t="n">
        <v>45706</v>
      </c>
      <c r="D535" t="inlineStr">
        <is>
          <t>VÄSTERNORRLANDS LÄN</t>
        </is>
      </c>
      <c r="E535" t="inlineStr">
        <is>
          <t>TIMRÅ</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44405-2023</t>
        </is>
      </c>
      <c r="B536" s="1" t="n">
        <v>45188</v>
      </c>
      <c r="C536" s="1" t="n">
        <v>45706</v>
      </c>
      <c r="D536" t="inlineStr">
        <is>
          <t>VÄSTERNORRLANDS LÄN</t>
        </is>
      </c>
      <c r="E536" t="inlineStr">
        <is>
          <t>TIMRÅ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44404-2023</t>
        </is>
      </c>
      <c r="B537" s="1" t="n">
        <v>45188</v>
      </c>
      <c r="C537" s="1" t="n">
        <v>45706</v>
      </c>
      <c r="D537" t="inlineStr">
        <is>
          <t>VÄSTERNORRLANDS LÄN</t>
        </is>
      </c>
      <c r="E537" t="inlineStr">
        <is>
          <t>TIMRÅ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44379-2023</t>
        </is>
      </c>
      <c r="B538" s="1" t="n">
        <v>45188</v>
      </c>
      <c r="C538" s="1" t="n">
        <v>45706</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44378-2023</t>
        </is>
      </c>
      <c r="B539" s="1" t="n">
        <v>45189</v>
      </c>
      <c r="C539" s="1" t="n">
        <v>45706</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45774-2023</t>
        </is>
      </c>
      <c r="B540" s="1" t="n">
        <v>45189</v>
      </c>
      <c r="C540" s="1" t="n">
        <v>45706</v>
      </c>
      <c r="D540" t="inlineStr">
        <is>
          <t>VÄSTERNORRLANDS LÄN</t>
        </is>
      </c>
      <c r="E540" t="inlineStr">
        <is>
          <t>TIMRÅ</t>
        </is>
      </c>
      <c r="G540" t="n">
        <v>2.8</v>
      </c>
      <c r="H540" t="n">
        <v>0</v>
      </c>
      <c r="I540" t="n">
        <v>0</v>
      </c>
      <c r="J540" t="n">
        <v>0</v>
      </c>
      <c r="K540" t="n">
        <v>0</v>
      </c>
      <c r="L540" t="n">
        <v>0</v>
      </c>
      <c r="M540" t="n">
        <v>0</v>
      </c>
      <c r="N540" t="n">
        <v>0</v>
      </c>
      <c r="O540" t="n">
        <v>0</v>
      </c>
      <c r="P540" t="n">
        <v>0</v>
      </c>
      <c r="Q540" t="n">
        <v>0</v>
      </c>
      <c r="R540" s="2" t="inlineStr"/>
    </row>
    <row r="541" ht="15" customHeight="1">
      <c r="A541" t="inlineStr">
        <is>
          <t>A 44991-2023</t>
        </is>
      </c>
      <c r="B541" s="1" t="n">
        <v>45190</v>
      </c>
      <c r="C541" s="1" t="n">
        <v>45706</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44990-2023</t>
        </is>
      </c>
      <c r="B542" s="1" t="n">
        <v>45190</v>
      </c>
      <c r="C542" s="1" t="n">
        <v>45706</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45723-2023</t>
        </is>
      </c>
      <c r="B543" s="1" t="n">
        <v>45195</v>
      </c>
      <c r="C543" s="1" t="n">
        <v>45706</v>
      </c>
      <c r="D543" t="inlineStr">
        <is>
          <t>VÄSTERNORRLANDS LÄN</t>
        </is>
      </c>
      <c r="E543" t="inlineStr">
        <is>
          <t>TIMRÅ</t>
        </is>
      </c>
      <c r="G543" t="n">
        <v>0.9</v>
      </c>
      <c r="H543" t="n">
        <v>0</v>
      </c>
      <c r="I543" t="n">
        <v>0</v>
      </c>
      <c r="J543" t="n">
        <v>0</v>
      </c>
      <c r="K543" t="n">
        <v>0</v>
      </c>
      <c r="L543" t="n">
        <v>0</v>
      </c>
      <c r="M543" t="n">
        <v>0</v>
      </c>
      <c r="N543" t="n">
        <v>0</v>
      </c>
      <c r="O543" t="n">
        <v>0</v>
      </c>
      <c r="P543" t="n">
        <v>0</v>
      </c>
      <c r="Q543" t="n">
        <v>0</v>
      </c>
      <c r="R543" s="2" t="inlineStr"/>
    </row>
    <row r="544" ht="15" customHeight="1">
      <c r="A544" t="inlineStr">
        <is>
          <t>A 45739-2023</t>
        </is>
      </c>
      <c r="B544" s="1" t="n">
        <v>45195</v>
      </c>
      <c r="C544" s="1" t="n">
        <v>45706</v>
      </c>
      <c r="D544" t="inlineStr">
        <is>
          <t>VÄSTERNORRLANDS LÄN</t>
        </is>
      </c>
      <c r="E544" t="inlineStr">
        <is>
          <t>TIMRÅ</t>
        </is>
      </c>
      <c r="G544" t="n">
        <v>1.5</v>
      </c>
      <c r="H544" t="n">
        <v>0</v>
      </c>
      <c r="I544" t="n">
        <v>0</v>
      </c>
      <c r="J544" t="n">
        <v>0</v>
      </c>
      <c r="K544" t="n">
        <v>0</v>
      </c>
      <c r="L544" t="n">
        <v>0</v>
      </c>
      <c r="M544" t="n">
        <v>0</v>
      </c>
      <c r="N544" t="n">
        <v>0</v>
      </c>
      <c r="O544" t="n">
        <v>0</v>
      </c>
      <c r="P544" t="n">
        <v>0</v>
      </c>
      <c r="Q544" t="n">
        <v>0</v>
      </c>
      <c r="R544" s="2" t="inlineStr"/>
    </row>
    <row r="545" ht="15" customHeight="1">
      <c r="A545" t="inlineStr">
        <is>
          <t>A 47147-2023</t>
        </is>
      </c>
      <c r="B545" s="1" t="n">
        <v>45201</v>
      </c>
      <c r="C545" s="1" t="n">
        <v>45706</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47150-2023</t>
        </is>
      </c>
      <c r="B546" s="1" t="n">
        <v>45201</v>
      </c>
      <c r="C546" s="1" t="n">
        <v>45706</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48769-2023</t>
        </is>
      </c>
      <c r="B547" s="1" t="n">
        <v>45208</v>
      </c>
      <c r="C547" s="1" t="n">
        <v>45706</v>
      </c>
      <c r="D547" t="inlineStr">
        <is>
          <t>VÄSTERNORRLANDS LÄN</t>
        </is>
      </c>
      <c r="E547" t="inlineStr">
        <is>
          <t>TIMRÅ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48786-2023</t>
        </is>
      </c>
      <c r="B548" s="1" t="n">
        <v>45208</v>
      </c>
      <c r="C548" s="1" t="n">
        <v>45706</v>
      </c>
      <c r="D548" t="inlineStr">
        <is>
          <t>VÄSTERNORRLANDS LÄN</t>
        </is>
      </c>
      <c r="E548" t="inlineStr">
        <is>
          <t>TIMRÅ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48768-2023</t>
        </is>
      </c>
      <c r="B549" s="1" t="n">
        <v>45208</v>
      </c>
      <c r="C549" s="1" t="n">
        <v>45706</v>
      </c>
      <c r="D549" t="inlineStr">
        <is>
          <t>VÄSTERNORRLANDS LÄN</t>
        </is>
      </c>
      <c r="E549" t="inlineStr">
        <is>
          <t>TIMRÅ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48785-2023</t>
        </is>
      </c>
      <c r="B550" s="1" t="n">
        <v>45208</v>
      </c>
      <c r="C550" s="1" t="n">
        <v>45706</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48784-2023</t>
        </is>
      </c>
      <c r="B551" s="1" t="n">
        <v>45208</v>
      </c>
      <c r="C551" s="1" t="n">
        <v>45706</v>
      </c>
      <c r="D551" t="inlineStr">
        <is>
          <t>VÄSTERNORRLANDS LÄN</t>
        </is>
      </c>
      <c r="E551" t="inlineStr">
        <is>
          <t>TIMRÅ</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50355-2023</t>
        </is>
      </c>
      <c r="B552" s="1" t="n">
        <v>45209</v>
      </c>
      <c r="C552" s="1" t="n">
        <v>45706</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50638-2023</t>
        </is>
      </c>
      <c r="B553" s="1" t="n">
        <v>45210</v>
      </c>
      <c r="C553" s="1" t="n">
        <v>45706</v>
      </c>
      <c r="D553" t="inlineStr">
        <is>
          <t>VÄSTERNORRLANDS LÄN</t>
        </is>
      </c>
      <c r="E553" t="inlineStr">
        <is>
          <t>TIMRÅ</t>
        </is>
      </c>
      <c r="G553" t="n">
        <v>0.9</v>
      </c>
      <c r="H553" t="n">
        <v>0</v>
      </c>
      <c r="I553" t="n">
        <v>0</v>
      </c>
      <c r="J553" t="n">
        <v>0</v>
      </c>
      <c r="K553" t="n">
        <v>0</v>
      </c>
      <c r="L553" t="n">
        <v>0</v>
      </c>
      <c r="M553" t="n">
        <v>0</v>
      </c>
      <c r="N553" t="n">
        <v>0</v>
      </c>
      <c r="O553" t="n">
        <v>0</v>
      </c>
      <c r="P553" t="n">
        <v>0</v>
      </c>
      <c r="Q553" t="n">
        <v>0</v>
      </c>
      <c r="R553" s="2" t="inlineStr"/>
    </row>
    <row r="554" ht="15" customHeight="1">
      <c r="A554" t="inlineStr">
        <is>
          <t>A 50230-2023</t>
        </is>
      </c>
      <c r="B554" s="1" t="n">
        <v>45215</v>
      </c>
      <c r="C554" s="1" t="n">
        <v>45706</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51735-2023</t>
        </is>
      </c>
      <c r="B555" s="1" t="n">
        <v>45215</v>
      </c>
      <c r="C555" s="1" t="n">
        <v>45706</v>
      </c>
      <c r="D555" t="inlineStr">
        <is>
          <t>VÄSTERNORRLANDS LÄN</t>
        </is>
      </c>
      <c r="E555" t="inlineStr">
        <is>
          <t>TIMRÅ</t>
        </is>
      </c>
      <c r="G555" t="n">
        <v>8.5</v>
      </c>
      <c r="H555" t="n">
        <v>0</v>
      </c>
      <c r="I555" t="n">
        <v>0</v>
      </c>
      <c r="J555" t="n">
        <v>0</v>
      </c>
      <c r="K555" t="n">
        <v>0</v>
      </c>
      <c r="L555" t="n">
        <v>0</v>
      </c>
      <c r="M555" t="n">
        <v>0</v>
      </c>
      <c r="N555" t="n">
        <v>0</v>
      </c>
      <c r="O555" t="n">
        <v>0</v>
      </c>
      <c r="P555" t="n">
        <v>0</v>
      </c>
      <c r="Q555" t="n">
        <v>0</v>
      </c>
      <c r="R555" s="2" t="inlineStr"/>
    </row>
    <row r="556" ht="15" customHeight="1">
      <c r="A556" t="inlineStr">
        <is>
          <t>A 51871-2023</t>
        </is>
      </c>
      <c r="B556" s="1" t="n">
        <v>45215</v>
      </c>
      <c r="C556" s="1" t="n">
        <v>45706</v>
      </c>
      <c r="D556" t="inlineStr">
        <is>
          <t>VÄSTERNORRLANDS LÄN</t>
        </is>
      </c>
      <c r="E556" t="inlineStr">
        <is>
          <t>TIMRÅ</t>
        </is>
      </c>
      <c r="G556" t="n">
        <v>7.3</v>
      </c>
      <c r="H556" t="n">
        <v>0</v>
      </c>
      <c r="I556" t="n">
        <v>0</v>
      </c>
      <c r="J556" t="n">
        <v>0</v>
      </c>
      <c r="K556" t="n">
        <v>0</v>
      </c>
      <c r="L556" t="n">
        <v>0</v>
      </c>
      <c r="M556" t="n">
        <v>0</v>
      </c>
      <c r="N556" t="n">
        <v>0</v>
      </c>
      <c r="O556" t="n">
        <v>0</v>
      </c>
      <c r="P556" t="n">
        <v>0</v>
      </c>
      <c r="Q556" t="n">
        <v>0</v>
      </c>
      <c r="R556" s="2" t="inlineStr"/>
    </row>
    <row r="557" ht="15" customHeight="1">
      <c r="A557" t="inlineStr">
        <is>
          <t>A 51113-2023</t>
        </is>
      </c>
      <c r="B557" s="1" t="n">
        <v>45218</v>
      </c>
      <c r="C557" s="1" t="n">
        <v>45706</v>
      </c>
      <c r="D557" t="inlineStr">
        <is>
          <t>VÄSTERNORRLANDS LÄN</t>
        </is>
      </c>
      <c r="E557" t="inlineStr">
        <is>
          <t>TIMRÅ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53033-2023</t>
        </is>
      </c>
      <c r="B558" s="1" t="n">
        <v>45227</v>
      </c>
      <c r="C558" s="1" t="n">
        <v>45706</v>
      </c>
      <c r="D558" t="inlineStr">
        <is>
          <t>VÄSTERNORRLANDS LÄN</t>
        </is>
      </c>
      <c r="E558" t="inlineStr">
        <is>
          <t>TIMRÅ</t>
        </is>
      </c>
      <c r="G558" t="n">
        <v>3.4</v>
      </c>
      <c r="H558" t="n">
        <v>0</v>
      </c>
      <c r="I558" t="n">
        <v>0</v>
      </c>
      <c r="J558" t="n">
        <v>0</v>
      </c>
      <c r="K558" t="n">
        <v>0</v>
      </c>
      <c r="L558" t="n">
        <v>0</v>
      </c>
      <c r="M558" t="n">
        <v>0</v>
      </c>
      <c r="N558" t="n">
        <v>0</v>
      </c>
      <c r="O558" t="n">
        <v>0</v>
      </c>
      <c r="P558" t="n">
        <v>0</v>
      </c>
      <c r="Q558" t="n">
        <v>0</v>
      </c>
      <c r="R558" s="2" t="inlineStr"/>
    </row>
    <row r="559" ht="15" customHeight="1">
      <c r="A559" t="inlineStr">
        <is>
          <t>A 53448-2023</t>
        </is>
      </c>
      <c r="B559" s="1" t="n">
        <v>45230</v>
      </c>
      <c r="C559" s="1" t="n">
        <v>45706</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53430-2023</t>
        </is>
      </c>
      <c r="B560" s="1" t="n">
        <v>45229</v>
      </c>
      <c r="C560" s="1" t="n">
        <v>45706</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53755-2023</t>
        </is>
      </c>
      <c r="B561" s="1" t="n">
        <v>45230</v>
      </c>
      <c r="C561" s="1" t="n">
        <v>45706</v>
      </c>
      <c r="D561" t="inlineStr">
        <is>
          <t>VÄSTERNORRLANDS LÄN</t>
        </is>
      </c>
      <c r="E561" t="inlineStr">
        <is>
          <t>TIMRÅ</t>
        </is>
      </c>
      <c r="G561" t="n">
        <v>6.5</v>
      </c>
      <c r="H561" t="n">
        <v>0</v>
      </c>
      <c r="I561" t="n">
        <v>0</v>
      </c>
      <c r="J561" t="n">
        <v>0</v>
      </c>
      <c r="K561" t="n">
        <v>0</v>
      </c>
      <c r="L561" t="n">
        <v>0</v>
      </c>
      <c r="M561" t="n">
        <v>0</v>
      </c>
      <c r="N561" t="n">
        <v>0</v>
      </c>
      <c r="O561" t="n">
        <v>0</v>
      </c>
      <c r="P561" t="n">
        <v>0</v>
      </c>
      <c r="Q561" t="n">
        <v>0</v>
      </c>
      <c r="R561" s="2" t="inlineStr"/>
    </row>
    <row r="562" ht="15" customHeight="1">
      <c r="A562" t="inlineStr">
        <is>
          <t>A 54040-2023</t>
        </is>
      </c>
      <c r="B562" s="1" t="n">
        <v>45231</v>
      </c>
      <c r="C562" s="1" t="n">
        <v>45706</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54041-2023</t>
        </is>
      </c>
      <c r="B563" s="1" t="n">
        <v>45231</v>
      </c>
      <c r="C563" s="1" t="n">
        <v>45706</v>
      </c>
      <c r="D563" t="inlineStr">
        <is>
          <t>VÄSTERNORRLANDS LÄN</t>
        </is>
      </c>
      <c r="E563" t="inlineStr">
        <is>
          <t>TIMRÅ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55441-2023</t>
        </is>
      </c>
      <c r="B564" s="1" t="n">
        <v>45231</v>
      </c>
      <c r="C564" s="1" t="n">
        <v>45706</v>
      </c>
      <c r="D564" t="inlineStr">
        <is>
          <t>VÄSTERNORRLANDS LÄN</t>
        </is>
      </c>
      <c r="E564" t="inlineStr">
        <is>
          <t>TIMRÅ</t>
        </is>
      </c>
      <c r="G564" t="n">
        <v>1</v>
      </c>
      <c r="H564" t="n">
        <v>0</v>
      </c>
      <c r="I564" t="n">
        <v>0</v>
      </c>
      <c r="J564" t="n">
        <v>0</v>
      </c>
      <c r="K564" t="n">
        <v>0</v>
      </c>
      <c r="L564" t="n">
        <v>0</v>
      </c>
      <c r="M564" t="n">
        <v>0</v>
      </c>
      <c r="N564" t="n">
        <v>0</v>
      </c>
      <c r="O564" t="n">
        <v>0</v>
      </c>
      <c r="P564" t="n">
        <v>0</v>
      </c>
      <c r="Q564" t="n">
        <v>0</v>
      </c>
      <c r="R564" s="2" t="inlineStr"/>
    </row>
    <row r="565" ht="15" customHeight="1">
      <c r="A565" t="inlineStr">
        <is>
          <t>A 54610-2023</t>
        </is>
      </c>
      <c r="B565" s="1" t="n">
        <v>45233</v>
      </c>
      <c r="C565" s="1" t="n">
        <v>45706</v>
      </c>
      <c r="D565" t="inlineStr">
        <is>
          <t>VÄSTERNORRLANDS LÄN</t>
        </is>
      </c>
      <c r="E565" t="inlineStr">
        <is>
          <t>TIMRÅ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55673-2023</t>
        </is>
      </c>
      <c r="B566" s="1" t="n">
        <v>45238</v>
      </c>
      <c r="C566" s="1" t="n">
        <v>45706</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55930-2023</t>
        </is>
      </c>
      <c r="B567" s="1" t="n">
        <v>45240</v>
      </c>
      <c r="C567" s="1" t="n">
        <v>45706</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56237-2023</t>
        </is>
      </c>
      <c r="B568" s="1" t="n">
        <v>45240</v>
      </c>
      <c r="C568" s="1" t="n">
        <v>45706</v>
      </c>
      <c r="D568" t="inlineStr">
        <is>
          <t>VÄSTERNORRLANDS LÄN</t>
        </is>
      </c>
      <c r="E568" t="inlineStr">
        <is>
          <t>TIMRÅ</t>
        </is>
      </c>
      <c r="G568" t="n">
        <v>0.7</v>
      </c>
      <c r="H568" t="n">
        <v>0</v>
      </c>
      <c r="I568" t="n">
        <v>0</v>
      </c>
      <c r="J568" t="n">
        <v>0</v>
      </c>
      <c r="K568" t="n">
        <v>0</v>
      </c>
      <c r="L568" t="n">
        <v>0</v>
      </c>
      <c r="M568" t="n">
        <v>0</v>
      </c>
      <c r="N568" t="n">
        <v>0</v>
      </c>
      <c r="O568" t="n">
        <v>0</v>
      </c>
      <c r="P568" t="n">
        <v>0</v>
      </c>
      <c r="Q568" t="n">
        <v>0</v>
      </c>
      <c r="R568" s="2" t="inlineStr"/>
    </row>
    <row r="569" ht="15" customHeight="1">
      <c r="A569" t="inlineStr">
        <is>
          <t>A 56701-2023</t>
        </is>
      </c>
      <c r="B569" s="1" t="n">
        <v>45243</v>
      </c>
      <c r="C569" s="1" t="n">
        <v>45706</v>
      </c>
      <c r="D569" t="inlineStr">
        <is>
          <t>VÄSTERNORRLANDS LÄN</t>
        </is>
      </c>
      <c r="E569" t="inlineStr">
        <is>
          <t>TIMRÅ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56692-2023</t>
        </is>
      </c>
      <c r="B570" s="1" t="n">
        <v>45243</v>
      </c>
      <c r="C570" s="1" t="n">
        <v>45706</v>
      </c>
      <c r="D570" t="inlineStr">
        <is>
          <t>VÄSTERNORRLANDS LÄN</t>
        </is>
      </c>
      <c r="E570" t="inlineStr">
        <is>
          <t>TIMRÅ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56765-2023</t>
        </is>
      </c>
      <c r="B571" s="1" t="n">
        <v>45244</v>
      </c>
      <c r="C571" s="1" t="n">
        <v>45706</v>
      </c>
      <c r="D571" t="inlineStr">
        <is>
          <t>VÄSTERNORRLANDS LÄN</t>
        </is>
      </c>
      <c r="E571" t="inlineStr">
        <is>
          <t>TIMRÅ</t>
        </is>
      </c>
      <c r="G571" t="n">
        <v>2</v>
      </c>
      <c r="H571" t="n">
        <v>0</v>
      </c>
      <c r="I571" t="n">
        <v>0</v>
      </c>
      <c r="J571" t="n">
        <v>0</v>
      </c>
      <c r="K571" t="n">
        <v>0</v>
      </c>
      <c r="L571" t="n">
        <v>0</v>
      </c>
      <c r="M571" t="n">
        <v>0</v>
      </c>
      <c r="N571" t="n">
        <v>0</v>
      </c>
      <c r="O571" t="n">
        <v>0</v>
      </c>
      <c r="P571" t="n">
        <v>0</v>
      </c>
      <c r="Q571" t="n">
        <v>0</v>
      </c>
      <c r="R571" s="2" t="inlineStr"/>
    </row>
    <row r="572" ht="15" customHeight="1">
      <c r="A572" t="inlineStr">
        <is>
          <t>A 57072-2023</t>
        </is>
      </c>
      <c r="B572" s="1" t="n">
        <v>45245</v>
      </c>
      <c r="C572" s="1" t="n">
        <v>45706</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57762-2023</t>
        </is>
      </c>
      <c r="B573" s="1" t="n">
        <v>45246</v>
      </c>
      <c r="C573" s="1" t="n">
        <v>45706</v>
      </c>
      <c r="D573" t="inlineStr">
        <is>
          <t>VÄSTERNORRLANDS LÄN</t>
        </is>
      </c>
      <c r="E573" t="inlineStr">
        <is>
          <t>TIMRÅ</t>
        </is>
      </c>
      <c r="G573" t="n">
        <v>2.5</v>
      </c>
      <c r="H573" t="n">
        <v>0</v>
      </c>
      <c r="I573" t="n">
        <v>0</v>
      </c>
      <c r="J573" t="n">
        <v>0</v>
      </c>
      <c r="K573" t="n">
        <v>0</v>
      </c>
      <c r="L573" t="n">
        <v>0</v>
      </c>
      <c r="M573" t="n">
        <v>0</v>
      </c>
      <c r="N573" t="n">
        <v>0</v>
      </c>
      <c r="O573" t="n">
        <v>0</v>
      </c>
      <c r="P573" t="n">
        <v>0</v>
      </c>
      <c r="Q573" t="n">
        <v>0</v>
      </c>
      <c r="R573" s="2" t="inlineStr"/>
    </row>
    <row r="574" ht="15" customHeight="1">
      <c r="A574" t="inlineStr">
        <is>
          <t>A 58062-2023</t>
        </is>
      </c>
      <c r="B574" s="1" t="n">
        <v>45247</v>
      </c>
      <c r="C574" s="1" t="n">
        <v>45706</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58081-2023</t>
        </is>
      </c>
      <c r="B575" s="1" t="n">
        <v>45247</v>
      </c>
      <c r="C575" s="1" t="n">
        <v>45706</v>
      </c>
      <c r="D575" t="inlineStr">
        <is>
          <t>VÄSTERNORRLANDS LÄN</t>
        </is>
      </c>
      <c r="E575" t="inlineStr">
        <is>
          <t>TIMRÅ</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58087-2023</t>
        </is>
      </c>
      <c r="B576" s="1" t="n">
        <v>45248</v>
      </c>
      <c r="C576" s="1" t="n">
        <v>45706</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58998-2023</t>
        </is>
      </c>
      <c r="B577" s="1" t="n">
        <v>45250</v>
      </c>
      <c r="C577" s="1" t="n">
        <v>45706</v>
      </c>
      <c r="D577" t="inlineStr">
        <is>
          <t>VÄSTERNORRLANDS LÄN</t>
        </is>
      </c>
      <c r="E577" t="inlineStr">
        <is>
          <t>TIMRÅ</t>
        </is>
      </c>
      <c r="G577" t="n">
        <v>1.3</v>
      </c>
      <c r="H577" t="n">
        <v>0</v>
      </c>
      <c r="I577" t="n">
        <v>0</v>
      </c>
      <c r="J577" t="n">
        <v>0</v>
      </c>
      <c r="K577" t="n">
        <v>0</v>
      </c>
      <c r="L577" t="n">
        <v>0</v>
      </c>
      <c r="M577" t="n">
        <v>0</v>
      </c>
      <c r="N577" t="n">
        <v>0</v>
      </c>
      <c r="O577" t="n">
        <v>0</v>
      </c>
      <c r="P577" t="n">
        <v>0</v>
      </c>
      <c r="Q577" t="n">
        <v>0</v>
      </c>
      <c r="R577" s="2" t="inlineStr"/>
    </row>
    <row r="578" ht="15" customHeight="1">
      <c r="A578" t="inlineStr">
        <is>
          <t>A 58766-2023</t>
        </is>
      </c>
      <c r="B578" s="1" t="n">
        <v>45252</v>
      </c>
      <c r="C578" s="1" t="n">
        <v>45706</v>
      </c>
      <c r="D578" t="inlineStr">
        <is>
          <t>VÄSTERNORRLANDS LÄN</t>
        </is>
      </c>
      <c r="E578" t="inlineStr">
        <is>
          <t>TIMRÅ</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58895-2023</t>
        </is>
      </c>
      <c r="B579" s="1" t="n">
        <v>45252</v>
      </c>
      <c r="C579" s="1" t="n">
        <v>45706</v>
      </c>
      <c r="D579" t="inlineStr">
        <is>
          <t>VÄSTERNORRLANDS LÄN</t>
        </is>
      </c>
      <c r="E579" t="inlineStr">
        <is>
          <t>TIMRÅ</t>
        </is>
      </c>
      <c r="G579" t="n">
        <v>3.7</v>
      </c>
      <c r="H579" t="n">
        <v>0</v>
      </c>
      <c r="I579" t="n">
        <v>0</v>
      </c>
      <c r="J579" t="n">
        <v>0</v>
      </c>
      <c r="K579" t="n">
        <v>0</v>
      </c>
      <c r="L579" t="n">
        <v>0</v>
      </c>
      <c r="M579" t="n">
        <v>0</v>
      </c>
      <c r="N579" t="n">
        <v>0</v>
      </c>
      <c r="O579" t="n">
        <v>0</v>
      </c>
      <c r="P579" t="n">
        <v>0</v>
      </c>
      <c r="Q579" t="n">
        <v>0</v>
      </c>
      <c r="R579" s="2" t="inlineStr"/>
    </row>
    <row r="580" ht="15" customHeight="1">
      <c r="A580" t="inlineStr">
        <is>
          <t>A 59401-2023</t>
        </is>
      </c>
      <c r="B580" s="1" t="n">
        <v>45253</v>
      </c>
      <c r="C580" s="1" t="n">
        <v>45706</v>
      </c>
      <c r="D580" t="inlineStr">
        <is>
          <t>VÄSTERNORRLANDS LÄN</t>
        </is>
      </c>
      <c r="E580" t="inlineStr">
        <is>
          <t>TIMRÅ</t>
        </is>
      </c>
      <c r="G580" t="n">
        <v>11.2</v>
      </c>
      <c r="H580" t="n">
        <v>0</v>
      </c>
      <c r="I580" t="n">
        <v>0</v>
      </c>
      <c r="J580" t="n">
        <v>0</v>
      </c>
      <c r="K580" t="n">
        <v>0</v>
      </c>
      <c r="L580" t="n">
        <v>0</v>
      </c>
      <c r="M580" t="n">
        <v>0</v>
      </c>
      <c r="N580" t="n">
        <v>0</v>
      </c>
      <c r="O580" t="n">
        <v>0</v>
      </c>
      <c r="P580" t="n">
        <v>0</v>
      </c>
      <c r="Q580" t="n">
        <v>0</v>
      </c>
      <c r="R580" s="2" t="inlineStr"/>
    </row>
    <row r="581" ht="15" customHeight="1">
      <c r="A581" t="inlineStr">
        <is>
          <t>A 60011-2023</t>
        </is>
      </c>
      <c r="B581" s="1" t="n">
        <v>45257</v>
      </c>
      <c r="C581" s="1" t="n">
        <v>45706</v>
      </c>
      <c r="D581" t="inlineStr">
        <is>
          <t>VÄSTERNORRLANDS LÄN</t>
        </is>
      </c>
      <c r="E581" t="inlineStr">
        <is>
          <t>TIMRÅ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60074-2023</t>
        </is>
      </c>
      <c r="B582" s="1" t="n">
        <v>45258</v>
      </c>
      <c r="C582" s="1" t="n">
        <v>45706</v>
      </c>
      <c r="D582" t="inlineStr">
        <is>
          <t>VÄSTERNORRLANDS LÄN</t>
        </is>
      </c>
      <c r="E582" t="inlineStr">
        <is>
          <t>TIMRÅ</t>
        </is>
      </c>
      <c r="G582" t="n">
        <v>5</v>
      </c>
      <c r="H582" t="n">
        <v>0</v>
      </c>
      <c r="I582" t="n">
        <v>0</v>
      </c>
      <c r="J582" t="n">
        <v>0</v>
      </c>
      <c r="K582" t="n">
        <v>0</v>
      </c>
      <c r="L582" t="n">
        <v>0</v>
      </c>
      <c r="M582" t="n">
        <v>0</v>
      </c>
      <c r="N582" t="n">
        <v>0</v>
      </c>
      <c r="O582" t="n">
        <v>0</v>
      </c>
      <c r="P582" t="n">
        <v>0</v>
      </c>
      <c r="Q582" t="n">
        <v>0</v>
      </c>
      <c r="R582" s="2" t="inlineStr"/>
    </row>
    <row r="583" ht="15" customHeight="1">
      <c r="A583" t="inlineStr">
        <is>
          <t>A 61613-2023</t>
        </is>
      </c>
      <c r="B583" s="1" t="n">
        <v>45261</v>
      </c>
      <c r="C583" s="1" t="n">
        <v>45706</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61606-2023</t>
        </is>
      </c>
      <c r="B584" s="1" t="n">
        <v>45261</v>
      </c>
      <c r="C584" s="1" t="n">
        <v>45706</v>
      </c>
      <c r="D584" t="inlineStr">
        <is>
          <t>VÄSTERNORRLANDS LÄN</t>
        </is>
      </c>
      <c r="E584" t="inlineStr">
        <is>
          <t>TIMRÅ</t>
        </is>
      </c>
      <c r="G584" t="n">
        <v>0.3</v>
      </c>
      <c r="H584" t="n">
        <v>0</v>
      </c>
      <c r="I584" t="n">
        <v>0</v>
      </c>
      <c r="J584" t="n">
        <v>0</v>
      </c>
      <c r="K584" t="n">
        <v>0</v>
      </c>
      <c r="L584" t="n">
        <v>0</v>
      </c>
      <c r="M584" t="n">
        <v>0</v>
      </c>
      <c r="N584" t="n">
        <v>0</v>
      </c>
      <c r="O584" t="n">
        <v>0</v>
      </c>
      <c r="P584" t="n">
        <v>0</v>
      </c>
      <c r="Q584" t="n">
        <v>0</v>
      </c>
      <c r="R584" s="2" t="inlineStr"/>
    </row>
    <row r="585" ht="15" customHeight="1">
      <c r="A585" t="inlineStr">
        <is>
          <t>A 61463-2023</t>
        </is>
      </c>
      <c r="B585" s="1" t="n">
        <v>45264</v>
      </c>
      <c r="C585" s="1" t="n">
        <v>45706</v>
      </c>
      <c r="D585" t="inlineStr">
        <is>
          <t>VÄSTERNORRLANDS LÄN</t>
        </is>
      </c>
      <c r="E585" t="inlineStr">
        <is>
          <t>TIMRÅ</t>
        </is>
      </c>
      <c r="G585" t="n">
        <v>2.1</v>
      </c>
      <c r="H585" t="n">
        <v>0</v>
      </c>
      <c r="I585" t="n">
        <v>0</v>
      </c>
      <c r="J585" t="n">
        <v>0</v>
      </c>
      <c r="K585" t="n">
        <v>0</v>
      </c>
      <c r="L585" t="n">
        <v>0</v>
      </c>
      <c r="M585" t="n">
        <v>0</v>
      </c>
      <c r="N585" t="n">
        <v>0</v>
      </c>
      <c r="O585" t="n">
        <v>0</v>
      </c>
      <c r="P585" t="n">
        <v>0</v>
      </c>
      <c r="Q585" t="n">
        <v>0</v>
      </c>
      <c r="R585" s="2" t="inlineStr"/>
    </row>
    <row r="586" ht="15" customHeight="1">
      <c r="A586" t="inlineStr">
        <is>
          <t>A 61484-2023</t>
        </is>
      </c>
      <c r="B586" s="1" t="n">
        <v>45264</v>
      </c>
      <c r="C586" s="1" t="n">
        <v>45706</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61785-2023</t>
        </is>
      </c>
      <c r="B587" s="1" t="n">
        <v>45265</v>
      </c>
      <c r="C587" s="1" t="n">
        <v>45706</v>
      </c>
      <c r="D587" t="inlineStr">
        <is>
          <t>VÄSTERNORRLANDS LÄN</t>
        </is>
      </c>
      <c r="E587" t="inlineStr">
        <is>
          <t>TIMRÅ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62474-2023</t>
        </is>
      </c>
      <c r="B588" s="1" t="n">
        <v>45267</v>
      </c>
      <c r="C588" s="1" t="n">
        <v>45706</v>
      </c>
      <c r="D588" t="inlineStr">
        <is>
          <t>VÄSTERNORRLANDS LÄN</t>
        </is>
      </c>
      <c r="E588" t="inlineStr">
        <is>
          <t>TIMRÅ</t>
        </is>
      </c>
      <c r="G588" t="n">
        <v>4</v>
      </c>
      <c r="H588" t="n">
        <v>0</v>
      </c>
      <c r="I588" t="n">
        <v>0</v>
      </c>
      <c r="J588" t="n">
        <v>0</v>
      </c>
      <c r="K588" t="n">
        <v>0</v>
      </c>
      <c r="L588" t="n">
        <v>0</v>
      </c>
      <c r="M588" t="n">
        <v>0</v>
      </c>
      <c r="N588" t="n">
        <v>0</v>
      </c>
      <c r="O588" t="n">
        <v>0</v>
      </c>
      <c r="P588" t="n">
        <v>0</v>
      </c>
      <c r="Q588" t="n">
        <v>0</v>
      </c>
      <c r="R588" s="2" t="inlineStr"/>
    </row>
    <row r="589" ht="15" customHeight="1">
      <c r="A589" t="inlineStr">
        <is>
          <t>A 63294-2023</t>
        </is>
      </c>
      <c r="B589" s="1" t="n">
        <v>45273</v>
      </c>
      <c r="C589" s="1" t="n">
        <v>45706</v>
      </c>
      <c r="D589" t="inlineStr">
        <is>
          <t>VÄSTERNORRLANDS LÄN</t>
        </is>
      </c>
      <c r="E589" t="inlineStr">
        <is>
          <t>TIMRÅ</t>
        </is>
      </c>
      <c r="F589" t="inlineStr">
        <is>
          <t>SCA</t>
        </is>
      </c>
      <c r="G589" t="n">
        <v>12.9</v>
      </c>
      <c r="H589" t="n">
        <v>0</v>
      </c>
      <c r="I589" t="n">
        <v>0</v>
      </c>
      <c r="J589" t="n">
        <v>0</v>
      </c>
      <c r="K589" t="n">
        <v>0</v>
      </c>
      <c r="L589" t="n">
        <v>0</v>
      </c>
      <c r="M589" t="n">
        <v>0</v>
      </c>
      <c r="N589" t="n">
        <v>0</v>
      </c>
      <c r="O589" t="n">
        <v>0</v>
      </c>
      <c r="P589" t="n">
        <v>0</v>
      </c>
      <c r="Q589" t="n">
        <v>0</v>
      </c>
      <c r="R589" s="2" t="inlineStr"/>
    </row>
    <row r="590" ht="15" customHeight="1">
      <c r="A590" t="inlineStr">
        <is>
          <t>A 64031-2023</t>
        </is>
      </c>
      <c r="B590" s="1" t="n">
        <v>45278</v>
      </c>
      <c r="C590" s="1" t="n">
        <v>45706</v>
      </c>
      <c r="D590" t="inlineStr">
        <is>
          <t>VÄSTERNORRLANDS LÄN</t>
        </is>
      </c>
      <c r="E590" t="inlineStr">
        <is>
          <t>TIMRÅ</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64732-2023</t>
        </is>
      </c>
      <c r="B591" s="1" t="n">
        <v>45281</v>
      </c>
      <c r="C591" s="1" t="n">
        <v>45706</v>
      </c>
      <c r="D591" t="inlineStr">
        <is>
          <t>VÄSTERNORRLANDS LÄN</t>
        </is>
      </c>
      <c r="E591" t="inlineStr">
        <is>
          <t>TIMRÅ</t>
        </is>
      </c>
      <c r="G591" t="n">
        <v>2.3</v>
      </c>
      <c r="H591" t="n">
        <v>0</v>
      </c>
      <c r="I591" t="n">
        <v>0</v>
      </c>
      <c r="J591" t="n">
        <v>0</v>
      </c>
      <c r="K591" t="n">
        <v>0</v>
      </c>
      <c r="L591" t="n">
        <v>0</v>
      </c>
      <c r="M591" t="n">
        <v>0</v>
      </c>
      <c r="N591" t="n">
        <v>0</v>
      </c>
      <c r="O591" t="n">
        <v>0</v>
      </c>
      <c r="P591" t="n">
        <v>0</v>
      </c>
      <c r="Q591" t="n">
        <v>0</v>
      </c>
      <c r="R591" s="2" t="inlineStr"/>
    </row>
    <row r="592" ht="15" customHeight="1">
      <c r="A592" t="inlineStr">
        <is>
          <t>A 64756-2023</t>
        </is>
      </c>
      <c r="B592" s="1" t="n">
        <v>45281</v>
      </c>
      <c r="C592" s="1" t="n">
        <v>45706</v>
      </c>
      <c r="D592" t="inlineStr">
        <is>
          <t>VÄSTERNORRLANDS LÄN</t>
        </is>
      </c>
      <c r="E592" t="inlineStr">
        <is>
          <t>TIMRÅ</t>
        </is>
      </c>
      <c r="F592" t="inlineStr">
        <is>
          <t>SCA</t>
        </is>
      </c>
      <c r="G592" t="n">
        <v>5.9</v>
      </c>
      <c r="H592" t="n">
        <v>0</v>
      </c>
      <c r="I592" t="n">
        <v>0</v>
      </c>
      <c r="J592" t="n">
        <v>0</v>
      </c>
      <c r="K592" t="n">
        <v>0</v>
      </c>
      <c r="L592" t="n">
        <v>0</v>
      </c>
      <c r="M592" t="n">
        <v>0</v>
      </c>
      <c r="N592" t="n">
        <v>0</v>
      </c>
      <c r="O592" t="n">
        <v>0</v>
      </c>
      <c r="P592" t="n">
        <v>0</v>
      </c>
      <c r="Q592" t="n">
        <v>0</v>
      </c>
      <c r="R592" s="2" t="inlineStr"/>
    </row>
    <row r="593" ht="15" customHeight="1">
      <c r="A593" t="inlineStr">
        <is>
          <t>A 64755-2023</t>
        </is>
      </c>
      <c r="B593" s="1" t="n">
        <v>45281</v>
      </c>
      <c r="C593" s="1" t="n">
        <v>45706</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252-2024</t>
        </is>
      </c>
      <c r="B594" s="1" t="n">
        <v>45295</v>
      </c>
      <c r="C594" s="1" t="n">
        <v>45706</v>
      </c>
      <c r="D594" t="inlineStr">
        <is>
          <t>VÄSTERNORRLANDS LÄN</t>
        </is>
      </c>
      <c r="E594" t="inlineStr">
        <is>
          <t>TIMRÅ</t>
        </is>
      </c>
      <c r="F594" t="inlineStr">
        <is>
          <t>SCA</t>
        </is>
      </c>
      <c r="G594" t="n">
        <v>12.7</v>
      </c>
      <c r="H594" t="n">
        <v>0</v>
      </c>
      <c r="I594" t="n">
        <v>0</v>
      </c>
      <c r="J594" t="n">
        <v>0</v>
      </c>
      <c r="K594" t="n">
        <v>0</v>
      </c>
      <c r="L594" t="n">
        <v>0</v>
      </c>
      <c r="M594" t="n">
        <v>0</v>
      </c>
      <c r="N594" t="n">
        <v>0</v>
      </c>
      <c r="O594" t="n">
        <v>0</v>
      </c>
      <c r="P594" t="n">
        <v>0</v>
      </c>
      <c r="Q594" t="n">
        <v>0</v>
      </c>
      <c r="R594" s="2" t="inlineStr"/>
    </row>
    <row r="595" ht="15" customHeight="1">
      <c r="A595" t="inlineStr">
        <is>
          <t>A 290-2024</t>
        </is>
      </c>
      <c r="B595" s="1" t="n">
        <v>45295</v>
      </c>
      <c r="C595" s="1" t="n">
        <v>45706</v>
      </c>
      <c r="D595" t="inlineStr">
        <is>
          <t>VÄSTERNORRLANDS LÄN</t>
        </is>
      </c>
      <c r="E595" t="inlineStr">
        <is>
          <t>TIMRÅ</t>
        </is>
      </c>
      <c r="G595" t="n">
        <v>10.5</v>
      </c>
      <c r="H595" t="n">
        <v>0</v>
      </c>
      <c r="I595" t="n">
        <v>0</v>
      </c>
      <c r="J595" t="n">
        <v>0</v>
      </c>
      <c r="K595" t="n">
        <v>0</v>
      </c>
      <c r="L595" t="n">
        <v>0</v>
      </c>
      <c r="M595" t="n">
        <v>0</v>
      </c>
      <c r="N595" t="n">
        <v>0</v>
      </c>
      <c r="O595" t="n">
        <v>0</v>
      </c>
      <c r="P595" t="n">
        <v>0</v>
      </c>
      <c r="Q595" t="n">
        <v>0</v>
      </c>
      <c r="R595" s="2" t="inlineStr"/>
    </row>
    <row r="596" ht="15" customHeight="1">
      <c r="A596" t="inlineStr">
        <is>
          <t>A 661-2024</t>
        </is>
      </c>
      <c r="B596" s="1" t="n">
        <v>45300</v>
      </c>
      <c r="C596" s="1" t="n">
        <v>45706</v>
      </c>
      <c r="D596" t="inlineStr">
        <is>
          <t>VÄSTERNORRLANDS LÄN</t>
        </is>
      </c>
      <c r="E596" t="inlineStr">
        <is>
          <t>TIMRÅ</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1273-2024</t>
        </is>
      </c>
      <c r="B597" s="1" t="n">
        <v>45302</v>
      </c>
      <c r="C597" s="1" t="n">
        <v>45706</v>
      </c>
      <c r="D597" t="inlineStr">
        <is>
          <t>VÄSTERNORRLANDS LÄN</t>
        </is>
      </c>
      <c r="E597" t="inlineStr">
        <is>
          <t>TIMRÅ</t>
        </is>
      </c>
      <c r="G597" t="n">
        <v>2.1</v>
      </c>
      <c r="H597" t="n">
        <v>0</v>
      </c>
      <c r="I597" t="n">
        <v>0</v>
      </c>
      <c r="J597" t="n">
        <v>0</v>
      </c>
      <c r="K597" t="n">
        <v>0</v>
      </c>
      <c r="L597" t="n">
        <v>0</v>
      </c>
      <c r="M597" t="n">
        <v>0</v>
      </c>
      <c r="N597" t="n">
        <v>0</v>
      </c>
      <c r="O597" t="n">
        <v>0</v>
      </c>
      <c r="P597" t="n">
        <v>0</v>
      </c>
      <c r="Q597" t="n">
        <v>0</v>
      </c>
      <c r="R597" s="2" t="inlineStr"/>
    </row>
    <row r="598" ht="15" customHeight="1">
      <c r="A598" t="inlineStr">
        <is>
          <t>A 1185-2024</t>
        </is>
      </c>
      <c r="B598" s="1" t="n">
        <v>45302</v>
      </c>
      <c r="C598" s="1" t="n">
        <v>45706</v>
      </c>
      <c r="D598" t="inlineStr">
        <is>
          <t>VÄSTERNORRLANDS LÄN</t>
        </is>
      </c>
      <c r="E598" t="inlineStr">
        <is>
          <t>TIMRÅ</t>
        </is>
      </c>
      <c r="G598" t="n">
        <v>4.4</v>
      </c>
      <c r="H598" t="n">
        <v>0</v>
      </c>
      <c r="I598" t="n">
        <v>0</v>
      </c>
      <c r="J598" t="n">
        <v>0</v>
      </c>
      <c r="K598" t="n">
        <v>0</v>
      </c>
      <c r="L598" t="n">
        <v>0</v>
      </c>
      <c r="M598" t="n">
        <v>0</v>
      </c>
      <c r="N598" t="n">
        <v>0</v>
      </c>
      <c r="O598" t="n">
        <v>0</v>
      </c>
      <c r="P598" t="n">
        <v>0</v>
      </c>
      <c r="Q598" t="n">
        <v>0</v>
      </c>
      <c r="R598" s="2" t="inlineStr"/>
    </row>
    <row r="599" ht="15" customHeight="1">
      <c r="A599" t="inlineStr">
        <is>
          <t>A 1272-2024</t>
        </is>
      </c>
      <c r="B599" s="1" t="n">
        <v>45302</v>
      </c>
      <c r="C599" s="1" t="n">
        <v>45706</v>
      </c>
      <c r="D599" t="inlineStr">
        <is>
          <t>VÄSTERNORRLANDS LÄN</t>
        </is>
      </c>
      <c r="E599" t="inlineStr">
        <is>
          <t>TIMRÅ</t>
        </is>
      </c>
      <c r="G599" t="n">
        <v>4.3</v>
      </c>
      <c r="H599" t="n">
        <v>0</v>
      </c>
      <c r="I599" t="n">
        <v>0</v>
      </c>
      <c r="J599" t="n">
        <v>0</v>
      </c>
      <c r="K599" t="n">
        <v>0</v>
      </c>
      <c r="L599" t="n">
        <v>0</v>
      </c>
      <c r="M599" t="n">
        <v>0</v>
      </c>
      <c r="N599" t="n">
        <v>0</v>
      </c>
      <c r="O599" t="n">
        <v>0</v>
      </c>
      <c r="P599" t="n">
        <v>0</v>
      </c>
      <c r="Q599" t="n">
        <v>0</v>
      </c>
      <c r="R599" s="2" t="inlineStr"/>
    </row>
    <row r="600" ht="15" customHeight="1">
      <c r="A600" t="inlineStr">
        <is>
          <t>A 1467-2024</t>
        </is>
      </c>
      <c r="B600" s="1" t="n">
        <v>45303</v>
      </c>
      <c r="C600" s="1" t="n">
        <v>45706</v>
      </c>
      <c r="D600" t="inlineStr">
        <is>
          <t>VÄSTERNORRLANDS LÄN</t>
        </is>
      </c>
      <c r="E600" t="inlineStr">
        <is>
          <t>TIMRÅ</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1675-2024</t>
        </is>
      </c>
      <c r="B601" s="1" t="n">
        <v>45306</v>
      </c>
      <c r="C601" s="1" t="n">
        <v>45706</v>
      </c>
      <c r="D601" t="inlineStr">
        <is>
          <t>VÄSTERNORRLANDS LÄN</t>
        </is>
      </c>
      <c r="E601" t="inlineStr">
        <is>
          <t>TIMRÅ</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1683-2024</t>
        </is>
      </c>
      <c r="B602" s="1" t="n">
        <v>45307</v>
      </c>
      <c r="C602" s="1" t="n">
        <v>45706</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2062-2024</t>
        </is>
      </c>
      <c r="B603" s="1" t="n">
        <v>45308</v>
      </c>
      <c r="C603" s="1" t="n">
        <v>45706</v>
      </c>
      <c r="D603" t="inlineStr">
        <is>
          <t>VÄSTERNORRLANDS LÄN</t>
        </is>
      </c>
      <c r="E603" t="inlineStr">
        <is>
          <t>TIMRÅ</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2949-2024</t>
        </is>
      </c>
      <c r="B604" s="1" t="n">
        <v>45315</v>
      </c>
      <c r="C604" s="1" t="n">
        <v>45706</v>
      </c>
      <c r="D604" t="inlineStr">
        <is>
          <t>VÄSTERNORRLANDS LÄN</t>
        </is>
      </c>
      <c r="E604" t="inlineStr">
        <is>
          <t>TIMRÅ</t>
        </is>
      </c>
      <c r="G604" t="n">
        <v>7</v>
      </c>
      <c r="H604" t="n">
        <v>0</v>
      </c>
      <c r="I604" t="n">
        <v>0</v>
      </c>
      <c r="J604" t="n">
        <v>0</v>
      </c>
      <c r="K604" t="n">
        <v>0</v>
      </c>
      <c r="L604" t="n">
        <v>0</v>
      </c>
      <c r="M604" t="n">
        <v>0</v>
      </c>
      <c r="N604" t="n">
        <v>0</v>
      </c>
      <c r="O604" t="n">
        <v>0</v>
      </c>
      <c r="P604" t="n">
        <v>0</v>
      </c>
      <c r="Q604" t="n">
        <v>0</v>
      </c>
      <c r="R604" s="2" t="inlineStr"/>
    </row>
    <row r="605" ht="15" customHeight="1">
      <c r="A605" t="inlineStr">
        <is>
          <t>A 3229-2024</t>
        </is>
      </c>
      <c r="B605" s="1" t="n">
        <v>45316</v>
      </c>
      <c r="C605" s="1" t="n">
        <v>45706</v>
      </c>
      <c r="D605" t="inlineStr">
        <is>
          <t>VÄSTERNORRLANDS LÄN</t>
        </is>
      </c>
      <c r="E605" t="inlineStr">
        <is>
          <t>TIMRÅ</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3444-2024</t>
        </is>
      </c>
      <c r="B606" s="1" t="n">
        <v>45317</v>
      </c>
      <c r="C606" s="1" t="n">
        <v>45706</v>
      </c>
      <c r="D606" t="inlineStr">
        <is>
          <t>VÄSTERNORRLANDS LÄN</t>
        </is>
      </c>
      <c r="E606" t="inlineStr">
        <is>
          <t>TIMRÅ</t>
        </is>
      </c>
      <c r="G606" t="n">
        <v>10.5</v>
      </c>
      <c r="H606" t="n">
        <v>0</v>
      </c>
      <c r="I606" t="n">
        <v>0</v>
      </c>
      <c r="J606" t="n">
        <v>0</v>
      </c>
      <c r="K606" t="n">
        <v>0</v>
      </c>
      <c r="L606" t="n">
        <v>0</v>
      </c>
      <c r="M606" t="n">
        <v>0</v>
      </c>
      <c r="N606" t="n">
        <v>0</v>
      </c>
      <c r="O606" t="n">
        <v>0</v>
      </c>
      <c r="P606" t="n">
        <v>0</v>
      </c>
      <c r="Q606" t="n">
        <v>0</v>
      </c>
      <c r="R606" s="2" t="inlineStr"/>
    </row>
    <row r="607" ht="15" customHeight="1">
      <c r="A607" t="inlineStr">
        <is>
          <t>A 3804-2024</t>
        </is>
      </c>
      <c r="B607" s="1" t="n">
        <v>45321</v>
      </c>
      <c r="C607" s="1" t="n">
        <v>45706</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3989-2024</t>
        </is>
      </c>
      <c r="B608" s="1" t="n">
        <v>45322</v>
      </c>
      <c r="C608" s="1" t="n">
        <v>45706</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4596-2024</t>
        </is>
      </c>
      <c r="B609" s="1" t="n">
        <v>45327</v>
      </c>
      <c r="C609" s="1" t="n">
        <v>45706</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4821-2024</t>
        </is>
      </c>
      <c r="B610" s="1" t="n">
        <v>45328</v>
      </c>
      <c r="C610" s="1" t="n">
        <v>45706</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5271-2024</t>
        </is>
      </c>
      <c r="B611" s="1" t="n">
        <v>45330</v>
      </c>
      <c r="C611" s="1" t="n">
        <v>45706</v>
      </c>
      <c r="D611" t="inlineStr">
        <is>
          <t>VÄSTERNORRLANDS LÄN</t>
        </is>
      </c>
      <c r="E611" t="inlineStr">
        <is>
          <t>TIMRÅ</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5265-2024</t>
        </is>
      </c>
      <c r="B612" s="1" t="n">
        <v>45330</v>
      </c>
      <c r="C612" s="1" t="n">
        <v>45706</v>
      </c>
      <c r="D612" t="inlineStr">
        <is>
          <t>VÄSTERNORRLANDS LÄN</t>
        </is>
      </c>
      <c r="E612" t="inlineStr">
        <is>
          <t>TIMRÅ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5722-2024</t>
        </is>
      </c>
      <c r="B613" s="1" t="n">
        <v>45334</v>
      </c>
      <c r="C613" s="1" t="n">
        <v>45706</v>
      </c>
      <c r="D613" t="inlineStr">
        <is>
          <t>VÄSTERNORRLANDS LÄN</t>
        </is>
      </c>
      <c r="E613" t="inlineStr">
        <is>
          <t>TIMRÅ</t>
        </is>
      </c>
      <c r="G613" t="n">
        <v>2.2</v>
      </c>
      <c r="H613" t="n">
        <v>0</v>
      </c>
      <c r="I613" t="n">
        <v>0</v>
      </c>
      <c r="J613" t="n">
        <v>0</v>
      </c>
      <c r="K613" t="n">
        <v>0</v>
      </c>
      <c r="L613" t="n">
        <v>0</v>
      </c>
      <c r="M613" t="n">
        <v>0</v>
      </c>
      <c r="N613" t="n">
        <v>0</v>
      </c>
      <c r="O613" t="n">
        <v>0</v>
      </c>
      <c r="P613" t="n">
        <v>0</v>
      </c>
      <c r="Q613" t="n">
        <v>0</v>
      </c>
      <c r="R613" s="2" t="inlineStr"/>
    </row>
    <row r="614" ht="15" customHeight="1">
      <c r="A614" t="inlineStr">
        <is>
          <t>A 5921-2024</t>
        </is>
      </c>
      <c r="B614" s="1" t="n">
        <v>45335</v>
      </c>
      <c r="C614" s="1" t="n">
        <v>45706</v>
      </c>
      <c r="D614" t="inlineStr">
        <is>
          <t>VÄSTERNORRLANDS LÄN</t>
        </is>
      </c>
      <c r="E614" t="inlineStr">
        <is>
          <t>TIMRÅ</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6088-2024</t>
        </is>
      </c>
      <c r="B615" s="1" t="n">
        <v>45336</v>
      </c>
      <c r="C615" s="1" t="n">
        <v>45706</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6893-2024</t>
        </is>
      </c>
      <c r="B616" s="1" t="n">
        <v>45342</v>
      </c>
      <c r="C616" s="1" t="n">
        <v>45706</v>
      </c>
      <c r="D616" t="inlineStr">
        <is>
          <t>VÄSTERNORRLANDS LÄN</t>
        </is>
      </c>
      <c r="E616" t="inlineStr">
        <is>
          <t>TIMRÅ</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7151-2024</t>
        </is>
      </c>
      <c r="B617" s="1" t="n">
        <v>45344</v>
      </c>
      <c r="C617" s="1" t="n">
        <v>45706</v>
      </c>
      <c r="D617" t="inlineStr">
        <is>
          <t>VÄSTERNORRLANDS LÄN</t>
        </is>
      </c>
      <c r="E617" t="inlineStr">
        <is>
          <t>TIMRÅ</t>
        </is>
      </c>
      <c r="G617" t="n">
        <v>2.9</v>
      </c>
      <c r="H617" t="n">
        <v>0</v>
      </c>
      <c r="I617" t="n">
        <v>0</v>
      </c>
      <c r="J617" t="n">
        <v>0</v>
      </c>
      <c r="K617" t="n">
        <v>0</v>
      </c>
      <c r="L617" t="n">
        <v>0</v>
      </c>
      <c r="M617" t="n">
        <v>0</v>
      </c>
      <c r="N617" t="n">
        <v>0</v>
      </c>
      <c r="O617" t="n">
        <v>0</v>
      </c>
      <c r="P617" t="n">
        <v>0</v>
      </c>
      <c r="Q617" t="n">
        <v>0</v>
      </c>
      <c r="R617" s="2" t="inlineStr"/>
    </row>
    <row r="618" ht="15" customHeight="1">
      <c r="A618" t="inlineStr">
        <is>
          <t>A 7291-2024</t>
        </is>
      </c>
      <c r="B618" s="1" t="n">
        <v>45344</v>
      </c>
      <c r="C618" s="1" t="n">
        <v>45706</v>
      </c>
      <c r="D618" t="inlineStr">
        <is>
          <t>VÄSTERNORRLANDS LÄN</t>
        </is>
      </c>
      <c r="E618" t="inlineStr">
        <is>
          <t>TIMRÅ</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7299-2024</t>
        </is>
      </c>
      <c r="B619" s="1" t="n">
        <v>45344</v>
      </c>
      <c r="C619" s="1" t="n">
        <v>45706</v>
      </c>
      <c r="D619" t="inlineStr">
        <is>
          <t>VÄSTERNORRLANDS LÄN</t>
        </is>
      </c>
      <c r="E619" t="inlineStr">
        <is>
          <t>TIMRÅ</t>
        </is>
      </c>
      <c r="F619" t="inlineStr">
        <is>
          <t>SCA</t>
        </is>
      </c>
      <c r="G619" t="n">
        <v>16.3</v>
      </c>
      <c r="H619" t="n">
        <v>0</v>
      </c>
      <c r="I619" t="n">
        <v>0</v>
      </c>
      <c r="J619" t="n">
        <v>0</v>
      </c>
      <c r="K619" t="n">
        <v>0</v>
      </c>
      <c r="L619" t="n">
        <v>0</v>
      </c>
      <c r="M619" t="n">
        <v>0</v>
      </c>
      <c r="N619" t="n">
        <v>0</v>
      </c>
      <c r="O619" t="n">
        <v>0</v>
      </c>
      <c r="P619" t="n">
        <v>0</v>
      </c>
      <c r="Q619" t="n">
        <v>0</v>
      </c>
      <c r="R619" s="2" t="inlineStr"/>
    </row>
    <row r="620" ht="15" customHeight="1">
      <c r="A620" t="inlineStr">
        <is>
          <t>A 7292-2024</t>
        </is>
      </c>
      <c r="B620" s="1" t="n">
        <v>45344</v>
      </c>
      <c r="C620" s="1" t="n">
        <v>45706</v>
      </c>
      <c r="D620" t="inlineStr">
        <is>
          <t>VÄSTERNORRLANDS LÄN</t>
        </is>
      </c>
      <c r="E620" t="inlineStr">
        <is>
          <t>TIMRÅ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7478-2024</t>
        </is>
      </c>
      <c r="B621" s="1" t="n">
        <v>45345</v>
      </c>
      <c r="C621" s="1" t="n">
        <v>45706</v>
      </c>
      <c r="D621" t="inlineStr">
        <is>
          <t>VÄSTERNORRLANDS LÄN</t>
        </is>
      </c>
      <c r="E621" t="inlineStr">
        <is>
          <t>TIMRÅ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7476-2024</t>
        </is>
      </c>
      <c r="B622" s="1" t="n">
        <v>45345</v>
      </c>
      <c r="C622" s="1" t="n">
        <v>45706</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7477-2024</t>
        </is>
      </c>
      <c r="B623" s="1" t="n">
        <v>45345</v>
      </c>
      <c r="C623" s="1" t="n">
        <v>45706</v>
      </c>
      <c r="D623" t="inlineStr">
        <is>
          <t>VÄSTERNORRLANDS LÄN</t>
        </is>
      </c>
      <c r="E623" t="inlineStr">
        <is>
          <t>TIMRÅ</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7507-2024</t>
        </is>
      </c>
      <c r="B624" s="1" t="n">
        <v>45347</v>
      </c>
      <c r="C624" s="1" t="n">
        <v>45706</v>
      </c>
      <c r="D624" t="inlineStr">
        <is>
          <t>VÄSTERNORRLANDS LÄN</t>
        </is>
      </c>
      <c r="E624" t="inlineStr">
        <is>
          <t>TIMRÅ</t>
        </is>
      </c>
      <c r="F624" t="inlineStr">
        <is>
          <t>SCA</t>
        </is>
      </c>
      <c r="G624" t="n">
        <v>15.5</v>
      </c>
      <c r="H624" t="n">
        <v>0</v>
      </c>
      <c r="I624" t="n">
        <v>0</v>
      </c>
      <c r="J624" t="n">
        <v>0</v>
      </c>
      <c r="K624" t="n">
        <v>0</v>
      </c>
      <c r="L624" t="n">
        <v>0</v>
      </c>
      <c r="M624" t="n">
        <v>0</v>
      </c>
      <c r="N624" t="n">
        <v>0</v>
      </c>
      <c r="O624" t="n">
        <v>0</v>
      </c>
      <c r="P624" t="n">
        <v>0</v>
      </c>
      <c r="Q624" t="n">
        <v>0</v>
      </c>
      <c r="R624" s="2" t="inlineStr"/>
    </row>
    <row r="625" ht="15" customHeight="1">
      <c r="A625" t="inlineStr">
        <is>
          <t>A 7859-2024</t>
        </is>
      </c>
      <c r="B625" s="1" t="n">
        <v>45350</v>
      </c>
      <c r="C625" s="1" t="n">
        <v>45706</v>
      </c>
      <c r="D625" t="inlineStr">
        <is>
          <t>VÄSTERNORRLANDS LÄN</t>
        </is>
      </c>
      <c r="E625" t="inlineStr">
        <is>
          <t>TIMRÅ</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8240-2024</t>
        </is>
      </c>
      <c r="B626" s="1" t="n">
        <v>45351</v>
      </c>
      <c r="C626" s="1" t="n">
        <v>45706</v>
      </c>
      <c r="D626" t="inlineStr">
        <is>
          <t>VÄSTERNORRLANDS LÄN</t>
        </is>
      </c>
      <c r="E626" t="inlineStr">
        <is>
          <t>TIMRÅ</t>
        </is>
      </c>
      <c r="F626" t="inlineStr">
        <is>
          <t>SCA</t>
        </is>
      </c>
      <c r="G626" t="n">
        <v>17.4</v>
      </c>
      <c r="H626" t="n">
        <v>0</v>
      </c>
      <c r="I626" t="n">
        <v>0</v>
      </c>
      <c r="J626" t="n">
        <v>0</v>
      </c>
      <c r="K626" t="n">
        <v>0</v>
      </c>
      <c r="L626" t="n">
        <v>0</v>
      </c>
      <c r="M626" t="n">
        <v>0</v>
      </c>
      <c r="N626" t="n">
        <v>0</v>
      </c>
      <c r="O626" t="n">
        <v>0</v>
      </c>
      <c r="P626" t="n">
        <v>0</v>
      </c>
      <c r="Q626" t="n">
        <v>0</v>
      </c>
      <c r="R626" s="2" t="inlineStr"/>
      <c r="U626">
        <f>HYPERLINK("https://klasma.github.io/Logging_2262/knärot/A 8240-2024 karta knärot.png", "A 8240-2024")</f>
        <v/>
      </c>
      <c r="V626">
        <f>HYPERLINK("https://klasma.github.io/Logging_2262/klagomål/A 8240-2024 FSC-klagomål.docx", "A 8240-2024")</f>
        <v/>
      </c>
      <c r="W626">
        <f>HYPERLINK("https://klasma.github.io/Logging_2262/klagomålsmail/A 8240-2024 FSC-klagomål mail.docx", "A 8240-2024")</f>
        <v/>
      </c>
      <c r="X626">
        <f>HYPERLINK("https://klasma.github.io/Logging_2262/tillsyn/A 8240-2024 tillsynsbegäran.docx", "A 8240-2024")</f>
        <v/>
      </c>
      <c r="Y626">
        <f>HYPERLINK("https://klasma.github.io/Logging_2262/tillsynsmail/A 8240-2024 tillsynsbegäran mail.docx", "A 8240-2024")</f>
        <v/>
      </c>
    </row>
    <row r="627" ht="15" customHeight="1">
      <c r="A627" t="inlineStr">
        <is>
          <t>A 8237-2024</t>
        </is>
      </c>
      <c r="B627" s="1" t="n">
        <v>45351</v>
      </c>
      <c r="C627" s="1" t="n">
        <v>45706</v>
      </c>
      <c r="D627" t="inlineStr">
        <is>
          <t>VÄSTERNORRLANDS LÄN</t>
        </is>
      </c>
      <c r="E627" t="inlineStr">
        <is>
          <t>TIMRÅ</t>
        </is>
      </c>
      <c r="F627" t="inlineStr">
        <is>
          <t>SCA</t>
        </is>
      </c>
      <c r="G627" t="n">
        <v>14.2</v>
      </c>
      <c r="H627" t="n">
        <v>0</v>
      </c>
      <c r="I627" t="n">
        <v>0</v>
      </c>
      <c r="J627" t="n">
        <v>0</v>
      </c>
      <c r="K627" t="n">
        <v>0</v>
      </c>
      <c r="L627" t="n">
        <v>0</v>
      </c>
      <c r="M627" t="n">
        <v>0</v>
      </c>
      <c r="N627" t="n">
        <v>0</v>
      </c>
      <c r="O627" t="n">
        <v>0</v>
      </c>
      <c r="P627" t="n">
        <v>0</v>
      </c>
      <c r="Q627" t="n">
        <v>0</v>
      </c>
      <c r="R627" s="2" t="inlineStr"/>
    </row>
    <row r="628" ht="15" customHeight="1">
      <c r="A628" t="inlineStr">
        <is>
          <t>A 8526-2024</t>
        </is>
      </c>
      <c r="B628" s="1" t="n">
        <v>45351</v>
      </c>
      <c r="C628" s="1" t="n">
        <v>45706</v>
      </c>
      <c r="D628" t="inlineStr">
        <is>
          <t>VÄSTERNORRLANDS LÄN</t>
        </is>
      </c>
      <c r="E628" t="inlineStr">
        <is>
          <t>TIMRÅ</t>
        </is>
      </c>
      <c r="G628" t="n">
        <v>0.7</v>
      </c>
      <c r="H628" t="n">
        <v>0</v>
      </c>
      <c r="I628" t="n">
        <v>0</v>
      </c>
      <c r="J628" t="n">
        <v>0</v>
      </c>
      <c r="K628" t="n">
        <v>0</v>
      </c>
      <c r="L628" t="n">
        <v>0</v>
      </c>
      <c r="M628" t="n">
        <v>0</v>
      </c>
      <c r="N628" t="n">
        <v>0</v>
      </c>
      <c r="O628" t="n">
        <v>0</v>
      </c>
      <c r="P628" t="n">
        <v>0</v>
      </c>
      <c r="Q628" t="n">
        <v>0</v>
      </c>
      <c r="R628" s="2" t="inlineStr"/>
    </row>
    <row r="629" ht="15" customHeight="1">
      <c r="A629" t="inlineStr">
        <is>
          <t>A 8506-2024</t>
        </is>
      </c>
      <c r="B629" s="1" t="n">
        <v>45351</v>
      </c>
      <c r="C629" s="1" t="n">
        <v>45706</v>
      </c>
      <c r="D629" t="inlineStr">
        <is>
          <t>VÄSTERNORRLANDS LÄN</t>
        </is>
      </c>
      <c r="E629" t="inlineStr">
        <is>
          <t>TIMRÅ</t>
        </is>
      </c>
      <c r="G629" t="n">
        <v>3.6</v>
      </c>
      <c r="H629" t="n">
        <v>0</v>
      </c>
      <c r="I629" t="n">
        <v>0</v>
      </c>
      <c r="J629" t="n">
        <v>0</v>
      </c>
      <c r="K629" t="n">
        <v>0</v>
      </c>
      <c r="L629" t="n">
        <v>0</v>
      </c>
      <c r="M629" t="n">
        <v>0</v>
      </c>
      <c r="N629" t="n">
        <v>0</v>
      </c>
      <c r="O629" t="n">
        <v>0</v>
      </c>
      <c r="P629" t="n">
        <v>0</v>
      </c>
      <c r="Q629" t="n">
        <v>0</v>
      </c>
      <c r="R629" s="2" t="inlineStr"/>
    </row>
    <row r="630" ht="15" customHeight="1">
      <c r="A630" t="inlineStr">
        <is>
          <t>A 8640-2024</t>
        </is>
      </c>
      <c r="B630" s="1" t="n">
        <v>45356</v>
      </c>
      <c r="C630" s="1" t="n">
        <v>45706</v>
      </c>
      <c r="D630" t="inlineStr">
        <is>
          <t>VÄSTERNORRLANDS LÄN</t>
        </is>
      </c>
      <c r="E630" t="inlineStr">
        <is>
          <t>TIMRÅ</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8877-2024</t>
        </is>
      </c>
      <c r="B631" s="1" t="n">
        <v>45356</v>
      </c>
      <c r="C631" s="1" t="n">
        <v>45706</v>
      </c>
      <c r="D631" t="inlineStr">
        <is>
          <t>VÄSTERNORRLANDS LÄN</t>
        </is>
      </c>
      <c r="E631" t="inlineStr">
        <is>
          <t>TIMRÅ</t>
        </is>
      </c>
      <c r="G631" t="n">
        <v>1.9</v>
      </c>
      <c r="H631" t="n">
        <v>0</v>
      </c>
      <c r="I631" t="n">
        <v>0</v>
      </c>
      <c r="J631" t="n">
        <v>0</v>
      </c>
      <c r="K631" t="n">
        <v>0</v>
      </c>
      <c r="L631" t="n">
        <v>0</v>
      </c>
      <c r="M631" t="n">
        <v>0</v>
      </c>
      <c r="N631" t="n">
        <v>0</v>
      </c>
      <c r="O631" t="n">
        <v>0</v>
      </c>
      <c r="P631" t="n">
        <v>0</v>
      </c>
      <c r="Q631" t="n">
        <v>0</v>
      </c>
      <c r="R631" s="2" t="inlineStr"/>
    </row>
    <row r="632" ht="15" customHeight="1">
      <c r="A632" t="inlineStr">
        <is>
          <t>A 9327-2024</t>
        </is>
      </c>
      <c r="B632" s="1" t="n">
        <v>45359</v>
      </c>
      <c r="C632" s="1" t="n">
        <v>45706</v>
      </c>
      <c r="D632" t="inlineStr">
        <is>
          <t>VÄSTERNORRLANDS LÄN</t>
        </is>
      </c>
      <c r="E632" t="inlineStr">
        <is>
          <t>TIMRÅ</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9331-2024</t>
        </is>
      </c>
      <c r="B633" s="1" t="n">
        <v>45359</v>
      </c>
      <c r="C633" s="1" t="n">
        <v>45706</v>
      </c>
      <c r="D633" t="inlineStr">
        <is>
          <t>VÄSTERNORRLANDS LÄN</t>
        </is>
      </c>
      <c r="E633" t="inlineStr">
        <is>
          <t>TIMRÅ</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9338-2024</t>
        </is>
      </c>
      <c r="B634" s="1" t="n">
        <v>45358</v>
      </c>
      <c r="C634" s="1" t="n">
        <v>45706</v>
      </c>
      <c r="D634" t="inlineStr">
        <is>
          <t>VÄSTERNORRLANDS LÄN</t>
        </is>
      </c>
      <c r="E634" t="inlineStr">
        <is>
          <t>TIMRÅ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9823-2024</t>
        </is>
      </c>
      <c r="B635" s="1" t="n">
        <v>45363</v>
      </c>
      <c r="C635" s="1" t="n">
        <v>45706</v>
      </c>
      <c r="D635" t="inlineStr">
        <is>
          <t>VÄSTERNORRLANDS LÄN</t>
        </is>
      </c>
      <c r="E635" t="inlineStr">
        <is>
          <t>TIMRÅ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10745-2024</t>
        </is>
      </c>
      <c r="B636" s="1" t="n">
        <v>45369</v>
      </c>
      <c r="C636" s="1" t="n">
        <v>45706</v>
      </c>
      <c r="D636" t="inlineStr">
        <is>
          <t>VÄSTERNORRLANDS LÄN</t>
        </is>
      </c>
      <c r="E636" t="inlineStr">
        <is>
          <t>TIMRÅ</t>
        </is>
      </c>
      <c r="G636" t="n">
        <v>1.5</v>
      </c>
      <c r="H636" t="n">
        <v>0</v>
      </c>
      <c r="I636" t="n">
        <v>0</v>
      </c>
      <c r="J636" t="n">
        <v>0</v>
      </c>
      <c r="K636" t="n">
        <v>0</v>
      </c>
      <c r="L636" t="n">
        <v>0</v>
      </c>
      <c r="M636" t="n">
        <v>0</v>
      </c>
      <c r="N636" t="n">
        <v>0</v>
      </c>
      <c r="O636" t="n">
        <v>0</v>
      </c>
      <c r="P636" t="n">
        <v>0</v>
      </c>
      <c r="Q636" t="n">
        <v>0</v>
      </c>
      <c r="R636" s="2" t="inlineStr"/>
    </row>
    <row r="637" ht="15" customHeight="1">
      <c r="A637" t="inlineStr">
        <is>
          <t>A 10852-2024</t>
        </is>
      </c>
      <c r="B637" s="1" t="n">
        <v>45370</v>
      </c>
      <c r="C637" s="1" t="n">
        <v>45706</v>
      </c>
      <c r="D637" t="inlineStr">
        <is>
          <t>VÄSTERNORRLANDS LÄN</t>
        </is>
      </c>
      <c r="E637" t="inlineStr">
        <is>
          <t>TIMRÅ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11556-2024</t>
        </is>
      </c>
      <c r="B638" s="1" t="n">
        <v>45373</v>
      </c>
      <c r="C638" s="1" t="n">
        <v>45706</v>
      </c>
      <c r="D638" t="inlineStr">
        <is>
          <t>VÄSTERNORRLANDS LÄN</t>
        </is>
      </c>
      <c r="E638" t="inlineStr">
        <is>
          <t>TIMRÅ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12182-2024</t>
        </is>
      </c>
      <c r="B639" s="1" t="n">
        <v>45377</v>
      </c>
      <c r="C639" s="1" t="n">
        <v>45706</v>
      </c>
      <c r="D639" t="inlineStr">
        <is>
          <t>VÄSTERNORRLANDS LÄN</t>
        </is>
      </c>
      <c r="E639" t="inlineStr">
        <is>
          <t>TIMRÅ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12873-2024</t>
        </is>
      </c>
      <c r="B640" s="1" t="n">
        <v>45384</v>
      </c>
      <c r="C640" s="1" t="n">
        <v>45706</v>
      </c>
      <c r="D640" t="inlineStr">
        <is>
          <t>VÄSTERNORRLANDS LÄN</t>
        </is>
      </c>
      <c r="E640" t="inlineStr">
        <is>
          <t>TIMRÅ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13341-2024</t>
        </is>
      </c>
      <c r="B641" s="1" t="n">
        <v>45387</v>
      </c>
      <c r="C641" s="1" t="n">
        <v>45706</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13343-2024</t>
        </is>
      </c>
      <c r="B642" s="1" t="n">
        <v>45387</v>
      </c>
      <c r="C642" s="1" t="n">
        <v>45706</v>
      </c>
      <c r="D642" t="inlineStr">
        <is>
          <t>VÄSTERNORRLANDS LÄN</t>
        </is>
      </c>
      <c r="E642" t="inlineStr">
        <is>
          <t>TIMRÅ</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13763-2024</t>
        </is>
      </c>
      <c r="B643" s="1" t="n">
        <v>45390</v>
      </c>
      <c r="C643" s="1" t="n">
        <v>45706</v>
      </c>
      <c r="D643" t="inlineStr">
        <is>
          <t>VÄSTERNORRLANDS LÄN</t>
        </is>
      </c>
      <c r="E643" t="inlineStr">
        <is>
          <t>TIMRÅ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13770-2024</t>
        </is>
      </c>
      <c r="B644" s="1" t="n">
        <v>45390</v>
      </c>
      <c r="C644" s="1" t="n">
        <v>45706</v>
      </c>
      <c r="D644" t="inlineStr">
        <is>
          <t>VÄSTERNORRLANDS LÄN</t>
        </is>
      </c>
      <c r="E644" t="inlineStr">
        <is>
          <t>TIMRÅ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14375-2024</t>
        </is>
      </c>
      <c r="B645" s="1" t="n">
        <v>45394</v>
      </c>
      <c r="C645" s="1" t="n">
        <v>45706</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14578-2024</t>
        </is>
      </c>
      <c r="B646" s="1" t="n">
        <v>45395</v>
      </c>
      <c r="C646" s="1" t="n">
        <v>45706</v>
      </c>
      <c r="D646" t="inlineStr">
        <is>
          <t>VÄSTERNORRLANDS LÄN</t>
        </is>
      </c>
      <c r="E646" t="inlineStr">
        <is>
          <t>TIMRÅ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14572-2024</t>
        </is>
      </c>
      <c r="B647" s="1" t="n">
        <v>45395</v>
      </c>
      <c r="C647" s="1" t="n">
        <v>45706</v>
      </c>
      <c r="D647" t="inlineStr">
        <is>
          <t>VÄSTERNORRLANDS LÄN</t>
        </is>
      </c>
      <c r="E647" t="inlineStr">
        <is>
          <t>TIMRÅ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14573-2024</t>
        </is>
      </c>
      <c r="B648" s="1" t="n">
        <v>45395</v>
      </c>
      <c r="C648" s="1" t="n">
        <v>45706</v>
      </c>
      <c r="D648" t="inlineStr">
        <is>
          <t>VÄSTERNORRLANDS LÄN</t>
        </is>
      </c>
      <c r="E648" t="inlineStr">
        <is>
          <t>TIMRÅ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14806-2024</t>
        </is>
      </c>
      <c r="B649" s="1" t="n">
        <v>45398</v>
      </c>
      <c r="C649" s="1" t="n">
        <v>45706</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14818-2024</t>
        </is>
      </c>
      <c r="B650" s="1" t="n">
        <v>45397</v>
      </c>
      <c r="C650" s="1" t="n">
        <v>45706</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15150-2024</t>
        </is>
      </c>
      <c r="B651" s="1" t="n">
        <v>45400</v>
      </c>
      <c r="C651" s="1" t="n">
        <v>45706</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16055-2024</t>
        </is>
      </c>
      <c r="B652" s="1" t="n">
        <v>45406</v>
      </c>
      <c r="C652" s="1" t="n">
        <v>45706</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16067-2024</t>
        </is>
      </c>
      <c r="B653" s="1" t="n">
        <v>45406</v>
      </c>
      <c r="C653" s="1" t="n">
        <v>45706</v>
      </c>
      <c r="D653" t="inlineStr">
        <is>
          <t>VÄSTERNORRLANDS LÄN</t>
        </is>
      </c>
      <c r="E653" t="inlineStr">
        <is>
          <t>TIMRÅ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16315-2024</t>
        </is>
      </c>
      <c r="B654" s="1" t="n">
        <v>45407</v>
      </c>
      <c r="C654" s="1" t="n">
        <v>45706</v>
      </c>
      <c r="D654" t="inlineStr">
        <is>
          <t>VÄSTERNORRLANDS LÄN</t>
        </is>
      </c>
      <c r="E654" t="inlineStr">
        <is>
          <t>TIMRÅ</t>
        </is>
      </c>
      <c r="F654" t="inlineStr">
        <is>
          <t>Kommuner</t>
        </is>
      </c>
      <c r="G654" t="n">
        <v>0.5</v>
      </c>
      <c r="H654" t="n">
        <v>0</v>
      </c>
      <c r="I654" t="n">
        <v>0</v>
      </c>
      <c r="J654" t="n">
        <v>0</v>
      </c>
      <c r="K654" t="n">
        <v>0</v>
      </c>
      <c r="L654" t="n">
        <v>0</v>
      </c>
      <c r="M654" t="n">
        <v>0</v>
      </c>
      <c r="N654" t="n">
        <v>0</v>
      </c>
      <c r="O654" t="n">
        <v>0</v>
      </c>
      <c r="P654" t="n">
        <v>0</v>
      </c>
      <c r="Q654" t="n">
        <v>0</v>
      </c>
      <c r="R654" s="2" t="inlineStr"/>
    </row>
    <row r="655" ht="15" customHeight="1">
      <c r="A655" t="inlineStr">
        <is>
          <t>A 16863-2024</t>
        </is>
      </c>
      <c r="B655" s="1" t="n">
        <v>45411</v>
      </c>
      <c r="C655" s="1" t="n">
        <v>45706</v>
      </c>
      <c r="D655" t="inlineStr">
        <is>
          <t>VÄSTERNORRLANDS LÄN</t>
        </is>
      </c>
      <c r="E655" t="inlineStr">
        <is>
          <t>TIMRÅ</t>
        </is>
      </c>
      <c r="G655" t="n">
        <v>3.6</v>
      </c>
      <c r="H655" t="n">
        <v>0</v>
      </c>
      <c r="I655" t="n">
        <v>0</v>
      </c>
      <c r="J655" t="n">
        <v>0</v>
      </c>
      <c r="K655" t="n">
        <v>0</v>
      </c>
      <c r="L655" t="n">
        <v>0</v>
      </c>
      <c r="M655" t="n">
        <v>0</v>
      </c>
      <c r="N655" t="n">
        <v>0</v>
      </c>
      <c r="O655" t="n">
        <v>0</v>
      </c>
      <c r="P655" t="n">
        <v>0</v>
      </c>
      <c r="Q655" t="n">
        <v>0</v>
      </c>
      <c r="R655" s="2" t="inlineStr"/>
    </row>
    <row r="656" ht="15" customHeight="1">
      <c r="A656" t="inlineStr">
        <is>
          <t>A 16980-2024</t>
        </is>
      </c>
      <c r="B656" s="1" t="n">
        <v>45412</v>
      </c>
      <c r="C656" s="1" t="n">
        <v>45706</v>
      </c>
      <c r="D656" t="inlineStr">
        <is>
          <t>VÄSTERNORRLANDS LÄN</t>
        </is>
      </c>
      <c r="E656" t="inlineStr">
        <is>
          <t>TIMRÅ</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18110-2024</t>
        </is>
      </c>
      <c r="B657" s="1" t="n">
        <v>45420</v>
      </c>
      <c r="C657" s="1" t="n">
        <v>45706</v>
      </c>
      <c r="D657" t="inlineStr">
        <is>
          <t>VÄSTERNORRLANDS LÄN</t>
        </is>
      </c>
      <c r="E657" t="inlineStr">
        <is>
          <t>TIMRÅ</t>
        </is>
      </c>
      <c r="G657" t="n">
        <v>1.4</v>
      </c>
      <c r="H657" t="n">
        <v>0</v>
      </c>
      <c r="I657" t="n">
        <v>0</v>
      </c>
      <c r="J657" t="n">
        <v>0</v>
      </c>
      <c r="K657" t="n">
        <v>0</v>
      </c>
      <c r="L657" t="n">
        <v>0</v>
      </c>
      <c r="M657" t="n">
        <v>0</v>
      </c>
      <c r="N657" t="n">
        <v>0</v>
      </c>
      <c r="O657" t="n">
        <v>0</v>
      </c>
      <c r="P657" t="n">
        <v>0</v>
      </c>
      <c r="Q657" t="n">
        <v>0</v>
      </c>
      <c r="R657" s="2" t="inlineStr"/>
    </row>
    <row r="658" ht="15" customHeight="1">
      <c r="A658" t="inlineStr">
        <is>
          <t>A 18653-2024</t>
        </is>
      </c>
      <c r="B658" s="1" t="n">
        <v>45425</v>
      </c>
      <c r="C658" s="1" t="n">
        <v>45706</v>
      </c>
      <c r="D658" t="inlineStr">
        <is>
          <t>VÄSTERNORRLANDS LÄN</t>
        </is>
      </c>
      <c r="E658" t="inlineStr">
        <is>
          <t>TIMRÅ</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18663-2024</t>
        </is>
      </c>
      <c r="B659" s="1" t="n">
        <v>45425</v>
      </c>
      <c r="C659" s="1" t="n">
        <v>45706</v>
      </c>
      <c r="D659" t="inlineStr">
        <is>
          <t>VÄSTERNORRLANDS LÄN</t>
        </is>
      </c>
      <c r="E659" t="inlineStr">
        <is>
          <t>TIMRÅ</t>
        </is>
      </c>
      <c r="G659" t="n">
        <v>9.5</v>
      </c>
      <c r="H659" t="n">
        <v>0</v>
      </c>
      <c r="I659" t="n">
        <v>0</v>
      </c>
      <c r="J659" t="n">
        <v>0</v>
      </c>
      <c r="K659" t="n">
        <v>0</v>
      </c>
      <c r="L659" t="n">
        <v>0</v>
      </c>
      <c r="M659" t="n">
        <v>0</v>
      </c>
      <c r="N659" t="n">
        <v>0</v>
      </c>
      <c r="O659" t="n">
        <v>0</v>
      </c>
      <c r="P659" t="n">
        <v>0</v>
      </c>
      <c r="Q659" t="n">
        <v>0</v>
      </c>
      <c r="R659" s="2" t="inlineStr"/>
    </row>
    <row r="660" ht="15" customHeight="1">
      <c r="A660" t="inlineStr">
        <is>
          <t>A 18634-2024</t>
        </is>
      </c>
      <c r="B660" s="1" t="n">
        <v>45425</v>
      </c>
      <c r="C660" s="1" t="n">
        <v>45706</v>
      </c>
      <c r="D660" t="inlineStr">
        <is>
          <t>VÄSTERNORRLANDS LÄN</t>
        </is>
      </c>
      <c r="E660" t="inlineStr">
        <is>
          <t>TIMRÅ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19455-2024</t>
        </is>
      </c>
      <c r="B661" s="1" t="n">
        <v>45429</v>
      </c>
      <c r="C661" s="1" t="n">
        <v>45706</v>
      </c>
      <c r="D661" t="inlineStr">
        <is>
          <t>VÄSTERNORRLANDS LÄN</t>
        </is>
      </c>
      <c r="E661" t="inlineStr">
        <is>
          <t>TIMRÅ</t>
        </is>
      </c>
      <c r="G661" t="n">
        <v>1.3</v>
      </c>
      <c r="H661" t="n">
        <v>0</v>
      </c>
      <c r="I661" t="n">
        <v>0</v>
      </c>
      <c r="J661" t="n">
        <v>0</v>
      </c>
      <c r="K661" t="n">
        <v>0</v>
      </c>
      <c r="L661" t="n">
        <v>0</v>
      </c>
      <c r="M661" t="n">
        <v>0</v>
      </c>
      <c r="N661" t="n">
        <v>0</v>
      </c>
      <c r="O661" t="n">
        <v>0</v>
      </c>
      <c r="P661" t="n">
        <v>0</v>
      </c>
      <c r="Q661" t="n">
        <v>0</v>
      </c>
      <c r="R661" s="2" t="inlineStr"/>
    </row>
    <row r="662" ht="15" customHeight="1">
      <c r="A662" t="inlineStr">
        <is>
          <t>A 19558-2024</t>
        </is>
      </c>
      <c r="B662" s="1" t="n">
        <v>45429</v>
      </c>
      <c r="C662" s="1" t="n">
        <v>45706</v>
      </c>
      <c r="D662" t="inlineStr">
        <is>
          <t>VÄSTERNORRLANDS LÄN</t>
        </is>
      </c>
      <c r="E662" t="inlineStr">
        <is>
          <t>TIMRÅ</t>
        </is>
      </c>
      <c r="G662" t="n">
        <v>4.6</v>
      </c>
      <c r="H662" t="n">
        <v>0</v>
      </c>
      <c r="I662" t="n">
        <v>0</v>
      </c>
      <c r="J662" t="n">
        <v>0</v>
      </c>
      <c r="K662" t="n">
        <v>0</v>
      </c>
      <c r="L662" t="n">
        <v>0</v>
      </c>
      <c r="M662" t="n">
        <v>0</v>
      </c>
      <c r="N662" t="n">
        <v>0</v>
      </c>
      <c r="O662" t="n">
        <v>0</v>
      </c>
      <c r="P662" t="n">
        <v>0</v>
      </c>
      <c r="Q662" t="n">
        <v>0</v>
      </c>
      <c r="R662" s="2" t="inlineStr"/>
    </row>
    <row r="663" ht="15" customHeight="1">
      <c r="A663" t="inlineStr">
        <is>
          <t>A 20089-2024</t>
        </is>
      </c>
      <c r="B663" s="1" t="n">
        <v>45434</v>
      </c>
      <c r="C663" s="1" t="n">
        <v>45706</v>
      </c>
      <c r="D663" t="inlineStr">
        <is>
          <t>VÄSTERNORRLANDS LÄN</t>
        </is>
      </c>
      <c r="E663" t="inlineStr">
        <is>
          <t>TIMRÅ</t>
        </is>
      </c>
      <c r="G663" t="n">
        <v>1</v>
      </c>
      <c r="H663" t="n">
        <v>0</v>
      </c>
      <c r="I663" t="n">
        <v>0</v>
      </c>
      <c r="J663" t="n">
        <v>0</v>
      </c>
      <c r="K663" t="n">
        <v>0</v>
      </c>
      <c r="L663" t="n">
        <v>0</v>
      </c>
      <c r="M663" t="n">
        <v>0</v>
      </c>
      <c r="N663" t="n">
        <v>0</v>
      </c>
      <c r="O663" t="n">
        <v>0</v>
      </c>
      <c r="P663" t="n">
        <v>0</v>
      </c>
      <c r="Q663" t="n">
        <v>0</v>
      </c>
      <c r="R663" s="2" t="inlineStr"/>
    </row>
    <row r="664" ht="15" customHeight="1">
      <c r="A664" t="inlineStr">
        <is>
          <t>A 20226-2024</t>
        </is>
      </c>
      <c r="B664" s="1" t="n">
        <v>45434</v>
      </c>
      <c r="C664" s="1" t="n">
        <v>45706</v>
      </c>
      <c r="D664" t="inlineStr">
        <is>
          <t>VÄSTERNORRLANDS LÄN</t>
        </is>
      </c>
      <c r="E664" t="inlineStr">
        <is>
          <t>TIMRÅ</t>
        </is>
      </c>
      <c r="G664" t="n">
        <v>0.6</v>
      </c>
      <c r="H664" t="n">
        <v>0</v>
      </c>
      <c r="I664" t="n">
        <v>0</v>
      </c>
      <c r="J664" t="n">
        <v>0</v>
      </c>
      <c r="K664" t="n">
        <v>0</v>
      </c>
      <c r="L664" t="n">
        <v>0</v>
      </c>
      <c r="M664" t="n">
        <v>0</v>
      </c>
      <c r="N664" t="n">
        <v>0</v>
      </c>
      <c r="O664" t="n">
        <v>0</v>
      </c>
      <c r="P664" t="n">
        <v>0</v>
      </c>
      <c r="Q664" t="n">
        <v>0</v>
      </c>
      <c r="R664" s="2" t="inlineStr"/>
    </row>
    <row r="665" ht="15" customHeight="1">
      <c r="A665" t="inlineStr">
        <is>
          <t>A 20230-2024</t>
        </is>
      </c>
      <c r="B665" s="1" t="n">
        <v>45434</v>
      </c>
      <c r="C665" s="1" t="n">
        <v>45706</v>
      </c>
      <c r="D665" t="inlineStr">
        <is>
          <t>VÄSTERNORRLANDS LÄN</t>
        </is>
      </c>
      <c r="E665" t="inlineStr">
        <is>
          <t>TIMRÅ</t>
        </is>
      </c>
      <c r="G665" t="n">
        <v>0.8</v>
      </c>
      <c r="H665" t="n">
        <v>0</v>
      </c>
      <c r="I665" t="n">
        <v>0</v>
      </c>
      <c r="J665" t="n">
        <v>0</v>
      </c>
      <c r="K665" t="n">
        <v>0</v>
      </c>
      <c r="L665" t="n">
        <v>0</v>
      </c>
      <c r="M665" t="n">
        <v>0</v>
      </c>
      <c r="N665" t="n">
        <v>0</v>
      </c>
      <c r="O665" t="n">
        <v>0</v>
      </c>
      <c r="P665" t="n">
        <v>0</v>
      </c>
      <c r="Q665" t="n">
        <v>0</v>
      </c>
      <c r="R665" s="2" t="inlineStr"/>
    </row>
    <row r="666" ht="15" customHeight="1">
      <c r="A666" t="inlineStr">
        <is>
          <t>A 20313-2024</t>
        </is>
      </c>
      <c r="B666" s="1" t="n">
        <v>45434</v>
      </c>
      <c r="C666" s="1" t="n">
        <v>45706</v>
      </c>
      <c r="D666" t="inlineStr">
        <is>
          <t>VÄSTERNORRLANDS LÄN</t>
        </is>
      </c>
      <c r="E666" t="inlineStr">
        <is>
          <t>TIMRÅ</t>
        </is>
      </c>
      <c r="G666" t="n">
        <v>1.6</v>
      </c>
      <c r="H666" t="n">
        <v>0</v>
      </c>
      <c r="I666" t="n">
        <v>0</v>
      </c>
      <c r="J666" t="n">
        <v>0</v>
      </c>
      <c r="K666" t="n">
        <v>0</v>
      </c>
      <c r="L666" t="n">
        <v>0</v>
      </c>
      <c r="M666" t="n">
        <v>0</v>
      </c>
      <c r="N666" t="n">
        <v>0</v>
      </c>
      <c r="O666" t="n">
        <v>0</v>
      </c>
      <c r="P666" t="n">
        <v>0</v>
      </c>
      <c r="Q666" t="n">
        <v>0</v>
      </c>
      <c r="R666" s="2" t="inlineStr"/>
    </row>
    <row r="667" ht="15" customHeight="1">
      <c r="A667" t="inlineStr">
        <is>
          <t>A 20341-2024</t>
        </is>
      </c>
      <c r="B667" s="1" t="n">
        <v>45435</v>
      </c>
      <c r="C667" s="1" t="n">
        <v>45706</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20346-2024</t>
        </is>
      </c>
      <c r="B668" s="1" t="n">
        <v>45435</v>
      </c>
      <c r="C668" s="1" t="n">
        <v>45706</v>
      </c>
      <c r="D668" t="inlineStr">
        <is>
          <t>VÄSTERNORRLANDS LÄN</t>
        </is>
      </c>
      <c r="E668" t="inlineStr">
        <is>
          <t>TIMRÅ</t>
        </is>
      </c>
      <c r="G668" t="n">
        <v>2.5</v>
      </c>
      <c r="H668" t="n">
        <v>0</v>
      </c>
      <c r="I668" t="n">
        <v>0</v>
      </c>
      <c r="J668" t="n">
        <v>0</v>
      </c>
      <c r="K668" t="n">
        <v>0</v>
      </c>
      <c r="L668" t="n">
        <v>0</v>
      </c>
      <c r="M668" t="n">
        <v>0</v>
      </c>
      <c r="N668" t="n">
        <v>0</v>
      </c>
      <c r="O668" t="n">
        <v>0</v>
      </c>
      <c r="P668" t="n">
        <v>0</v>
      </c>
      <c r="Q668" t="n">
        <v>0</v>
      </c>
      <c r="R668" s="2" t="inlineStr"/>
    </row>
    <row r="669" ht="15" customHeight="1">
      <c r="A669" t="inlineStr">
        <is>
          <t>A 20527-2024</t>
        </is>
      </c>
      <c r="B669" s="1" t="n">
        <v>45436</v>
      </c>
      <c r="C669" s="1" t="n">
        <v>45706</v>
      </c>
      <c r="D669" t="inlineStr">
        <is>
          <t>VÄSTERNORRLANDS LÄN</t>
        </is>
      </c>
      <c r="E669" t="inlineStr">
        <is>
          <t>TIMRÅ</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20526-2024</t>
        </is>
      </c>
      <c r="B670" s="1" t="n">
        <v>45435</v>
      </c>
      <c r="C670" s="1" t="n">
        <v>45706</v>
      </c>
      <c r="D670" t="inlineStr">
        <is>
          <t>VÄSTERNORRLANDS LÄN</t>
        </is>
      </c>
      <c r="E670" t="inlineStr">
        <is>
          <t>TIMRÅ</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20786-2024</t>
        </is>
      </c>
      <c r="B671" s="1" t="n">
        <v>45437</v>
      </c>
      <c r="C671" s="1" t="n">
        <v>45706</v>
      </c>
      <c r="D671" t="inlineStr">
        <is>
          <t>VÄSTERNORRLANDS LÄN</t>
        </is>
      </c>
      <c r="E671" t="inlineStr">
        <is>
          <t>TIMRÅ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20899-2024</t>
        </is>
      </c>
      <c r="B672" s="1" t="n">
        <v>45439</v>
      </c>
      <c r="C672" s="1" t="n">
        <v>45706</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20936-2024</t>
        </is>
      </c>
      <c r="B673" s="1" t="n">
        <v>45439</v>
      </c>
      <c r="C673" s="1" t="n">
        <v>45706</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20938-2024</t>
        </is>
      </c>
      <c r="B674" s="1" t="n">
        <v>45439</v>
      </c>
      <c r="C674" s="1" t="n">
        <v>45706</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21362-2024</t>
        </is>
      </c>
      <c r="B675" s="1" t="n">
        <v>45440</v>
      </c>
      <c r="C675" s="1" t="n">
        <v>45706</v>
      </c>
      <c r="D675" t="inlineStr">
        <is>
          <t>VÄSTERNORRLANDS LÄN</t>
        </is>
      </c>
      <c r="E675" t="inlineStr">
        <is>
          <t>TIMRÅ</t>
        </is>
      </c>
      <c r="F675" t="inlineStr">
        <is>
          <t>SCA</t>
        </is>
      </c>
      <c r="G675" t="n">
        <v>15.2</v>
      </c>
      <c r="H675" t="n">
        <v>0</v>
      </c>
      <c r="I675" t="n">
        <v>0</v>
      </c>
      <c r="J675" t="n">
        <v>0</v>
      </c>
      <c r="K675" t="n">
        <v>0</v>
      </c>
      <c r="L675" t="n">
        <v>0</v>
      </c>
      <c r="M675" t="n">
        <v>0</v>
      </c>
      <c r="N675" t="n">
        <v>0</v>
      </c>
      <c r="O675" t="n">
        <v>0</v>
      </c>
      <c r="P675" t="n">
        <v>0</v>
      </c>
      <c r="Q675" t="n">
        <v>0</v>
      </c>
      <c r="R675" s="2" t="inlineStr"/>
    </row>
    <row r="676" ht="15" customHeight="1">
      <c r="A676" t="inlineStr">
        <is>
          <t>A 21131-2024</t>
        </is>
      </c>
      <c r="B676" s="1" t="n">
        <v>45440</v>
      </c>
      <c r="C676" s="1" t="n">
        <v>45706</v>
      </c>
      <c r="D676" t="inlineStr">
        <is>
          <t>VÄSTERNORRLANDS LÄN</t>
        </is>
      </c>
      <c r="E676" t="inlineStr">
        <is>
          <t>TIMRÅ</t>
        </is>
      </c>
      <c r="G676" t="n">
        <v>10.8</v>
      </c>
      <c r="H676" t="n">
        <v>0</v>
      </c>
      <c r="I676" t="n">
        <v>0</v>
      </c>
      <c r="J676" t="n">
        <v>0</v>
      </c>
      <c r="K676" t="n">
        <v>0</v>
      </c>
      <c r="L676" t="n">
        <v>0</v>
      </c>
      <c r="M676" t="n">
        <v>0</v>
      </c>
      <c r="N676" t="n">
        <v>0</v>
      </c>
      <c r="O676" t="n">
        <v>0</v>
      </c>
      <c r="P676" t="n">
        <v>0</v>
      </c>
      <c r="Q676" t="n">
        <v>0</v>
      </c>
      <c r="R676" s="2" t="inlineStr"/>
    </row>
    <row r="677" ht="15" customHeight="1">
      <c r="A677" t="inlineStr">
        <is>
          <t>A 21607-2024</t>
        </is>
      </c>
      <c r="B677" s="1" t="n">
        <v>45441</v>
      </c>
      <c r="C677" s="1" t="n">
        <v>45706</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21443-2024</t>
        </is>
      </c>
      <c r="B678" s="1" t="n">
        <v>45441</v>
      </c>
      <c r="C678" s="1" t="n">
        <v>45706</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21447-2024</t>
        </is>
      </c>
      <c r="B679" s="1" t="n">
        <v>45441</v>
      </c>
      <c r="C679" s="1" t="n">
        <v>45706</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22368-2024</t>
        </is>
      </c>
      <c r="B680" s="1" t="n">
        <v>45446</v>
      </c>
      <c r="C680" s="1" t="n">
        <v>45706</v>
      </c>
      <c r="D680" t="inlineStr">
        <is>
          <t>VÄSTERNORRLANDS LÄN</t>
        </is>
      </c>
      <c r="E680" t="inlineStr">
        <is>
          <t>TIMRÅ</t>
        </is>
      </c>
      <c r="G680" t="n">
        <v>1.2</v>
      </c>
      <c r="H680" t="n">
        <v>0</v>
      </c>
      <c r="I680" t="n">
        <v>0</v>
      </c>
      <c r="J680" t="n">
        <v>0</v>
      </c>
      <c r="K680" t="n">
        <v>0</v>
      </c>
      <c r="L680" t="n">
        <v>0</v>
      </c>
      <c r="M680" t="n">
        <v>0</v>
      </c>
      <c r="N680" t="n">
        <v>0</v>
      </c>
      <c r="O680" t="n">
        <v>0</v>
      </c>
      <c r="P680" t="n">
        <v>0</v>
      </c>
      <c r="Q680" t="n">
        <v>0</v>
      </c>
      <c r="R680" s="2" t="inlineStr"/>
    </row>
    <row r="681" ht="15" customHeight="1">
      <c r="A681" t="inlineStr">
        <is>
          <t>A 22486-2024</t>
        </is>
      </c>
      <c r="B681" s="1" t="n">
        <v>45446</v>
      </c>
      <c r="C681" s="1" t="n">
        <v>45706</v>
      </c>
      <c r="D681" t="inlineStr">
        <is>
          <t>VÄSTERNORRLANDS LÄN</t>
        </is>
      </c>
      <c r="E681" t="inlineStr">
        <is>
          <t>TIMRÅ</t>
        </is>
      </c>
      <c r="G681" t="n">
        <v>6.8</v>
      </c>
      <c r="H681" t="n">
        <v>0</v>
      </c>
      <c r="I681" t="n">
        <v>0</v>
      </c>
      <c r="J681" t="n">
        <v>0</v>
      </c>
      <c r="K681" t="n">
        <v>0</v>
      </c>
      <c r="L681" t="n">
        <v>0</v>
      </c>
      <c r="M681" t="n">
        <v>0</v>
      </c>
      <c r="N681" t="n">
        <v>0</v>
      </c>
      <c r="O681" t="n">
        <v>0</v>
      </c>
      <c r="P681" t="n">
        <v>0</v>
      </c>
      <c r="Q681" t="n">
        <v>0</v>
      </c>
      <c r="R681" s="2" t="inlineStr"/>
    </row>
    <row r="682" ht="15" customHeight="1">
      <c r="A682" t="inlineStr">
        <is>
          <t>A 22416-2024</t>
        </is>
      </c>
      <c r="B682" s="1" t="n">
        <v>45446</v>
      </c>
      <c r="C682" s="1" t="n">
        <v>45706</v>
      </c>
      <c r="D682" t="inlineStr">
        <is>
          <t>VÄSTERNORRLANDS LÄN</t>
        </is>
      </c>
      <c r="E682" t="inlineStr">
        <is>
          <t>TIMRÅ</t>
        </is>
      </c>
      <c r="G682" t="n">
        <v>2.3</v>
      </c>
      <c r="H682" t="n">
        <v>0</v>
      </c>
      <c r="I682" t="n">
        <v>0</v>
      </c>
      <c r="J682" t="n">
        <v>0</v>
      </c>
      <c r="K682" t="n">
        <v>0</v>
      </c>
      <c r="L682" t="n">
        <v>0</v>
      </c>
      <c r="M682" t="n">
        <v>0</v>
      </c>
      <c r="N682" t="n">
        <v>0</v>
      </c>
      <c r="O682" t="n">
        <v>0</v>
      </c>
      <c r="P682" t="n">
        <v>0</v>
      </c>
      <c r="Q682" t="n">
        <v>0</v>
      </c>
      <c r="R682" s="2" t="inlineStr"/>
    </row>
    <row r="683" ht="15" customHeight="1">
      <c r="A683" t="inlineStr">
        <is>
          <t>A 22669-2024</t>
        </is>
      </c>
      <c r="B683" s="1" t="n">
        <v>45447</v>
      </c>
      <c r="C683" s="1" t="n">
        <v>45706</v>
      </c>
      <c r="D683" t="inlineStr">
        <is>
          <t>VÄSTERNORRLANDS LÄN</t>
        </is>
      </c>
      <c r="E683" t="inlineStr">
        <is>
          <t>TIMRÅ</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23049-2024</t>
        </is>
      </c>
      <c r="B684" s="1" t="n">
        <v>45450</v>
      </c>
      <c r="C684" s="1" t="n">
        <v>45706</v>
      </c>
      <c r="D684" t="inlineStr">
        <is>
          <t>VÄSTERNORRLANDS LÄN</t>
        </is>
      </c>
      <c r="E684" t="inlineStr">
        <is>
          <t>TIMRÅ</t>
        </is>
      </c>
      <c r="G684" t="n">
        <v>8.4</v>
      </c>
      <c r="H684" t="n">
        <v>0</v>
      </c>
      <c r="I684" t="n">
        <v>0</v>
      </c>
      <c r="J684" t="n">
        <v>0</v>
      </c>
      <c r="K684" t="n">
        <v>0</v>
      </c>
      <c r="L684" t="n">
        <v>0</v>
      </c>
      <c r="M684" t="n">
        <v>0</v>
      </c>
      <c r="N684" t="n">
        <v>0</v>
      </c>
      <c r="O684" t="n">
        <v>0</v>
      </c>
      <c r="P684" t="n">
        <v>0</v>
      </c>
      <c r="Q684" t="n">
        <v>0</v>
      </c>
      <c r="R684" s="2" t="inlineStr"/>
    </row>
    <row r="685" ht="15" customHeight="1">
      <c r="A685" t="inlineStr">
        <is>
          <t>A 23556-2024</t>
        </is>
      </c>
      <c r="B685" s="1" t="n">
        <v>45453</v>
      </c>
      <c r="C685" s="1" t="n">
        <v>45706</v>
      </c>
      <c r="D685" t="inlineStr">
        <is>
          <t>VÄSTERNORRLANDS LÄN</t>
        </is>
      </c>
      <c r="E685" t="inlineStr">
        <is>
          <t>TIMRÅ</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23725-2024</t>
        </is>
      </c>
      <c r="B686" s="1" t="n">
        <v>45455</v>
      </c>
      <c r="C686" s="1" t="n">
        <v>45706</v>
      </c>
      <c r="D686" t="inlineStr">
        <is>
          <t>VÄSTERNORRLANDS LÄN</t>
        </is>
      </c>
      <c r="E686" t="inlineStr">
        <is>
          <t>TIMRÅ</t>
        </is>
      </c>
      <c r="G686" t="n">
        <v>2.6</v>
      </c>
      <c r="H686" t="n">
        <v>0</v>
      </c>
      <c r="I686" t="n">
        <v>0</v>
      </c>
      <c r="J686" t="n">
        <v>0</v>
      </c>
      <c r="K686" t="n">
        <v>0</v>
      </c>
      <c r="L686" t="n">
        <v>0</v>
      </c>
      <c r="M686" t="n">
        <v>0</v>
      </c>
      <c r="N686" t="n">
        <v>0</v>
      </c>
      <c r="O686" t="n">
        <v>0</v>
      </c>
      <c r="P686" t="n">
        <v>0</v>
      </c>
      <c r="Q686" t="n">
        <v>0</v>
      </c>
      <c r="R686" s="2" t="inlineStr"/>
    </row>
    <row r="687" ht="15" customHeight="1">
      <c r="A687" t="inlineStr">
        <is>
          <t>A 23878-2024</t>
        </is>
      </c>
      <c r="B687" s="1" t="n">
        <v>45455</v>
      </c>
      <c r="C687" s="1" t="n">
        <v>45706</v>
      </c>
      <c r="D687" t="inlineStr">
        <is>
          <t>VÄSTERNORRLANDS LÄN</t>
        </is>
      </c>
      <c r="E687" t="inlineStr">
        <is>
          <t>TIMRÅ</t>
        </is>
      </c>
      <c r="G687" t="n">
        <v>2.1</v>
      </c>
      <c r="H687" t="n">
        <v>0</v>
      </c>
      <c r="I687" t="n">
        <v>0</v>
      </c>
      <c r="J687" t="n">
        <v>0</v>
      </c>
      <c r="K687" t="n">
        <v>0</v>
      </c>
      <c r="L687" t="n">
        <v>0</v>
      </c>
      <c r="M687" t="n">
        <v>0</v>
      </c>
      <c r="N687" t="n">
        <v>0</v>
      </c>
      <c r="O687" t="n">
        <v>0</v>
      </c>
      <c r="P687" t="n">
        <v>0</v>
      </c>
      <c r="Q687" t="n">
        <v>0</v>
      </c>
      <c r="R687" s="2" t="inlineStr"/>
    </row>
    <row r="688" ht="15" customHeight="1">
      <c r="A688" t="inlineStr">
        <is>
          <t>A 23851-2024</t>
        </is>
      </c>
      <c r="B688" s="1" t="n">
        <v>45455</v>
      </c>
      <c r="C688" s="1" t="n">
        <v>45706</v>
      </c>
      <c r="D688" t="inlineStr">
        <is>
          <t>VÄSTERNORRLANDS LÄN</t>
        </is>
      </c>
      <c r="E688" t="inlineStr">
        <is>
          <t>TIMRÅ</t>
        </is>
      </c>
      <c r="G688" t="n">
        <v>3.5</v>
      </c>
      <c r="H688" t="n">
        <v>0</v>
      </c>
      <c r="I688" t="n">
        <v>0</v>
      </c>
      <c r="J688" t="n">
        <v>0</v>
      </c>
      <c r="K688" t="n">
        <v>0</v>
      </c>
      <c r="L688" t="n">
        <v>0</v>
      </c>
      <c r="M688" t="n">
        <v>0</v>
      </c>
      <c r="N688" t="n">
        <v>0</v>
      </c>
      <c r="O688" t="n">
        <v>0</v>
      </c>
      <c r="P688" t="n">
        <v>0</v>
      </c>
      <c r="Q688" t="n">
        <v>0</v>
      </c>
      <c r="R688" s="2" t="inlineStr"/>
    </row>
    <row r="689" ht="15" customHeight="1">
      <c r="A689" t="inlineStr">
        <is>
          <t>A 24739-2024</t>
        </is>
      </c>
      <c r="B689" s="1" t="n">
        <v>45460</v>
      </c>
      <c r="C689" s="1" t="n">
        <v>45706</v>
      </c>
      <c r="D689" t="inlineStr">
        <is>
          <t>VÄSTERNORRLANDS LÄN</t>
        </is>
      </c>
      <c r="E689" t="inlineStr">
        <is>
          <t>TIMRÅ</t>
        </is>
      </c>
      <c r="G689" t="n">
        <v>0.9</v>
      </c>
      <c r="H689" t="n">
        <v>0</v>
      </c>
      <c r="I689" t="n">
        <v>0</v>
      </c>
      <c r="J689" t="n">
        <v>0</v>
      </c>
      <c r="K689" t="n">
        <v>0</v>
      </c>
      <c r="L689" t="n">
        <v>0</v>
      </c>
      <c r="M689" t="n">
        <v>0</v>
      </c>
      <c r="N689" t="n">
        <v>0</v>
      </c>
      <c r="O689" t="n">
        <v>0</v>
      </c>
      <c r="P689" t="n">
        <v>0</v>
      </c>
      <c r="Q689" t="n">
        <v>0</v>
      </c>
      <c r="R689" s="2" t="inlineStr"/>
    </row>
    <row r="690" ht="15" customHeight="1">
      <c r="A690" t="inlineStr">
        <is>
          <t>A 26662-2024</t>
        </is>
      </c>
      <c r="B690" s="1" t="n">
        <v>45469</v>
      </c>
      <c r="C690" s="1" t="n">
        <v>45706</v>
      </c>
      <c r="D690" t="inlineStr">
        <is>
          <t>VÄSTERNORRLANDS LÄN</t>
        </is>
      </c>
      <c r="E690" t="inlineStr">
        <is>
          <t>TIMRÅ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27623-2024</t>
        </is>
      </c>
      <c r="B691" s="1" t="n">
        <v>45474</v>
      </c>
      <c r="C691" s="1" t="n">
        <v>45706</v>
      </c>
      <c r="D691" t="inlineStr">
        <is>
          <t>VÄSTERNORRLANDS LÄN</t>
        </is>
      </c>
      <c r="E691" t="inlineStr">
        <is>
          <t>TIMRÅ</t>
        </is>
      </c>
      <c r="G691" t="n">
        <v>3.4</v>
      </c>
      <c r="H691" t="n">
        <v>0</v>
      </c>
      <c r="I691" t="n">
        <v>0</v>
      </c>
      <c r="J691" t="n">
        <v>0</v>
      </c>
      <c r="K691" t="n">
        <v>0</v>
      </c>
      <c r="L691" t="n">
        <v>0</v>
      </c>
      <c r="M691" t="n">
        <v>0</v>
      </c>
      <c r="N691" t="n">
        <v>0</v>
      </c>
      <c r="O691" t="n">
        <v>0</v>
      </c>
      <c r="P691" t="n">
        <v>0</v>
      </c>
      <c r="Q691" t="n">
        <v>0</v>
      </c>
      <c r="R691" s="2" t="inlineStr"/>
    </row>
    <row r="692" ht="15" customHeight="1">
      <c r="A692" t="inlineStr">
        <is>
          <t>A 28160-2024</t>
        </is>
      </c>
      <c r="B692" s="1" t="n">
        <v>45476</v>
      </c>
      <c r="C692" s="1" t="n">
        <v>45706</v>
      </c>
      <c r="D692" t="inlineStr">
        <is>
          <t>VÄSTERNORRLANDS LÄN</t>
        </is>
      </c>
      <c r="E692" t="inlineStr">
        <is>
          <t>TIMRÅ</t>
        </is>
      </c>
      <c r="F692" t="inlineStr">
        <is>
          <t>SCA</t>
        </is>
      </c>
      <c r="G692" t="n">
        <v>16.1</v>
      </c>
      <c r="H692" t="n">
        <v>0</v>
      </c>
      <c r="I692" t="n">
        <v>0</v>
      </c>
      <c r="J692" t="n">
        <v>0</v>
      </c>
      <c r="K692" t="n">
        <v>0</v>
      </c>
      <c r="L692" t="n">
        <v>0</v>
      </c>
      <c r="M692" t="n">
        <v>0</v>
      </c>
      <c r="N692" t="n">
        <v>0</v>
      </c>
      <c r="O692" t="n">
        <v>0</v>
      </c>
      <c r="P692" t="n">
        <v>0</v>
      </c>
      <c r="Q692" t="n">
        <v>0</v>
      </c>
      <c r="R692" s="2" t="inlineStr"/>
    </row>
    <row r="693" ht="15" customHeight="1">
      <c r="A693" t="inlineStr">
        <is>
          <t>A 28503-2024</t>
        </is>
      </c>
      <c r="B693" s="1" t="n">
        <v>45477</v>
      </c>
      <c r="C693" s="1" t="n">
        <v>45706</v>
      </c>
      <c r="D693" t="inlineStr">
        <is>
          <t>VÄSTERNORRLANDS LÄN</t>
        </is>
      </c>
      <c r="E693" t="inlineStr">
        <is>
          <t>TIMRÅ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28256-2024</t>
        </is>
      </c>
      <c r="B694" s="1" t="n">
        <v>45477</v>
      </c>
      <c r="C694" s="1" t="n">
        <v>45706</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29267-2024</t>
        </is>
      </c>
      <c r="B695" s="1" t="n">
        <v>45482</v>
      </c>
      <c r="C695" s="1" t="n">
        <v>45706</v>
      </c>
      <c r="D695" t="inlineStr">
        <is>
          <t>VÄSTERNORRLANDS LÄN</t>
        </is>
      </c>
      <c r="E695" t="inlineStr">
        <is>
          <t>TIMRÅ</t>
        </is>
      </c>
      <c r="G695" t="n">
        <v>4.2</v>
      </c>
      <c r="H695" t="n">
        <v>0</v>
      </c>
      <c r="I695" t="n">
        <v>0</v>
      </c>
      <c r="J695" t="n">
        <v>0</v>
      </c>
      <c r="K695" t="n">
        <v>0</v>
      </c>
      <c r="L695" t="n">
        <v>0</v>
      </c>
      <c r="M695" t="n">
        <v>0</v>
      </c>
      <c r="N695" t="n">
        <v>0</v>
      </c>
      <c r="O695" t="n">
        <v>0</v>
      </c>
      <c r="P695" t="n">
        <v>0</v>
      </c>
      <c r="Q695" t="n">
        <v>0</v>
      </c>
      <c r="R695" s="2" t="inlineStr"/>
    </row>
    <row r="696" ht="15" customHeight="1">
      <c r="A696" t="inlineStr">
        <is>
          <t>A 30612-2024</t>
        </is>
      </c>
      <c r="B696" s="1" t="n">
        <v>45495</v>
      </c>
      <c r="C696" s="1" t="n">
        <v>45706</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30680-2024</t>
        </is>
      </c>
      <c r="B697" s="1" t="n">
        <v>45495</v>
      </c>
      <c r="C697" s="1" t="n">
        <v>45706</v>
      </c>
      <c r="D697" t="inlineStr">
        <is>
          <t>VÄSTERNORRLANDS LÄN</t>
        </is>
      </c>
      <c r="E697" t="inlineStr">
        <is>
          <t>TIMRÅ</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30907-2024</t>
        </is>
      </c>
      <c r="B698" s="1" t="n">
        <v>45498</v>
      </c>
      <c r="C698" s="1" t="n">
        <v>45706</v>
      </c>
      <c r="D698" t="inlineStr">
        <is>
          <t>VÄSTERNORRLANDS LÄN</t>
        </is>
      </c>
      <c r="E698" t="inlineStr">
        <is>
          <t>TIMRÅ</t>
        </is>
      </c>
      <c r="G698" t="n">
        <v>6.6</v>
      </c>
      <c r="H698" t="n">
        <v>0</v>
      </c>
      <c r="I698" t="n">
        <v>0</v>
      </c>
      <c r="J698" t="n">
        <v>0</v>
      </c>
      <c r="K698" t="n">
        <v>0</v>
      </c>
      <c r="L698" t="n">
        <v>0</v>
      </c>
      <c r="M698" t="n">
        <v>0</v>
      </c>
      <c r="N698" t="n">
        <v>0</v>
      </c>
      <c r="O698" t="n">
        <v>0</v>
      </c>
      <c r="P698" t="n">
        <v>0</v>
      </c>
      <c r="Q698" t="n">
        <v>0</v>
      </c>
      <c r="R698" s="2" t="inlineStr"/>
    </row>
    <row r="699" ht="15" customHeight="1">
      <c r="A699" t="inlineStr">
        <is>
          <t>A 31711-2024</t>
        </is>
      </c>
      <c r="B699" s="1" t="n">
        <v>45508</v>
      </c>
      <c r="C699" s="1" t="n">
        <v>45706</v>
      </c>
      <c r="D699" t="inlineStr">
        <is>
          <t>VÄSTERNORRLANDS LÄN</t>
        </is>
      </c>
      <c r="E699" t="inlineStr">
        <is>
          <t>TIMRÅ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32048-2024</t>
        </is>
      </c>
      <c r="B700" s="1" t="n">
        <v>45510</v>
      </c>
      <c r="C700" s="1" t="n">
        <v>45706</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32112-2024</t>
        </is>
      </c>
      <c r="B701" s="1" t="n">
        <v>45511</v>
      </c>
      <c r="C701" s="1" t="n">
        <v>45706</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32105-2024</t>
        </is>
      </c>
      <c r="B702" s="1" t="n">
        <v>45511</v>
      </c>
      <c r="C702" s="1" t="n">
        <v>45706</v>
      </c>
      <c r="D702" t="inlineStr">
        <is>
          <t>VÄSTERNORRLANDS LÄN</t>
        </is>
      </c>
      <c r="E702" t="inlineStr">
        <is>
          <t>TIMRÅ</t>
        </is>
      </c>
      <c r="G702" t="n">
        <v>6.4</v>
      </c>
      <c r="H702" t="n">
        <v>0</v>
      </c>
      <c r="I702" t="n">
        <v>0</v>
      </c>
      <c r="J702" t="n">
        <v>0</v>
      </c>
      <c r="K702" t="n">
        <v>0</v>
      </c>
      <c r="L702" t="n">
        <v>0</v>
      </c>
      <c r="M702" t="n">
        <v>0</v>
      </c>
      <c r="N702" t="n">
        <v>0</v>
      </c>
      <c r="O702" t="n">
        <v>0</v>
      </c>
      <c r="P702" t="n">
        <v>0</v>
      </c>
      <c r="Q702" t="n">
        <v>0</v>
      </c>
      <c r="R702" s="2" t="inlineStr"/>
    </row>
    <row r="703" ht="15" customHeight="1">
      <c r="A703" t="inlineStr">
        <is>
          <t>A 32454-2024</t>
        </is>
      </c>
      <c r="B703" s="1" t="n">
        <v>45512</v>
      </c>
      <c r="C703" s="1" t="n">
        <v>45706</v>
      </c>
      <c r="D703" t="inlineStr">
        <is>
          <t>VÄSTERNORRLANDS LÄN</t>
        </is>
      </c>
      <c r="E703" t="inlineStr">
        <is>
          <t>TIMRÅ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32445-2024</t>
        </is>
      </c>
      <c r="B704" s="1" t="n">
        <v>45512</v>
      </c>
      <c r="C704" s="1" t="n">
        <v>45706</v>
      </c>
      <c r="D704" t="inlineStr">
        <is>
          <t>VÄSTERNORRLANDS LÄN</t>
        </is>
      </c>
      <c r="E704" t="inlineStr">
        <is>
          <t>TIMRÅ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33287-2024</t>
        </is>
      </c>
      <c r="B705" s="1" t="n">
        <v>45518</v>
      </c>
      <c r="C705" s="1" t="n">
        <v>45706</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33567-2024</t>
        </is>
      </c>
      <c r="B706" s="1" t="n">
        <v>45520</v>
      </c>
      <c r="C706" s="1" t="n">
        <v>45706</v>
      </c>
      <c r="D706" t="inlineStr">
        <is>
          <t>VÄSTERNORRLANDS LÄN</t>
        </is>
      </c>
      <c r="E706" t="inlineStr">
        <is>
          <t>TIMRÅ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33749-2024</t>
        </is>
      </c>
      <c r="B707" s="1" t="n">
        <v>45520</v>
      </c>
      <c r="C707" s="1" t="n">
        <v>45706</v>
      </c>
      <c r="D707" t="inlineStr">
        <is>
          <t>VÄSTERNORRLANDS LÄN</t>
        </is>
      </c>
      <c r="E707" t="inlineStr">
        <is>
          <t>TIMRÅ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37676-2024</t>
        </is>
      </c>
      <c r="B708" s="1" t="n">
        <v>45541</v>
      </c>
      <c r="C708" s="1" t="n">
        <v>45706</v>
      </c>
      <c r="D708" t="inlineStr">
        <is>
          <t>VÄSTERNORRLANDS LÄN</t>
        </is>
      </c>
      <c r="E708" t="inlineStr">
        <is>
          <t>TIMRÅ</t>
        </is>
      </c>
      <c r="G708" t="n">
        <v>15</v>
      </c>
      <c r="H708" t="n">
        <v>0</v>
      </c>
      <c r="I708" t="n">
        <v>0</v>
      </c>
      <c r="J708" t="n">
        <v>0</v>
      </c>
      <c r="K708" t="n">
        <v>0</v>
      </c>
      <c r="L708" t="n">
        <v>0</v>
      </c>
      <c r="M708" t="n">
        <v>0</v>
      </c>
      <c r="N708" t="n">
        <v>0</v>
      </c>
      <c r="O708" t="n">
        <v>0</v>
      </c>
      <c r="P708" t="n">
        <v>0</v>
      </c>
      <c r="Q708" t="n">
        <v>0</v>
      </c>
      <c r="R708" s="2" t="inlineStr"/>
    </row>
    <row r="709" ht="15" customHeight="1">
      <c r="A709" t="inlineStr">
        <is>
          <t>A 37841-2024</t>
        </is>
      </c>
      <c r="B709" s="1" t="n">
        <v>45544</v>
      </c>
      <c r="C709" s="1" t="n">
        <v>45706</v>
      </c>
      <c r="D709" t="inlineStr">
        <is>
          <t>VÄSTERNORRLANDS LÄN</t>
        </is>
      </c>
      <c r="E709" t="inlineStr">
        <is>
          <t>TIMRÅ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37861-2024</t>
        </is>
      </c>
      <c r="B710" s="1" t="n">
        <v>45544</v>
      </c>
      <c r="C710" s="1" t="n">
        <v>45706</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37862-2024</t>
        </is>
      </c>
      <c r="B711" s="1" t="n">
        <v>45544</v>
      </c>
      <c r="C711" s="1" t="n">
        <v>45706</v>
      </c>
      <c r="D711" t="inlineStr">
        <is>
          <t>VÄSTERNORRLANDS LÄN</t>
        </is>
      </c>
      <c r="E711" t="inlineStr">
        <is>
          <t>TIMRÅ</t>
        </is>
      </c>
      <c r="G711" t="n">
        <v>0.9</v>
      </c>
      <c r="H711" t="n">
        <v>0</v>
      </c>
      <c r="I711" t="n">
        <v>0</v>
      </c>
      <c r="J711" t="n">
        <v>0</v>
      </c>
      <c r="K711" t="n">
        <v>0</v>
      </c>
      <c r="L711" t="n">
        <v>0</v>
      </c>
      <c r="M711" t="n">
        <v>0</v>
      </c>
      <c r="N711" t="n">
        <v>0</v>
      </c>
      <c r="O711" t="n">
        <v>0</v>
      </c>
      <c r="P711" t="n">
        <v>0</v>
      </c>
      <c r="Q711" t="n">
        <v>0</v>
      </c>
      <c r="R711" s="2" t="inlineStr"/>
    </row>
    <row r="712" ht="15" customHeight="1">
      <c r="A712" t="inlineStr">
        <is>
          <t>A 38286-2024</t>
        </is>
      </c>
      <c r="B712" s="1" t="n">
        <v>45545</v>
      </c>
      <c r="C712" s="1" t="n">
        <v>45706</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38288-2024</t>
        </is>
      </c>
      <c r="B713" s="1" t="n">
        <v>45545</v>
      </c>
      <c r="C713" s="1" t="n">
        <v>45706</v>
      </c>
      <c r="D713" t="inlineStr">
        <is>
          <t>VÄSTERNORRLANDS LÄN</t>
        </is>
      </c>
      <c r="E713" t="inlineStr">
        <is>
          <t>TIMRÅ</t>
        </is>
      </c>
      <c r="G713" t="n">
        <v>1.6</v>
      </c>
      <c r="H713" t="n">
        <v>0</v>
      </c>
      <c r="I713" t="n">
        <v>0</v>
      </c>
      <c r="J713" t="n">
        <v>0</v>
      </c>
      <c r="K713" t="n">
        <v>0</v>
      </c>
      <c r="L713" t="n">
        <v>0</v>
      </c>
      <c r="M713" t="n">
        <v>0</v>
      </c>
      <c r="N713" t="n">
        <v>0</v>
      </c>
      <c r="O713" t="n">
        <v>0</v>
      </c>
      <c r="P713" t="n">
        <v>0</v>
      </c>
      <c r="Q713" t="n">
        <v>0</v>
      </c>
      <c r="R713" s="2" t="inlineStr"/>
    </row>
    <row r="714" ht="15" customHeight="1">
      <c r="A714" t="inlineStr">
        <is>
          <t>A 38684-2024</t>
        </is>
      </c>
      <c r="B714" s="1" t="n">
        <v>45547</v>
      </c>
      <c r="C714" s="1" t="n">
        <v>45706</v>
      </c>
      <c r="D714" t="inlineStr">
        <is>
          <t>VÄSTERNORRLANDS LÄN</t>
        </is>
      </c>
      <c r="E714" t="inlineStr">
        <is>
          <t>TIMRÅ</t>
        </is>
      </c>
      <c r="G714" t="n">
        <v>1</v>
      </c>
      <c r="H714" t="n">
        <v>0</v>
      </c>
      <c r="I714" t="n">
        <v>0</v>
      </c>
      <c r="J714" t="n">
        <v>0</v>
      </c>
      <c r="K714" t="n">
        <v>0</v>
      </c>
      <c r="L714" t="n">
        <v>0</v>
      </c>
      <c r="M714" t="n">
        <v>0</v>
      </c>
      <c r="N714" t="n">
        <v>0</v>
      </c>
      <c r="O714" t="n">
        <v>0</v>
      </c>
      <c r="P714" t="n">
        <v>0</v>
      </c>
      <c r="Q714" t="n">
        <v>0</v>
      </c>
      <c r="R714" s="2" t="inlineStr"/>
    </row>
    <row r="715" ht="15" customHeight="1">
      <c r="A715" t="inlineStr">
        <is>
          <t>A 39094-2024</t>
        </is>
      </c>
      <c r="B715" s="1" t="n">
        <v>45548</v>
      </c>
      <c r="C715" s="1" t="n">
        <v>45706</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39110-2024</t>
        </is>
      </c>
      <c r="B716" s="1" t="n">
        <v>45548</v>
      </c>
      <c r="C716" s="1" t="n">
        <v>45706</v>
      </c>
      <c r="D716" t="inlineStr">
        <is>
          <t>VÄSTERNORRLANDS LÄN</t>
        </is>
      </c>
      <c r="E716" t="inlineStr">
        <is>
          <t>TIMRÅ</t>
        </is>
      </c>
      <c r="G716" t="n">
        <v>1.1</v>
      </c>
      <c r="H716" t="n">
        <v>0</v>
      </c>
      <c r="I716" t="n">
        <v>0</v>
      </c>
      <c r="J716" t="n">
        <v>0</v>
      </c>
      <c r="K716" t="n">
        <v>0</v>
      </c>
      <c r="L716" t="n">
        <v>0</v>
      </c>
      <c r="M716" t="n">
        <v>0</v>
      </c>
      <c r="N716" t="n">
        <v>0</v>
      </c>
      <c r="O716" t="n">
        <v>0</v>
      </c>
      <c r="P716" t="n">
        <v>0</v>
      </c>
      <c r="Q716" t="n">
        <v>0</v>
      </c>
      <c r="R716" s="2" t="inlineStr"/>
    </row>
    <row r="717" ht="15" customHeight="1">
      <c r="A717" t="inlineStr">
        <is>
          <t>A 38992-2024</t>
        </is>
      </c>
      <c r="B717" s="1" t="n">
        <v>45548</v>
      </c>
      <c r="C717" s="1" t="n">
        <v>45706</v>
      </c>
      <c r="D717" t="inlineStr">
        <is>
          <t>VÄSTERNORRLANDS LÄN</t>
        </is>
      </c>
      <c r="E717" t="inlineStr">
        <is>
          <t>TIMRÅ</t>
        </is>
      </c>
      <c r="G717" t="n">
        <v>1.4</v>
      </c>
      <c r="H717" t="n">
        <v>0</v>
      </c>
      <c r="I717" t="n">
        <v>0</v>
      </c>
      <c r="J717" t="n">
        <v>0</v>
      </c>
      <c r="K717" t="n">
        <v>0</v>
      </c>
      <c r="L717" t="n">
        <v>0</v>
      </c>
      <c r="M717" t="n">
        <v>0</v>
      </c>
      <c r="N717" t="n">
        <v>0</v>
      </c>
      <c r="O717" t="n">
        <v>0</v>
      </c>
      <c r="P717" t="n">
        <v>0</v>
      </c>
      <c r="Q717" t="n">
        <v>0</v>
      </c>
      <c r="R717" s="2" t="inlineStr"/>
    </row>
    <row r="718" ht="15" customHeight="1">
      <c r="A718" t="inlineStr">
        <is>
          <t>A 38996-2024</t>
        </is>
      </c>
      <c r="B718" s="1" t="n">
        <v>45548</v>
      </c>
      <c r="C718" s="1" t="n">
        <v>45706</v>
      </c>
      <c r="D718" t="inlineStr">
        <is>
          <t>VÄSTERNORRLANDS LÄN</t>
        </is>
      </c>
      <c r="E718" t="inlineStr">
        <is>
          <t>TIMRÅ</t>
        </is>
      </c>
      <c r="G718" t="n">
        <v>8.5</v>
      </c>
      <c r="H718" t="n">
        <v>0</v>
      </c>
      <c r="I718" t="n">
        <v>0</v>
      </c>
      <c r="J718" t="n">
        <v>0</v>
      </c>
      <c r="K718" t="n">
        <v>0</v>
      </c>
      <c r="L718" t="n">
        <v>0</v>
      </c>
      <c r="M718" t="n">
        <v>0</v>
      </c>
      <c r="N718" t="n">
        <v>0</v>
      </c>
      <c r="O718" t="n">
        <v>0</v>
      </c>
      <c r="P718" t="n">
        <v>0</v>
      </c>
      <c r="Q718" t="n">
        <v>0</v>
      </c>
      <c r="R718" s="2" t="inlineStr"/>
    </row>
    <row r="719" ht="15" customHeight="1">
      <c r="A719" t="inlineStr">
        <is>
          <t>A 39127-2024</t>
        </is>
      </c>
      <c r="B719" s="1" t="n">
        <v>45548</v>
      </c>
      <c r="C719" s="1" t="n">
        <v>45706</v>
      </c>
      <c r="D719" t="inlineStr">
        <is>
          <t>VÄSTERNORRLANDS LÄN</t>
        </is>
      </c>
      <c r="E719" t="inlineStr">
        <is>
          <t>TIMRÅ</t>
        </is>
      </c>
      <c r="G719" t="n">
        <v>5.1</v>
      </c>
      <c r="H719" t="n">
        <v>0</v>
      </c>
      <c r="I719" t="n">
        <v>0</v>
      </c>
      <c r="J719" t="n">
        <v>0</v>
      </c>
      <c r="K719" t="n">
        <v>0</v>
      </c>
      <c r="L719" t="n">
        <v>0</v>
      </c>
      <c r="M719" t="n">
        <v>0</v>
      </c>
      <c r="N719" t="n">
        <v>0</v>
      </c>
      <c r="O719" t="n">
        <v>0</v>
      </c>
      <c r="P719" t="n">
        <v>0</v>
      </c>
      <c r="Q719" t="n">
        <v>0</v>
      </c>
      <c r="R719" s="2" t="inlineStr"/>
    </row>
    <row r="720" ht="15" customHeight="1">
      <c r="A720" t="inlineStr">
        <is>
          <t>A 40014-2024</t>
        </is>
      </c>
      <c r="B720" s="1" t="n">
        <v>45553</v>
      </c>
      <c r="C720" s="1" t="n">
        <v>45706</v>
      </c>
      <c r="D720" t="inlineStr">
        <is>
          <t>VÄSTERNORRLANDS LÄN</t>
        </is>
      </c>
      <c r="E720" t="inlineStr">
        <is>
          <t>TIMRÅ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40593-2024</t>
        </is>
      </c>
      <c r="B721" s="1" t="n">
        <v>45555</v>
      </c>
      <c r="C721" s="1" t="n">
        <v>45706</v>
      </c>
      <c r="D721" t="inlineStr">
        <is>
          <t>VÄSTERNORRLANDS LÄN</t>
        </is>
      </c>
      <c r="E721" t="inlineStr">
        <is>
          <t>TIMRÅ</t>
        </is>
      </c>
      <c r="G721" t="n">
        <v>3.6</v>
      </c>
      <c r="H721" t="n">
        <v>0</v>
      </c>
      <c r="I721" t="n">
        <v>0</v>
      </c>
      <c r="J721" t="n">
        <v>0</v>
      </c>
      <c r="K721" t="n">
        <v>0</v>
      </c>
      <c r="L721" t="n">
        <v>0</v>
      </c>
      <c r="M721" t="n">
        <v>0</v>
      </c>
      <c r="N721" t="n">
        <v>0</v>
      </c>
      <c r="O721" t="n">
        <v>0</v>
      </c>
      <c r="P721" t="n">
        <v>0</v>
      </c>
      <c r="Q721" t="n">
        <v>0</v>
      </c>
      <c r="R721" s="2" t="inlineStr"/>
    </row>
    <row r="722" ht="15" customHeight="1">
      <c r="A722" t="inlineStr">
        <is>
          <t>A 40664-2024</t>
        </is>
      </c>
      <c r="B722" s="1" t="n">
        <v>45558</v>
      </c>
      <c r="C722" s="1" t="n">
        <v>45706</v>
      </c>
      <c r="D722" t="inlineStr">
        <is>
          <t>VÄSTERNORRLANDS LÄN</t>
        </is>
      </c>
      <c r="E722" t="inlineStr">
        <is>
          <t>TIMRÅ</t>
        </is>
      </c>
      <c r="G722" t="n">
        <v>1.6</v>
      </c>
      <c r="H722" t="n">
        <v>0</v>
      </c>
      <c r="I722" t="n">
        <v>0</v>
      </c>
      <c r="J722" t="n">
        <v>0</v>
      </c>
      <c r="K722" t="n">
        <v>0</v>
      </c>
      <c r="L722" t="n">
        <v>0</v>
      </c>
      <c r="M722" t="n">
        <v>0</v>
      </c>
      <c r="N722" t="n">
        <v>0</v>
      </c>
      <c r="O722" t="n">
        <v>0</v>
      </c>
      <c r="P722" t="n">
        <v>0</v>
      </c>
      <c r="Q722" t="n">
        <v>0</v>
      </c>
      <c r="R722" s="2" t="inlineStr"/>
    </row>
    <row r="723" ht="15" customHeight="1">
      <c r="A723" t="inlineStr">
        <is>
          <t>A 40762-2024</t>
        </is>
      </c>
      <c r="B723" s="1" t="n">
        <v>45558</v>
      </c>
      <c r="C723" s="1" t="n">
        <v>45706</v>
      </c>
      <c r="D723" t="inlineStr">
        <is>
          <t>VÄSTERNORRLANDS LÄN</t>
        </is>
      </c>
      <c r="E723" t="inlineStr">
        <is>
          <t>TIMRÅ</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41596-2024</t>
        </is>
      </c>
      <c r="B724" s="1" t="n">
        <v>45560</v>
      </c>
      <c r="C724" s="1" t="n">
        <v>45706</v>
      </c>
      <c r="D724" t="inlineStr">
        <is>
          <t>VÄSTERNORRLANDS LÄN</t>
        </is>
      </c>
      <c r="E724" t="inlineStr">
        <is>
          <t>TIMRÅ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42112-2024</t>
        </is>
      </c>
      <c r="B725" s="1" t="n">
        <v>45562</v>
      </c>
      <c r="C725" s="1" t="n">
        <v>45706</v>
      </c>
      <c r="D725" t="inlineStr">
        <is>
          <t>VÄSTERNORRLANDS LÄN</t>
        </is>
      </c>
      <c r="E725" t="inlineStr">
        <is>
          <t>TIMRÅ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42094-2024</t>
        </is>
      </c>
      <c r="B726" s="1" t="n">
        <v>45562</v>
      </c>
      <c r="C726" s="1" t="n">
        <v>45706</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42855-2024</t>
        </is>
      </c>
      <c r="B727" s="1" t="n">
        <v>45566</v>
      </c>
      <c r="C727" s="1" t="n">
        <v>45706</v>
      </c>
      <c r="D727" t="inlineStr">
        <is>
          <t>VÄSTERNORRLANDS LÄN</t>
        </is>
      </c>
      <c r="E727" t="inlineStr">
        <is>
          <t>TIMRÅ</t>
        </is>
      </c>
      <c r="G727" t="n">
        <v>2.5</v>
      </c>
      <c r="H727" t="n">
        <v>0</v>
      </c>
      <c r="I727" t="n">
        <v>0</v>
      </c>
      <c r="J727" t="n">
        <v>0</v>
      </c>
      <c r="K727" t="n">
        <v>0</v>
      </c>
      <c r="L727" t="n">
        <v>0</v>
      </c>
      <c r="M727" t="n">
        <v>0</v>
      </c>
      <c r="N727" t="n">
        <v>0</v>
      </c>
      <c r="O727" t="n">
        <v>0</v>
      </c>
      <c r="P727" t="n">
        <v>0</v>
      </c>
      <c r="Q727" t="n">
        <v>0</v>
      </c>
      <c r="R727" s="2" t="inlineStr"/>
    </row>
    <row r="728" ht="15" customHeight="1">
      <c r="A728" t="inlineStr">
        <is>
          <t>A 42860-2024</t>
        </is>
      </c>
      <c r="B728" s="1" t="n">
        <v>45566</v>
      </c>
      <c r="C728" s="1" t="n">
        <v>45706</v>
      </c>
      <c r="D728" t="inlineStr">
        <is>
          <t>VÄSTERNORRLANDS LÄN</t>
        </is>
      </c>
      <c r="E728" t="inlineStr">
        <is>
          <t>TIMRÅ</t>
        </is>
      </c>
      <c r="G728" t="n">
        <v>3.9</v>
      </c>
      <c r="H728" t="n">
        <v>0</v>
      </c>
      <c r="I728" t="n">
        <v>0</v>
      </c>
      <c r="J728" t="n">
        <v>0</v>
      </c>
      <c r="K728" t="n">
        <v>0</v>
      </c>
      <c r="L728" t="n">
        <v>0</v>
      </c>
      <c r="M728" t="n">
        <v>0</v>
      </c>
      <c r="N728" t="n">
        <v>0</v>
      </c>
      <c r="O728" t="n">
        <v>0</v>
      </c>
      <c r="P728" t="n">
        <v>0</v>
      </c>
      <c r="Q728" t="n">
        <v>0</v>
      </c>
      <c r="R728" s="2" t="inlineStr"/>
    </row>
    <row r="729" ht="15" customHeight="1">
      <c r="A729" t="inlineStr">
        <is>
          <t>A 43167-2024</t>
        </is>
      </c>
      <c r="B729" s="1" t="n">
        <v>45567</v>
      </c>
      <c r="C729" s="1" t="n">
        <v>45706</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43172-2024</t>
        </is>
      </c>
      <c r="B730" s="1" t="n">
        <v>45567</v>
      </c>
      <c r="C730" s="1" t="n">
        <v>45706</v>
      </c>
      <c r="D730" t="inlineStr">
        <is>
          <t>VÄSTERNORRLANDS LÄN</t>
        </is>
      </c>
      <c r="E730" t="inlineStr">
        <is>
          <t>TIMRÅ</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43006-2024</t>
        </is>
      </c>
      <c r="B731" s="1" t="n">
        <v>45567</v>
      </c>
      <c r="C731" s="1" t="n">
        <v>45706</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43345-2024</t>
        </is>
      </c>
      <c r="B732" s="1" t="n">
        <v>45568</v>
      </c>
      <c r="C732" s="1" t="n">
        <v>45706</v>
      </c>
      <c r="D732" t="inlineStr">
        <is>
          <t>VÄSTERNORRLANDS LÄN</t>
        </is>
      </c>
      <c r="E732" t="inlineStr">
        <is>
          <t>TIMRÅ</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43344-2024</t>
        </is>
      </c>
      <c r="B733" s="1" t="n">
        <v>45568</v>
      </c>
      <c r="C733" s="1" t="n">
        <v>45706</v>
      </c>
      <c r="D733" t="inlineStr">
        <is>
          <t>VÄSTERNORRLANDS LÄN</t>
        </is>
      </c>
      <c r="E733" t="inlineStr">
        <is>
          <t>TIMRÅ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43526-2024</t>
        </is>
      </c>
      <c r="B734" s="1" t="n">
        <v>45569</v>
      </c>
      <c r="C734" s="1" t="n">
        <v>45706</v>
      </c>
      <c r="D734" t="inlineStr">
        <is>
          <t>VÄSTERNORRLANDS LÄN</t>
        </is>
      </c>
      <c r="E734" t="inlineStr">
        <is>
          <t>TIMRÅ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43527-2024</t>
        </is>
      </c>
      <c r="B735" s="1" t="n">
        <v>45569</v>
      </c>
      <c r="C735" s="1" t="n">
        <v>45706</v>
      </c>
      <c r="D735" t="inlineStr">
        <is>
          <t>VÄSTERNORRLANDS LÄN</t>
        </is>
      </c>
      <c r="E735" t="inlineStr">
        <is>
          <t>TIMRÅ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43868-2024</t>
        </is>
      </c>
      <c r="B736" s="1" t="n">
        <v>45569</v>
      </c>
      <c r="C736" s="1" t="n">
        <v>45706</v>
      </c>
      <c r="D736" t="inlineStr">
        <is>
          <t>VÄSTERNORRLANDS LÄN</t>
        </is>
      </c>
      <c r="E736" t="inlineStr">
        <is>
          <t>TIMRÅ</t>
        </is>
      </c>
      <c r="G736" t="n">
        <v>1.8</v>
      </c>
      <c r="H736" t="n">
        <v>0</v>
      </c>
      <c r="I736" t="n">
        <v>0</v>
      </c>
      <c r="J736" t="n">
        <v>0</v>
      </c>
      <c r="K736" t="n">
        <v>0</v>
      </c>
      <c r="L736" t="n">
        <v>0</v>
      </c>
      <c r="M736" t="n">
        <v>0</v>
      </c>
      <c r="N736" t="n">
        <v>0</v>
      </c>
      <c r="O736" t="n">
        <v>0</v>
      </c>
      <c r="P736" t="n">
        <v>0</v>
      </c>
      <c r="Q736" t="n">
        <v>0</v>
      </c>
      <c r="R736" s="2" t="inlineStr"/>
    </row>
    <row r="737" ht="15" customHeight="1">
      <c r="A737" t="inlineStr">
        <is>
          <t>A 43568-2024</t>
        </is>
      </c>
      <c r="B737" s="1" t="n">
        <v>45569</v>
      </c>
      <c r="C737" s="1" t="n">
        <v>45706</v>
      </c>
      <c r="D737" t="inlineStr">
        <is>
          <t>VÄSTERNORRLANDS LÄN</t>
        </is>
      </c>
      <c r="E737" t="inlineStr">
        <is>
          <t>TIMRÅ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44011-2024</t>
        </is>
      </c>
      <c r="B738" s="1" t="n">
        <v>45572</v>
      </c>
      <c r="C738" s="1" t="n">
        <v>45706</v>
      </c>
      <c r="D738" t="inlineStr">
        <is>
          <t>VÄSTERNORRLANDS LÄN</t>
        </is>
      </c>
      <c r="E738" t="inlineStr">
        <is>
          <t>TIMRÅ</t>
        </is>
      </c>
      <c r="G738" t="n">
        <v>7.6</v>
      </c>
      <c r="H738" t="n">
        <v>0</v>
      </c>
      <c r="I738" t="n">
        <v>0</v>
      </c>
      <c r="J738" t="n">
        <v>0</v>
      </c>
      <c r="K738" t="n">
        <v>0</v>
      </c>
      <c r="L738" t="n">
        <v>0</v>
      </c>
      <c r="M738" t="n">
        <v>0</v>
      </c>
      <c r="N738" t="n">
        <v>0</v>
      </c>
      <c r="O738" t="n">
        <v>0</v>
      </c>
      <c r="P738" t="n">
        <v>0</v>
      </c>
      <c r="Q738" t="n">
        <v>0</v>
      </c>
      <c r="R738" s="2" t="inlineStr"/>
    </row>
    <row r="739" ht="15" customHeight="1">
      <c r="A739" t="inlineStr">
        <is>
          <t>A 44030-2024</t>
        </is>
      </c>
      <c r="B739" s="1" t="n">
        <v>45572</v>
      </c>
      <c r="C739" s="1" t="n">
        <v>45706</v>
      </c>
      <c r="D739" t="inlineStr">
        <is>
          <t>VÄSTERNORRLANDS LÄN</t>
        </is>
      </c>
      <c r="E739" t="inlineStr">
        <is>
          <t>TIMRÅ</t>
        </is>
      </c>
      <c r="G739" t="n">
        <v>2.1</v>
      </c>
      <c r="H739" t="n">
        <v>0</v>
      </c>
      <c r="I739" t="n">
        <v>0</v>
      </c>
      <c r="J739" t="n">
        <v>0</v>
      </c>
      <c r="K739" t="n">
        <v>0</v>
      </c>
      <c r="L739" t="n">
        <v>0</v>
      </c>
      <c r="M739" t="n">
        <v>0</v>
      </c>
      <c r="N739" t="n">
        <v>0</v>
      </c>
      <c r="O739" t="n">
        <v>0</v>
      </c>
      <c r="P739" t="n">
        <v>0</v>
      </c>
      <c r="Q739" t="n">
        <v>0</v>
      </c>
      <c r="R739" s="2" t="inlineStr"/>
    </row>
    <row r="740" ht="15" customHeight="1">
      <c r="A740" t="inlineStr">
        <is>
          <t>A 44664-2024</t>
        </is>
      </c>
      <c r="B740" s="1" t="n">
        <v>45574</v>
      </c>
      <c r="C740" s="1" t="n">
        <v>45706</v>
      </c>
      <c r="D740" t="inlineStr">
        <is>
          <t>VÄSTERNORRLANDS LÄN</t>
        </is>
      </c>
      <c r="E740" t="inlineStr">
        <is>
          <t>TIMRÅ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45608-2024</t>
        </is>
      </c>
      <c r="B741" s="1" t="n">
        <v>45579</v>
      </c>
      <c r="C741" s="1" t="n">
        <v>45706</v>
      </c>
      <c r="D741" t="inlineStr">
        <is>
          <t>VÄSTERNORRLANDS LÄN</t>
        </is>
      </c>
      <c r="E741" t="inlineStr">
        <is>
          <t>TIMRÅ</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45685-2024</t>
        </is>
      </c>
      <c r="B742" s="1" t="n">
        <v>45579</v>
      </c>
      <c r="C742" s="1" t="n">
        <v>45706</v>
      </c>
      <c r="D742" t="inlineStr">
        <is>
          <t>VÄSTERNORRLANDS LÄN</t>
        </is>
      </c>
      <c r="E742" t="inlineStr">
        <is>
          <t>TIMRÅ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45673-2024</t>
        </is>
      </c>
      <c r="B743" s="1" t="n">
        <v>45579</v>
      </c>
      <c r="C743" s="1" t="n">
        <v>45706</v>
      </c>
      <c r="D743" t="inlineStr">
        <is>
          <t>VÄSTERNORRLANDS LÄN</t>
        </is>
      </c>
      <c r="E743" t="inlineStr">
        <is>
          <t>TIMRÅ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45627-2024</t>
        </is>
      </c>
      <c r="B744" s="1" t="n">
        <v>45579</v>
      </c>
      <c r="C744" s="1" t="n">
        <v>45706</v>
      </c>
      <c r="D744" t="inlineStr">
        <is>
          <t>VÄSTERNORRLANDS LÄN</t>
        </is>
      </c>
      <c r="E744" t="inlineStr">
        <is>
          <t>TIMRÅ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45586-2024</t>
        </is>
      </c>
      <c r="B745" s="1" t="n">
        <v>45579</v>
      </c>
      <c r="C745" s="1" t="n">
        <v>45706</v>
      </c>
      <c r="D745" t="inlineStr">
        <is>
          <t>VÄSTERNORRLANDS LÄN</t>
        </is>
      </c>
      <c r="E745" t="inlineStr">
        <is>
          <t>TIMRÅ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45629-2024</t>
        </is>
      </c>
      <c r="B746" s="1" t="n">
        <v>45579</v>
      </c>
      <c r="C746" s="1" t="n">
        <v>45706</v>
      </c>
      <c r="D746" t="inlineStr">
        <is>
          <t>VÄSTERNORRLANDS LÄN</t>
        </is>
      </c>
      <c r="E746" t="inlineStr">
        <is>
          <t>TIMRÅ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45720-2024</t>
        </is>
      </c>
      <c r="B747" s="1" t="n">
        <v>45579</v>
      </c>
      <c r="C747" s="1" t="n">
        <v>45706</v>
      </c>
      <c r="D747" t="inlineStr">
        <is>
          <t>VÄSTERNORRLANDS LÄN</t>
        </is>
      </c>
      <c r="E747" t="inlineStr">
        <is>
          <t>TIMRÅ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45630-2024</t>
        </is>
      </c>
      <c r="B748" s="1" t="n">
        <v>45579</v>
      </c>
      <c r="C748" s="1" t="n">
        <v>45706</v>
      </c>
      <c r="D748" t="inlineStr">
        <is>
          <t>VÄSTERNORRLANDS LÄN</t>
        </is>
      </c>
      <c r="E748" t="inlineStr">
        <is>
          <t>TIMRÅ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45886-2024</t>
        </is>
      </c>
      <c r="B749" s="1" t="n">
        <v>45580</v>
      </c>
      <c r="C749" s="1" t="n">
        <v>45706</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45942-2024</t>
        </is>
      </c>
      <c r="B750" s="1" t="n">
        <v>45580</v>
      </c>
      <c r="C750" s="1" t="n">
        <v>45706</v>
      </c>
      <c r="D750" t="inlineStr">
        <is>
          <t>VÄSTERNORRLANDS LÄN</t>
        </is>
      </c>
      <c r="E750" t="inlineStr">
        <is>
          <t>TIMRÅ</t>
        </is>
      </c>
      <c r="G750" t="n">
        <v>2.1</v>
      </c>
      <c r="H750" t="n">
        <v>0</v>
      </c>
      <c r="I750" t="n">
        <v>0</v>
      </c>
      <c r="J750" t="n">
        <v>0</v>
      </c>
      <c r="K750" t="n">
        <v>0</v>
      </c>
      <c r="L750" t="n">
        <v>0</v>
      </c>
      <c r="M750" t="n">
        <v>0</v>
      </c>
      <c r="N750" t="n">
        <v>0</v>
      </c>
      <c r="O750" t="n">
        <v>0</v>
      </c>
      <c r="P750" t="n">
        <v>0</v>
      </c>
      <c r="Q750" t="n">
        <v>0</v>
      </c>
      <c r="R750" s="2" t="inlineStr"/>
    </row>
    <row r="751" ht="15" customHeight="1">
      <c r="A751" t="inlineStr">
        <is>
          <t>A 46131-2024</t>
        </is>
      </c>
      <c r="B751" s="1" t="n">
        <v>45581</v>
      </c>
      <c r="C751" s="1" t="n">
        <v>45706</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47089-2024</t>
        </is>
      </c>
      <c r="B752" s="1" t="n">
        <v>45586</v>
      </c>
      <c r="C752" s="1" t="n">
        <v>45706</v>
      </c>
      <c r="D752" t="inlineStr">
        <is>
          <t>VÄSTERNORRLANDS LÄN</t>
        </is>
      </c>
      <c r="E752" t="inlineStr">
        <is>
          <t>TIMRÅ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47341-2024</t>
        </is>
      </c>
      <c r="B753" s="1" t="n">
        <v>45587</v>
      </c>
      <c r="C753" s="1" t="n">
        <v>45706</v>
      </c>
      <c r="D753" t="inlineStr">
        <is>
          <t>VÄSTERNORRLANDS LÄN</t>
        </is>
      </c>
      <c r="E753" t="inlineStr">
        <is>
          <t>TIMRÅ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47848-2024</t>
        </is>
      </c>
      <c r="B754" s="1" t="n">
        <v>45588</v>
      </c>
      <c r="C754" s="1" t="n">
        <v>45706</v>
      </c>
      <c r="D754" t="inlineStr">
        <is>
          <t>VÄSTERNORRLANDS LÄN</t>
        </is>
      </c>
      <c r="E754" t="inlineStr">
        <is>
          <t>TIMRÅ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48031-2024</t>
        </is>
      </c>
      <c r="B755" s="1" t="n">
        <v>45589</v>
      </c>
      <c r="C755" s="1" t="n">
        <v>45706</v>
      </c>
      <c r="D755" t="inlineStr">
        <is>
          <t>VÄSTERNORRLANDS LÄN</t>
        </is>
      </c>
      <c r="E755" t="inlineStr">
        <is>
          <t>TIMRÅ</t>
        </is>
      </c>
      <c r="G755" t="n">
        <v>8.9</v>
      </c>
      <c r="H755" t="n">
        <v>0</v>
      </c>
      <c r="I755" t="n">
        <v>0</v>
      </c>
      <c r="J755" t="n">
        <v>0</v>
      </c>
      <c r="K755" t="n">
        <v>0</v>
      </c>
      <c r="L755" t="n">
        <v>0</v>
      </c>
      <c r="M755" t="n">
        <v>0</v>
      </c>
      <c r="N755" t="n">
        <v>0</v>
      </c>
      <c r="O755" t="n">
        <v>0</v>
      </c>
      <c r="P755" t="n">
        <v>0</v>
      </c>
      <c r="Q755" t="n">
        <v>0</v>
      </c>
      <c r="R755" s="2" t="inlineStr"/>
    </row>
    <row r="756" ht="15" customHeight="1">
      <c r="A756" t="inlineStr">
        <is>
          <t>A 48005-2024</t>
        </is>
      </c>
      <c r="B756" s="1" t="n">
        <v>45589</v>
      </c>
      <c r="C756" s="1" t="n">
        <v>45706</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47952-2024</t>
        </is>
      </c>
      <c r="B757" s="1" t="n">
        <v>45589</v>
      </c>
      <c r="C757" s="1" t="n">
        <v>45706</v>
      </c>
      <c r="D757" t="inlineStr">
        <is>
          <t>VÄSTERNORRLANDS LÄN</t>
        </is>
      </c>
      <c r="E757" t="inlineStr">
        <is>
          <t>TIMRÅ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48397-2024</t>
        </is>
      </c>
      <c r="B758" s="1" t="n">
        <v>45590</v>
      </c>
      <c r="C758" s="1" t="n">
        <v>45706</v>
      </c>
      <c r="D758" t="inlineStr">
        <is>
          <t>VÄSTERNORRLANDS LÄN</t>
        </is>
      </c>
      <c r="E758" t="inlineStr">
        <is>
          <t>TIMRÅ</t>
        </is>
      </c>
      <c r="G758" t="n">
        <v>4.2</v>
      </c>
      <c r="H758" t="n">
        <v>0</v>
      </c>
      <c r="I758" t="n">
        <v>0</v>
      </c>
      <c r="J758" t="n">
        <v>0</v>
      </c>
      <c r="K758" t="n">
        <v>0</v>
      </c>
      <c r="L758" t="n">
        <v>0</v>
      </c>
      <c r="M758" t="n">
        <v>0</v>
      </c>
      <c r="N758" t="n">
        <v>0</v>
      </c>
      <c r="O758" t="n">
        <v>0</v>
      </c>
      <c r="P758" t="n">
        <v>0</v>
      </c>
      <c r="Q758" t="n">
        <v>0</v>
      </c>
      <c r="R758" s="2" t="inlineStr"/>
    </row>
    <row r="759" ht="15" customHeight="1">
      <c r="A759" t="inlineStr">
        <is>
          <t>A 48704-2024</t>
        </is>
      </c>
      <c r="B759" s="1" t="n">
        <v>45593</v>
      </c>
      <c r="C759" s="1" t="n">
        <v>45706</v>
      </c>
      <c r="D759" t="inlineStr">
        <is>
          <t>VÄSTERNORRLANDS LÄN</t>
        </is>
      </c>
      <c r="E759" t="inlineStr">
        <is>
          <t>TIMRÅ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48669-2024</t>
        </is>
      </c>
      <c r="B760" s="1" t="n">
        <v>45593</v>
      </c>
      <c r="C760" s="1" t="n">
        <v>45706</v>
      </c>
      <c r="D760" t="inlineStr">
        <is>
          <t>VÄSTERNORRLANDS LÄN</t>
        </is>
      </c>
      <c r="E760" t="inlineStr">
        <is>
          <t>TIMRÅ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48694-2024</t>
        </is>
      </c>
      <c r="B761" s="1" t="n">
        <v>45593</v>
      </c>
      <c r="C761" s="1" t="n">
        <v>45706</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48563-2024</t>
        </is>
      </c>
      <c r="B762" s="1" t="n">
        <v>45593</v>
      </c>
      <c r="C762" s="1" t="n">
        <v>45706</v>
      </c>
      <c r="D762" t="inlineStr">
        <is>
          <t>VÄSTERNORRLANDS LÄN</t>
        </is>
      </c>
      <c r="E762" t="inlineStr">
        <is>
          <t>TIMRÅ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49072-2024</t>
        </is>
      </c>
      <c r="B763" s="1" t="n">
        <v>45594</v>
      </c>
      <c r="C763" s="1" t="n">
        <v>45706</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49061-2024</t>
        </is>
      </c>
      <c r="B764" s="1" t="n">
        <v>45594</v>
      </c>
      <c r="C764" s="1" t="n">
        <v>45706</v>
      </c>
      <c r="D764" t="inlineStr">
        <is>
          <t>VÄSTERNORRLANDS LÄN</t>
        </is>
      </c>
      <c r="E764" t="inlineStr">
        <is>
          <t>TIMRÅ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49310-2024</t>
        </is>
      </c>
      <c r="B765" s="1" t="n">
        <v>45595</v>
      </c>
      <c r="C765" s="1" t="n">
        <v>45706</v>
      </c>
      <c r="D765" t="inlineStr">
        <is>
          <t>VÄSTERNORRLANDS LÄN</t>
        </is>
      </c>
      <c r="E765" t="inlineStr">
        <is>
          <t>TIMRÅ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49495-2024</t>
        </is>
      </c>
      <c r="B766" s="1" t="n">
        <v>45596</v>
      </c>
      <c r="C766" s="1" t="n">
        <v>45706</v>
      </c>
      <c r="D766" t="inlineStr">
        <is>
          <t>VÄSTERNORRLANDS LÄN</t>
        </is>
      </c>
      <c r="E766" t="inlineStr">
        <is>
          <t>TIMRÅ</t>
        </is>
      </c>
      <c r="F766" t="inlineStr">
        <is>
          <t>SCA</t>
        </is>
      </c>
      <c r="G766" t="n">
        <v>6.9</v>
      </c>
      <c r="H766" t="n">
        <v>0</v>
      </c>
      <c r="I766" t="n">
        <v>0</v>
      </c>
      <c r="J766" t="n">
        <v>0</v>
      </c>
      <c r="K766" t="n">
        <v>0</v>
      </c>
      <c r="L766" t="n">
        <v>0</v>
      </c>
      <c r="M766" t="n">
        <v>0</v>
      </c>
      <c r="N766" t="n">
        <v>0</v>
      </c>
      <c r="O766" t="n">
        <v>0</v>
      </c>
      <c r="P766" t="n">
        <v>0</v>
      </c>
      <c r="Q766" t="n">
        <v>0</v>
      </c>
      <c r="R766" s="2" t="inlineStr"/>
    </row>
    <row r="767" ht="15" customHeight="1">
      <c r="A767" t="inlineStr">
        <is>
          <t>A 50699-2024</t>
        </is>
      </c>
      <c r="B767" s="1" t="n">
        <v>45602</v>
      </c>
      <c r="C767" s="1" t="n">
        <v>45706</v>
      </c>
      <c r="D767" t="inlineStr">
        <is>
          <t>VÄSTERNORRLANDS LÄN</t>
        </is>
      </c>
      <c r="E767" t="inlineStr">
        <is>
          <t>TIMRÅ</t>
        </is>
      </c>
      <c r="G767" t="n">
        <v>1.4</v>
      </c>
      <c r="H767" t="n">
        <v>0</v>
      </c>
      <c r="I767" t="n">
        <v>0</v>
      </c>
      <c r="J767" t="n">
        <v>0</v>
      </c>
      <c r="K767" t="n">
        <v>0</v>
      </c>
      <c r="L767" t="n">
        <v>0</v>
      </c>
      <c r="M767" t="n">
        <v>0</v>
      </c>
      <c r="N767" t="n">
        <v>0</v>
      </c>
      <c r="O767" t="n">
        <v>0</v>
      </c>
      <c r="P767" t="n">
        <v>0</v>
      </c>
      <c r="Q767" t="n">
        <v>0</v>
      </c>
      <c r="R767" s="2" t="inlineStr"/>
    </row>
    <row r="768" ht="15" customHeight="1">
      <c r="A768" t="inlineStr">
        <is>
          <t>A 51196-2024</t>
        </is>
      </c>
      <c r="B768" s="1" t="n">
        <v>45603</v>
      </c>
      <c r="C768" s="1" t="n">
        <v>45706</v>
      </c>
      <c r="D768" t="inlineStr">
        <is>
          <t>VÄSTERNORRLANDS LÄN</t>
        </is>
      </c>
      <c r="E768" t="inlineStr">
        <is>
          <t>TIMRÅ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51490-2024</t>
        </is>
      </c>
      <c r="B769" s="1" t="n">
        <v>45604</v>
      </c>
      <c r="C769" s="1" t="n">
        <v>45706</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52346-2024</t>
        </is>
      </c>
      <c r="B770" s="1" t="n">
        <v>45609</v>
      </c>
      <c r="C770" s="1" t="n">
        <v>45706</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c r="U770">
        <f>HYPERLINK("https://klasma.github.io/Logging_2262/knärot/A 52346-2024 karta knärot.png", "A 52346-2024")</f>
        <v/>
      </c>
      <c r="V770">
        <f>HYPERLINK("https://klasma.github.io/Logging_2262/klagomål/A 52346-2024 FSC-klagomål.docx", "A 52346-2024")</f>
        <v/>
      </c>
      <c r="W770">
        <f>HYPERLINK("https://klasma.github.io/Logging_2262/klagomålsmail/A 52346-2024 FSC-klagomål mail.docx", "A 52346-2024")</f>
        <v/>
      </c>
      <c r="X770">
        <f>HYPERLINK("https://klasma.github.io/Logging_2262/tillsyn/A 52346-2024 tillsynsbegäran.docx", "A 52346-2024")</f>
        <v/>
      </c>
      <c r="Y770">
        <f>HYPERLINK("https://klasma.github.io/Logging_2262/tillsynsmail/A 52346-2024 tillsynsbegäran mail.docx", "A 52346-2024")</f>
        <v/>
      </c>
    </row>
    <row r="771" ht="15" customHeight="1">
      <c r="A771" t="inlineStr">
        <is>
          <t>A 52474-2024</t>
        </is>
      </c>
      <c r="B771" s="1" t="n">
        <v>45609</v>
      </c>
      <c r="C771" s="1" t="n">
        <v>45706</v>
      </c>
      <c r="D771" t="inlineStr">
        <is>
          <t>VÄSTERNORRLANDS LÄN</t>
        </is>
      </c>
      <c r="E771" t="inlineStr">
        <is>
          <t>TIMRÅ</t>
        </is>
      </c>
      <c r="G771" t="n">
        <v>0.7</v>
      </c>
      <c r="H771" t="n">
        <v>0</v>
      </c>
      <c r="I771" t="n">
        <v>0</v>
      </c>
      <c r="J771" t="n">
        <v>0</v>
      </c>
      <c r="K771" t="n">
        <v>0</v>
      </c>
      <c r="L771" t="n">
        <v>0</v>
      </c>
      <c r="M771" t="n">
        <v>0</v>
      </c>
      <c r="N771" t="n">
        <v>0</v>
      </c>
      <c r="O771" t="n">
        <v>0</v>
      </c>
      <c r="P771" t="n">
        <v>0</v>
      </c>
      <c r="Q771" t="n">
        <v>0</v>
      </c>
      <c r="R771" s="2" t="inlineStr"/>
    </row>
    <row r="772" ht="15" customHeight="1">
      <c r="A772" t="inlineStr">
        <is>
          <t>A 52761-2024</t>
        </is>
      </c>
      <c r="B772" s="1" t="n">
        <v>45610</v>
      </c>
      <c r="C772" s="1" t="n">
        <v>45706</v>
      </c>
      <c r="D772" t="inlineStr">
        <is>
          <t>VÄSTERNORRLANDS LÄN</t>
        </is>
      </c>
      <c r="E772" t="inlineStr">
        <is>
          <t>TIMRÅ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52909-2024</t>
        </is>
      </c>
      <c r="B773" s="1" t="n">
        <v>45610</v>
      </c>
      <c r="C773" s="1" t="n">
        <v>45706</v>
      </c>
      <c r="D773" t="inlineStr">
        <is>
          <t>VÄSTERNORRLANDS LÄN</t>
        </is>
      </c>
      <c r="E773" t="inlineStr">
        <is>
          <t>TIMRÅ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45706</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53299-2024</t>
        </is>
      </c>
      <c r="B775" s="1" t="n">
        <v>45614</v>
      </c>
      <c r="C775" s="1" t="n">
        <v>45706</v>
      </c>
      <c r="D775" t="inlineStr">
        <is>
          <t>VÄSTERNORRLANDS LÄN</t>
        </is>
      </c>
      <c r="E775" t="inlineStr">
        <is>
          <t>TIMRÅ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45706</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53302-2024</t>
        </is>
      </c>
      <c r="B777" s="1" t="n">
        <v>45614</v>
      </c>
      <c r="C777" s="1" t="n">
        <v>45706</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53298-2024</t>
        </is>
      </c>
      <c r="B778" s="1" t="n">
        <v>45614</v>
      </c>
      <c r="C778" s="1" t="n">
        <v>45706</v>
      </c>
      <c r="D778" t="inlineStr">
        <is>
          <t>VÄSTERNORRLANDS LÄN</t>
        </is>
      </c>
      <c r="E778" t="inlineStr">
        <is>
          <t>TIMRÅ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53294-2024</t>
        </is>
      </c>
      <c r="B779" s="1" t="n">
        <v>45614</v>
      </c>
      <c r="C779" s="1" t="n">
        <v>45706</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53289-2024</t>
        </is>
      </c>
      <c r="B780" s="1" t="n">
        <v>45614</v>
      </c>
      <c r="C780" s="1" t="n">
        <v>45706</v>
      </c>
      <c r="D780" t="inlineStr">
        <is>
          <t>VÄSTERNORRLANDS LÄN</t>
        </is>
      </c>
      <c r="E780" t="inlineStr">
        <is>
          <t>TIMRÅ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53301-2024</t>
        </is>
      </c>
      <c r="B781" s="1" t="n">
        <v>45614</v>
      </c>
      <c r="C781" s="1" t="n">
        <v>45706</v>
      </c>
      <c r="D781" t="inlineStr">
        <is>
          <t>VÄSTERNORRLANDS LÄN</t>
        </is>
      </c>
      <c r="E781" t="inlineStr">
        <is>
          <t>TIMRÅ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53293-2024</t>
        </is>
      </c>
      <c r="B782" s="1" t="n">
        <v>45614</v>
      </c>
      <c r="C782" s="1" t="n">
        <v>45706</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53288-2024</t>
        </is>
      </c>
      <c r="B783" s="1" t="n">
        <v>45614</v>
      </c>
      <c r="C783" s="1" t="n">
        <v>45706</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54236-2024</t>
        </is>
      </c>
      <c r="B784" s="1" t="n">
        <v>45616</v>
      </c>
      <c r="C784" s="1" t="n">
        <v>45706</v>
      </c>
      <c r="D784" t="inlineStr">
        <is>
          <t>VÄSTERNORRLANDS LÄN</t>
        </is>
      </c>
      <c r="E784" t="inlineStr">
        <is>
          <t>TIMRÅ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54547-2024</t>
        </is>
      </c>
      <c r="B785" s="1" t="n">
        <v>45617</v>
      </c>
      <c r="C785" s="1" t="n">
        <v>45706</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54322-2024</t>
        </is>
      </c>
      <c r="B786" s="1" t="n">
        <v>45617</v>
      </c>
      <c r="C786" s="1" t="n">
        <v>45706</v>
      </c>
      <c r="D786" t="inlineStr">
        <is>
          <t>VÄSTERNORRLANDS LÄN</t>
        </is>
      </c>
      <c r="E786" t="inlineStr">
        <is>
          <t>TIMRÅ</t>
        </is>
      </c>
      <c r="G786" t="n">
        <v>8</v>
      </c>
      <c r="H786" t="n">
        <v>0</v>
      </c>
      <c r="I786" t="n">
        <v>0</v>
      </c>
      <c r="J786" t="n">
        <v>0</v>
      </c>
      <c r="K786" t="n">
        <v>0</v>
      </c>
      <c r="L786" t="n">
        <v>0</v>
      </c>
      <c r="M786" t="n">
        <v>0</v>
      </c>
      <c r="N786" t="n">
        <v>0</v>
      </c>
      <c r="O786" t="n">
        <v>0</v>
      </c>
      <c r="P786" t="n">
        <v>0</v>
      </c>
      <c r="Q786" t="n">
        <v>0</v>
      </c>
      <c r="R786" s="2" t="inlineStr"/>
    </row>
    <row r="787" ht="15" customHeight="1">
      <c r="A787" t="inlineStr">
        <is>
          <t>A 54723-2024</t>
        </is>
      </c>
      <c r="B787" s="1" t="n">
        <v>45618</v>
      </c>
      <c r="C787" s="1" t="n">
        <v>45706</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54993-2024</t>
        </is>
      </c>
      <c r="B788" s="1" t="n">
        <v>45620</v>
      </c>
      <c r="C788" s="1" t="n">
        <v>45706</v>
      </c>
      <c r="D788" t="inlineStr">
        <is>
          <t>VÄSTERNORRLANDS LÄN</t>
        </is>
      </c>
      <c r="E788" t="inlineStr">
        <is>
          <t>TIMRÅ</t>
        </is>
      </c>
      <c r="G788" t="n">
        <v>1.9</v>
      </c>
      <c r="H788" t="n">
        <v>0</v>
      </c>
      <c r="I788" t="n">
        <v>0</v>
      </c>
      <c r="J788" t="n">
        <v>0</v>
      </c>
      <c r="K788" t="n">
        <v>0</v>
      </c>
      <c r="L788" t="n">
        <v>0</v>
      </c>
      <c r="M788" t="n">
        <v>0</v>
      </c>
      <c r="N788" t="n">
        <v>0</v>
      </c>
      <c r="O788" t="n">
        <v>0</v>
      </c>
      <c r="P788" t="n">
        <v>0</v>
      </c>
      <c r="Q788" t="n">
        <v>0</v>
      </c>
      <c r="R788" s="2" t="inlineStr"/>
    </row>
    <row r="789" ht="15" customHeight="1">
      <c r="A789" t="inlineStr">
        <is>
          <t>A 55080-2024</t>
        </is>
      </c>
      <c r="B789" s="1" t="n">
        <v>45621</v>
      </c>
      <c r="C789" s="1" t="n">
        <v>45706</v>
      </c>
      <c r="D789" t="inlineStr">
        <is>
          <t>VÄSTERNORRLANDS LÄN</t>
        </is>
      </c>
      <c r="E789" t="inlineStr">
        <is>
          <t>TIMRÅ</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55576-2024</t>
        </is>
      </c>
      <c r="B790" s="1" t="n">
        <v>45622</v>
      </c>
      <c r="C790" s="1" t="n">
        <v>45706</v>
      </c>
      <c r="D790" t="inlineStr">
        <is>
          <t>VÄSTERNORRLANDS LÄN</t>
        </is>
      </c>
      <c r="E790" t="inlineStr">
        <is>
          <t>TIMRÅ</t>
        </is>
      </c>
      <c r="G790" t="n">
        <v>5.1</v>
      </c>
      <c r="H790" t="n">
        <v>0</v>
      </c>
      <c r="I790" t="n">
        <v>0</v>
      </c>
      <c r="J790" t="n">
        <v>0</v>
      </c>
      <c r="K790" t="n">
        <v>0</v>
      </c>
      <c r="L790" t="n">
        <v>0</v>
      </c>
      <c r="M790" t="n">
        <v>0</v>
      </c>
      <c r="N790" t="n">
        <v>0</v>
      </c>
      <c r="O790" t="n">
        <v>0</v>
      </c>
      <c r="P790" t="n">
        <v>0</v>
      </c>
      <c r="Q790" t="n">
        <v>0</v>
      </c>
      <c r="R790" s="2" t="inlineStr"/>
    </row>
    <row r="791" ht="15" customHeight="1">
      <c r="A791" t="inlineStr">
        <is>
          <t>A 55602-2024</t>
        </is>
      </c>
      <c r="B791" s="1" t="n">
        <v>45622</v>
      </c>
      <c r="C791" s="1" t="n">
        <v>45706</v>
      </c>
      <c r="D791" t="inlineStr">
        <is>
          <t>VÄSTERNORRLANDS LÄN</t>
        </is>
      </c>
      <c r="E791" t="inlineStr">
        <is>
          <t>TIMRÅ</t>
        </is>
      </c>
      <c r="G791" t="n">
        <v>3.9</v>
      </c>
      <c r="H791" t="n">
        <v>0</v>
      </c>
      <c r="I791" t="n">
        <v>0</v>
      </c>
      <c r="J791" t="n">
        <v>0</v>
      </c>
      <c r="K791" t="n">
        <v>0</v>
      </c>
      <c r="L791" t="n">
        <v>0</v>
      </c>
      <c r="M791" t="n">
        <v>0</v>
      </c>
      <c r="N791" t="n">
        <v>0</v>
      </c>
      <c r="O791" t="n">
        <v>0</v>
      </c>
      <c r="P791" t="n">
        <v>0</v>
      </c>
      <c r="Q791" t="n">
        <v>0</v>
      </c>
      <c r="R791" s="2" t="inlineStr"/>
    </row>
    <row r="792" ht="15" customHeight="1">
      <c r="A792" t="inlineStr">
        <is>
          <t>A 55618-2024</t>
        </is>
      </c>
      <c r="B792" s="1" t="n">
        <v>45622</v>
      </c>
      <c r="C792" s="1" t="n">
        <v>45706</v>
      </c>
      <c r="D792" t="inlineStr">
        <is>
          <t>VÄSTERNORRLANDS LÄN</t>
        </is>
      </c>
      <c r="E792" t="inlineStr">
        <is>
          <t>TIMRÅ</t>
        </is>
      </c>
      <c r="G792" t="n">
        <v>4.3</v>
      </c>
      <c r="H792" t="n">
        <v>0</v>
      </c>
      <c r="I792" t="n">
        <v>0</v>
      </c>
      <c r="J792" t="n">
        <v>0</v>
      </c>
      <c r="K792" t="n">
        <v>0</v>
      </c>
      <c r="L792" t="n">
        <v>0</v>
      </c>
      <c r="M792" t="n">
        <v>0</v>
      </c>
      <c r="N792" t="n">
        <v>0</v>
      </c>
      <c r="O792" t="n">
        <v>0</v>
      </c>
      <c r="P792" t="n">
        <v>0</v>
      </c>
      <c r="Q792" t="n">
        <v>0</v>
      </c>
      <c r="R792" s="2" t="inlineStr"/>
    </row>
    <row r="793" ht="15" customHeight="1">
      <c r="A793" t="inlineStr">
        <is>
          <t>A 55588-2024</t>
        </is>
      </c>
      <c r="B793" s="1" t="n">
        <v>45622</v>
      </c>
      <c r="C793" s="1" t="n">
        <v>45706</v>
      </c>
      <c r="D793" t="inlineStr">
        <is>
          <t>VÄSTERNORRLANDS LÄN</t>
        </is>
      </c>
      <c r="E793" t="inlineStr">
        <is>
          <t>TIMRÅ</t>
        </is>
      </c>
      <c r="G793" t="n">
        <v>2.9</v>
      </c>
      <c r="H793" t="n">
        <v>0</v>
      </c>
      <c r="I793" t="n">
        <v>0</v>
      </c>
      <c r="J793" t="n">
        <v>0</v>
      </c>
      <c r="K793" t="n">
        <v>0</v>
      </c>
      <c r="L793" t="n">
        <v>0</v>
      </c>
      <c r="M793" t="n">
        <v>0</v>
      </c>
      <c r="N793" t="n">
        <v>0</v>
      </c>
      <c r="O793" t="n">
        <v>0</v>
      </c>
      <c r="P793" t="n">
        <v>0</v>
      </c>
      <c r="Q793" t="n">
        <v>0</v>
      </c>
      <c r="R793" s="2" t="inlineStr"/>
    </row>
    <row r="794" ht="15" customHeight="1">
      <c r="A794" t="inlineStr">
        <is>
          <t>A 55729-2024</t>
        </is>
      </c>
      <c r="B794" s="1" t="n">
        <v>45622</v>
      </c>
      <c r="C794" s="1" t="n">
        <v>45706</v>
      </c>
      <c r="D794" t="inlineStr">
        <is>
          <t>VÄSTERNORRLANDS LÄN</t>
        </is>
      </c>
      <c r="E794" t="inlineStr">
        <is>
          <t>TIMRÅ</t>
        </is>
      </c>
      <c r="G794" t="n">
        <v>3.1</v>
      </c>
      <c r="H794" t="n">
        <v>0</v>
      </c>
      <c r="I794" t="n">
        <v>0</v>
      </c>
      <c r="J794" t="n">
        <v>0</v>
      </c>
      <c r="K794" t="n">
        <v>0</v>
      </c>
      <c r="L794" t="n">
        <v>0</v>
      </c>
      <c r="M794" t="n">
        <v>0</v>
      </c>
      <c r="N794" t="n">
        <v>0</v>
      </c>
      <c r="O794" t="n">
        <v>0</v>
      </c>
      <c r="P794" t="n">
        <v>0</v>
      </c>
      <c r="Q794" t="n">
        <v>0</v>
      </c>
      <c r="R794" s="2" t="inlineStr"/>
    </row>
    <row r="795" ht="15" customHeight="1">
      <c r="A795" t="inlineStr">
        <is>
          <t>A 55874-2024</t>
        </is>
      </c>
      <c r="B795" s="1" t="n">
        <v>45623</v>
      </c>
      <c r="C795" s="1" t="n">
        <v>45706</v>
      </c>
      <c r="D795" t="inlineStr">
        <is>
          <t>VÄSTERNORRLANDS LÄN</t>
        </is>
      </c>
      <c r="E795" t="inlineStr">
        <is>
          <t>TIMRÅ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55873-2024</t>
        </is>
      </c>
      <c r="B796" s="1" t="n">
        <v>45623</v>
      </c>
      <c r="C796" s="1" t="n">
        <v>45706</v>
      </c>
      <c r="D796" t="inlineStr">
        <is>
          <t>VÄSTERNORRLANDS LÄN</t>
        </is>
      </c>
      <c r="E796" t="inlineStr">
        <is>
          <t>TIMRÅ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56046-2024</t>
        </is>
      </c>
      <c r="B797" s="1" t="n">
        <v>45624</v>
      </c>
      <c r="C797" s="1" t="n">
        <v>45706</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56284-2024</t>
        </is>
      </c>
      <c r="B798" s="1" t="n">
        <v>45624</v>
      </c>
      <c r="C798" s="1" t="n">
        <v>45706</v>
      </c>
      <c r="D798" t="inlineStr">
        <is>
          <t>VÄSTERNORRLANDS LÄN</t>
        </is>
      </c>
      <c r="E798" t="inlineStr">
        <is>
          <t>TIMRÅ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56288-2024</t>
        </is>
      </c>
      <c r="B799" s="1" t="n">
        <v>45624</v>
      </c>
      <c r="C799" s="1" t="n">
        <v>45706</v>
      </c>
      <c r="D799" t="inlineStr">
        <is>
          <t>VÄSTERNORRLANDS LÄN</t>
        </is>
      </c>
      <c r="E799" t="inlineStr">
        <is>
          <t>TIMRÅ</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56286-2024</t>
        </is>
      </c>
      <c r="B800" s="1" t="n">
        <v>45624</v>
      </c>
      <c r="C800" s="1" t="n">
        <v>45706</v>
      </c>
      <c r="D800" t="inlineStr">
        <is>
          <t>VÄSTERNORRLANDS LÄN</t>
        </is>
      </c>
      <c r="E800" t="inlineStr">
        <is>
          <t>TIMRÅ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56155-2024</t>
        </is>
      </c>
      <c r="B801" s="1" t="n">
        <v>45624</v>
      </c>
      <c r="C801" s="1" t="n">
        <v>45706</v>
      </c>
      <c r="D801" t="inlineStr">
        <is>
          <t>VÄSTERNORRLANDS LÄN</t>
        </is>
      </c>
      <c r="E801" t="inlineStr">
        <is>
          <t>TIMRÅ</t>
        </is>
      </c>
      <c r="G801" t="n">
        <v>5.9</v>
      </c>
      <c r="H801" t="n">
        <v>0</v>
      </c>
      <c r="I801" t="n">
        <v>0</v>
      </c>
      <c r="J801" t="n">
        <v>0</v>
      </c>
      <c r="K801" t="n">
        <v>0</v>
      </c>
      <c r="L801" t="n">
        <v>0</v>
      </c>
      <c r="M801" t="n">
        <v>0</v>
      </c>
      <c r="N801" t="n">
        <v>0</v>
      </c>
      <c r="O801" t="n">
        <v>0</v>
      </c>
      <c r="P801" t="n">
        <v>0</v>
      </c>
      <c r="Q801" t="n">
        <v>0</v>
      </c>
      <c r="R801" s="2" t="inlineStr"/>
    </row>
    <row r="802" ht="15" customHeight="1">
      <c r="A802" t="inlineStr">
        <is>
          <t>A 56285-2024</t>
        </is>
      </c>
      <c r="B802" s="1" t="n">
        <v>45624</v>
      </c>
      <c r="C802" s="1" t="n">
        <v>45706</v>
      </c>
      <c r="D802" t="inlineStr">
        <is>
          <t>VÄSTERNORRLANDS LÄN</t>
        </is>
      </c>
      <c r="E802" t="inlineStr">
        <is>
          <t>TIMRÅ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56442-2024</t>
        </is>
      </c>
      <c r="B803" s="1" t="n">
        <v>45625</v>
      </c>
      <c r="C803" s="1" t="n">
        <v>45706</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56443-2024</t>
        </is>
      </c>
      <c r="B804" s="1" t="n">
        <v>45625</v>
      </c>
      <c r="C804" s="1" t="n">
        <v>45706</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57063-2024</t>
        </is>
      </c>
      <c r="B805" s="1" t="n">
        <v>45629</v>
      </c>
      <c r="C805" s="1" t="n">
        <v>45706</v>
      </c>
      <c r="D805" t="inlineStr">
        <is>
          <t>VÄSTERNORRLANDS LÄN</t>
        </is>
      </c>
      <c r="E805" t="inlineStr">
        <is>
          <t>TIMRÅ</t>
        </is>
      </c>
      <c r="G805" t="n">
        <v>2.7</v>
      </c>
      <c r="H805" t="n">
        <v>0</v>
      </c>
      <c r="I805" t="n">
        <v>0</v>
      </c>
      <c r="J805" t="n">
        <v>0</v>
      </c>
      <c r="K805" t="n">
        <v>0</v>
      </c>
      <c r="L805" t="n">
        <v>0</v>
      </c>
      <c r="M805" t="n">
        <v>0</v>
      </c>
      <c r="N805" t="n">
        <v>0</v>
      </c>
      <c r="O805" t="n">
        <v>0</v>
      </c>
      <c r="P805" t="n">
        <v>0</v>
      </c>
      <c r="Q805" t="n">
        <v>0</v>
      </c>
      <c r="R805" s="2" t="inlineStr"/>
    </row>
    <row r="806" ht="15" customHeight="1">
      <c r="A806" t="inlineStr">
        <is>
          <t>A 57316-2024</t>
        </is>
      </c>
      <c r="B806" s="1" t="n">
        <v>45629</v>
      </c>
      <c r="C806" s="1" t="n">
        <v>45706</v>
      </c>
      <c r="D806" t="inlineStr">
        <is>
          <t>VÄSTERNORRLANDS LÄN</t>
        </is>
      </c>
      <c r="E806" t="inlineStr">
        <is>
          <t>TIMRÅ</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45706</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45706</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58752-2024</t>
        </is>
      </c>
      <c r="B809" s="1" t="n">
        <v>45635</v>
      </c>
      <c r="C809" s="1" t="n">
        <v>45706</v>
      </c>
      <c r="D809" t="inlineStr">
        <is>
          <t>VÄSTERNORRLANDS LÄN</t>
        </is>
      </c>
      <c r="E809" t="inlineStr">
        <is>
          <t>TIMRÅ</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58760-2024</t>
        </is>
      </c>
      <c r="B810" s="1" t="n">
        <v>45635</v>
      </c>
      <c r="C810" s="1" t="n">
        <v>45706</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58754-2024</t>
        </is>
      </c>
      <c r="B811" s="1" t="n">
        <v>45635</v>
      </c>
      <c r="C811" s="1" t="n">
        <v>45706</v>
      </c>
      <c r="D811" t="inlineStr">
        <is>
          <t>VÄSTERNORRLANDS LÄN</t>
        </is>
      </c>
      <c r="E811" t="inlineStr">
        <is>
          <t>TIMRÅ</t>
        </is>
      </c>
      <c r="F811" t="inlineStr">
        <is>
          <t>SCA</t>
        </is>
      </c>
      <c r="G811" t="n">
        <v>9.1</v>
      </c>
      <c r="H811" t="n">
        <v>0</v>
      </c>
      <c r="I811" t="n">
        <v>0</v>
      </c>
      <c r="J811" t="n">
        <v>0</v>
      </c>
      <c r="K811" t="n">
        <v>0</v>
      </c>
      <c r="L811" t="n">
        <v>0</v>
      </c>
      <c r="M811" t="n">
        <v>0</v>
      </c>
      <c r="N811" t="n">
        <v>0</v>
      </c>
      <c r="O811" t="n">
        <v>0</v>
      </c>
      <c r="P811" t="n">
        <v>0</v>
      </c>
      <c r="Q811" t="n">
        <v>0</v>
      </c>
      <c r="R811" s="2" t="inlineStr"/>
    </row>
    <row r="812" ht="15" customHeight="1">
      <c r="A812" t="inlineStr">
        <is>
          <t>A 58930-2024</t>
        </is>
      </c>
      <c r="B812" s="1" t="n">
        <v>45636</v>
      </c>
      <c r="C812" s="1" t="n">
        <v>45706</v>
      </c>
      <c r="D812" t="inlineStr">
        <is>
          <t>VÄSTERNORRLANDS LÄN</t>
        </is>
      </c>
      <c r="E812" t="inlineStr">
        <is>
          <t>TIMRÅ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58879-2024</t>
        </is>
      </c>
      <c r="B813" s="1" t="n">
        <v>45636</v>
      </c>
      <c r="C813" s="1" t="n">
        <v>45706</v>
      </c>
      <c r="D813" t="inlineStr">
        <is>
          <t>VÄSTERNORRLANDS LÄN</t>
        </is>
      </c>
      <c r="E813" t="inlineStr">
        <is>
          <t>TIMRÅ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58866-2024</t>
        </is>
      </c>
      <c r="B814" s="1" t="n">
        <v>45636</v>
      </c>
      <c r="C814" s="1" t="n">
        <v>45706</v>
      </c>
      <c r="D814" t="inlineStr">
        <is>
          <t>VÄSTERNORRLANDS LÄN</t>
        </is>
      </c>
      <c r="E814" t="inlineStr">
        <is>
          <t>TIMRÅ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59189-2024</t>
        </is>
      </c>
      <c r="B815" s="1" t="n">
        <v>45637</v>
      </c>
      <c r="C815" s="1" t="n">
        <v>45706</v>
      </c>
      <c r="D815" t="inlineStr">
        <is>
          <t>VÄSTERNORRLANDS LÄN</t>
        </is>
      </c>
      <c r="E815" t="inlineStr">
        <is>
          <t>TIMRÅ</t>
        </is>
      </c>
      <c r="G815" t="n">
        <v>1.7</v>
      </c>
      <c r="H815" t="n">
        <v>0</v>
      </c>
      <c r="I815" t="n">
        <v>0</v>
      </c>
      <c r="J815" t="n">
        <v>0</v>
      </c>
      <c r="K815" t="n">
        <v>0</v>
      </c>
      <c r="L815" t="n">
        <v>0</v>
      </c>
      <c r="M815" t="n">
        <v>0</v>
      </c>
      <c r="N815" t="n">
        <v>0</v>
      </c>
      <c r="O815" t="n">
        <v>0</v>
      </c>
      <c r="P815" t="n">
        <v>0</v>
      </c>
      <c r="Q815" t="n">
        <v>0</v>
      </c>
      <c r="R815" s="2" t="inlineStr"/>
    </row>
    <row r="816" ht="15" customHeight="1">
      <c r="A816" t="inlineStr">
        <is>
          <t>A 59894-2024</t>
        </is>
      </c>
      <c r="B816" s="1" t="n">
        <v>45641</v>
      </c>
      <c r="C816" s="1" t="n">
        <v>45706</v>
      </c>
      <c r="D816" t="inlineStr">
        <is>
          <t>VÄSTERNORRLANDS LÄN</t>
        </is>
      </c>
      <c r="E816" t="inlineStr">
        <is>
          <t>TIMRÅ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45706</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45706</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60110-2024</t>
        </is>
      </c>
      <c r="B819" s="1" t="n">
        <v>45642</v>
      </c>
      <c r="C819" s="1" t="n">
        <v>45706</v>
      </c>
      <c r="D819" t="inlineStr">
        <is>
          <t>VÄSTERNORRLANDS LÄN</t>
        </is>
      </c>
      <c r="E819" t="inlineStr">
        <is>
          <t>TIMRÅ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60111-2024</t>
        </is>
      </c>
      <c r="B820" s="1" t="n">
        <v>45642</v>
      </c>
      <c r="C820" s="1" t="n">
        <v>45706</v>
      </c>
      <c r="D820" t="inlineStr">
        <is>
          <t>VÄSTERNORRLANDS LÄN</t>
        </is>
      </c>
      <c r="E820" t="inlineStr">
        <is>
          <t>TIMRÅ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59948-2024</t>
        </is>
      </c>
      <c r="B821" s="1" t="n">
        <v>45642</v>
      </c>
      <c r="C821" s="1" t="n">
        <v>45706</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59995-2024</t>
        </is>
      </c>
      <c r="B822" s="1" t="n">
        <v>45642</v>
      </c>
      <c r="C822" s="1" t="n">
        <v>45706</v>
      </c>
      <c r="D822" t="inlineStr">
        <is>
          <t>VÄSTERNORRLANDS LÄN</t>
        </is>
      </c>
      <c r="E822" t="inlineStr">
        <is>
          <t>TIMRÅ</t>
        </is>
      </c>
      <c r="F822" t="inlineStr">
        <is>
          <t>SCA</t>
        </is>
      </c>
      <c r="G822" t="n">
        <v>19.6</v>
      </c>
      <c r="H822" t="n">
        <v>0</v>
      </c>
      <c r="I822" t="n">
        <v>0</v>
      </c>
      <c r="J822" t="n">
        <v>0</v>
      </c>
      <c r="K822" t="n">
        <v>0</v>
      </c>
      <c r="L822" t="n">
        <v>0</v>
      </c>
      <c r="M822" t="n">
        <v>0</v>
      </c>
      <c r="N822" t="n">
        <v>0</v>
      </c>
      <c r="O822" t="n">
        <v>0</v>
      </c>
      <c r="P822" t="n">
        <v>0</v>
      </c>
      <c r="Q822" t="n">
        <v>0</v>
      </c>
      <c r="R822" s="2" t="inlineStr"/>
    </row>
    <row r="823" ht="15" customHeight="1">
      <c r="A823" t="inlineStr">
        <is>
          <t>A 60761-2024</t>
        </is>
      </c>
      <c r="B823" s="1" t="n">
        <v>45644</v>
      </c>
      <c r="C823" s="1" t="n">
        <v>45706</v>
      </c>
      <c r="D823" t="inlineStr">
        <is>
          <t>VÄSTERNORRLANDS LÄN</t>
        </is>
      </c>
      <c r="E823" t="inlineStr">
        <is>
          <t>TIMRÅ</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60751-2024</t>
        </is>
      </c>
      <c r="B824" s="1" t="n">
        <v>45644</v>
      </c>
      <c r="C824" s="1" t="n">
        <v>45706</v>
      </c>
      <c r="D824" t="inlineStr">
        <is>
          <t>VÄSTERNORRLANDS LÄN</t>
        </is>
      </c>
      <c r="E824" t="inlineStr">
        <is>
          <t>TIMRÅ</t>
        </is>
      </c>
      <c r="G824" t="n">
        <v>3.1</v>
      </c>
      <c r="H824" t="n">
        <v>0</v>
      </c>
      <c r="I824" t="n">
        <v>0</v>
      </c>
      <c r="J824" t="n">
        <v>0</v>
      </c>
      <c r="K824" t="n">
        <v>0</v>
      </c>
      <c r="L824" t="n">
        <v>0</v>
      </c>
      <c r="M824" t="n">
        <v>0</v>
      </c>
      <c r="N824" t="n">
        <v>0</v>
      </c>
      <c r="O824" t="n">
        <v>0</v>
      </c>
      <c r="P824" t="n">
        <v>0</v>
      </c>
      <c r="Q824" t="n">
        <v>0</v>
      </c>
      <c r="R824" s="2" t="inlineStr"/>
    </row>
    <row r="825" ht="15" customHeight="1">
      <c r="A825" t="inlineStr">
        <is>
          <t>A 61166-2024</t>
        </is>
      </c>
      <c r="B825" s="1" t="n">
        <v>45645</v>
      </c>
      <c r="C825" s="1" t="n">
        <v>45706</v>
      </c>
      <c r="D825" t="inlineStr">
        <is>
          <t>VÄSTERNORRLANDS LÄN</t>
        </is>
      </c>
      <c r="E825" t="inlineStr">
        <is>
          <t>TIMRÅ</t>
        </is>
      </c>
      <c r="G825" t="n">
        <v>2</v>
      </c>
      <c r="H825" t="n">
        <v>0</v>
      </c>
      <c r="I825" t="n">
        <v>0</v>
      </c>
      <c r="J825" t="n">
        <v>0</v>
      </c>
      <c r="K825" t="n">
        <v>0</v>
      </c>
      <c r="L825" t="n">
        <v>0</v>
      </c>
      <c r="M825" t="n">
        <v>0</v>
      </c>
      <c r="N825" t="n">
        <v>0</v>
      </c>
      <c r="O825" t="n">
        <v>0</v>
      </c>
      <c r="P825" t="n">
        <v>0</v>
      </c>
      <c r="Q825" t="n">
        <v>0</v>
      </c>
      <c r="R825" s="2" t="inlineStr"/>
    </row>
    <row r="826" ht="15" customHeight="1">
      <c r="A826" t="inlineStr">
        <is>
          <t>A 61484-2024</t>
        </is>
      </c>
      <c r="B826" s="1" t="n">
        <v>45646</v>
      </c>
      <c r="C826" s="1" t="n">
        <v>45706</v>
      </c>
      <c r="D826" t="inlineStr">
        <is>
          <t>VÄSTERNORRLANDS LÄN</t>
        </is>
      </c>
      <c r="E826" t="inlineStr">
        <is>
          <t>TIMRÅ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61620-2024</t>
        </is>
      </c>
      <c r="B827" s="1" t="n">
        <v>45646</v>
      </c>
      <c r="C827" s="1" t="n">
        <v>45706</v>
      </c>
      <c r="D827" t="inlineStr">
        <is>
          <t>VÄSTERNORRLANDS LÄN</t>
        </is>
      </c>
      <c r="E827" t="inlineStr">
        <is>
          <t>TIMRÅ</t>
        </is>
      </c>
      <c r="G827" t="n">
        <v>1.4</v>
      </c>
      <c r="H827" t="n">
        <v>0</v>
      </c>
      <c r="I827" t="n">
        <v>0</v>
      </c>
      <c r="J827" t="n">
        <v>0</v>
      </c>
      <c r="K827" t="n">
        <v>0</v>
      </c>
      <c r="L827" t="n">
        <v>0</v>
      </c>
      <c r="M827" t="n">
        <v>0</v>
      </c>
      <c r="N827" t="n">
        <v>0</v>
      </c>
      <c r="O827" t="n">
        <v>0</v>
      </c>
      <c r="P827" t="n">
        <v>0</v>
      </c>
      <c r="Q827" t="n">
        <v>0</v>
      </c>
      <c r="R827" s="2" t="inlineStr"/>
    </row>
    <row r="828" ht="15" customHeight="1">
      <c r="A828" t="inlineStr">
        <is>
          <t>A 61821-2024</t>
        </is>
      </c>
      <c r="B828" s="1" t="n">
        <v>45649</v>
      </c>
      <c r="C828" s="1" t="n">
        <v>45706</v>
      </c>
      <c r="D828" t="inlineStr">
        <is>
          <t>VÄSTERNORRLANDS LÄN</t>
        </is>
      </c>
      <c r="E828" t="inlineStr">
        <is>
          <t>TIMRÅ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62133-2024</t>
        </is>
      </c>
      <c r="B829" s="1" t="n">
        <v>45656</v>
      </c>
      <c r="C829" s="1" t="n">
        <v>45706</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45706</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472-2025</t>
        </is>
      </c>
      <c r="B831" s="1" t="n">
        <v>45664</v>
      </c>
      <c r="C831" s="1" t="n">
        <v>45706</v>
      </c>
      <c r="D831" t="inlineStr">
        <is>
          <t>VÄSTERNORRLANDS LÄN</t>
        </is>
      </c>
      <c r="E831" t="inlineStr">
        <is>
          <t>TIMRÅ</t>
        </is>
      </c>
      <c r="G831" t="n">
        <v>14.3</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45706</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45706</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1386-2025</t>
        </is>
      </c>
      <c r="B834" s="1" t="n">
        <v>45667</v>
      </c>
      <c r="C834" s="1" t="n">
        <v>45706</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1818-2025</t>
        </is>
      </c>
      <c r="B835" s="1" t="n">
        <v>45671</v>
      </c>
      <c r="C835" s="1" t="n">
        <v>45706</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1826-2025</t>
        </is>
      </c>
      <c r="B836" s="1" t="n">
        <v>45671</v>
      </c>
      <c r="C836" s="1" t="n">
        <v>45706</v>
      </c>
      <c r="D836" t="inlineStr">
        <is>
          <t>VÄSTERNORRLANDS LÄN</t>
        </is>
      </c>
      <c r="E836" t="inlineStr">
        <is>
          <t>TIMRÅ</t>
        </is>
      </c>
      <c r="G836" t="n">
        <v>2.4</v>
      </c>
      <c r="H836" t="n">
        <v>0</v>
      </c>
      <c r="I836" t="n">
        <v>0</v>
      </c>
      <c r="J836" t="n">
        <v>0</v>
      </c>
      <c r="K836" t="n">
        <v>0</v>
      </c>
      <c r="L836" t="n">
        <v>0</v>
      </c>
      <c r="M836" t="n">
        <v>0</v>
      </c>
      <c r="N836" t="n">
        <v>0</v>
      </c>
      <c r="O836" t="n">
        <v>0</v>
      </c>
      <c r="P836" t="n">
        <v>0</v>
      </c>
      <c r="Q836" t="n">
        <v>0</v>
      </c>
      <c r="R836" s="2" t="inlineStr"/>
    </row>
    <row r="837" ht="15" customHeight="1">
      <c r="A837" t="inlineStr">
        <is>
          <t>A 1842-2025</t>
        </is>
      </c>
      <c r="B837" s="1" t="n">
        <v>45671</v>
      </c>
      <c r="C837" s="1" t="n">
        <v>45706</v>
      </c>
      <c r="D837" t="inlineStr">
        <is>
          <t>VÄSTERNORRLANDS LÄN</t>
        </is>
      </c>
      <c r="E837" t="inlineStr">
        <is>
          <t>TIMRÅ</t>
        </is>
      </c>
      <c r="G837" t="n">
        <v>2.1</v>
      </c>
      <c r="H837" t="n">
        <v>0</v>
      </c>
      <c r="I837" t="n">
        <v>0</v>
      </c>
      <c r="J837" t="n">
        <v>0</v>
      </c>
      <c r="K837" t="n">
        <v>0</v>
      </c>
      <c r="L837" t="n">
        <v>0</v>
      </c>
      <c r="M837" t="n">
        <v>0</v>
      </c>
      <c r="N837" t="n">
        <v>0</v>
      </c>
      <c r="O837" t="n">
        <v>0</v>
      </c>
      <c r="P837" t="n">
        <v>0</v>
      </c>
      <c r="Q837" t="n">
        <v>0</v>
      </c>
      <c r="R837" s="2" t="inlineStr"/>
    </row>
    <row r="838" ht="15" customHeight="1">
      <c r="A838" t="inlineStr">
        <is>
          <t>A 1817-2025</t>
        </is>
      </c>
      <c r="B838" s="1" t="n">
        <v>45671</v>
      </c>
      <c r="C838" s="1" t="n">
        <v>45706</v>
      </c>
      <c r="D838" t="inlineStr">
        <is>
          <t>VÄSTERNORRLANDS LÄN</t>
        </is>
      </c>
      <c r="E838" t="inlineStr">
        <is>
          <t>TIMRÅ</t>
        </is>
      </c>
      <c r="G838" t="n">
        <v>0.7</v>
      </c>
      <c r="H838" t="n">
        <v>0</v>
      </c>
      <c r="I838" t="n">
        <v>0</v>
      </c>
      <c r="J838" t="n">
        <v>0</v>
      </c>
      <c r="K838" t="n">
        <v>0</v>
      </c>
      <c r="L838" t="n">
        <v>0</v>
      </c>
      <c r="M838" t="n">
        <v>0</v>
      </c>
      <c r="N838" t="n">
        <v>0</v>
      </c>
      <c r="O838" t="n">
        <v>0</v>
      </c>
      <c r="P838" t="n">
        <v>0</v>
      </c>
      <c r="Q838" t="n">
        <v>0</v>
      </c>
      <c r="R838" s="2" t="inlineStr"/>
    </row>
    <row r="839" ht="15" customHeight="1">
      <c r="A839" t="inlineStr">
        <is>
          <t>A 1825-2025</t>
        </is>
      </c>
      <c r="B839" s="1" t="n">
        <v>45671</v>
      </c>
      <c r="C839" s="1" t="n">
        <v>45706</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45706</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2123-2025</t>
        </is>
      </c>
      <c r="B841" s="1" t="n">
        <v>45672</v>
      </c>
      <c r="C841" s="1" t="n">
        <v>45706</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2733-2025</t>
        </is>
      </c>
      <c r="B842" s="1" t="n">
        <v>45677</v>
      </c>
      <c r="C842" s="1" t="n">
        <v>45706</v>
      </c>
      <c r="D842" t="inlineStr">
        <is>
          <t>VÄSTERNORRLANDS LÄN</t>
        </is>
      </c>
      <c r="E842" t="inlineStr">
        <is>
          <t>TIMRÅ</t>
        </is>
      </c>
      <c r="F842" t="inlineStr">
        <is>
          <t>SCA</t>
        </is>
      </c>
      <c r="G842" t="n">
        <v>27.8</v>
      </c>
      <c r="H842" t="n">
        <v>0</v>
      </c>
      <c r="I842" t="n">
        <v>0</v>
      </c>
      <c r="J842" t="n">
        <v>0</v>
      </c>
      <c r="K842" t="n">
        <v>0</v>
      </c>
      <c r="L842" t="n">
        <v>0</v>
      </c>
      <c r="M842" t="n">
        <v>0</v>
      </c>
      <c r="N842" t="n">
        <v>0</v>
      </c>
      <c r="O842" t="n">
        <v>0</v>
      </c>
      <c r="P842" t="n">
        <v>0</v>
      </c>
      <c r="Q842" t="n">
        <v>0</v>
      </c>
      <c r="R842" s="2" t="inlineStr"/>
    </row>
    <row r="843" ht="15" customHeight="1">
      <c r="A843" t="inlineStr">
        <is>
          <t>A 4863-2025</t>
        </is>
      </c>
      <c r="B843" s="1" t="n">
        <v>45688</v>
      </c>
      <c r="C843" s="1" t="n">
        <v>45706</v>
      </c>
      <c r="D843" t="inlineStr">
        <is>
          <t>VÄSTERNORRLANDS LÄN</t>
        </is>
      </c>
      <c r="E843" t="inlineStr">
        <is>
          <t>TIMRÅ</t>
        </is>
      </c>
      <c r="F843" t="inlineStr">
        <is>
          <t>SCA</t>
        </is>
      </c>
      <c r="G843" t="n">
        <v>9.9</v>
      </c>
      <c r="H843" t="n">
        <v>0</v>
      </c>
      <c r="I843" t="n">
        <v>0</v>
      </c>
      <c r="J843" t="n">
        <v>0</v>
      </c>
      <c r="K843" t="n">
        <v>0</v>
      </c>
      <c r="L843" t="n">
        <v>0</v>
      </c>
      <c r="M843" t="n">
        <v>0</v>
      </c>
      <c r="N843" t="n">
        <v>0</v>
      </c>
      <c r="O843" t="n">
        <v>0</v>
      </c>
      <c r="P843" t="n">
        <v>0</v>
      </c>
      <c r="Q843" t="n">
        <v>0</v>
      </c>
      <c r="R843" s="2" t="inlineStr"/>
    </row>
    <row r="844" ht="15" customHeight="1">
      <c r="A844" t="inlineStr">
        <is>
          <t>A 5207-2025</t>
        </is>
      </c>
      <c r="B844" s="1" t="n">
        <v>45691</v>
      </c>
      <c r="C844" s="1" t="n">
        <v>45706</v>
      </c>
      <c r="D844" t="inlineStr">
        <is>
          <t>VÄSTERNORRLANDS LÄN</t>
        </is>
      </c>
      <c r="E844" t="inlineStr">
        <is>
          <t>TIMRÅ</t>
        </is>
      </c>
      <c r="F844" t="inlineStr">
        <is>
          <t>SCA</t>
        </is>
      </c>
      <c r="G844" t="n">
        <v>5.1</v>
      </c>
      <c r="H844" t="n">
        <v>0</v>
      </c>
      <c r="I844" t="n">
        <v>0</v>
      </c>
      <c r="J844" t="n">
        <v>0</v>
      </c>
      <c r="K844" t="n">
        <v>0</v>
      </c>
      <c r="L844" t="n">
        <v>0</v>
      </c>
      <c r="M844" t="n">
        <v>0</v>
      </c>
      <c r="N844" t="n">
        <v>0</v>
      </c>
      <c r="O844" t="n">
        <v>0</v>
      </c>
      <c r="P844" t="n">
        <v>0</v>
      </c>
      <c r="Q844" t="n">
        <v>0</v>
      </c>
      <c r="R844" s="2" t="inlineStr"/>
    </row>
    <row r="845" ht="15" customHeight="1">
      <c r="A845" t="inlineStr">
        <is>
          <t>A 5211-2025</t>
        </is>
      </c>
      <c r="B845" s="1" t="n">
        <v>45691</v>
      </c>
      <c r="C845" s="1" t="n">
        <v>45706</v>
      </c>
      <c r="D845" t="inlineStr">
        <is>
          <t>VÄSTERNORRLANDS LÄN</t>
        </is>
      </c>
      <c r="E845" t="inlineStr">
        <is>
          <t>TIMRÅ</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5168-2025</t>
        </is>
      </c>
      <c r="B846" s="1" t="n">
        <v>45691</v>
      </c>
      <c r="C846" s="1" t="n">
        <v>45706</v>
      </c>
      <c r="D846" t="inlineStr">
        <is>
          <t>VÄSTERNORRLANDS LÄN</t>
        </is>
      </c>
      <c r="E846" t="inlineStr">
        <is>
          <t>TIMRÅ</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5208-2025</t>
        </is>
      </c>
      <c r="B847" s="1" t="n">
        <v>45691</v>
      </c>
      <c r="C847" s="1" t="n">
        <v>45706</v>
      </c>
      <c r="D847" t="inlineStr">
        <is>
          <t>VÄSTERNORRLANDS LÄN</t>
        </is>
      </c>
      <c r="E847" t="inlineStr">
        <is>
          <t>TIMRÅ</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5213-2025</t>
        </is>
      </c>
      <c r="B848" s="1" t="n">
        <v>45691</v>
      </c>
      <c r="C848" s="1" t="n">
        <v>45706</v>
      </c>
      <c r="D848" t="inlineStr">
        <is>
          <t>VÄSTERNORRLANDS LÄN</t>
        </is>
      </c>
      <c r="E848" t="inlineStr">
        <is>
          <t>TIMRÅ</t>
        </is>
      </c>
      <c r="G848" t="n">
        <v>2.2</v>
      </c>
      <c r="H848" t="n">
        <v>0</v>
      </c>
      <c r="I848" t="n">
        <v>0</v>
      </c>
      <c r="J848" t="n">
        <v>0</v>
      </c>
      <c r="K848" t="n">
        <v>0</v>
      </c>
      <c r="L848" t="n">
        <v>0</v>
      </c>
      <c r="M848" t="n">
        <v>0</v>
      </c>
      <c r="N848" t="n">
        <v>0</v>
      </c>
      <c r="O848" t="n">
        <v>0</v>
      </c>
      <c r="P848" t="n">
        <v>0</v>
      </c>
      <c r="Q848" t="n">
        <v>0</v>
      </c>
      <c r="R848" s="2" t="inlineStr"/>
    </row>
    <row r="849" ht="15" customHeight="1">
      <c r="A849" t="inlineStr">
        <is>
          <t>A 5315-2025</t>
        </is>
      </c>
      <c r="B849" s="1" t="n">
        <v>45692</v>
      </c>
      <c r="C849" s="1" t="n">
        <v>45706</v>
      </c>
      <c r="D849" t="inlineStr">
        <is>
          <t>VÄSTERNORRLANDS LÄN</t>
        </is>
      </c>
      <c r="E849" t="inlineStr">
        <is>
          <t>TIMRÅ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5489-2025</t>
        </is>
      </c>
      <c r="B850" s="1" t="n">
        <v>45693</v>
      </c>
      <c r="C850" s="1" t="n">
        <v>45706</v>
      </c>
      <c r="D850" t="inlineStr">
        <is>
          <t>VÄSTERNORRLANDS LÄN</t>
        </is>
      </c>
      <c r="E850" t="inlineStr">
        <is>
          <t>TIMRÅ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5763-2025</t>
        </is>
      </c>
      <c r="B851" s="1" t="n">
        <v>45694</v>
      </c>
      <c r="C851" s="1" t="n">
        <v>45706</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6055-2025</t>
        </is>
      </c>
      <c r="B852" s="1" t="n">
        <v>45695</v>
      </c>
      <c r="C852" s="1" t="n">
        <v>45706</v>
      </c>
      <c r="D852" t="inlineStr">
        <is>
          <t>VÄSTERNORRLANDS LÄN</t>
        </is>
      </c>
      <c r="E852" t="inlineStr">
        <is>
          <t>TIMRÅ</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6259-2025</t>
        </is>
      </c>
      <c r="B853" s="1" t="n">
        <v>45698</v>
      </c>
      <c r="C853" s="1" t="n">
        <v>45706</v>
      </c>
      <c r="D853" t="inlineStr">
        <is>
          <t>VÄSTERNORRLANDS LÄN</t>
        </is>
      </c>
      <c r="E853" t="inlineStr">
        <is>
          <t>TIMRÅ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6394-2025</t>
        </is>
      </c>
      <c r="B854" s="1" t="n">
        <v>45699</v>
      </c>
      <c r="C854" s="1" t="n">
        <v>45706</v>
      </c>
      <c r="D854" t="inlineStr">
        <is>
          <t>VÄSTERNORRLANDS LÄN</t>
        </is>
      </c>
      <c r="E854" t="inlineStr">
        <is>
          <t>TIMRÅ</t>
        </is>
      </c>
      <c r="G854" t="n">
        <v>2.9</v>
      </c>
      <c r="H854" t="n">
        <v>0</v>
      </c>
      <c r="I854" t="n">
        <v>0</v>
      </c>
      <c r="J854" t="n">
        <v>0</v>
      </c>
      <c r="K854" t="n">
        <v>0</v>
      </c>
      <c r="L854" t="n">
        <v>0</v>
      </c>
      <c r="M854" t="n">
        <v>0</v>
      </c>
      <c r="N854" t="n">
        <v>0</v>
      </c>
      <c r="O854" t="n">
        <v>0</v>
      </c>
      <c r="P854" t="n">
        <v>0</v>
      </c>
      <c r="Q854" t="n">
        <v>0</v>
      </c>
      <c r="R854" s="2" t="inlineStr"/>
    </row>
    <row r="855" ht="15" customHeight="1">
      <c r="A855" t="inlineStr">
        <is>
          <t>A 6424-2025</t>
        </is>
      </c>
      <c r="B855" s="1" t="n">
        <v>45699</v>
      </c>
      <c r="C855" s="1" t="n">
        <v>45706</v>
      </c>
      <c r="D855" t="inlineStr">
        <is>
          <t>VÄSTERNORRLANDS LÄN</t>
        </is>
      </c>
      <c r="E855" t="inlineStr">
        <is>
          <t>TIMRÅ</t>
        </is>
      </c>
      <c r="F855" t="inlineStr">
        <is>
          <t>SCA</t>
        </is>
      </c>
      <c r="G855" t="n">
        <v>15.7</v>
      </c>
      <c r="H855" t="n">
        <v>0</v>
      </c>
      <c r="I855" t="n">
        <v>0</v>
      </c>
      <c r="J855" t="n">
        <v>0</v>
      </c>
      <c r="K855" t="n">
        <v>0</v>
      </c>
      <c r="L855" t="n">
        <v>0</v>
      </c>
      <c r="M855" t="n">
        <v>0</v>
      </c>
      <c r="N855" t="n">
        <v>0</v>
      </c>
      <c r="O855" t="n">
        <v>0</v>
      </c>
      <c r="P855" t="n">
        <v>0</v>
      </c>
      <c r="Q855" t="n">
        <v>0</v>
      </c>
      <c r="R855" s="2" t="inlineStr"/>
    </row>
    <row r="856">
      <c r="A856" t="inlineStr">
        <is>
          <t>A 6814-2025</t>
        </is>
      </c>
      <c r="B856" s="1" t="n">
        <v>45700</v>
      </c>
      <c r="C856" s="1" t="n">
        <v>45706</v>
      </c>
      <c r="D856" t="inlineStr">
        <is>
          <t>VÄSTERNORRLANDS LÄN</t>
        </is>
      </c>
      <c r="E856" t="inlineStr">
        <is>
          <t>TIMRÅ</t>
        </is>
      </c>
      <c r="F856" t="inlineStr">
        <is>
          <t>SCA</t>
        </is>
      </c>
      <c r="G856" t="n">
        <v>6.5</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2025-02-18T16:21:58Z</dcterms:created>
  <dcterms:modified xmlns:dcterms="http://purl.org/dc/terms/" xmlns:xsi="http://www.w3.org/2001/XMLSchema-instance" xsi:type="dcterms:W3CDTF">2025-02-18T16:21:59Z</dcterms:modified>
</cp:coreProperties>
</file>