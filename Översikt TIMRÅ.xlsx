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47816-2022</t>
        </is>
      </c>
      <c r="B25" s="1" t="n">
        <v>44854</v>
      </c>
      <c r="C25" s="1" t="n">
        <v>45574</v>
      </c>
      <c r="D25" t="inlineStr">
        <is>
          <t>VÄSTERNORRLANDS LÄN</t>
        </is>
      </c>
      <c r="E25" t="inlineStr">
        <is>
          <t>TIMRÅ</t>
        </is>
      </c>
      <c r="F25" t="inlineStr">
        <is>
          <t>SCA</t>
        </is>
      </c>
      <c r="G25" t="n">
        <v>2.9</v>
      </c>
      <c r="H25" t="n">
        <v>0</v>
      </c>
      <c r="I25" t="n">
        <v>0</v>
      </c>
      <c r="J25" t="n">
        <v>3</v>
      </c>
      <c r="K25" t="n">
        <v>0</v>
      </c>
      <c r="L25" t="n">
        <v>0</v>
      </c>
      <c r="M25" t="n">
        <v>0</v>
      </c>
      <c r="N25" t="n">
        <v>0</v>
      </c>
      <c r="O25" t="n">
        <v>3</v>
      </c>
      <c r="P25" t="n">
        <v>0</v>
      </c>
      <c r="Q25" t="n">
        <v>3</v>
      </c>
      <c r="R25" s="2" t="inlineStr">
        <is>
          <t>Garnlav
Tallticka
Violettgrå tagellav</t>
        </is>
      </c>
      <c r="S25">
        <f>HYPERLINK("https://klasma.github.io/Logging_2262/artfynd/A 47816-2022 artfynd.xlsx", "A 47816-2022")</f>
        <v/>
      </c>
      <c r="T25">
        <f>HYPERLINK("https://klasma.github.io/Logging_2262/kartor/A 47816-2022 karta.png", "A 47816-2022")</f>
        <v/>
      </c>
      <c r="V25">
        <f>HYPERLINK("https://klasma.github.io/Logging_2262/klagomål/A 47816-2022 FSC-klagomål.docx", "A 47816-2022")</f>
        <v/>
      </c>
      <c r="W25">
        <f>HYPERLINK("https://klasma.github.io/Logging_2262/klagomålsmail/A 47816-2022 FSC-klagomål mail.docx", "A 47816-2022")</f>
        <v/>
      </c>
      <c r="X25">
        <f>HYPERLINK("https://klasma.github.io/Logging_2262/tillsyn/A 47816-2022 tillsynsbegäran.docx", "A 47816-2022")</f>
        <v/>
      </c>
      <c r="Y25">
        <f>HYPERLINK("https://klasma.github.io/Logging_2262/tillsynsmail/A 47816-2022 tillsynsbegäran mail.docx", "A 47816-2022")</f>
        <v/>
      </c>
    </row>
    <row r="26" ht="15" customHeight="1">
      <c r="A26" t="inlineStr">
        <is>
          <t>A 17217-2023</t>
        </is>
      </c>
      <c r="B26" s="1" t="n">
        <v>45034</v>
      </c>
      <c r="C26" s="1" t="n">
        <v>45574</v>
      </c>
      <c r="D26" t="inlineStr">
        <is>
          <t>VÄSTERNORRLANDS LÄN</t>
        </is>
      </c>
      <c r="E26" t="inlineStr">
        <is>
          <t>TIMRÅ</t>
        </is>
      </c>
      <c r="F26" t="inlineStr">
        <is>
          <t>SCA</t>
        </is>
      </c>
      <c r="G26" t="n">
        <v>5.1</v>
      </c>
      <c r="H26" t="n">
        <v>0</v>
      </c>
      <c r="I26" t="n">
        <v>0</v>
      </c>
      <c r="J26" t="n">
        <v>3</v>
      </c>
      <c r="K26" t="n">
        <v>0</v>
      </c>
      <c r="L26" t="n">
        <v>0</v>
      </c>
      <c r="M26" t="n">
        <v>0</v>
      </c>
      <c r="N26" t="n">
        <v>0</v>
      </c>
      <c r="O26" t="n">
        <v>3</v>
      </c>
      <c r="P26" t="n">
        <v>0</v>
      </c>
      <c r="Q26" t="n">
        <v>3</v>
      </c>
      <c r="R26" s="2" t="inlineStr">
        <is>
          <t>Garnlav
Lunglav
Vedflamlav</t>
        </is>
      </c>
      <c r="S26">
        <f>HYPERLINK("https://klasma.github.io/Logging_2262/artfynd/A 17217-2023 artfynd.xlsx", "A 17217-2023")</f>
        <v/>
      </c>
      <c r="T26">
        <f>HYPERLINK("https://klasma.github.io/Logging_2262/kartor/A 17217-2023 karta.png", "A 17217-2023")</f>
        <v/>
      </c>
      <c r="V26">
        <f>HYPERLINK("https://klasma.github.io/Logging_2262/klagomål/A 17217-2023 FSC-klagomål.docx", "A 17217-2023")</f>
        <v/>
      </c>
      <c r="W26">
        <f>HYPERLINK("https://klasma.github.io/Logging_2262/klagomålsmail/A 17217-2023 FSC-klagomål mail.docx", "A 17217-2023")</f>
        <v/>
      </c>
      <c r="X26">
        <f>HYPERLINK("https://klasma.github.io/Logging_2262/tillsyn/A 17217-2023 tillsynsbegäran.docx", "A 17217-2023")</f>
        <v/>
      </c>
      <c r="Y26">
        <f>HYPERLINK("https://klasma.github.io/Logging_2262/tillsynsmail/A 17217-2023 tillsynsbegäran mail.docx", "A 17217-2023")</f>
        <v/>
      </c>
    </row>
    <row r="27" ht="15" customHeight="1">
      <c r="A27" t="inlineStr">
        <is>
          <t>A 37799-2023</t>
        </is>
      </c>
      <c r="B27" s="1" t="n">
        <v>45159</v>
      </c>
      <c r="C27" s="1" t="n">
        <v>45574</v>
      </c>
      <c r="D27" t="inlineStr">
        <is>
          <t>VÄSTERNORRLANDS LÄN</t>
        </is>
      </c>
      <c r="E27" t="inlineStr">
        <is>
          <t>TIMRÅ</t>
        </is>
      </c>
      <c r="F27" t="inlineStr">
        <is>
          <t>SCA</t>
        </is>
      </c>
      <c r="G27" t="n">
        <v>3.3</v>
      </c>
      <c r="H27" t="n">
        <v>0</v>
      </c>
      <c r="I27" t="n">
        <v>0</v>
      </c>
      <c r="J27" t="n">
        <v>3</v>
      </c>
      <c r="K27" t="n">
        <v>0</v>
      </c>
      <c r="L27" t="n">
        <v>0</v>
      </c>
      <c r="M27" t="n">
        <v>0</v>
      </c>
      <c r="N27" t="n">
        <v>0</v>
      </c>
      <c r="O27" t="n">
        <v>3</v>
      </c>
      <c r="P27" t="n">
        <v>0</v>
      </c>
      <c r="Q27" t="n">
        <v>3</v>
      </c>
      <c r="R27" s="2" t="inlineStr">
        <is>
          <t>Garnlav
Ullticka
Veckticka</t>
        </is>
      </c>
      <c r="S27">
        <f>HYPERLINK("https://klasma.github.io/Logging_2262/artfynd/A 37799-2023 artfynd.xlsx", "A 37799-2023")</f>
        <v/>
      </c>
      <c r="T27">
        <f>HYPERLINK("https://klasma.github.io/Logging_2262/kartor/A 37799-2023 karta.png", "A 37799-2023")</f>
        <v/>
      </c>
      <c r="V27">
        <f>HYPERLINK("https://klasma.github.io/Logging_2262/klagomål/A 37799-2023 FSC-klagomål.docx", "A 37799-2023")</f>
        <v/>
      </c>
      <c r="W27">
        <f>HYPERLINK("https://klasma.github.io/Logging_2262/klagomålsmail/A 37799-2023 FSC-klagomål mail.docx", "A 37799-2023")</f>
        <v/>
      </c>
      <c r="X27">
        <f>HYPERLINK("https://klasma.github.io/Logging_2262/tillsyn/A 37799-2023 tillsynsbegäran.docx", "A 37799-2023")</f>
        <v/>
      </c>
      <c r="Y27">
        <f>HYPERLINK("https://klasma.github.io/Logging_2262/tillsynsmail/A 37799-2023 tillsynsbegäran mail.docx", "A 37799-2023")</f>
        <v/>
      </c>
    </row>
    <row r="28" ht="15" customHeight="1">
      <c r="A28" t="inlineStr">
        <is>
          <t>A 43961-2023</t>
        </is>
      </c>
      <c r="B28" s="1" t="n">
        <v>45187</v>
      </c>
      <c r="C28" s="1" t="n">
        <v>45574</v>
      </c>
      <c r="D28" t="inlineStr">
        <is>
          <t>VÄSTERNORRLANDS LÄN</t>
        </is>
      </c>
      <c r="E28" t="inlineStr">
        <is>
          <t>TIMRÅ</t>
        </is>
      </c>
      <c r="F28" t="inlineStr">
        <is>
          <t>SCA</t>
        </is>
      </c>
      <c r="G28" t="n">
        <v>4</v>
      </c>
      <c r="H28" t="n">
        <v>0</v>
      </c>
      <c r="I28" t="n">
        <v>2</v>
      </c>
      <c r="J28" t="n">
        <v>1</v>
      </c>
      <c r="K28" t="n">
        <v>0</v>
      </c>
      <c r="L28" t="n">
        <v>0</v>
      </c>
      <c r="M28" t="n">
        <v>0</v>
      </c>
      <c r="N28" t="n">
        <v>0</v>
      </c>
      <c r="O28" t="n">
        <v>1</v>
      </c>
      <c r="P28" t="n">
        <v>0</v>
      </c>
      <c r="Q28" t="n">
        <v>3</v>
      </c>
      <c r="R28" s="2" t="inlineStr">
        <is>
          <t>Garnlav
Skinnlav
Vedticka</t>
        </is>
      </c>
      <c r="S28">
        <f>HYPERLINK("https://klasma.github.io/Logging_2262/artfynd/A 43961-2023 artfynd.xlsx", "A 43961-2023")</f>
        <v/>
      </c>
      <c r="T28">
        <f>HYPERLINK("https://klasma.github.io/Logging_2262/kartor/A 43961-2023 karta.png", "A 43961-2023")</f>
        <v/>
      </c>
      <c r="V28">
        <f>HYPERLINK("https://klasma.github.io/Logging_2262/klagomål/A 43961-2023 FSC-klagomål.docx", "A 43961-2023")</f>
        <v/>
      </c>
      <c r="W28">
        <f>HYPERLINK("https://klasma.github.io/Logging_2262/klagomålsmail/A 43961-2023 FSC-klagomål mail.docx", "A 43961-2023")</f>
        <v/>
      </c>
      <c r="X28">
        <f>HYPERLINK("https://klasma.github.io/Logging_2262/tillsyn/A 43961-2023 tillsynsbegäran.docx", "A 43961-2023")</f>
        <v/>
      </c>
      <c r="Y28">
        <f>HYPERLINK("https://klasma.github.io/Logging_2262/tillsynsmail/A 43961-2023 tillsynsbegäran mail.docx", "A 43961-2023")</f>
        <v/>
      </c>
    </row>
    <row r="29" ht="15" customHeight="1">
      <c r="A29" t="inlineStr">
        <is>
          <t>A 54039-2023</t>
        </is>
      </c>
      <c r="B29" s="1" t="n">
        <v>45231</v>
      </c>
      <c r="C29" s="1" t="n">
        <v>45574</v>
      </c>
      <c r="D29" t="inlineStr">
        <is>
          <t>VÄSTERNORRLANDS LÄN</t>
        </is>
      </c>
      <c r="E29" t="inlineStr">
        <is>
          <t>TIMRÅ</t>
        </is>
      </c>
      <c r="F29" t="inlineStr">
        <is>
          <t>SCA</t>
        </is>
      </c>
      <c r="G29" t="n">
        <v>8.4</v>
      </c>
      <c r="H29" t="n">
        <v>0</v>
      </c>
      <c r="I29" t="n">
        <v>0</v>
      </c>
      <c r="J29" t="n">
        <v>3</v>
      </c>
      <c r="K29" t="n">
        <v>0</v>
      </c>
      <c r="L29" t="n">
        <v>0</v>
      </c>
      <c r="M29" t="n">
        <v>0</v>
      </c>
      <c r="N29" t="n">
        <v>0</v>
      </c>
      <c r="O29" t="n">
        <v>3</v>
      </c>
      <c r="P29" t="n">
        <v>0</v>
      </c>
      <c r="Q29" t="n">
        <v>3</v>
      </c>
      <c r="R29" s="2" t="inlineStr">
        <is>
          <t>Garnlav
Granticka
Lunglav</t>
        </is>
      </c>
      <c r="S29">
        <f>HYPERLINK("https://klasma.github.io/Logging_2262/artfynd/A 54039-2023 artfynd.xlsx", "A 54039-2023")</f>
        <v/>
      </c>
      <c r="T29">
        <f>HYPERLINK("https://klasma.github.io/Logging_2262/kartor/A 54039-2023 karta.png", "A 54039-2023")</f>
        <v/>
      </c>
      <c r="V29">
        <f>HYPERLINK("https://klasma.github.io/Logging_2262/klagomål/A 54039-2023 FSC-klagomål.docx", "A 54039-2023")</f>
        <v/>
      </c>
      <c r="W29">
        <f>HYPERLINK("https://klasma.github.io/Logging_2262/klagomålsmail/A 54039-2023 FSC-klagomål mail.docx", "A 54039-2023")</f>
        <v/>
      </c>
      <c r="X29">
        <f>HYPERLINK("https://klasma.github.io/Logging_2262/tillsyn/A 54039-2023 tillsynsbegäran.docx", "A 54039-2023")</f>
        <v/>
      </c>
      <c r="Y29">
        <f>HYPERLINK("https://klasma.github.io/Logging_2262/tillsynsmail/A 54039-2023 tillsynsbegäran mail.docx", "A 54039-2023")</f>
        <v/>
      </c>
    </row>
    <row r="30" ht="15" customHeight="1">
      <c r="A30" t="inlineStr">
        <is>
          <t>A 5069-2024</t>
        </is>
      </c>
      <c r="B30" s="1" t="n">
        <v>45329</v>
      </c>
      <c r="C30" s="1" t="n">
        <v>45574</v>
      </c>
      <c r="D30" t="inlineStr">
        <is>
          <t>VÄSTERNORRLANDS LÄN</t>
        </is>
      </c>
      <c r="E30" t="inlineStr">
        <is>
          <t>TIMRÅ</t>
        </is>
      </c>
      <c r="F30" t="inlineStr">
        <is>
          <t>SCA</t>
        </is>
      </c>
      <c r="G30" t="n">
        <v>3.4</v>
      </c>
      <c r="H30" t="n">
        <v>1</v>
      </c>
      <c r="I30" t="n">
        <v>2</v>
      </c>
      <c r="J30" t="n">
        <v>1</v>
      </c>
      <c r="K30" t="n">
        <v>0</v>
      </c>
      <c r="L30" t="n">
        <v>0</v>
      </c>
      <c r="M30" t="n">
        <v>0</v>
      </c>
      <c r="N30" t="n">
        <v>0</v>
      </c>
      <c r="O30" t="n">
        <v>1</v>
      </c>
      <c r="P30" t="n">
        <v>0</v>
      </c>
      <c r="Q30" t="n">
        <v>3</v>
      </c>
      <c r="R30" s="2" t="inlineStr">
        <is>
          <t>Garnlav
Korallrot
Vedticka</t>
        </is>
      </c>
      <c r="S30">
        <f>HYPERLINK("https://klasma.github.io/Logging_2262/artfynd/A 5069-2024 artfynd.xlsx", "A 5069-2024")</f>
        <v/>
      </c>
      <c r="T30">
        <f>HYPERLINK("https://klasma.github.io/Logging_2262/kartor/A 5069-2024 karta.png", "A 5069-2024")</f>
        <v/>
      </c>
      <c r="V30">
        <f>HYPERLINK("https://klasma.github.io/Logging_2262/klagomål/A 5069-2024 FSC-klagomål.docx", "A 5069-2024")</f>
        <v/>
      </c>
      <c r="W30">
        <f>HYPERLINK("https://klasma.github.io/Logging_2262/klagomålsmail/A 5069-2024 FSC-klagomål mail.docx", "A 5069-2024")</f>
        <v/>
      </c>
      <c r="X30">
        <f>HYPERLINK("https://klasma.github.io/Logging_2262/tillsyn/A 5069-2024 tillsynsbegäran.docx", "A 5069-2024")</f>
        <v/>
      </c>
      <c r="Y30">
        <f>HYPERLINK("https://klasma.github.io/Logging_2262/tillsynsmail/A 5069-2024 tillsynsbegäran mail.docx", "A 5069-2024")</f>
        <v/>
      </c>
    </row>
    <row r="31" ht="15" customHeight="1">
      <c r="A31" t="inlineStr">
        <is>
          <t>A 21846-2024</t>
        </is>
      </c>
      <c r="B31" s="1" t="n">
        <v>45442</v>
      </c>
      <c r="C31" s="1" t="n">
        <v>45574</v>
      </c>
      <c r="D31" t="inlineStr">
        <is>
          <t>VÄSTERNORRLANDS LÄN</t>
        </is>
      </c>
      <c r="E31" t="inlineStr">
        <is>
          <t>TIMRÅ</t>
        </is>
      </c>
      <c r="F31" t="inlineStr">
        <is>
          <t>SCA</t>
        </is>
      </c>
      <c r="G31" t="n">
        <v>2.6</v>
      </c>
      <c r="H31" t="n">
        <v>1</v>
      </c>
      <c r="I31" t="n">
        <v>0</v>
      </c>
      <c r="J31" t="n">
        <v>3</v>
      </c>
      <c r="K31" t="n">
        <v>0</v>
      </c>
      <c r="L31" t="n">
        <v>0</v>
      </c>
      <c r="M31" t="n">
        <v>0</v>
      </c>
      <c r="N31" t="n">
        <v>0</v>
      </c>
      <c r="O31" t="n">
        <v>3</v>
      </c>
      <c r="P31" t="n">
        <v>0</v>
      </c>
      <c r="Q31" t="n">
        <v>3</v>
      </c>
      <c r="R31" s="2" t="inlineStr">
        <is>
          <t>Garnlav
Tretåig hackspett
Vedflamlav</t>
        </is>
      </c>
      <c r="S31">
        <f>HYPERLINK("https://klasma.github.io/Logging_2262/artfynd/A 21846-2024 artfynd.xlsx", "A 21846-2024")</f>
        <v/>
      </c>
      <c r="T31">
        <f>HYPERLINK("https://klasma.github.io/Logging_2262/kartor/A 21846-2024 karta.png", "A 21846-2024")</f>
        <v/>
      </c>
      <c r="V31">
        <f>HYPERLINK("https://klasma.github.io/Logging_2262/klagomål/A 21846-2024 FSC-klagomål.docx", "A 21846-2024")</f>
        <v/>
      </c>
      <c r="W31">
        <f>HYPERLINK("https://klasma.github.io/Logging_2262/klagomålsmail/A 21846-2024 FSC-klagomål mail.docx", "A 21846-2024")</f>
        <v/>
      </c>
      <c r="X31">
        <f>HYPERLINK("https://klasma.github.io/Logging_2262/tillsyn/A 21846-2024 tillsynsbegäran.docx", "A 21846-2024")</f>
        <v/>
      </c>
      <c r="Y31">
        <f>HYPERLINK("https://klasma.github.io/Logging_2262/tillsynsmail/A 21846-2024 tillsynsbegäran mail.docx", "A 21846-2024")</f>
        <v/>
      </c>
      <c r="Z31">
        <f>HYPERLINK("https://klasma.github.io/Logging_2262/fåglar/A 21846-2024 prioriterade fågelarter.docx", "A 21846-2024")</f>
        <v/>
      </c>
    </row>
    <row r="32" ht="15" customHeight="1">
      <c r="A32" t="inlineStr">
        <is>
          <t>A 18510-2021</t>
        </is>
      </c>
      <c r="B32" s="1" t="n">
        <v>44306</v>
      </c>
      <c r="C32" s="1" t="n">
        <v>45574</v>
      </c>
      <c r="D32" t="inlineStr">
        <is>
          <t>VÄSTERNORRLANDS LÄN</t>
        </is>
      </c>
      <c r="E32" t="inlineStr">
        <is>
          <t>TIMRÅ</t>
        </is>
      </c>
      <c r="G32" t="n">
        <v>28</v>
      </c>
      <c r="H32" t="n">
        <v>1</v>
      </c>
      <c r="I32" t="n">
        <v>1</v>
      </c>
      <c r="J32" t="n">
        <v>1</v>
      </c>
      <c r="K32" t="n">
        <v>0</v>
      </c>
      <c r="L32" t="n">
        <v>0</v>
      </c>
      <c r="M32" t="n">
        <v>0</v>
      </c>
      <c r="N32" t="n">
        <v>0</v>
      </c>
      <c r="O32" t="n">
        <v>1</v>
      </c>
      <c r="P32" t="n">
        <v>0</v>
      </c>
      <c r="Q32" t="n">
        <v>2</v>
      </c>
      <c r="R32" s="2" t="inlineStr">
        <is>
          <t>Sötgräs
Strutbräken</t>
        </is>
      </c>
      <c r="S32">
        <f>HYPERLINK("https://klasma.github.io/Logging_2262/artfynd/A 18510-2021 artfynd.xlsx", "A 18510-2021")</f>
        <v/>
      </c>
      <c r="T32">
        <f>HYPERLINK("https://klasma.github.io/Logging_2262/kartor/A 18510-2021 karta.png", "A 18510-2021")</f>
        <v/>
      </c>
      <c r="V32">
        <f>HYPERLINK("https://klasma.github.io/Logging_2262/klagomål/A 18510-2021 FSC-klagomål.docx", "A 18510-2021")</f>
        <v/>
      </c>
      <c r="W32">
        <f>HYPERLINK("https://klasma.github.io/Logging_2262/klagomålsmail/A 18510-2021 FSC-klagomål mail.docx", "A 18510-2021")</f>
        <v/>
      </c>
      <c r="X32">
        <f>HYPERLINK("https://klasma.github.io/Logging_2262/tillsyn/A 18510-2021 tillsynsbegäran.docx", "A 18510-2021")</f>
        <v/>
      </c>
      <c r="Y32">
        <f>HYPERLINK("https://klasma.github.io/Logging_2262/tillsynsmail/A 18510-2021 tillsynsbegäran mail.docx", "A 18510-2021")</f>
        <v/>
      </c>
    </row>
    <row r="33" ht="15" customHeight="1">
      <c r="A33" t="inlineStr">
        <is>
          <t>A 23222-2022</t>
        </is>
      </c>
      <c r="B33" s="1" t="n">
        <v>44719</v>
      </c>
      <c r="C33" s="1" t="n">
        <v>45574</v>
      </c>
      <c r="D33" t="inlineStr">
        <is>
          <t>VÄSTERNORRLANDS LÄN</t>
        </is>
      </c>
      <c r="E33" t="inlineStr">
        <is>
          <t>TIMRÅ</t>
        </is>
      </c>
      <c r="F33" t="inlineStr">
        <is>
          <t>SCA</t>
        </is>
      </c>
      <c r="G33" t="n">
        <v>4</v>
      </c>
      <c r="H33" t="n">
        <v>0</v>
      </c>
      <c r="I33" t="n">
        <v>0</v>
      </c>
      <c r="J33" t="n">
        <v>2</v>
      </c>
      <c r="K33" t="n">
        <v>0</v>
      </c>
      <c r="L33" t="n">
        <v>0</v>
      </c>
      <c r="M33" t="n">
        <v>0</v>
      </c>
      <c r="N33" t="n">
        <v>0</v>
      </c>
      <c r="O33" t="n">
        <v>2</v>
      </c>
      <c r="P33" t="n">
        <v>0</v>
      </c>
      <c r="Q33" t="n">
        <v>2</v>
      </c>
      <c r="R33" s="2" t="inlineStr">
        <is>
          <t>Gammelgransskål
Garnlav</t>
        </is>
      </c>
      <c r="S33">
        <f>HYPERLINK("https://klasma.github.io/Logging_2262/artfynd/A 23222-2022 artfynd.xlsx", "A 23222-2022")</f>
        <v/>
      </c>
      <c r="T33">
        <f>HYPERLINK("https://klasma.github.io/Logging_2262/kartor/A 23222-2022 karta.png", "A 23222-2022")</f>
        <v/>
      </c>
      <c r="V33">
        <f>HYPERLINK("https://klasma.github.io/Logging_2262/klagomål/A 23222-2022 FSC-klagomål.docx", "A 23222-2022")</f>
        <v/>
      </c>
      <c r="W33">
        <f>HYPERLINK("https://klasma.github.io/Logging_2262/klagomålsmail/A 23222-2022 FSC-klagomål mail.docx", "A 23222-2022")</f>
        <v/>
      </c>
      <c r="X33">
        <f>HYPERLINK("https://klasma.github.io/Logging_2262/tillsyn/A 23222-2022 tillsynsbegäran.docx", "A 23222-2022")</f>
        <v/>
      </c>
      <c r="Y33">
        <f>HYPERLINK("https://klasma.github.io/Logging_2262/tillsynsmail/A 23222-2022 tillsynsbegäran mail.docx", "A 23222-2022")</f>
        <v/>
      </c>
    </row>
    <row r="34" ht="15" customHeight="1">
      <c r="A34" t="inlineStr">
        <is>
          <t>A 30246-2022</t>
        </is>
      </c>
      <c r="B34" s="1" t="n">
        <v>44758</v>
      </c>
      <c r="C34" s="1" t="n">
        <v>45574</v>
      </c>
      <c r="D34" t="inlineStr">
        <is>
          <t>VÄSTERNORRLANDS LÄN</t>
        </is>
      </c>
      <c r="E34" t="inlineStr">
        <is>
          <t>TIMRÅ</t>
        </is>
      </c>
      <c r="F34" t="inlineStr">
        <is>
          <t>SCA</t>
        </is>
      </c>
      <c r="G34" t="n">
        <v>0.8</v>
      </c>
      <c r="H34" t="n">
        <v>1</v>
      </c>
      <c r="I34" t="n">
        <v>0</v>
      </c>
      <c r="J34" t="n">
        <v>1</v>
      </c>
      <c r="K34" t="n">
        <v>0</v>
      </c>
      <c r="L34" t="n">
        <v>0</v>
      </c>
      <c r="M34" t="n">
        <v>0</v>
      </c>
      <c r="N34" t="n">
        <v>0</v>
      </c>
      <c r="O34" t="n">
        <v>1</v>
      </c>
      <c r="P34" t="n">
        <v>0</v>
      </c>
      <c r="Q34" t="n">
        <v>2</v>
      </c>
      <c r="R34" s="2" t="inlineStr">
        <is>
          <t>Garnlav
Vanlig padda</t>
        </is>
      </c>
      <c r="S34">
        <f>HYPERLINK("https://klasma.github.io/Logging_2262/artfynd/A 30246-2022 artfynd.xlsx", "A 30246-2022")</f>
        <v/>
      </c>
      <c r="T34">
        <f>HYPERLINK("https://klasma.github.io/Logging_2262/kartor/A 30246-2022 karta.png", "A 30246-2022")</f>
        <v/>
      </c>
      <c r="V34">
        <f>HYPERLINK("https://klasma.github.io/Logging_2262/klagomål/A 30246-2022 FSC-klagomål.docx", "A 30246-2022")</f>
        <v/>
      </c>
      <c r="W34">
        <f>HYPERLINK("https://klasma.github.io/Logging_2262/klagomålsmail/A 30246-2022 FSC-klagomål mail.docx", "A 30246-2022")</f>
        <v/>
      </c>
      <c r="X34">
        <f>HYPERLINK("https://klasma.github.io/Logging_2262/tillsyn/A 30246-2022 tillsynsbegäran.docx", "A 30246-2022")</f>
        <v/>
      </c>
      <c r="Y34">
        <f>HYPERLINK("https://klasma.github.io/Logging_2262/tillsynsmail/A 30246-2022 tillsynsbegäran mail.docx", "A 30246-2022")</f>
        <v/>
      </c>
    </row>
    <row r="35" ht="15" customHeight="1">
      <c r="A35" t="inlineStr">
        <is>
          <t>A 42283-2022</t>
        </is>
      </c>
      <c r="B35" s="1" t="n">
        <v>44830</v>
      </c>
      <c r="C35" s="1" t="n">
        <v>45574</v>
      </c>
      <c r="D35" t="inlineStr">
        <is>
          <t>VÄSTERNORRLANDS LÄN</t>
        </is>
      </c>
      <c r="E35" t="inlineStr">
        <is>
          <t>TIMRÅ</t>
        </is>
      </c>
      <c r="F35" t="inlineStr">
        <is>
          <t>SCA</t>
        </is>
      </c>
      <c r="G35" t="n">
        <v>5.2</v>
      </c>
      <c r="H35" t="n">
        <v>0</v>
      </c>
      <c r="I35" t="n">
        <v>0</v>
      </c>
      <c r="J35" t="n">
        <v>2</v>
      </c>
      <c r="K35" t="n">
        <v>0</v>
      </c>
      <c r="L35" t="n">
        <v>0</v>
      </c>
      <c r="M35" t="n">
        <v>0</v>
      </c>
      <c r="N35" t="n">
        <v>0</v>
      </c>
      <c r="O35" t="n">
        <v>2</v>
      </c>
      <c r="P35" t="n">
        <v>0</v>
      </c>
      <c r="Q35" t="n">
        <v>2</v>
      </c>
      <c r="R35" s="2" t="inlineStr">
        <is>
          <t>Garnlav
Lunglav</t>
        </is>
      </c>
      <c r="S35">
        <f>HYPERLINK("https://klasma.github.io/Logging_2262/artfynd/A 42283-2022 artfynd.xlsx", "A 42283-2022")</f>
        <v/>
      </c>
      <c r="T35">
        <f>HYPERLINK("https://klasma.github.io/Logging_2262/kartor/A 42283-2022 karta.png", "A 42283-2022")</f>
        <v/>
      </c>
      <c r="V35">
        <f>HYPERLINK("https://klasma.github.io/Logging_2262/klagomål/A 42283-2022 FSC-klagomål.docx", "A 42283-2022")</f>
        <v/>
      </c>
      <c r="W35">
        <f>HYPERLINK("https://klasma.github.io/Logging_2262/klagomålsmail/A 42283-2022 FSC-klagomål mail.docx", "A 42283-2022")</f>
        <v/>
      </c>
      <c r="X35">
        <f>HYPERLINK("https://klasma.github.io/Logging_2262/tillsyn/A 42283-2022 tillsynsbegäran.docx", "A 42283-2022")</f>
        <v/>
      </c>
      <c r="Y35">
        <f>HYPERLINK("https://klasma.github.io/Logging_2262/tillsynsmail/A 42283-2022 tillsynsbegäran mail.docx", "A 42283-2022")</f>
        <v/>
      </c>
    </row>
    <row r="36" ht="15" customHeight="1">
      <c r="A36" t="inlineStr">
        <is>
          <t>A 42284-2022</t>
        </is>
      </c>
      <c r="B36" s="1" t="n">
        <v>44830</v>
      </c>
      <c r="C36" s="1" t="n">
        <v>45574</v>
      </c>
      <c r="D36" t="inlineStr">
        <is>
          <t>VÄSTERNORRLANDS LÄN</t>
        </is>
      </c>
      <c r="E36" t="inlineStr">
        <is>
          <t>TIMRÅ</t>
        </is>
      </c>
      <c r="F36" t="inlineStr">
        <is>
          <t>SCA</t>
        </is>
      </c>
      <c r="G36" t="n">
        <v>7.4</v>
      </c>
      <c r="H36" t="n">
        <v>0</v>
      </c>
      <c r="I36" t="n">
        <v>0</v>
      </c>
      <c r="J36" t="n">
        <v>2</v>
      </c>
      <c r="K36" t="n">
        <v>0</v>
      </c>
      <c r="L36" t="n">
        <v>0</v>
      </c>
      <c r="M36" t="n">
        <v>0</v>
      </c>
      <c r="N36" t="n">
        <v>0</v>
      </c>
      <c r="O36" t="n">
        <v>2</v>
      </c>
      <c r="P36" t="n">
        <v>0</v>
      </c>
      <c r="Q36" t="n">
        <v>2</v>
      </c>
      <c r="R36" s="2" t="inlineStr">
        <is>
          <t>Garnlav
Violettgrå tagellav</t>
        </is>
      </c>
      <c r="S36">
        <f>HYPERLINK("https://klasma.github.io/Logging_2262/artfynd/A 42284-2022 artfynd.xlsx", "A 42284-2022")</f>
        <v/>
      </c>
      <c r="T36">
        <f>HYPERLINK("https://klasma.github.io/Logging_2262/kartor/A 42284-2022 karta.png", "A 42284-2022")</f>
        <v/>
      </c>
      <c r="V36">
        <f>HYPERLINK("https://klasma.github.io/Logging_2262/klagomål/A 42284-2022 FSC-klagomål.docx", "A 42284-2022")</f>
        <v/>
      </c>
      <c r="W36">
        <f>HYPERLINK("https://klasma.github.io/Logging_2262/klagomålsmail/A 42284-2022 FSC-klagomål mail.docx", "A 42284-2022")</f>
        <v/>
      </c>
      <c r="X36">
        <f>HYPERLINK("https://klasma.github.io/Logging_2262/tillsyn/A 42284-2022 tillsynsbegäran.docx", "A 42284-2022")</f>
        <v/>
      </c>
      <c r="Y36">
        <f>HYPERLINK("https://klasma.github.io/Logging_2262/tillsynsmail/A 42284-2022 tillsynsbegäran mail.docx", "A 42284-2022")</f>
        <v/>
      </c>
    </row>
    <row r="37" ht="15" customHeight="1">
      <c r="A37" t="inlineStr">
        <is>
          <t>A 42285-2022</t>
        </is>
      </c>
      <c r="B37" s="1" t="n">
        <v>44830</v>
      </c>
      <c r="C37" s="1" t="n">
        <v>45574</v>
      </c>
      <c r="D37" t="inlineStr">
        <is>
          <t>VÄSTERNORRLANDS LÄN</t>
        </is>
      </c>
      <c r="E37" t="inlineStr">
        <is>
          <t>TIMRÅ</t>
        </is>
      </c>
      <c r="F37" t="inlineStr">
        <is>
          <t>SCA</t>
        </is>
      </c>
      <c r="G37" t="n">
        <v>2.9</v>
      </c>
      <c r="H37" t="n">
        <v>0</v>
      </c>
      <c r="I37" t="n">
        <v>2</v>
      </c>
      <c r="J37" t="n">
        <v>0</v>
      </c>
      <c r="K37" t="n">
        <v>0</v>
      </c>
      <c r="L37" t="n">
        <v>0</v>
      </c>
      <c r="M37" t="n">
        <v>0</v>
      </c>
      <c r="N37" t="n">
        <v>0</v>
      </c>
      <c r="O37" t="n">
        <v>0</v>
      </c>
      <c r="P37" t="n">
        <v>0</v>
      </c>
      <c r="Q37" t="n">
        <v>2</v>
      </c>
      <c r="R37" s="2" t="inlineStr">
        <is>
          <t>Korallblylav
Skinnlav</t>
        </is>
      </c>
      <c r="S37">
        <f>HYPERLINK("https://klasma.github.io/Logging_2262/artfynd/A 42285-2022 artfynd.xlsx", "A 42285-2022")</f>
        <v/>
      </c>
      <c r="T37">
        <f>HYPERLINK("https://klasma.github.io/Logging_2262/kartor/A 42285-2022 karta.png", "A 42285-2022")</f>
        <v/>
      </c>
      <c r="V37">
        <f>HYPERLINK("https://klasma.github.io/Logging_2262/klagomål/A 42285-2022 FSC-klagomål.docx", "A 42285-2022")</f>
        <v/>
      </c>
      <c r="W37">
        <f>HYPERLINK("https://klasma.github.io/Logging_2262/klagomålsmail/A 42285-2022 FSC-klagomål mail.docx", "A 42285-2022")</f>
        <v/>
      </c>
      <c r="X37">
        <f>HYPERLINK("https://klasma.github.io/Logging_2262/tillsyn/A 42285-2022 tillsynsbegäran.docx", "A 42285-2022")</f>
        <v/>
      </c>
      <c r="Y37">
        <f>HYPERLINK("https://klasma.github.io/Logging_2262/tillsynsmail/A 42285-2022 tillsynsbegäran mail.docx", "A 42285-2022")</f>
        <v/>
      </c>
    </row>
    <row r="38" ht="15" customHeight="1">
      <c r="A38" t="inlineStr">
        <is>
          <t>A 42889-2022</t>
        </is>
      </c>
      <c r="B38" s="1" t="n">
        <v>44832</v>
      </c>
      <c r="C38" s="1" t="n">
        <v>45574</v>
      </c>
      <c r="D38" t="inlineStr">
        <is>
          <t>VÄSTERNORRLANDS LÄN</t>
        </is>
      </c>
      <c r="E38" t="inlineStr">
        <is>
          <t>TIMRÅ</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HYPERLINK("https://klasma.github.io/Logging_2262/artfynd/A 42889-2022 artfynd.xlsx", "A 42889-2022")</f>
        <v/>
      </c>
      <c r="T38">
        <f>HYPERLINK("https://klasma.github.io/Logging_2262/kartor/A 42889-2022 karta.png", "A 42889-2022")</f>
        <v/>
      </c>
      <c r="V38">
        <f>HYPERLINK("https://klasma.github.io/Logging_2262/klagomål/A 42889-2022 FSC-klagomål.docx", "A 42889-2022")</f>
        <v/>
      </c>
      <c r="W38">
        <f>HYPERLINK("https://klasma.github.io/Logging_2262/klagomålsmail/A 42889-2022 FSC-klagomål mail.docx", "A 42889-2022")</f>
        <v/>
      </c>
      <c r="X38">
        <f>HYPERLINK("https://klasma.github.io/Logging_2262/tillsyn/A 42889-2022 tillsynsbegäran.docx", "A 42889-2022")</f>
        <v/>
      </c>
      <c r="Y38">
        <f>HYPERLINK("https://klasma.github.io/Logging_2262/tillsynsmail/A 42889-2022 tillsynsbegäran mail.docx", "A 42889-2022")</f>
        <v/>
      </c>
      <c r="Z38">
        <f>HYPERLINK("https://klasma.github.io/Logging_2262/fåglar/A 42889-2022 prioriterade fågelarter.docx", "A 42889-2022")</f>
        <v/>
      </c>
    </row>
    <row r="39" ht="15" customHeight="1">
      <c r="A39" t="inlineStr">
        <is>
          <t>A 49202-2022</t>
        </is>
      </c>
      <c r="B39" s="1" t="n">
        <v>44860</v>
      </c>
      <c r="C39" s="1" t="n">
        <v>45574</v>
      </c>
      <c r="D39" t="inlineStr">
        <is>
          <t>VÄSTERNORRLANDS LÄN</t>
        </is>
      </c>
      <c r="E39" t="inlineStr">
        <is>
          <t>TIMRÅ</t>
        </is>
      </c>
      <c r="F39" t="inlineStr">
        <is>
          <t>SCA</t>
        </is>
      </c>
      <c r="G39" t="n">
        <v>2.2</v>
      </c>
      <c r="H39" t="n">
        <v>0</v>
      </c>
      <c r="I39" t="n">
        <v>0</v>
      </c>
      <c r="J39" t="n">
        <v>2</v>
      </c>
      <c r="K39" t="n">
        <v>0</v>
      </c>
      <c r="L39" t="n">
        <v>0</v>
      </c>
      <c r="M39" t="n">
        <v>0</v>
      </c>
      <c r="N39" t="n">
        <v>0</v>
      </c>
      <c r="O39" t="n">
        <v>2</v>
      </c>
      <c r="P39" t="n">
        <v>0</v>
      </c>
      <c r="Q39" t="n">
        <v>2</v>
      </c>
      <c r="R39" s="2" t="inlineStr">
        <is>
          <t>Garnlav
Violettgrå tagellav</t>
        </is>
      </c>
      <c r="S39">
        <f>HYPERLINK("https://klasma.github.io/Logging_2262/artfynd/A 49202-2022 artfynd.xlsx", "A 49202-2022")</f>
        <v/>
      </c>
      <c r="T39">
        <f>HYPERLINK("https://klasma.github.io/Logging_2262/kartor/A 49202-2022 karta.png", "A 49202-2022")</f>
        <v/>
      </c>
      <c r="V39">
        <f>HYPERLINK("https://klasma.github.io/Logging_2262/klagomål/A 49202-2022 FSC-klagomål.docx", "A 49202-2022")</f>
        <v/>
      </c>
      <c r="W39">
        <f>HYPERLINK("https://klasma.github.io/Logging_2262/klagomålsmail/A 49202-2022 FSC-klagomål mail.docx", "A 49202-2022")</f>
        <v/>
      </c>
      <c r="X39">
        <f>HYPERLINK("https://klasma.github.io/Logging_2262/tillsyn/A 49202-2022 tillsynsbegäran.docx", "A 49202-2022")</f>
        <v/>
      </c>
      <c r="Y39">
        <f>HYPERLINK("https://klasma.github.io/Logging_2262/tillsynsmail/A 49202-2022 tillsynsbegäran mail.docx", "A 49202-2022")</f>
        <v/>
      </c>
    </row>
    <row r="40" ht="15" customHeight="1">
      <c r="A40" t="inlineStr">
        <is>
          <t>A 29600-2023</t>
        </is>
      </c>
      <c r="B40" s="1" t="n">
        <v>45106</v>
      </c>
      <c r="C40" s="1" t="n">
        <v>45574</v>
      </c>
      <c r="D40" t="inlineStr">
        <is>
          <t>VÄSTERNORRLANDS LÄN</t>
        </is>
      </c>
      <c r="E40" t="inlineStr">
        <is>
          <t>TIMRÅ</t>
        </is>
      </c>
      <c r="F40" t="inlineStr">
        <is>
          <t>Kyrkan</t>
        </is>
      </c>
      <c r="G40" t="n">
        <v>5</v>
      </c>
      <c r="H40" t="n">
        <v>0</v>
      </c>
      <c r="I40" t="n">
        <v>2</v>
      </c>
      <c r="J40" t="n">
        <v>0</v>
      </c>
      <c r="K40" t="n">
        <v>0</v>
      </c>
      <c r="L40" t="n">
        <v>0</v>
      </c>
      <c r="M40" t="n">
        <v>0</v>
      </c>
      <c r="N40" t="n">
        <v>0</v>
      </c>
      <c r="O40" t="n">
        <v>0</v>
      </c>
      <c r="P40" t="n">
        <v>0</v>
      </c>
      <c r="Q40" t="n">
        <v>2</v>
      </c>
      <c r="R40" s="2" t="inlineStr">
        <is>
          <t>Dvärghäxört
Svart trolldruva</t>
        </is>
      </c>
      <c r="S40">
        <f>HYPERLINK("https://klasma.github.io/Logging_2262/artfynd/A 29600-2023 artfynd.xlsx", "A 29600-2023")</f>
        <v/>
      </c>
      <c r="T40">
        <f>HYPERLINK("https://klasma.github.io/Logging_2262/kartor/A 29600-2023 karta.png", "A 29600-2023")</f>
        <v/>
      </c>
      <c r="V40">
        <f>HYPERLINK("https://klasma.github.io/Logging_2262/klagomål/A 29600-2023 FSC-klagomål.docx", "A 29600-2023")</f>
        <v/>
      </c>
      <c r="W40">
        <f>HYPERLINK("https://klasma.github.io/Logging_2262/klagomålsmail/A 29600-2023 FSC-klagomål mail.docx", "A 29600-2023")</f>
        <v/>
      </c>
      <c r="X40">
        <f>HYPERLINK("https://klasma.github.io/Logging_2262/tillsyn/A 29600-2023 tillsynsbegäran.docx", "A 29600-2023")</f>
        <v/>
      </c>
      <c r="Y40">
        <f>HYPERLINK("https://klasma.github.io/Logging_2262/tillsynsmail/A 29600-2023 tillsynsbegäran mail.docx", "A 29600-2023")</f>
        <v/>
      </c>
    </row>
    <row r="41" ht="15" customHeight="1">
      <c r="A41" t="inlineStr">
        <is>
          <t>A 35003-2023</t>
        </is>
      </c>
      <c r="B41" s="1" t="n">
        <v>45142</v>
      </c>
      <c r="C41" s="1" t="n">
        <v>45574</v>
      </c>
      <c r="D41" t="inlineStr">
        <is>
          <t>VÄSTERNORRLANDS LÄN</t>
        </is>
      </c>
      <c r="E41" t="inlineStr">
        <is>
          <t>TIMRÅ</t>
        </is>
      </c>
      <c r="F41" t="inlineStr">
        <is>
          <t>SCA</t>
        </is>
      </c>
      <c r="G41" t="n">
        <v>1.9</v>
      </c>
      <c r="H41" t="n">
        <v>0</v>
      </c>
      <c r="I41" t="n">
        <v>0</v>
      </c>
      <c r="J41" t="n">
        <v>2</v>
      </c>
      <c r="K41" t="n">
        <v>0</v>
      </c>
      <c r="L41" t="n">
        <v>0</v>
      </c>
      <c r="M41" t="n">
        <v>0</v>
      </c>
      <c r="N41" t="n">
        <v>0</v>
      </c>
      <c r="O41" t="n">
        <v>2</v>
      </c>
      <c r="P41" t="n">
        <v>0</v>
      </c>
      <c r="Q41" t="n">
        <v>2</v>
      </c>
      <c r="R41" s="2" t="inlineStr">
        <is>
          <t>Lunglav
Ullticka</t>
        </is>
      </c>
      <c r="S41">
        <f>HYPERLINK("https://klasma.github.io/Logging_2262/artfynd/A 35003-2023 artfynd.xlsx", "A 35003-2023")</f>
        <v/>
      </c>
      <c r="T41">
        <f>HYPERLINK("https://klasma.github.io/Logging_2262/kartor/A 35003-2023 karta.png", "A 35003-2023")</f>
        <v/>
      </c>
      <c r="V41">
        <f>HYPERLINK("https://klasma.github.io/Logging_2262/klagomål/A 35003-2023 FSC-klagomål.docx", "A 35003-2023")</f>
        <v/>
      </c>
      <c r="W41">
        <f>HYPERLINK("https://klasma.github.io/Logging_2262/klagomålsmail/A 35003-2023 FSC-klagomål mail.docx", "A 35003-2023")</f>
        <v/>
      </c>
      <c r="X41">
        <f>HYPERLINK("https://klasma.github.io/Logging_2262/tillsyn/A 35003-2023 tillsynsbegäran.docx", "A 35003-2023")</f>
        <v/>
      </c>
      <c r="Y41">
        <f>HYPERLINK("https://klasma.github.io/Logging_2262/tillsynsmail/A 35003-2023 tillsynsbegäran mail.docx", "A 35003-2023")</f>
        <v/>
      </c>
    </row>
    <row r="42" ht="15" customHeight="1">
      <c r="A42" t="inlineStr">
        <is>
          <t>A 43413-2023</t>
        </is>
      </c>
      <c r="B42" s="1" t="n">
        <v>45183</v>
      </c>
      <c r="C42" s="1" t="n">
        <v>45574</v>
      </c>
      <c r="D42" t="inlineStr">
        <is>
          <t>VÄSTERNORRLANDS LÄN</t>
        </is>
      </c>
      <c r="E42" t="inlineStr">
        <is>
          <t>TIMRÅ</t>
        </is>
      </c>
      <c r="F42" t="inlineStr">
        <is>
          <t>SCA</t>
        </is>
      </c>
      <c r="G42" t="n">
        <v>4.1</v>
      </c>
      <c r="H42" t="n">
        <v>0</v>
      </c>
      <c r="I42" t="n">
        <v>0</v>
      </c>
      <c r="J42" t="n">
        <v>2</v>
      </c>
      <c r="K42" t="n">
        <v>0</v>
      </c>
      <c r="L42" t="n">
        <v>0</v>
      </c>
      <c r="M42" t="n">
        <v>0</v>
      </c>
      <c r="N42" t="n">
        <v>0</v>
      </c>
      <c r="O42" t="n">
        <v>2</v>
      </c>
      <c r="P42" t="n">
        <v>0</v>
      </c>
      <c r="Q42" t="n">
        <v>2</v>
      </c>
      <c r="R42" s="2" t="inlineStr">
        <is>
          <t>Garnlav
Harticka</t>
        </is>
      </c>
      <c r="S42">
        <f>HYPERLINK("https://klasma.github.io/Logging_2262/artfynd/A 43413-2023 artfynd.xlsx", "A 43413-2023")</f>
        <v/>
      </c>
      <c r="T42">
        <f>HYPERLINK("https://klasma.github.io/Logging_2262/kartor/A 43413-2023 karta.png", "A 43413-2023")</f>
        <v/>
      </c>
      <c r="V42">
        <f>HYPERLINK("https://klasma.github.io/Logging_2262/klagomål/A 43413-2023 FSC-klagomål.docx", "A 43413-2023")</f>
        <v/>
      </c>
      <c r="W42">
        <f>HYPERLINK("https://klasma.github.io/Logging_2262/klagomålsmail/A 43413-2023 FSC-klagomål mail.docx", "A 43413-2023")</f>
        <v/>
      </c>
      <c r="X42">
        <f>HYPERLINK("https://klasma.github.io/Logging_2262/tillsyn/A 43413-2023 tillsynsbegäran.docx", "A 43413-2023")</f>
        <v/>
      </c>
      <c r="Y42">
        <f>HYPERLINK("https://klasma.github.io/Logging_2262/tillsynsmail/A 43413-2023 tillsynsbegäran mail.docx", "A 43413-2023")</f>
        <v/>
      </c>
    </row>
    <row r="43" ht="15" customHeight="1">
      <c r="A43" t="inlineStr">
        <is>
          <t>A 45343-2023</t>
        </is>
      </c>
      <c r="B43" s="1" t="n">
        <v>45191</v>
      </c>
      <c r="C43" s="1" t="n">
        <v>45574</v>
      </c>
      <c r="D43" t="inlineStr">
        <is>
          <t>VÄSTERNORRLANDS LÄN</t>
        </is>
      </c>
      <c r="E43" t="inlineStr">
        <is>
          <t>TIMRÅ</t>
        </is>
      </c>
      <c r="F43" t="inlineStr">
        <is>
          <t>SCA</t>
        </is>
      </c>
      <c r="G43" t="n">
        <v>9.5</v>
      </c>
      <c r="H43" t="n">
        <v>1</v>
      </c>
      <c r="I43" t="n">
        <v>1</v>
      </c>
      <c r="J43" t="n">
        <v>1</v>
      </c>
      <c r="K43" t="n">
        <v>0</v>
      </c>
      <c r="L43" t="n">
        <v>0</v>
      </c>
      <c r="M43" t="n">
        <v>0</v>
      </c>
      <c r="N43" t="n">
        <v>0</v>
      </c>
      <c r="O43" t="n">
        <v>1</v>
      </c>
      <c r="P43" t="n">
        <v>0</v>
      </c>
      <c r="Q43" t="n">
        <v>2</v>
      </c>
      <c r="R43" s="2" t="inlineStr">
        <is>
          <t>Garnlav
Plattlummer</t>
        </is>
      </c>
      <c r="S43">
        <f>HYPERLINK("https://klasma.github.io/Logging_2262/artfynd/A 45343-2023 artfynd.xlsx", "A 45343-2023")</f>
        <v/>
      </c>
      <c r="T43">
        <f>HYPERLINK("https://klasma.github.io/Logging_2262/kartor/A 45343-2023 karta.png", "A 45343-2023")</f>
        <v/>
      </c>
      <c r="V43">
        <f>HYPERLINK("https://klasma.github.io/Logging_2262/klagomål/A 45343-2023 FSC-klagomål.docx", "A 45343-2023")</f>
        <v/>
      </c>
      <c r="W43">
        <f>HYPERLINK("https://klasma.github.io/Logging_2262/klagomålsmail/A 45343-2023 FSC-klagomål mail.docx", "A 45343-2023")</f>
        <v/>
      </c>
      <c r="X43">
        <f>HYPERLINK("https://klasma.github.io/Logging_2262/tillsyn/A 45343-2023 tillsynsbegäran.docx", "A 45343-2023")</f>
        <v/>
      </c>
      <c r="Y43">
        <f>HYPERLINK("https://klasma.github.io/Logging_2262/tillsynsmail/A 45343-2023 tillsynsbegäran mail.docx", "A 45343-2023")</f>
        <v/>
      </c>
    </row>
    <row r="44" ht="15" customHeight="1">
      <c r="A44" t="inlineStr">
        <is>
          <t>A 45737-2023</t>
        </is>
      </c>
      <c r="B44" s="1" t="n">
        <v>45195</v>
      </c>
      <c r="C44" s="1" t="n">
        <v>45574</v>
      </c>
      <c r="D44" t="inlineStr">
        <is>
          <t>VÄSTERNORRLANDS LÄN</t>
        </is>
      </c>
      <c r="E44" t="inlineStr">
        <is>
          <t>TIMRÅ</t>
        </is>
      </c>
      <c r="G44" t="n">
        <v>1.6</v>
      </c>
      <c r="H44" t="n">
        <v>0</v>
      </c>
      <c r="I44" t="n">
        <v>2</v>
      </c>
      <c r="J44" t="n">
        <v>0</v>
      </c>
      <c r="K44" t="n">
        <v>0</v>
      </c>
      <c r="L44" t="n">
        <v>0</v>
      </c>
      <c r="M44" t="n">
        <v>0</v>
      </c>
      <c r="N44" t="n">
        <v>0</v>
      </c>
      <c r="O44" t="n">
        <v>0</v>
      </c>
      <c r="P44" t="n">
        <v>0</v>
      </c>
      <c r="Q44" t="n">
        <v>2</v>
      </c>
      <c r="R44" s="2" t="inlineStr">
        <is>
          <t>Strutbräken
Svart trolldruva</t>
        </is>
      </c>
      <c r="S44">
        <f>HYPERLINK("https://klasma.github.io/Logging_2262/artfynd/A 45737-2023 artfynd.xlsx", "A 45737-2023")</f>
        <v/>
      </c>
      <c r="T44">
        <f>HYPERLINK("https://klasma.github.io/Logging_2262/kartor/A 45737-2023 karta.png", "A 45737-2023")</f>
        <v/>
      </c>
      <c r="V44">
        <f>HYPERLINK("https://klasma.github.io/Logging_2262/klagomål/A 45737-2023 FSC-klagomål.docx", "A 45737-2023")</f>
        <v/>
      </c>
      <c r="W44">
        <f>HYPERLINK("https://klasma.github.io/Logging_2262/klagomålsmail/A 45737-2023 FSC-klagomål mail.docx", "A 45737-2023")</f>
        <v/>
      </c>
      <c r="X44">
        <f>HYPERLINK("https://klasma.github.io/Logging_2262/tillsyn/A 45737-2023 tillsynsbegäran.docx", "A 45737-2023")</f>
        <v/>
      </c>
      <c r="Y44">
        <f>HYPERLINK("https://klasma.github.io/Logging_2262/tillsynsmail/A 45737-2023 tillsynsbegäran mail.docx", "A 45737-2023")</f>
        <v/>
      </c>
    </row>
    <row r="45" ht="15" customHeight="1">
      <c r="A45" t="inlineStr">
        <is>
          <t>A 8694-2024</t>
        </is>
      </c>
      <c r="B45" s="1" t="n">
        <v>45352</v>
      </c>
      <c r="C45" s="1" t="n">
        <v>45574</v>
      </c>
      <c r="D45" t="inlineStr">
        <is>
          <t>VÄSTERNORRLANDS LÄN</t>
        </is>
      </c>
      <c r="E45" t="inlineStr">
        <is>
          <t>TIMRÅ</t>
        </is>
      </c>
      <c r="G45" t="n">
        <v>3.8</v>
      </c>
      <c r="H45" t="n">
        <v>0</v>
      </c>
      <c r="I45" t="n">
        <v>1</v>
      </c>
      <c r="J45" t="n">
        <v>1</v>
      </c>
      <c r="K45" t="n">
        <v>0</v>
      </c>
      <c r="L45" t="n">
        <v>0</v>
      </c>
      <c r="M45" t="n">
        <v>0</v>
      </c>
      <c r="N45" t="n">
        <v>0</v>
      </c>
      <c r="O45" t="n">
        <v>1</v>
      </c>
      <c r="P45" t="n">
        <v>0</v>
      </c>
      <c r="Q45" t="n">
        <v>2</v>
      </c>
      <c r="R45" s="2" t="inlineStr">
        <is>
          <t>Veckticka
Stor aspticka</t>
        </is>
      </c>
      <c r="S45">
        <f>HYPERLINK("https://klasma.github.io/Logging_2262/artfynd/A 8694-2024 artfynd.xlsx", "A 8694-2024")</f>
        <v/>
      </c>
      <c r="T45">
        <f>HYPERLINK("https://klasma.github.io/Logging_2262/kartor/A 8694-2024 karta.png", "A 8694-2024")</f>
        <v/>
      </c>
      <c r="V45">
        <f>HYPERLINK("https://klasma.github.io/Logging_2262/klagomål/A 8694-2024 FSC-klagomål.docx", "A 8694-2024")</f>
        <v/>
      </c>
      <c r="W45">
        <f>HYPERLINK("https://klasma.github.io/Logging_2262/klagomålsmail/A 8694-2024 FSC-klagomål mail.docx", "A 8694-2024")</f>
        <v/>
      </c>
      <c r="X45">
        <f>HYPERLINK("https://klasma.github.io/Logging_2262/tillsyn/A 8694-2024 tillsynsbegäran.docx", "A 8694-2024")</f>
        <v/>
      </c>
      <c r="Y45">
        <f>HYPERLINK("https://klasma.github.io/Logging_2262/tillsynsmail/A 8694-2024 tillsynsbegäran mail.docx", "A 8694-2024")</f>
        <v/>
      </c>
    </row>
    <row r="46" ht="15" customHeight="1">
      <c r="A46" t="inlineStr">
        <is>
          <t>A 16254-2024</t>
        </is>
      </c>
      <c r="B46" s="1" t="n">
        <v>45407</v>
      </c>
      <c r="C46" s="1" t="n">
        <v>45574</v>
      </c>
      <c r="D46" t="inlineStr">
        <is>
          <t>VÄSTERNORRLANDS LÄN</t>
        </is>
      </c>
      <c r="E46" t="inlineStr">
        <is>
          <t>TIMRÅ</t>
        </is>
      </c>
      <c r="F46" t="inlineStr">
        <is>
          <t>SCA</t>
        </is>
      </c>
      <c r="G46" t="n">
        <v>44.8</v>
      </c>
      <c r="H46" t="n">
        <v>2</v>
      </c>
      <c r="I46" t="n">
        <v>0</v>
      </c>
      <c r="J46" t="n">
        <v>0</v>
      </c>
      <c r="K46" t="n">
        <v>0</v>
      </c>
      <c r="L46" t="n">
        <v>0</v>
      </c>
      <c r="M46" t="n">
        <v>0</v>
      </c>
      <c r="N46" t="n">
        <v>0</v>
      </c>
      <c r="O46" t="n">
        <v>0</v>
      </c>
      <c r="P46" t="n">
        <v>0</v>
      </c>
      <c r="Q46" t="n">
        <v>2</v>
      </c>
      <c r="R46" s="2" t="inlineStr">
        <is>
          <t>Tjäder
Blåsippa</t>
        </is>
      </c>
      <c r="S46">
        <f>HYPERLINK("https://klasma.github.io/Logging_2262/artfynd/A 16254-2024 artfynd.xlsx", "A 16254-2024")</f>
        <v/>
      </c>
      <c r="T46">
        <f>HYPERLINK("https://klasma.github.io/Logging_2262/kartor/A 16254-2024 karta.png", "A 16254-2024")</f>
        <v/>
      </c>
      <c r="U46">
        <f>HYPERLINK("https://klasma.github.io/Logging_2262/knärot/A 16254-2024 karta knärot.png", "A 16254-2024")</f>
        <v/>
      </c>
      <c r="V46">
        <f>HYPERLINK("https://klasma.github.io/Logging_2262/klagomål/A 16254-2024 FSC-klagomål.docx", "A 16254-2024")</f>
        <v/>
      </c>
      <c r="W46">
        <f>HYPERLINK("https://klasma.github.io/Logging_2262/klagomålsmail/A 16254-2024 FSC-klagomål mail.docx", "A 16254-2024")</f>
        <v/>
      </c>
      <c r="X46">
        <f>HYPERLINK("https://klasma.github.io/Logging_2262/tillsyn/A 16254-2024 tillsynsbegäran.docx", "A 16254-2024")</f>
        <v/>
      </c>
      <c r="Y46">
        <f>HYPERLINK("https://klasma.github.io/Logging_2262/tillsynsmail/A 16254-2024 tillsynsbegäran mail.docx", "A 16254-2024")</f>
        <v/>
      </c>
      <c r="Z46">
        <f>HYPERLINK("https://klasma.github.io/Logging_2262/fåglar/A 16254-2024 prioriterade fågelarter.docx", "A 16254-2024")</f>
        <v/>
      </c>
    </row>
    <row r="47" ht="15" customHeight="1">
      <c r="A47" t="inlineStr">
        <is>
          <t>A 19449-2024</t>
        </is>
      </c>
      <c r="B47" s="1" t="n">
        <v>45429</v>
      </c>
      <c r="C47" s="1" t="n">
        <v>45574</v>
      </c>
      <c r="D47" t="inlineStr">
        <is>
          <t>VÄSTERNORRLANDS LÄN</t>
        </is>
      </c>
      <c r="E47" t="inlineStr">
        <is>
          <t>TIMRÅ</t>
        </is>
      </c>
      <c r="G47" t="n">
        <v>2.5</v>
      </c>
      <c r="H47" t="n">
        <v>2</v>
      </c>
      <c r="I47" t="n">
        <v>0</v>
      </c>
      <c r="J47" t="n">
        <v>1</v>
      </c>
      <c r="K47" t="n">
        <v>0</v>
      </c>
      <c r="L47" t="n">
        <v>0</v>
      </c>
      <c r="M47" t="n">
        <v>0</v>
      </c>
      <c r="N47" t="n">
        <v>0</v>
      </c>
      <c r="O47" t="n">
        <v>1</v>
      </c>
      <c r="P47" t="n">
        <v>0</v>
      </c>
      <c r="Q47" t="n">
        <v>2</v>
      </c>
      <c r="R47" s="2" t="inlineStr">
        <is>
          <t>Hornuggla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39800-2024</t>
        </is>
      </c>
      <c r="B48" s="1" t="n">
        <v>45553</v>
      </c>
      <c r="C48" s="1" t="n">
        <v>45574</v>
      </c>
      <c r="D48" t="inlineStr">
        <is>
          <t>VÄSTERNORRLANDS LÄN</t>
        </is>
      </c>
      <c r="E48" t="inlineStr">
        <is>
          <t>TIMRÅ</t>
        </is>
      </c>
      <c r="F48" t="inlineStr">
        <is>
          <t>SCA</t>
        </is>
      </c>
      <c r="G48" t="n">
        <v>2.9</v>
      </c>
      <c r="H48" t="n">
        <v>0</v>
      </c>
      <c r="I48" t="n">
        <v>1</v>
      </c>
      <c r="J48" t="n">
        <v>1</v>
      </c>
      <c r="K48" t="n">
        <v>0</v>
      </c>
      <c r="L48" t="n">
        <v>0</v>
      </c>
      <c r="M48" t="n">
        <v>0</v>
      </c>
      <c r="N48" t="n">
        <v>0</v>
      </c>
      <c r="O48" t="n">
        <v>1</v>
      </c>
      <c r="P48" t="n">
        <v>0</v>
      </c>
      <c r="Q48" t="n">
        <v>2</v>
      </c>
      <c r="R48" s="2" t="inlineStr">
        <is>
          <t>Garnlav
Vedticka</t>
        </is>
      </c>
      <c r="S48">
        <f>HYPERLINK("https://klasma.github.io/Logging_2262/artfynd/A 39800-2024 artfynd.xlsx", "A 39800-2024")</f>
        <v/>
      </c>
      <c r="T48">
        <f>HYPERLINK("https://klasma.github.io/Logging_2262/kartor/A 39800-2024 karta.png", "A 39800-2024")</f>
        <v/>
      </c>
      <c r="V48">
        <f>HYPERLINK("https://klasma.github.io/Logging_2262/klagomål/A 39800-2024 FSC-klagomål.docx", "A 39800-2024")</f>
        <v/>
      </c>
      <c r="W48">
        <f>HYPERLINK("https://klasma.github.io/Logging_2262/klagomålsmail/A 39800-2024 FSC-klagomål mail.docx", "A 39800-2024")</f>
        <v/>
      </c>
      <c r="X48">
        <f>HYPERLINK("https://klasma.github.io/Logging_2262/tillsyn/A 39800-2024 tillsynsbegäran.docx", "A 39800-2024")</f>
        <v/>
      </c>
      <c r="Y48">
        <f>HYPERLINK("https://klasma.github.io/Logging_2262/tillsynsmail/A 39800-2024 tillsynsbegäran mail.docx", "A 39800-2024")</f>
        <v/>
      </c>
    </row>
    <row r="49" ht="15" customHeight="1">
      <c r="A49" t="inlineStr">
        <is>
          <t>A 41784-2024</t>
        </is>
      </c>
      <c r="B49" s="1" t="n">
        <v>45561</v>
      </c>
      <c r="C49" s="1" t="n">
        <v>45574</v>
      </c>
      <c r="D49" t="inlineStr">
        <is>
          <t>VÄSTERNORRLANDS LÄN</t>
        </is>
      </c>
      <c r="E49" t="inlineStr">
        <is>
          <t>TIMRÅ</t>
        </is>
      </c>
      <c r="F49" t="inlineStr">
        <is>
          <t>SCA</t>
        </is>
      </c>
      <c r="G49" t="n">
        <v>10.7</v>
      </c>
      <c r="H49" t="n">
        <v>1</v>
      </c>
      <c r="I49" t="n">
        <v>0</v>
      </c>
      <c r="J49" t="n">
        <v>1</v>
      </c>
      <c r="K49" t="n">
        <v>1</v>
      </c>
      <c r="L49" t="n">
        <v>0</v>
      </c>
      <c r="M49" t="n">
        <v>0</v>
      </c>
      <c r="N49" t="n">
        <v>0</v>
      </c>
      <c r="O49" t="n">
        <v>2</v>
      </c>
      <c r="P49" t="n">
        <v>1</v>
      </c>
      <c r="Q49" t="n">
        <v>2</v>
      </c>
      <c r="R49" s="2" t="inlineStr">
        <is>
          <t>Knärot
Koralltaggsvamp</t>
        </is>
      </c>
      <c r="S49">
        <f>HYPERLINK("https://klasma.github.io/Logging_2262/artfynd/A 41784-2024 artfynd.xlsx", "A 41784-2024")</f>
        <v/>
      </c>
      <c r="T49">
        <f>HYPERLINK("https://klasma.github.io/Logging_2262/kartor/A 41784-2024 karta.png", "A 41784-2024")</f>
        <v/>
      </c>
      <c r="U49">
        <f>HYPERLINK("https://klasma.github.io/Logging_2262/knärot/A 41784-2024 karta knärot.png", "A 41784-2024")</f>
        <v/>
      </c>
      <c r="V49">
        <f>HYPERLINK("https://klasma.github.io/Logging_2262/klagomål/A 41784-2024 FSC-klagomål.docx", "A 41784-2024")</f>
        <v/>
      </c>
      <c r="W49">
        <f>HYPERLINK("https://klasma.github.io/Logging_2262/klagomålsmail/A 41784-2024 FSC-klagomål mail.docx", "A 41784-2024")</f>
        <v/>
      </c>
      <c r="X49">
        <f>HYPERLINK("https://klasma.github.io/Logging_2262/tillsyn/A 41784-2024 tillsynsbegäran.docx", "A 41784-2024")</f>
        <v/>
      </c>
      <c r="Y49">
        <f>HYPERLINK("https://klasma.github.io/Logging_2262/tillsynsmail/A 41784-2024 tillsynsbegäran mail.docx", "A 41784-2024")</f>
        <v/>
      </c>
    </row>
    <row r="50" ht="15" customHeight="1">
      <c r="A50" t="inlineStr">
        <is>
          <t>A 66710-2019</t>
        </is>
      </c>
      <c r="B50" s="1" t="n">
        <v>43809</v>
      </c>
      <c r="C50" s="1" t="n">
        <v>45574</v>
      </c>
      <c r="D50" t="inlineStr">
        <is>
          <t>VÄSTERNORRLANDS LÄN</t>
        </is>
      </c>
      <c r="E50" t="inlineStr">
        <is>
          <t>TIMRÅ</t>
        </is>
      </c>
      <c r="G50" t="n">
        <v>2.9</v>
      </c>
      <c r="H50" t="n">
        <v>0</v>
      </c>
      <c r="I50" t="n">
        <v>0</v>
      </c>
      <c r="J50" t="n">
        <v>1</v>
      </c>
      <c r="K50" t="n">
        <v>0</v>
      </c>
      <c r="L50" t="n">
        <v>0</v>
      </c>
      <c r="M50" t="n">
        <v>0</v>
      </c>
      <c r="N50" t="n">
        <v>0</v>
      </c>
      <c r="O50" t="n">
        <v>1</v>
      </c>
      <c r="P50" t="n">
        <v>0</v>
      </c>
      <c r="Q50" t="n">
        <v>1</v>
      </c>
      <c r="R50" s="2" t="inlineStr">
        <is>
          <t>Ullticka</t>
        </is>
      </c>
      <c r="S50">
        <f>HYPERLINK("https://klasma.github.io/Logging_2262/artfynd/A 66710-2019 artfynd.xlsx", "A 66710-2019")</f>
        <v/>
      </c>
      <c r="T50">
        <f>HYPERLINK("https://klasma.github.io/Logging_2262/kartor/A 66710-2019 karta.png", "A 66710-2019")</f>
        <v/>
      </c>
      <c r="V50">
        <f>HYPERLINK("https://klasma.github.io/Logging_2262/klagomål/A 66710-2019 FSC-klagomål.docx", "A 66710-2019")</f>
        <v/>
      </c>
      <c r="W50">
        <f>HYPERLINK("https://klasma.github.io/Logging_2262/klagomålsmail/A 66710-2019 FSC-klagomål mail.docx", "A 66710-2019")</f>
        <v/>
      </c>
      <c r="X50">
        <f>HYPERLINK("https://klasma.github.io/Logging_2262/tillsyn/A 66710-2019 tillsynsbegäran.docx", "A 66710-2019")</f>
        <v/>
      </c>
      <c r="Y50">
        <f>HYPERLINK("https://klasma.github.io/Logging_2262/tillsynsmail/A 66710-2019 tillsynsbegäran mail.docx", "A 66710-2019")</f>
        <v/>
      </c>
    </row>
    <row r="51" ht="15" customHeight="1">
      <c r="A51" t="inlineStr">
        <is>
          <t>A 24277-2020</t>
        </is>
      </c>
      <c r="B51" s="1" t="n">
        <v>43971</v>
      </c>
      <c r="C51" s="1" t="n">
        <v>45574</v>
      </c>
      <c r="D51" t="inlineStr">
        <is>
          <t>VÄSTERNORRLANDS LÄN</t>
        </is>
      </c>
      <c r="E51" t="inlineStr">
        <is>
          <t>TIMRÅ</t>
        </is>
      </c>
      <c r="G51" t="n">
        <v>6</v>
      </c>
      <c r="H51" t="n">
        <v>1</v>
      </c>
      <c r="I51" t="n">
        <v>0</v>
      </c>
      <c r="J51" t="n">
        <v>0</v>
      </c>
      <c r="K51" t="n">
        <v>1</v>
      </c>
      <c r="L51" t="n">
        <v>0</v>
      </c>
      <c r="M51" t="n">
        <v>0</v>
      </c>
      <c r="N51" t="n">
        <v>0</v>
      </c>
      <c r="O51" t="n">
        <v>1</v>
      </c>
      <c r="P51" t="n">
        <v>1</v>
      </c>
      <c r="Q51" t="n">
        <v>1</v>
      </c>
      <c r="R51" s="2" t="inlineStr">
        <is>
          <t>Bergviol</t>
        </is>
      </c>
      <c r="S51">
        <f>HYPERLINK("https://klasma.github.io/Logging_2262/artfynd/A 24277-2020 artfynd.xlsx", "A 24277-2020")</f>
        <v/>
      </c>
      <c r="T51">
        <f>HYPERLINK("https://klasma.github.io/Logging_2262/kartor/A 24277-2020 karta.png", "A 24277-2020")</f>
        <v/>
      </c>
      <c r="V51">
        <f>HYPERLINK("https://klasma.github.io/Logging_2262/klagomål/A 24277-2020 FSC-klagomål.docx", "A 24277-2020")</f>
        <v/>
      </c>
      <c r="W51">
        <f>HYPERLINK("https://klasma.github.io/Logging_2262/klagomålsmail/A 24277-2020 FSC-klagomål mail.docx", "A 24277-2020")</f>
        <v/>
      </c>
      <c r="X51">
        <f>HYPERLINK("https://klasma.github.io/Logging_2262/tillsyn/A 24277-2020 tillsynsbegäran.docx", "A 24277-2020")</f>
        <v/>
      </c>
      <c r="Y51">
        <f>HYPERLINK("https://klasma.github.io/Logging_2262/tillsynsmail/A 24277-2020 tillsynsbegäran mail.docx", "A 24277-2020")</f>
        <v/>
      </c>
    </row>
    <row r="52" ht="15" customHeight="1">
      <c r="A52" t="inlineStr">
        <is>
          <t>A 27879-2020</t>
        </is>
      </c>
      <c r="B52" s="1" t="n">
        <v>43994</v>
      </c>
      <c r="C52" s="1" t="n">
        <v>45574</v>
      </c>
      <c r="D52" t="inlineStr">
        <is>
          <t>VÄSTERNORRLANDS LÄN</t>
        </is>
      </c>
      <c r="E52" t="inlineStr">
        <is>
          <t>TIMRÅ</t>
        </is>
      </c>
      <c r="G52" t="n">
        <v>5.5</v>
      </c>
      <c r="H52" t="n">
        <v>1</v>
      </c>
      <c r="I52" t="n">
        <v>0</v>
      </c>
      <c r="J52" t="n">
        <v>0</v>
      </c>
      <c r="K52" t="n">
        <v>0</v>
      </c>
      <c r="L52" t="n">
        <v>0</v>
      </c>
      <c r="M52" t="n">
        <v>0</v>
      </c>
      <c r="N52" t="n">
        <v>0</v>
      </c>
      <c r="O52" t="n">
        <v>0</v>
      </c>
      <c r="P52" t="n">
        <v>0</v>
      </c>
      <c r="Q52" t="n">
        <v>1</v>
      </c>
      <c r="R52" s="2" t="inlineStr">
        <is>
          <t>Mindre vattensalamander</t>
        </is>
      </c>
      <c r="S52">
        <f>HYPERLINK("https://klasma.github.io/Logging_2262/artfynd/A 27879-2020 artfynd.xlsx", "A 27879-2020")</f>
        <v/>
      </c>
      <c r="T52">
        <f>HYPERLINK("https://klasma.github.io/Logging_2262/kartor/A 27879-2020 karta.png", "A 27879-2020")</f>
        <v/>
      </c>
      <c r="V52">
        <f>HYPERLINK("https://klasma.github.io/Logging_2262/klagomål/A 27879-2020 FSC-klagomål.docx", "A 27879-2020")</f>
        <v/>
      </c>
      <c r="W52">
        <f>HYPERLINK("https://klasma.github.io/Logging_2262/klagomålsmail/A 27879-2020 FSC-klagomål mail.docx", "A 27879-2020")</f>
        <v/>
      </c>
      <c r="X52">
        <f>HYPERLINK("https://klasma.github.io/Logging_2262/tillsyn/A 27879-2020 tillsynsbegäran.docx", "A 27879-2020")</f>
        <v/>
      </c>
      <c r="Y52">
        <f>HYPERLINK("https://klasma.github.io/Logging_2262/tillsynsmail/A 27879-2020 tillsynsbegäran mail.docx", "A 27879-2020")</f>
        <v/>
      </c>
    </row>
    <row r="53" ht="15" customHeight="1">
      <c r="A53" t="inlineStr">
        <is>
          <t>A 40407-2020</t>
        </is>
      </c>
      <c r="B53" s="1" t="n">
        <v>44068</v>
      </c>
      <c r="C53" s="1" t="n">
        <v>45574</v>
      </c>
      <c r="D53" t="inlineStr">
        <is>
          <t>VÄSTERNORRLANDS LÄN</t>
        </is>
      </c>
      <c r="E53" t="inlineStr">
        <is>
          <t>TIMRÅ</t>
        </is>
      </c>
      <c r="G53" t="n">
        <v>3.6</v>
      </c>
      <c r="H53" t="n">
        <v>0</v>
      </c>
      <c r="I53" t="n">
        <v>0</v>
      </c>
      <c r="J53" t="n">
        <v>1</v>
      </c>
      <c r="K53" t="n">
        <v>0</v>
      </c>
      <c r="L53" t="n">
        <v>0</v>
      </c>
      <c r="M53" t="n">
        <v>0</v>
      </c>
      <c r="N53" t="n">
        <v>0</v>
      </c>
      <c r="O53" t="n">
        <v>1</v>
      </c>
      <c r="P53" t="n">
        <v>0</v>
      </c>
      <c r="Q53" t="n">
        <v>1</v>
      </c>
      <c r="R53" s="2" t="inlineStr">
        <is>
          <t>Ullticka</t>
        </is>
      </c>
      <c r="S53">
        <f>HYPERLINK("https://klasma.github.io/Logging_2262/artfynd/A 40407-2020 artfynd.xlsx", "A 40407-2020")</f>
        <v/>
      </c>
      <c r="T53">
        <f>HYPERLINK("https://klasma.github.io/Logging_2262/kartor/A 40407-2020 karta.png", "A 40407-2020")</f>
        <v/>
      </c>
      <c r="V53">
        <f>HYPERLINK("https://klasma.github.io/Logging_2262/klagomål/A 40407-2020 FSC-klagomål.docx", "A 40407-2020")</f>
        <v/>
      </c>
      <c r="W53">
        <f>HYPERLINK("https://klasma.github.io/Logging_2262/klagomålsmail/A 40407-2020 FSC-klagomål mail.docx", "A 40407-2020")</f>
        <v/>
      </c>
      <c r="X53">
        <f>HYPERLINK("https://klasma.github.io/Logging_2262/tillsyn/A 40407-2020 tillsynsbegäran.docx", "A 40407-2020")</f>
        <v/>
      </c>
      <c r="Y53">
        <f>HYPERLINK("https://klasma.github.io/Logging_2262/tillsynsmail/A 40407-2020 tillsynsbegäran mail.docx", "A 40407-2020")</f>
        <v/>
      </c>
    </row>
    <row r="54" ht="15" customHeight="1">
      <c r="A54" t="inlineStr">
        <is>
          <t>A 69202-2020</t>
        </is>
      </c>
      <c r="B54" s="1" t="n">
        <v>44191</v>
      </c>
      <c r="C54" s="1" t="n">
        <v>45574</v>
      </c>
      <c r="D54" t="inlineStr">
        <is>
          <t>VÄSTERNORRLANDS LÄN</t>
        </is>
      </c>
      <c r="E54" t="inlineStr">
        <is>
          <t>TIMRÅ</t>
        </is>
      </c>
      <c r="F54" t="inlineStr">
        <is>
          <t>SCA</t>
        </is>
      </c>
      <c r="G54" t="n">
        <v>12</v>
      </c>
      <c r="H54" t="n">
        <v>0</v>
      </c>
      <c r="I54" t="n">
        <v>0</v>
      </c>
      <c r="J54" t="n">
        <v>1</v>
      </c>
      <c r="K54" t="n">
        <v>0</v>
      </c>
      <c r="L54" t="n">
        <v>0</v>
      </c>
      <c r="M54" t="n">
        <v>0</v>
      </c>
      <c r="N54" t="n">
        <v>0</v>
      </c>
      <c r="O54" t="n">
        <v>1</v>
      </c>
      <c r="P54" t="n">
        <v>0</v>
      </c>
      <c r="Q54" t="n">
        <v>1</v>
      </c>
      <c r="R54" s="2" t="inlineStr">
        <is>
          <t>Garnlav</t>
        </is>
      </c>
      <c r="S54">
        <f>HYPERLINK("https://klasma.github.io/Logging_2262/artfynd/A 69202-2020 artfynd.xlsx", "A 69202-2020")</f>
        <v/>
      </c>
      <c r="T54">
        <f>HYPERLINK("https://klasma.github.io/Logging_2262/kartor/A 69202-2020 karta.png", "A 69202-2020")</f>
        <v/>
      </c>
      <c r="V54">
        <f>HYPERLINK("https://klasma.github.io/Logging_2262/klagomål/A 69202-2020 FSC-klagomål.docx", "A 69202-2020")</f>
        <v/>
      </c>
      <c r="W54">
        <f>HYPERLINK("https://klasma.github.io/Logging_2262/klagomålsmail/A 69202-2020 FSC-klagomål mail.docx", "A 69202-2020")</f>
        <v/>
      </c>
      <c r="X54">
        <f>HYPERLINK("https://klasma.github.io/Logging_2262/tillsyn/A 69202-2020 tillsynsbegäran.docx", "A 69202-2020")</f>
        <v/>
      </c>
      <c r="Y54">
        <f>HYPERLINK("https://klasma.github.io/Logging_2262/tillsynsmail/A 69202-2020 tillsynsbegäran mail.docx", "A 69202-2020")</f>
        <v/>
      </c>
    </row>
    <row r="55" ht="15" customHeight="1">
      <c r="A55" t="inlineStr">
        <is>
          <t>A 18969-2021</t>
        </is>
      </c>
      <c r="B55" s="1" t="n">
        <v>44308</v>
      </c>
      <c r="C55" s="1" t="n">
        <v>45574</v>
      </c>
      <c r="D55" t="inlineStr">
        <is>
          <t>VÄSTERNORRLANDS LÄN</t>
        </is>
      </c>
      <c r="E55" t="inlineStr">
        <is>
          <t>TIMRÅ</t>
        </is>
      </c>
      <c r="G55" t="n">
        <v>7.4</v>
      </c>
      <c r="H55" t="n">
        <v>0</v>
      </c>
      <c r="I55" t="n">
        <v>1</v>
      </c>
      <c r="J55" t="n">
        <v>0</v>
      </c>
      <c r="K55" t="n">
        <v>0</v>
      </c>
      <c r="L55" t="n">
        <v>0</v>
      </c>
      <c r="M55" t="n">
        <v>0</v>
      </c>
      <c r="N55" t="n">
        <v>0</v>
      </c>
      <c r="O55" t="n">
        <v>0</v>
      </c>
      <c r="P55" t="n">
        <v>0</v>
      </c>
      <c r="Q55" t="n">
        <v>1</v>
      </c>
      <c r="R55" s="2" t="inlineStr">
        <is>
          <t>Strutbräken</t>
        </is>
      </c>
      <c r="S55">
        <f>HYPERLINK("https://klasma.github.io/Logging_2262/artfynd/A 18969-2021 artfynd.xlsx", "A 18969-2021")</f>
        <v/>
      </c>
      <c r="T55">
        <f>HYPERLINK("https://klasma.github.io/Logging_2262/kartor/A 18969-2021 karta.png", "A 18969-2021")</f>
        <v/>
      </c>
      <c r="V55">
        <f>HYPERLINK("https://klasma.github.io/Logging_2262/klagomål/A 18969-2021 FSC-klagomål.docx", "A 18969-2021")</f>
        <v/>
      </c>
      <c r="W55">
        <f>HYPERLINK("https://klasma.github.io/Logging_2262/klagomålsmail/A 18969-2021 FSC-klagomål mail.docx", "A 18969-2021")</f>
        <v/>
      </c>
      <c r="X55">
        <f>HYPERLINK("https://klasma.github.io/Logging_2262/tillsyn/A 18969-2021 tillsynsbegäran.docx", "A 18969-2021")</f>
        <v/>
      </c>
      <c r="Y55">
        <f>HYPERLINK("https://klasma.github.io/Logging_2262/tillsynsmail/A 18969-2021 tillsynsbegäran mail.docx", "A 18969-2021")</f>
        <v/>
      </c>
    </row>
    <row r="56" ht="15" customHeight="1">
      <c r="A56" t="inlineStr">
        <is>
          <t>A 20679-2021</t>
        </is>
      </c>
      <c r="B56" s="1" t="n">
        <v>44316</v>
      </c>
      <c r="C56" s="1" t="n">
        <v>45574</v>
      </c>
      <c r="D56" t="inlineStr">
        <is>
          <t>VÄSTERNORRLANDS LÄN</t>
        </is>
      </c>
      <c r="E56" t="inlineStr">
        <is>
          <t>TIMRÅ</t>
        </is>
      </c>
      <c r="G56" t="n">
        <v>12.6</v>
      </c>
      <c r="H56" t="n">
        <v>1</v>
      </c>
      <c r="I56" t="n">
        <v>0</v>
      </c>
      <c r="J56" t="n">
        <v>1</v>
      </c>
      <c r="K56" t="n">
        <v>0</v>
      </c>
      <c r="L56" t="n">
        <v>0</v>
      </c>
      <c r="M56" t="n">
        <v>0</v>
      </c>
      <c r="N56" t="n">
        <v>0</v>
      </c>
      <c r="O56" t="n">
        <v>1</v>
      </c>
      <c r="P56" t="n">
        <v>0</v>
      </c>
      <c r="Q56" t="n">
        <v>1</v>
      </c>
      <c r="R56" s="2" t="inlineStr">
        <is>
          <t>Havsörn</t>
        </is>
      </c>
      <c r="S56">
        <f>HYPERLINK("https://klasma.github.io/Logging_2262/artfynd/A 20679-2021 artfynd.xlsx", "A 20679-2021")</f>
        <v/>
      </c>
      <c r="T56">
        <f>HYPERLINK("https://klasma.github.io/Logging_2262/kartor/A 20679-2021 karta.png", "A 20679-2021")</f>
        <v/>
      </c>
      <c r="V56">
        <f>HYPERLINK("https://klasma.github.io/Logging_2262/klagomål/A 20679-2021 FSC-klagomål.docx", "A 20679-2021")</f>
        <v/>
      </c>
      <c r="W56">
        <f>HYPERLINK("https://klasma.github.io/Logging_2262/klagomålsmail/A 20679-2021 FSC-klagomål mail.docx", "A 20679-2021")</f>
        <v/>
      </c>
      <c r="X56">
        <f>HYPERLINK("https://klasma.github.io/Logging_2262/tillsyn/A 20679-2021 tillsynsbegäran.docx", "A 20679-2021")</f>
        <v/>
      </c>
      <c r="Y56">
        <f>HYPERLINK("https://klasma.github.io/Logging_2262/tillsynsmail/A 20679-2021 tillsynsbegäran mail.docx", "A 20679-2021")</f>
        <v/>
      </c>
      <c r="Z56">
        <f>HYPERLINK("https://klasma.github.io/Logging_2262/fåglar/A 20679-2021 prioriterade fågelarter.docx", "A 20679-2021")</f>
        <v/>
      </c>
    </row>
    <row r="57" ht="15" customHeight="1">
      <c r="A57" t="inlineStr">
        <is>
          <t>A 12753-2022</t>
        </is>
      </c>
      <c r="B57" s="1" t="n">
        <v>44641</v>
      </c>
      <c r="C57" s="1" t="n">
        <v>45574</v>
      </c>
      <c r="D57" t="inlineStr">
        <is>
          <t>VÄSTERNORRLANDS LÄN</t>
        </is>
      </c>
      <c r="E57" t="inlineStr">
        <is>
          <t>TIMRÅ</t>
        </is>
      </c>
      <c r="G57" t="n">
        <v>1.6</v>
      </c>
      <c r="H57" t="n">
        <v>0</v>
      </c>
      <c r="I57" t="n">
        <v>1</v>
      </c>
      <c r="J57" t="n">
        <v>0</v>
      </c>
      <c r="K57" t="n">
        <v>0</v>
      </c>
      <c r="L57" t="n">
        <v>0</v>
      </c>
      <c r="M57" t="n">
        <v>0</v>
      </c>
      <c r="N57" t="n">
        <v>0</v>
      </c>
      <c r="O57" t="n">
        <v>0</v>
      </c>
      <c r="P57" t="n">
        <v>0</v>
      </c>
      <c r="Q57" t="n">
        <v>1</v>
      </c>
      <c r="R57" s="2" t="inlineStr">
        <is>
          <t>Strutbräken</t>
        </is>
      </c>
      <c r="S57">
        <f>HYPERLINK("https://klasma.github.io/Logging_2262/artfynd/A 12753-2022 artfynd.xlsx", "A 12753-2022")</f>
        <v/>
      </c>
      <c r="T57">
        <f>HYPERLINK("https://klasma.github.io/Logging_2262/kartor/A 12753-2022 karta.png", "A 12753-2022")</f>
        <v/>
      </c>
      <c r="V57">
        <f>HYPERLINK("https://klasma.github.io/Logging_2262/klagomål/A 12753-2022 FSC-klagomål.docx", "A 12753-2022")</f>
        <v/>
      </c>
      <c r="W57">
        <f>HYPERLINK("https://klasma.github.io/Logging_2262/klagomålsmail/A 12753-2022 FSC-klagomål mail.docx", "A 12753-2022")</f>
        <v/>
      </c>
      <c r="X57">
        <f>HYPERLINK("https://klasma.github.io/Logging_2262/tillsyn/A 12753-2022 tillsynsbegäran.docx", "A 12753-2022")</f>
        <v/>
      </c>
      <c r="Y57">
        <f>HYPERLINK("https://klasma.github.io/Logging_2262/tillsynsmail/A 12753-2022 tillsynsbegäran mail.docx", "A 12753-2022")</f>
        <v/>
      </c>
    </row>
    <row r="58" ht="15" customHeight="1">
      <c r="A58" t="inlineStr">
        <is>
          <t>A 12785-2022</t>
        </is>
      </c>
      <c r="B58" s="1" t="n">
        <v>44641</v>
      </c>
      <c r="C58" s="1" t="n">
        <v>45574</v>
      </c>
      <c r="D58" t="inlineStr">
        <is>
          <t>VÄSTERNORRLANDS LÄN</t>
        </is>
      </c>
      <c r="E58" t="inlineStr">
        <is>
          <t>TIMRÅ</t>
        </is>
      </c>
      <c r="G58" t="n">
        <v>2.2</v>
      </c>
      <c r="H58" t="n">
        <v>0</v>
      </c>
      <c r="I58" t="n">
        <v>1</v>
      </c>
      <c r="J58" t="n">
        <v>0</v>
      </c>
      <c r="K58" t="n">
        <v>0</v>
      </c>
      <c r="L58" t="n">
        <v>0</v>
      </c>
      <c r="M58" t="n">
        <v>0</v>
      </c>
      <c r="N58" t="n">
        <v>0</v>
      </c>
      <c r="O58" t="n">
        <v>0</v>
      </c>
      <c r="P58" t="n">
        <v>0</v>
      </c>
      <c r="Q58" t="n">
        <v>1</v>
      </c>
      <c r="R58" s="2" t="inlineStr">
        <is>
          <t>Ögonpyrola</t>
        </is>
      </c>
      <c r="S58">
        <f>HYPERLINK("https://klasma.github.io/Logging_2262/artfynd/A 12785-2022 artfynd.xlsx", "A 12785-2022")</f>
        <v/>
      </c>
      <c r="T58">
        <f>HYPERLINK("https://klasma.github.io/Logging_2262/kartor/A 12785-2022 karta.png", "A 12785-2022")</f>
        <v/>
      </c>
      <c r="V58">
        <f>HYPERLINK("https://klasma.github.io/Logging_2262/klagomål/A 12785-2022 FSC-klagomål.docx", "A 12785-2022")</f>
        <v/>
      </c>
      <c r="W58">
        <f>HYPERLINK("https://klasma.github.io/Logging_2262/klagomålsmail/A 12785-2022 FSC-klagomål mail.docx", "A 12785-2022")</f>
        <v/>
      </c>
      <c r="X58">
        <f>HYPERLINK("https://klasma.github.io/Logging_2262/tillsyn/A 12785-2022 tillsynsbegäran.docx", "A 12785-2022")</f>
        <v/>
      </c>
      <c r="Y58">
        <f>HYPERLINK("https://klasma.github.io/Logging_2262/tillsynsmail/A 12785-2022 tillsynsbegäran mail.docx", "A 12785-2022")</f>
        <v/>
      </c>
    </row>
    <row r="59" ht="15" customHeight="1">
      <c r="A59" t="inlineStr">
        <is>
          <t>A 57242-2022</t>
        </is>
      </c>
      <c r="B59" s="1" t="n">
        <v>44889</v>
      </c>
      <c r="C59" s="1" t="n">
        <v>45574</v>
      </c>
      <c r="D59" t="inlineStr">
        <is>
          <t>VÄSTERNORRLANDS LÄN</t>
        </is>
      </c>
      <c r="E59" t="inlineStr">
        <is>
          <t>TIMRÅ</t>
        </is>
      </c>
      <c r="G59" t="n">
        <v>18.8</v>
      </c>
      <c r="H59" t="n">
        <v>0</v>
      </c>
      <c r="I59" t="n">
        <v>0</v>
      </c>
      <c r="J59" t="n">
        <v>0</v>
      </c>
      <c r="K59" t="n">
        <v>0</v>
      </c>
      <c r="L59" t="n">
        <v>1</v>
      </c>
      <c r="M59" t="n">
        <v>0</v>
      </c>
      <c r="N59" t="n">
        <v>0</v>
      </c>
      <c r="O59" t="n">
        <v>1</v>
      </c>
      <c r="P59" t="n">
        <v>1</v>
      </c>
      <c r="Q59" t="n">
        <v>1</v>
      </c>
      <c r="R59" s="2" t="inlineStr">
        <is>
          <t>Flodpärlmussla</t>
        </is>
      </c>
      <c r="S59">
        <f>HYPERLINK("https://klasma.github.io/Logging_2262/artfynd/A 57242-2022 artfynd.xlsx", "A 57242-2022")</f>
        <v/>
      </c>
      <c r="T59">
        <f>HYPERLINK("https://klasma.github.io/Logging_2262/kartor/A 57242-2022 karta.png", "A 57242-2022")</f>
        <v/>
      </c>
      <c r="V59">
        <f>HYPERLINK("https://klasma.github.io/Logging_2262/klagomål/A 57242-2022 FSC-klagomål.docx", "A 57242-2022")</f>
        <v/>
      </c>
      <c r="W59">
        <f>HYPERLINK("https://klasma.github.io/Logging_2262/klagomålsmail/A 57242-2022 FSC-klagomål mail.docx", "A 57242-2022")</f>
        <v/>
      </c>
      <c r="X59">
        <f>HYPERLINK("https://klasma.github.io/Logging_2262/tillsyn/A 57242-2022 tillsynsbegäran.docx", "A 57242-2022")</f>
        <v/>
      </c>
      <c r="Y59">
        <f>HYPERLINK("https://klasma.github.io/Logging_2262/tillsynsmail/A 57242-2022 tillsynsbegäran mail.docx", "A 57242-2022")</f>
        <v/>
      </c>
    </row>
    <row r="60" ht="15" customHeight="1">
      <c r="A60" t="inlineStr">
        <is>
          <t>A 10313-2023</t>
        </is>
      </c>
      <c r="B60" s="1" t="n">
        <v>44986</v>
      </c>
      <c r="C60" s="1" t="n">
        <v>45574</v>
      </c>
      <c r="D60" t="inlineStr">
        <is>
          <t>VÄSTERNORRLANDS LÄN</t>
        </is>
      </c>
      <c r="E60" t="inlineStr">
        <is>
          <t>TIMRÅ</t>
        </is>
      </c>
      <c r="F60" t="inlineStr">
        <is>
          <t>SCA</t>
        </is>
      </c>
      <c r="G60" t="n">
        <v>39.3</v>
      </c>
      <c r="H60" t="n">
        <v>1</v>
      </c>
      <c r="I60" t="n">
        <v>0</v>
      </c>
      <c r="J60" t="n">
        <v>1</v>
      </c>
      <c r="K60" t="n">
        <v>0</v>
      </c>
      <c r="L60" t="n">
        <v>0</v>
      </c>
      <c r="M60" t="n">
        <v>0</v>
      </c>
      <c r="N60" t="n">
        <v>0</v>
      </c>
      <c r="O60" t="n">
        <v>1</v>
      </c>
      <c r="P60" t="n">
        <v>0</v>
      </c>
      <c r="Q60" t="n">
        <v>1</v>
      </c>
      <c r="R60" s="2" t="inlineStr">
        <is>
          <t>Slaguggla</t>
        </is>
      </c>
      <c r="S60">
        <f>HYPERLINK("https://klasma.github.io/Logging_2262/artfynd/A 10313-2023 artfynd.xlsx", "A 10313-2023")</f>
        <v/>
      </c>
      <c r="T60">
        <f>HYPERLINK("https://klasma.github.io/Logging_2262/kartor/A 10313-2023 karta.png", "A 10313-2023")</f>
        <v/>
      </c>
      <c r="V60">
        <f>HYPERLINK("https://klasma.github.io/Logging_2262/klagomål/A 10313-2023 FSC-klagomål.docx", "A 10313-2023")</f>
        <v/>
      </c>
      <c r="W60">
        <f>HYPERLINK("https://klasma.github.io/Logging_2262/klagomålsmail/A 10313-2023 FSC-klagomål mail.docx", "A 10313-2023")</f>
        <v/>
      </c>
      <c r="X60">
        <f>HYPERLINK("https://klasma.github.io/Logging_2262/tillsyn/A 10313-2023 tillsynsbegäran.docx", "A 10313-2023")</f>
        <v/>
      </c>
      <c r="Y60">
        <f>HYPERLINK("https://klasma.github.io/Logging_2262/tillsynsmail/A 10313-2023 tillsynsbegäran mail.docx", "A 10313-2023")</f>
        <v/>
      </c>
      <c r="Z60">
        <f>HYPERLINK("https://klasma.github.io/Logging_2262/fåglar/A 10313-2023 prioriterade fågelarter.docx", "A 10313-2023")</f>
        <v/>
      </c>
    </row>
    <row r="61" ht="15" customHeight="1">
      <c r="A61" t="inlineStr">
        <is>
          <t>A 33330-2023</t>
        </is>
      </c>
      <c r="B61" s="1" t="n">
        <v>45127</v>
      </c>
      <c r="C61" s="1" t="n">
        <v>45574</v>
      </c>
      <c r="D61" t="inlineStr">
        <is>
          <t>VÄSTERNORRLANDS LÄN</t>
        </is>
      </c>
      <c r="E61" t="inlineStr">
        <is>
          <t>TIMRÅ</t>
        </is>
      </c>
      <c r="F61" t="inlineStr">
        <is>
          <t>SCA</t>
        </is>
      </c>
      <c r="G61" t="n">
        <v>4</v>
      </c>
      <c r="H61" t="n">
        <v>0</v>
      </c>
      <c r="I61" t="n">
        <v>0</v>
      </c>
      <c r="J61" t="n">
        <v>1</v>
      </c>
      <c r="K61" t="n">
        <v>0</v>
      </c>
      <c r="L61" t="n">
        <v>0</v>
      </c>
      <c r="M61" t="n">
        <v>0</v>
      </c>
      <c r="N61" t="n">
        <v>0</v>
      </c>
      <c r="O61" t="n">
        <v>1</v>
      </c>
      <c r="P61" t="n">
        <v>0</v>
      </c>
      <c r="Q61" t="n">
        <v>1</v>
      </c>
      <c r="R61" s="2" t="inlineStr">
        <is>
          <t>Lunglav</t>
        </is>
      </c>
      <c r="S61">
        <f>HYPERLINK("https://klasma.github.io/Logging_2262/artfynd/A 33330-2023 artfynd.xlsx", "A 33330-2023")</f>
        <v/>
      </c>
      <c r="T61">
        <f>HYPERLINK("https://klasma.github.io/Logging_2262/kartor/A 33330-2023 karta.png", "A 33330-2023")</f>
        <v/>
      </c>
      <c r="V61">
        <f>HYPERLINK("https://klasma.github.io/Logging_2262/klagomål/A 33330-2023 FSC-klagomål.docx", "A 33330-2023")</f>
        <v/>
      </c>
      <c r="W61">
        <f>HYPERLINK("https://klasma.github.io/Logging_2262/klagomålsmail/A 33330-2023 FSC-klagomål mail.docx", "A 33330-2023")</f>
        <v/>
      </c>
      <c r="X61">
        <f>HYPERLINK("https://klasma.github.io/Logging_2262/tillsyn/A 33330-2023 tillsynsbegäran.docx", "A 33330-2023")</f>
        <v/>
      </c>
      <c r="Y61">
        <f>HYPERLINK("https://klasma.github.io/Logging_2262/tillsynsmail/A 33330-2023 tillsynsbegäran mail.docx", "A 33330-2023")</f>
        <v/>
      </c>
    </row>
    <row r="62" ht="15" customHeight="1">
      <c r="A62" t="inlineStr">
        <is>
          <t>A 33503-2023</t>
        </is>
      </c>
      <c r="B62" s="1" t="n">
        <v>45131</v>
      </c>
      <c r="C62" s="1" t="n">
        <v>45574</v>
      </c>
      <c r="D62" t="inlineStr">
        <is>
          <t>VÄSTERNORRLANDS LÄN</t>
        </is>
      </c>
      <c r="E62" t="inlineStr">
        <is>
          <t>TIMRÅ</t>
        </is>
      </c>
      <c r="G62" t="n">
        <v>28.3</v>
      </c>
      <c r="H62" t="n">
        <v>1</v>
      </c>
      <c r="I62" t="n">
        <v>0</v>
      </c>
      <c r="J62" t="n">
        <v>1</v>
      </c>
      <c r="K62" t="n">
        <v>0</v>
      </c>
      <c r="L62" t="n">
        <v>0</v>
      </c>
      <c r="M62" t="n">
        <v>0</v>
      </c>
      <c r="N62" t="n">
        <v>0</v>
      </c>
      <c r="O62" t="n">
        <v>1</v>
      </c>
      <c r="P62" t="n">
        <v>0</v>
      </c>
      <c r="Q62" t="n">
        <v>1</v>
      </c>
      <c r="R62" s="2" t="inlineStr">
        <is>
          <t>Utter</t>
        </is>
      </c>
      <c r="S62">
        <f>HYPERLINK("https://klasma.github.io/Logging_2262/artfynd/A 33503-2023 artfynd.xlsx", "A 33503-2023")</f>
        <v/>
      </c>
      <c r="T62">
        <f>HYPERLINK("https://klasma.github.io/Logging_2262/kartor/A 33503-2023 karta.png", "A 33503-2023")</f>
        <v/>
      </c>
      <c r="V62">
        <f>HYPERLINK("https://klasma.github.io/Logging_2262/klagomål/A 33503-2023 FSC-klagomål.docx", "A 33503-2023")</f>
        <v/>
      </c>
      <c r="W62">
        <f>HYPERLINK("https://klasma.github.io/Logging_2262/klagomålsmail/A 33503-2023 FSC-klagomål mail.docx", "A 33503-2023")</f>
        <v/>
      </c>
      <c r="X62">
        <f>HYPERLINK("https://klasma.github.io/Logging_2262/tillsyn/A 33503-2023 tillsynsbegäran.docx", "A 33503-2023")</f>
        <v/>
      </c>
      <c r="Y62">
        <f>HYPERLINK("https://klasma.github.io/Logging_2262/tillsynsmail/A 33503-2023 tillsynsbegäran mail.docx", "A 33503-2023")</f>
        <v/>
      </c>
    </row>
    <row r="63" ht="15" customHeight="1">
      <c r="A63" t="inlineStr">
        <is>
          <t>A 35510-2023</t>
        </is>
      </c>
      <c r="B63" s="1" t="n">
        <v>45147</v>
      </c>
      <c r="C63" s="1" t="n">
        <v>45574</v>
      </c>
      <c r="D63" t="inlineStr">
        <is>
          <t>VÄSTERNORRLANDS LÄN</t>
        </is>
      </c>
      <c r="E63" t="inlineStr">
        <is>
          <t>TIMRÅ</t>
        </is>
      </c>
      <c r="F63" t="inlineStr">
        <is>
          <t>SCA</t>
        </is>
      </c>
      <c r="G63" t="n">
        <v>3.5</v>
      </c>
      <c r="H63" t="n">
        <v>1</v>
      </c>
      <c r="I63" t="n">
        <v>0</v>
      </c>
      <c r="J63" t="n">
        <v>0</v>
      </c>
      <c r="K63" t="n">
        <v>0</v>
      </c>
      <c r="L63" t="n">
        <v>0</v>
      </c>
      <c r="M63" t="n">
        <v>0</v>
      </c>
      <c r="N63" t="n">
        <v>0</v>
      </c>
      <c r="O63" t="n">
        <v>0</v>
      </c>
      <c r="P63" t="n">
        <v>0</v>
      </c>
      <c r="Q63" t="n">
        <v>1</v>
      </c>
      <c r="R63" s="2" t="inlineStr">
        <is>
          <t>Revlummer</t>
        </is>
      </c>
      <c r="S63">
        <f>HYPERLINK("https://klasma.github.io/Logging_2262/artfynd/A 35510-2023 artfynd.xlsx", "A 35510-2023")</f>
        <v/>
      </c>
      <c r="T63">
        <f>HYPERLINK("https://klasma.github.io/Logging_2262/kartor/A 35510-2023 karta.png", "A 35510-2023")</f>
        <v/>
      </c>
      <c r="V63">
        <f>HYPERLINK("https://klasma.github.io/Logging_2262/klagomål/A 35510-2023 FSC-klagomål.docx", "A 35510-2023")</f>
        <v/>
      </c>
      <c r="W63">
        <f>HYPERLINK("https://klasma.github.io/Logging_2262/klagomålsmail/A 35510-2023 FSC-klagomål mail.docx", "A 35510-2023")</f>
        <v/>
      </c>
      <c r="X63">
        <f>HYPERLINK("https://klasma.github.io/Logging_2262/tillsyn/A 35510-2023 tillsynsbegäran.docx", "A 35510-2023")</f>
        <v/>
      </c>
      <c r="Y63">
        <f>HYPERLINK("https://klasma.github.io/Logging_2262/tillsynsmail/A 35510-2023 tillsynsbegäran mail.docx", "A 35510-2023")</f>
        <v/>
      </c>
    </row>
    <row r="64" ht="15" customHeight="1">
      <c r="A64" t="inlineStr">
        <is>
          <t>A 39141-2023</t>
        </is>
      </c>
      <c r="B64" s="1" t="n">
        <v>45165</v>
      </c>
      <c r="C64" s="1" t="n">
        <v>45574</v>
      </c>
      <c r="D64" t="inlineStr">
        <is>
          <t>VÄSTERNORRLANDS LÄN</t>
        </is>
      </c>
      <c r="E64" t="inlineStr">
        <is>
          <t>TIMRÅ</t>
        </is>
      </c>
      <c r="F64" t="inlineStr">
        <is>
          <t>SCA</t>
        </is>
      </c>
      <c r="G64" t="n">
        <v>11.3</v>
      </c>
      <c r="H64" t="n">
        <v>1</v>
      </c>
      <c r="I64" t="n">
        <v>1</v>
      </c>
      <c r="J64" t="n">
        <v>0</v>
      </c>
      <c r="K64" t="n">
        <v>0</v>
      </c>
      <c r="L64" t="n">
        <v>0</v>
      </c>
      <c r="M64" t="n">
        <v>0</v>
      </c>
      <c r="N64" t="n">
        <v>0</v>
      </c>
      <c r="O64" t="n">
        <v>0</v>
      </c>
      <c r="P64" t="n">
        <v>0</v>
      </c>
      <c r="Q64" t="n">
        <v>1</v>
      </c>
      <c r="R64" s="2" t="inlineStr">
        <is>
          <t>Plattlummer</t>
        </is>
      </c>
      <c r="S64">
        <f>HYPERLINK("https://klasma.github.io/Logging_2262/artfynd/A 39141-2023 artfynd.xlsx", "A 39141-2023")</f>
        <v/>
      </c>
      <c r="T64">
        <f>HYPERLINK("https://klasma.github.io/Logging_2262/kartor/A 39141-2023 karta.png", "A 39141-2023")</f>
        <v/>
      </c>
      <c r="V64">
        <f>HYPERLINK("https://klasma.github.io/Logging_2262/klagomål/A 39141-2023 FSC-klagomål.docx", "A 39141-2023")</f>
        <v/>
      </c>
      <c r="W64">
        <f>HYPERLINK("https://klasma.github.io/Logging_2262/klagomålsmail/A 39141-2023 FSC-klagomål mail.docx", "A 39141-2023")</f>
        <v/>
      </c>
      <c r="X64">
        <f>HYPERLINK("https://klasma.github.io/Logging_2262/tillsyn/A 39141-2023 tillsynsbegäran.docx", "A 39141-2023")</f>
        <v/>
      </c>
      <c r="Y64">
        <f>HYPERLINK("https://klasma.github.io/Logging_2262/tillsynsmail/A 39141-2023 tillsynsbegäran mail.docx", "A 39141-2023")</f>
        <v/>
      </c>
    </row>
    <row r="65" ht="15" customHeight="1">
      <c r="A65" t="inlineStr">
        <is>
          <t>A 47793-2023</t>
        </is>
      </c>
      <c r="B65" s="1" t="n">
        <v>45203</v>
      </c>
      <c r="C65" s="1" t="n">
        <v>45574</v>
      </c>
      <c r="D65" t="inlineStr">
        <is>
          <t>VÄSTERNORRLANDS LÄN</t>
        </is>
      </c>
      <c r="E65" t="inlineStr">
        <is>
          <t>TIMRÅ</t>
        </is>
      </c>
      <c r="F65" t="inlineStr">
        <is>
          <t>SCA</t>
        </is>
      </c>
      <c r="G65" t="n">
        <v>9.699999999999999</v>
      </c>
      <c r="H65" t="n">
        <v>1</v>
      </c>
      <c r="I65" t="n">
        <v>0</v>
      </c>
      <c r="J65" t="n">
        <v>0</v>
      </c>
      <c r="K65" t="n">
        <v>0</v>
      </c>
      <c r="L65" t="n">
        <v>0</v>
      </c>
      <c r="M65" t="n">
        <v>0</v>
      </c>
      <c r="N65" t="n">
        <v>0</v>
      </c>
      <c r="O65" t="n">
        <v>0</v>
      </c>
      <c r="P65" t="n">
        <v>0</v>
      </c>
      <c r="Q65" t="n">
        <v>1</v>
      </c>
      <c r="R65" s="2" t="inlineStr">
        <is>
          <t>Revlummer</t>
        </is>
      </c>
      <c r="S65">
        <f>HYPERLINK("https://klasma.github.io/Logging_2262/artfynd/A 47793-2023 artfynd.xlsx", "A 47793-2023")</f>
        <v/>
      </c>
      <c r="T65">
        <f>HYPERLINK("https://klasma.github.io/Logging_2262/kartor/A 47793-2023 karta.png", "A 47793-2023")</f>
        <v/>
      </c>
      <c r="V65">
        <f>HYPERLINK("https://klasma.github.io/Logging_2262/klagomål/A 47793-2023 FSC-klagomål.docx", "A 47793-2023")</f>
        <v/>
      </c>
      <c r="W65">
        <f>HYPERLINK("https://klasma.github.io/Logging_2262/klagomålsmail/A 47793-2023 FSC-klagomål mail.docx", "A 47793-2023")</f>
        <v/>
      </c>
      <c r="X65">
        <f>HYPERLINK("https://klasma.github.io/Logging_2262/tillsyn/A 47793-2023 tillsynsbegäran.docx", "A 47793-2023")</f>
        <v/>
      </c>
      <c r="Y65">
        <f>HYPERLINK("https://klasma.github.io/Logging_2262/tillsynsmail/A 47793-2023 tillsynsbegäran mail.docx", "A 47793-2023")</f>
        <v/>
      </c>
    </row>
    <row r="66" ht="15" customHeight="1">
      <c r="A66" t="inlineStr">
        <is>
          <t>A 47792-2023</t>
        </is>
      </c>
      <c r="B66" s="1" t="n">
        <v>45203</v>
      </c>
      <c r="C66" s="1" t="n">
        <v>45574</v>
      </c>
      <c r="D66" t="inlineStr">
        <is>
          <t>VÄSTERNORRLANDS LÄN</t>
        </is>
      </c>
      <c r="E66" t="inlineStr">
        <is>
          <t>TIMRÅ</t>
        </is>
      </c>
      <c r="F66" t="inlineStr">
        <is>
          <t>SCA</t>
        </is>
      </c>
      <c r="G66" t="n">
        <v>4.1</v>
      </c>
      <c r="H66" t="n">
        <v>0</v>
      </c>
      <c r="I66" t="n">
        <v>1</v>
      </c>
      <c r="J66" t="n">
        <v>0</v>
      </c>
      <c r="K66" t="n">
        <v>0</v>
      </c>
      <c r="L66" t="n">
        <v>0</v>
      </c>
      <c r="M66" t="n">
        <v>0</v>
      </c>
      <c r="N66" t="n">
        <v>0</v>
      </c>
      <c r="O66" t="n">
        <v>0</v>
      </c>
      <c r="P66" t="n">
        <v>0</v>
      </c>
      <c r="Q66" t="n">
        <v>1</v>
      </c>
      <c r="R66" s="2" t="inlineStr">
        <is>
          <t>Gräsull</t>
        </is>
      </c>
      <c r="S66">
        <f>HYPERLINK("https://klasma.github.io/Logging_2262/artfynd/A 47792-2023 artfynd.xlsx", "A 47792-2023")</f>
        <v/>
      </c>
      <c r="T66">
        <f>HYPERLINK("https://klasma.github.io/Logging_2262/kartor/A 47792-2023 karta.png", "A 47792-2023")</f>
        <v/>
      </c>
      <c r="V66">
        <f>HYPERLINK("https://klasma.github.io/Logging_2262/klagomål/A 47792-2023 FSC-klagomål.docx", "A 47792-2023")</f>
        <v/>
      </c>
      <c r="W66">
        <f>HYPERLINK("https://klasma.github.io/Logging_2262/klagomålsmail/A 47792-2023 FSC-klagomål mail.docx", "A 47792-2023")</f>
        <v/>
      </c>
      <c r="X66">
        <f>HYPERLINK("https://klasma.github.io/Logging_2262/tillsyn/A 47792-2023 tillsynsbegäran.docx", "A 47792-2023")</f>
        <v/>
      </c>
      <c r="Y66">
        <f>HYPERLINK("https://klasma.github.io/Logging_2262/tillsynsmail/A 47792-2023 tillsynsbegäran mail.docx", "A 47792-2023")</f>
        <v/>
      </c>
    </row>
    <row r="67" ht="15" customHeight="1">
      <c r="A67" t="inlineStr">
        <is>
          <t>A 49329-2023</t>
        </is>
      </c>
      <c r="B67" s="1" t="n">
        <v>45210</v>
      </c>
      <c r="C67" s="1" t="n">
        <v>45574</v>
      </c>
      <c r="D67" t="inlineStr">
        <is>
          <t>VÄSTERNORRLANDS LÄN</t>
        </is>
      </c>
      <c r="E67" t="inlineStr">
        <is>
          <t>TIMRÅ</t>
        </is>
      </c>
      <c r="F67" t="inlineStr">
        <is>
          <t>SCA</t>
        </is>
      </c>
      <c r="G67" t="n">
        <v>12.9</v>
      </c>
      <c r="H67" t="n">
        <v>0</v>
      </c>
      <c r="I67" t="n">
        <v>0</v>
      </c>
      <c r="J67" t="n">
        <v>1</v>
      </c>
      <c r="K67" t="n">
        <v>0</v>
      </c>
      <c r="L67" t="n">
        <v>0</v>
      </c>
      <c r="M67" t="n">
        <v>0</v>
      </c>
      <c r="N67" t="n">
        <v>0</v>
      </c>
      <c r="O67" t="n">
        <v>1</v>
      </c>
      <c r="P67" t="n">
        <v>0</v>
      </c>
      <c r="Q67" t="n">
        <v>1</v>
      </c>
      <c r="R67" s="2" t="inlineStr">
        <is>
          <t>Ullticka</t>
        </is>
      </c>
      <c r="S67">
        <f>HYPERLINK("https://klasma.github.io/Logging_2262/artfynd/A 49329-2023 artfynd.xlsx", "A 49329-2023")</f>
        <v/>
      </c>
      <c r="T67">
        <f>HYPERLINK("https://klasma.github.io/Logging_2262/kartor/A 49329-2023 karta.png", "A 49329-2023")</f>
        <v/>
      </c>
      <c r="V67">
        <f>HYPERLINK("https://klasma.github.io/Logging_2262/klagomål/A 49329-2023 FSC-klagomål.docx", "A 49329-2023")</f>
        <v/>
      </c>
      <c r="W67">
        <f>HYPERLINK("https://klasma.github.io/Logging_2262/klagomålsmail/A 49329-2023 FSC-klagomål mail.docx", "A 49329-2023")</f>
        <v/>
      </c>
      <c r="X67">
        <f>HYPERLINK("https://klasma.github.io/Logging_2262/tillsyn/A 49329-2023 tillsynsbegäran.docx", "A 49329-2023")</f>
        <v/>
      </c>
      <c r="Y67">
        <f>HYPERLINK("https://klasma.github.io/Logging_2262/tillsynsmail/A 49329-2023 tillsynsbegäran mail.docx", "A 49329-2023")</f>
        <v/>
      </c>
    </row>
    <row r="68" ht="15" customHeight="1">
      <c r="A68" t="inlineStr">
        <is>
          <t>A 56372-2023</t>
        </is>
      </c>
      <c r="B68" s="1" t="n">
        <v>45243</v>
      </c>
      <c r="C68" s="1" t="n">
        <v>45574</v>
      </c>
      <c r="D68" t="inlineStr">
        <is>
          <t>VÄSTERNORRLANDS LÄN</t>
        </is>
      </c>
      <c r="E68" t="inlineStr">
        <is>
          <t>TIMRÅ</t>
        </is>
      </c>
      <c r="G68" t="n">
        <v>6.9</v>
      </c>
      <c r="H68" t="n">
        <v>1</v>
      </c>
      <c r="I68" t="n">
        <v>0</v>
      </c>
      <c r="J68" t="n">
        <v>0</v>
      </c>
      <c r="K68" t="n">
        <v>1</v>
      </c>
      <c r="L68" t="n">
        <v>0</v>
      </c>
      <c r="M68" t="n">
        <v>0</v>
      </c>
      <c r="N68" t="n">
        <v>0</v>
      </c>
      <c r="O68" t="n">
        <v>1</v>
      </c>
      <c r="P68" t="n">
        <v>1</v>
      </c>
      <c r="Q68" t="n">
        <v>1</v>
      </c>
      <c r="R68" s="2" t="inlineStr">
        <is>
          <t>Knärot</t>
        </is>
      </c>
      <c r="S68">
        <f>HYPERLINK("https://klasma.github.io/Logging_2262/artfynd/A 56372-2023 artfynd.xlsx", "A 56372-2023")</f>
        <v/>
      </c>
      <c r="T68">
        <f>HYPERLINK("https://klasma.github.io/Logging_2262/kartor/A 56372-2023 karta.png", "A 56372-2023")</f>
        <v/>
      </c>
      <c r="U68">
        <f>HYPERLINK("https://klasma.github.io/Logging_2262/knärot/A 56372-2023 karta knärot.png", "A 56372-2023")</f>
        <v/>
      </c>
      <c r="V68">
        <f>HYPERLINK("https://klasma.github.io/Logging_2262/klagomål/A 56372-2023 FSC-klagomål.docx", "A 56372-2023")</f>
        <v/>
      </c>
      <c r="W68">
        <f>HYPERLINK("https://klasma.github.io/Logging_2262/klagomålsmail/A 56372-2023 FSC-klagomål mail.docx", "A 56372-2023")</f>
        <v/>
      </c>
      <c r="X68">
        <f>HYPERLINK("https://klasma.github.io/Logging_2262/tillsyn/A 56372-2023 tillsynsbegäran.docx", "A 56372-2023")</f>
        <v/>
      </c>
      <c r="Y68">
        <f>HYPERLINK("https://klasma.github.io/Logging_2262/tillsynsmail/A 56372-2023 tillsynsbegäran mail.docx", "A 56372-2023")</f>
        <v/>
      </c>
    </row>
    <row r="69" ht="15" customHeight="1">
      <c r="A69" t="inlineStr">
        <is>
          <t>A 58464-2023</t>
        </is>
      </c>
      <c r="B69" s="1" t="n">
        <v>45250</v>
      </c>
      <c r="C69" s="1" t="n">
        <v>45574</v>
      </c>
      <c r="D69" t="inlineStr">
        <is>
          <t>VÄSTERNORRLANDS LÄN</t>
        </is>
      </c>
      <c r="E69" t="inlineStr">
        <is>
          <t>TIMRÅ</t>
        </is>
      </c>
      <c r="F69" t="inlineStr">
        <is>
          <t>SCA</t>
        </is>
      </c>
      <c r="G69" t="n">
        <v>6.5</v>
      </c>
      <c r="H69" t="n">
        <v>0</v>
      </c>
      <c r="I69" t="n">
        <v>0</v>
      </c>
      <c r="J69" t="n">
        <v>1</v>
      </c>
      <c r="K69" t="n">
        <v>0</v>
      </c>
      <c r="L69" t="n">
        <v>0</v>
      </c>
      <c r="M69" t="n">
        <v>0</v>
      </c>
      <c r="N69" t="n">
        <v>0</v>
      </c>
      <c r="O69" t="n">
        <v>1</v>
      </c>
      <c r="P69" t="n">
        <v>0</v>
      </c>
      <c r="Q69" t="n">
        <v>1</v>
      </c>
      <c r="R69" s="2" t="inlineStr">
        <is>
          <t>Granticka</t>
        </is>
      </c>
      <c r="S69">
        <f>HYPERLINK("https://klasma.github.io/Logging_2262/artfynd/A 58464-2023 artfynd.xlsx", "A 58464-2023")</f>
        <v/>
      </c>
      <c r="T69">
        <f>HYPERLINK("https://klasma.github.io/Logging_2262/kartor/A 58464-2023 karta.png", "A 58464-2023")</f>
        <v/>
      </c>
      <c r="V69">
        <f>HYPERLINK("https://klasma.github.io/Logging_2262/klagomål/A 58464-2023 FSC-klagomål.docx", "A 58464-2023")</f>
        <v/>
      </c>
      <c r="W69">
        <f>HYPERLINK("https://klasma.github.io/Logging_2262/klagomålsmail/A 58464-2023 FSC-klagomål mail.docx", "A 58464-2023")</f>
        <v/>
      </c>
      <c r="X69">
        <f>HYPERLINK("https://klasma.github.io/Logging_2262/tillsyn/A 58464-2023 tillsynsbegäran.docx", "A 58464-2023")</f>
        <v/>
      </c>
      <c r="Y69">
        <f>HYPERLINK("https://klasma.github.io/Logging_2262/tillsynsmail/A 58464-2023 tillsynsbegäran mail.docx", "A 58464-2023")</f>
        <v/>
      </c>
    </row>
    <row r="70" ht="15" customHeight="1">
      <c r="A70" t="inlineStr">
        <is>
          <t>A 1152-2024</t>
        </is>
      </c>
      <c r="B70" s="1" t="n">
        <v>45302</v>
      </c>
      <c r="C70" s="1" t="n">
        <v>45574</v>
      </c>
      <c r="D70" t="inlineStr">
        <is>
          <t>VÄSTERNORRLANDS LÄN</t>
        </is>
      </c>
      <c r="E70" t="inlineStr">
        <is>
          <t>TIMRÅ</t>
        </is>
      </c>
      <c r="G70" t="n">
        <v>5.8</v>
      </c>
      <c r="H70" t="n">
        <v>0</v>
      </c>
      <c r="I70" t="n">
        <v>1</v>
      </c>
      <c r="J70" t="n">
        <v>0</v>
      </c>
      <c r="K70" t="n">
        <v>0</v>
      </c>
      <c r="L70" t="n">
        <v>0</v>
      </c>
      <c r="M70" t="n">
        <v>0</v>
      </c>
      <c r="N70" t="n">
        <v>0</v>
      </c>
      <c r="O70" t="n">
        <v>0</v>
      </c>
      <c r="P70" t="n">
        <v>0</v>
      </c>
      <c r="Q70" t="n">
        <v>1</v>
      </c>
      <c r="R70" s="2" t="inlineStr">
        <is>
          <t>Tibast</t>
        </is>
      </c>
      <c r="S70">
        <f>HYPERLINK("https://klasma.github.io/Logging_2262/artfynd/A 1152-2024 artfynd.xlsx", "A 1152-2024")</f>
        <v/>
      </c>
      <c r="T70">
        <f>HYPERLINK("https://klasma.github.io/Logging_2262/kartor/A 1152-2024 karta.png", "A 1152-2024")</f>
        <v/>
      </c>
      <c r="V70">
        <f>HYPERLINK("https://klasma.github.io/Logging_2262/klagomål/A 1152-2024 FSC-klagomål.docx", "A 1152-2024")</f>
        <v/>
      </c>
      <c r="W70">
        <f>HYPERLINK("https://klasma.github.io/Logging_2262/klagomålsmail/A 1152-2024 FSC-klagomål mail.docx", "A 1152-2024")</f>
        <v/>
      </c>
      <c r="X70">
        <f>HYPERLINK("https://klasma.github.io/Logging_2262/tillsyn/A 1152-2024 tillsynsbegäran.docx", "A 1152-2024")</f>
        <v/>
      </c>
      <c r="Y70">
        <f>HYPERLINK("https://klasma.github.io/Logging_2262/tillsynsmail/A 1152-2024 tillsynsbegäran mail.docx", "A 1152-2024")</f>
        <v/>
      </c>
    </row>
    <row r="71" ht="15" customHeight="1">
      <c r="A71" t="inlineStr">
        <is>
          <t>A 7904-2024</t>
        </is>
      </c>
      <c r="B71" s="1" t="n">
        <v>45349</v>
      </c>
      <c r="C71" s="1" t="n">
        <v>45574</v>
      </c>
      <c r="D71" t="inlineStr">
        <is>
          <t>VÄSTERNORRLANDS LÄN</t>
        </is>
      </c>
      <c r="E71" t="inlineStr">
        <is>
          <t>TIMRÅ</t>
        </is>
      </c>
      <c r="G71" t="n">
        <v>7.3</v>
      </c>
      <c r="H71" t="n">
        <v>1</v>
      </c>
      <c r="I71" t="n">
        <v>0</v>
      </c>
      <c r="J71" t="n">
        <v>0</v>
      </c>
      <c r="K71" t="n">
        <v>1</v>
      </c>
      <c r="L71" t="n">
        <v>0</v>
      </c>
      <c r="M71" t="n">
        <v>0</v>
      </c>
      <c r="N71" t="n">
        <v>0</v>
      </c>
      <c r="O71" t="n">
        <v>1</v>
      </c>
      <c r="P71" t="n">
        <v>1</v>
      </c>
      <c r="Q71" t="n">
        <v>1</v>
      </c>
      <c r="R71" s="2" t="inlineStr">
        <is>
          <t>Bergviol</t>
        </is>
      </c>
      <c r="S71">
        <f>HYPERLINK("https://klasma.github.io/Logging_2262/artfynd/A 7904-2024 artfynd.xlsx", "A 7904-2024")</f>
        <v/>
      </c>
      <c r="T71">
        <f>HYPERLINK("https://klasma.github.io/Logging_2262/kartor/A 7904-2024 karta.png", "A 7904-2024")</f>
        <v/>
      </c>
      <c r="V71">
        <f>HYPERLINK("https://klasma.github.io/Logging_2262/klagomål/A 7904-2024 FSC-klagomål.docx", "A 7904-2024")</f>
        <v/>
      </c>
      <c r="W71">
        <f>HYPERLINK("https://klasma.github.io/Logging_2262/klagomålsmail/A 7904-2024 FSC-klagomål mail.docx", "A 7904-2024")</f>
        <v/>
      </c>
      <c r="X71">
        <f>HYPERLINK("https://klasma.github.io/Logging_2262/tillsyn/A 7904-2024 tillsynsbegäran.docx", "A 7904-2024")</f>
        <v/>
      </c>
      <c r="Y71">
        <f>HYPERLINK("https://klasma.github.io/Logging_2262/tillsynsmail/A 7904-2024 tillsynsbegäran mail.docx", "A 7904-2024")</f>
        <v/>
      </c>
    </row>
    <row r="72" ht="15" customHeight="1">
      <c r="A72" t="inlineStr">
        <is>
          <t>A 8998-2024</t>
        </is>
      </c>
      <c r="B72" s="1" t="n">
        <v>45356</v>
      </c>
      <c r="C72" s="1" t="n">
        <v>45574</v>
      </c>
      <c r="D72" t="inlineStr">
        <is>
          <t>VÄSTERNORRLANDS LÄN</t>
        </is>
      </c>
      <c r="E72" t="inlineStr">
        <is>
          <t>TIMRÅ</t>
        </is>
      </c>
      <c r="G72" t="n">
        <v>2.1</v>
      </c>
      <c r="H72" t="n">
        <v>0</v>
      </c>
      <c r="I72" t="n">
        <v>1</v>
      </c>
      <c r="J72" t="n">
        <v>0</v>
      </c>
      <c r="K72" t="n">
        <v>0</v>
      </c>
      <c r="L72" t="n">
        <v>0</v>
      </c>
      <c r="M72" t="n">
        <v>0</v>
      </c>
      <c r="N72" t="n">
        <v>0</v>
      </c>
      <c r="O72" t="n">
        <v>0</v>
      </c>
      <c r="P72" t="n">
        <v>0</v>
      </c>
      <c r="Q72" t="n">
        <v>1</v>
      </c>
      <c r="R72" s="2" t="inlineStr">
        <is>
          <t>Strutbräken</t>
        </is>
      </c>
      <c r="S72">
        <f>HYPERLINK("https://klasma.github.io/Logging_2262/artfynd/A 8998-2024 artfynd.xlsx", "A 8998-2024")</f>
        <v/>
      </c>
      <c r="T72">
        <f>HYPERLINK("https://klasma.github.io/Logging_2262/kartor/A 8998-2024 karta.png", "A 8998-2024")</f>
        <v/>
      </c>
      <c r="V72">
        <f>HYPERLINK("https://klasma.github.io/Logging_2262/klagomål/A 8998-2024 FSC-klagomål.docx", "A 8998-2024")</f>
        <v/>
      </c>
      <c r="W72">
        <f>HYPERLINK("https://klasma.github.io/Logging_2262/klagomålsmail/A 8998-2024 FSC-klagomål mail.docx", "A 8998-2024")</f>
        <v/>
      </c>
      <c r="X72">
        <f>HYPERLINK("https://klasma.github.io/Logging_2262/tillsyn/A 8998-2024 tillsynsbegäran.docx", "A 8998-2024")</f>
        <v/>
      </c>
      <c r="Y72">
        <f>HYPERLINK("https://klasma.github.io/Logging_2262/tillsynsmail/A 8998-2024 tillsynsbegäran mail.docx", "A 8998-2024")</f>
        <v/>
      </c>
    </row>
    <row r="73" ht="15" customHeight="1">
      <c r="A73" t="inlineStr">
        <is>
          <t>A 14168-2024</t>
        </is>
      </c>
      <c r="B73" s="1" t="n">
        <v>45392</v>
      </c>
      <c r="C73" s="1" t="n">
        <v>45574</v>
      </c>
      <c r="D73" t="inlineStr">
        <is>
          <t>VÄSTERNORRLANDS LÄN</t>
        </is>
      </c>
      <c r="E73" t="inlineStr">
        <is>
          <t>TIMRÅ</t>
        </is>
      </c>
      <c r="F73" t="inlineStr">
        <is>
          <t>SCA</t>
        </is>
      </c>
      <c r="G73" t="n">
        <v>6.3</v>
      </c>
      <c r="H73" t="n">
        <v>0</v>
      </c>
      <c r="I73" t="n">
        <v>1</v>
      </c>
      <c r="J73" t="n">
        <v>0</v>
      </c>
      <c r="K73" t="n">
        <v>0</v>
      </c>
      <c r="L73" t="n">
        <v>0</v>
      </c>
      <c r="M73" t="n">
        <v>0</v>
      </c>
      <c r="N73" t="n">
        <v>0</v>
      </c>
      <c r="O73" t="n">
        <v>0</v>
      </c>
      <c r="P73" t="n">
        <v>0</v>
      </c>
      <c r="Q73" t="n">
        <v>1</v>
      </c>
      <c r="R73" s="2" t="inlineStr">
        <is>
          <t>Vedticka</t>
        </is>
      </c>
      <c r="S73">
        <f>HYPERLINK("https://klasma.github.io/Logging_2262/artfynd/A 14168-2024 artfynd.xlsx", "A 14168-2024")</f>
        <v/>
      </c>
      <c r="T73">
        <f>HYPERLINK("https://klasma.github.io/Logging_2262/kartor/A 14168-2024 karta.png", "A 14168-2024")</f>
        <v/>
      </c>
      <c r="V73">
        <f>HYPERLINK("https://klasma.github.io/Logging_2262/klagomål/A 14168-2024 FSC-klagomål.docx", "A 14168-2024")</f>
        <v/>
      </c>
      <c r="W73">
        <f>HYPERLINK("https://klasma.github.io/Logging_2262/klagomålsmail/A 14168-2024 FSC-klagomål mail.docx", "A 14168-2024")</f>
        <v/>
      </c>
      <c r="X73">
        <f>HYPERLINK("https://klasma.github.io/Logging_2262/tillsyn/A 14168-2024 tillsynsbegäran.docx", "A 14168-2024")</f>
        <v/>
      </c>
      <c r="Y73">
        <f>HYPERLINK("https://klasma.github.io/Logging_2262/tillsynsmail/A 14168-2024 tillsynsbegäran mail.docx", "A 14168-2024")</f>
        <v/>
      </c>
    </row>
    <row r="74" ht="15" customHeight="1">
      <c r="A74" t="inlineStr">
        <is>
          <t>A 15477-2024</t>
        </is>
      </c>
      <c r="B74" s="1" t="n">
        <v>45401</v>
      </c>
      <c r="C74" s="1" t="n">
        <v>45574</v>
      </c>
      <c r="D74" t="inlineStr">
        <is>
          <t>VÄSTERNORRLANDS LÄN</t>
        </is>
      </c>
      <c r="E74" t="inlineStr">
        <is>
          <t>TIMRÅ</t>
        </is>
      </c>
      <c r="G74" t="n">
        <v>2.1</v>
      </c>
      <c r="H74" t="n">
        <v>0</v>
      </c>
      <c r="I74" t="n">
        <v>0</v>
      </c>
      <c r="J74" t="n">
        <v>1</v>
      </c>
      <c r="K74" t="n">
        <v>0</v>
      </c>
      <c r="L74" t="n">
        <v>0</v>
      </c>
      <c r="M74" t="n">
        <v>0</v>
      </c>
      <c r="N74" t="n">
        <v>0</v>
      </c>
      <c r="O74" t="n">
        <v>1</v>
      </c>
      <c r="P74" t="n">
        <v>0</v>
      </c>
      <c r="Q74" t="n">
        <v>1</v>
      </c>
      <c r="R74" s="2" t="inlineStr">
        <is>
          <t>Tallticka</t>
        </is>
      </c>
      <c r="S74">
        <f>HYPERLINK("https://klasma.github.io/Logging_2262/artfynd/A 15477-2024 artfynd.xlsx", "A 15477-2024")</f>
        <v/>
      </c>
      <c r="T74">
        <f>HYPERLINK("https://klasma.github.io/Logging_2262/kartor/A 15477-2024 karta.png", "A 15477-2024")</f>
        <v/>
      </c>
      <c r="V74">
        <f>HYPERLINK("https://klasma.github.io/Logging_2262/klagomål/A 15477-2024 FSC-klagomål.docx", "A 15477-2024")</f>
        <v/>
      </c>
      <c r="W74">
        <f>HYPERLINK("https://klasma.github.io/Logging_2262/klagomålsmail/A 15477-2024 FSC-klagomål mail.docx", "A 15477-2024")</f>
        <v/>
      </c>
      <c r="X74">
        <f>HYPERLINK("https://klasma.github.io/Logging_2262/tillsyn/A 15477-2024 tillsynsbegäran.docx", "A 15477-2024")</f>
        <v/>
      </c>
      <c r="Y74">
        <f>HYPERLINK("https://klasma.github.io/Logging_2262/tillsynsmail/A 15477-2024 tillsynsbegäran mail.docx", "A 15477-2024")</f>
        <v/>
      </c>
    </row>
    <row r="75" ht="15" customHeight="1">
      <c r="A75" t="inlineStr">
        <is>
          <t>A 16244-2024</t>
        </is>
      </c>
      <c r="B75" s="1" t="n">
        <v>45407</v>
      </c>
      <c r="C75" s="1" t="n">
        <v>45574</v>
      </c>
      <c r="D75" t="inlineStr">
        <is>
          <t>VÄSTERNORRLANDS LÄN</t>
        </is>
      </c>
      <c r="E75" t="inlineStr">
        <is>
          <t>TIMRÅ</t>
        </is>
      </c>
      <c r="F75" t="inlineStr">
        <is>
          <t>SCA</t>
        </is>
      </c>
      <c r="G75" t="n">
        <v>22.8</v>
      </c>
      <c r="H75" t="n">
        <v>1</v>
      </c>
      <c r="I75" t="n">
        <v>0</v>
      </c>
      <c r="J75" t="n">
        <v>0</v>
      </c>
      <c r="K75" t="n">
        <v>0</v>
      </c>
      <c r="L75" t="n">
        <v>0</v>
      </c>
      <c r="M75" t="n">
        <v>0</v>
      </c>
      <c r="N75" t="n">
        <v>0</v>
      </c>
      <c r="O75" t="n">
        <v>0</v>
      </c>
      <c r="P75" t="n">
        <v>0</v>
      </c>
      <c r="Q75" t="n">
        <v>1</v>
      </c>
      <c r="R75" s="2" t="inlineStr">
        <is>
          <t>Orre</t>
        </is>
      </c>
      <c r="S75">
        <f>HYPERLINK("https://klasma.github.io/Logging_2262/artfynd/A 16244-2024 artfynd.xlsx", "A 16244-2024")</f>
        <v/>
      </c>
      <c r="T75">
        <f>HYPERLINK("https://klasma.github.io/Logging_2262/kartor/A 16244-2024 karta.png", "A 16244-2024")</f>
        <v/>
      </c>
      <c r="V75">
        <f>HYPERLINK("https://klasma.github.io/Logging_2262/klagomål/A 16244-2024 FSC-klagomål.docx", "A 16244-2024")</f>
        <v/>
      </c>
      <c r="W75">
        <f>HYPERLINK("https://klasma.github.io/Logging_2262/klagomålsmail/A 16244-2024 FSC-klagomål mail.docx", "A 16244-2024")</f>
        <v/>
      </c>
      <c r="X75">
        <f>HYPERLINK("https://klasma.github.io/Logging_2262/tillsyn/A 16244-2024 tillsynsbegäran.docx", "A 16244-2024")</f>
        <v/>
      </c>
      <c r="Y75">
        <f>HYPERLINK("https://klasma.github.io/Logging_2262/tillsynsmail/A 16244-2024 tillsynsbegäran mail.docx", "A 16244-2024")</f>
        <v/>
      </c>
      <c r="Z75">
        <f>HYPERLINK("https://klasma.github.io/Logging_2262/fåglar/A 16244-2024 prioriterade fågelarter.docx", "A 16244-2024")</f>
        <v/>
      </c>
    </row>
    <row r="76" ht="15" customHeight="1">
      <c r="A76" t="inlineStr">
        <is>
          <t>A 20350-2024</t>
        </is>
      </c>
      <c r="B76" s="1" t="n">
        <v>45435</v>
      </c>
      <c r="C76" s="1" t="n">
        <v>45574</v>
      </c>
      <c r="D76" t="inlineStr">
        <is>
          <t>VÄSTERNORRLANDS LÄN</t>
        </is>
      </c>
      <c r="E76" t="inlineStr">
        <is>
          <t>TIMRÅ</t>
        </is>
      </c>
      <c r="F76" t="inlineStr">
        <is>
          <t>SCA</t>
        </is>
      </c>
      <c r="G76" t="n">
        <v>6.9</v>
      </c>
      <c r="H76" t="n">
        <v>0</v>
      </c>
      <c r="I76" t="n">
        <v>0</v>
      </c>
      <c r="J76" t="n">
        <v>1</v>
      </c>
      <c r="K76" t="n">
        <v>0</v>
      </c>
      <c r="L76" t="n">
        <v>0</v>
      </c>
      <c r="M76" t="n">
        <v>0</v>
      </c>
      <c r="N76" t="n">
        <v>0</v>
      </c>
      <c r="O76" t="n">
        <v>1</v>
      </c>
      <c r="P76" t="n">
        <v>0</v>
      </c>
      <c r="Q76" t="n">
        <v>1</v>
      </c>
      <c r="R76" s="2" t="inlineStr">
        <is>
          <t>Garnlav</t>
        </is>
      </c>
      <c r="S76">
        <f>HYPERLINK("https://klasma.github.io/Logging_2262/artfynd/A 20350-2024 artfynd.xlsx", "A 20350-2024")</f>
        <v/>
      </c>
      <c r="T76">
        <f>HYPERLINK("https://klasma.github.io/Logging_2262/kartor/A 20350-2024 karta.png", "A 20350-2024")</f>
        <v/>
      </c>
      <c r="V76">
        <f>HYPERLINK("https://klasma.github.io/Logging_2262/klagomål/A 20350-2024 FSC-klagomål.docx", "A 20350-2024")</f>
        <v/>
      </c>
      <c r="W76">
        <f>HYPERLINK("https://klasma.github.io/Logging_2262/klagomålsmail/A 20350-2024 FSC-klagomål mail.docx", "A 20350-2024")</f>
        <v/>
      </c>
      <c r="X76">
        <f>HYPERLINK("https://klasma.github.io/Logging_2262/tillsyn/A 20350-2024 tillsynsbegäran.docx", "A 20350-2024")</f>
        <v/>
      </c>
      <c r="Y76">
        <f>HYPERLINK("https://klasma.github.io/Logging_2262/tillsynsmail/A 20350-2024 tillsynsbegäran mail.docx", "A 20350-2024")</f>
        <v/>
      </c>
    </row>
    <row r="77" ht="15" customHeight="1">
      <c r="A77" t="inlineStr">
        <is>
          <t>A 20785-2024</t>
        </is>
      </c>
      <c r="B77" s="1" t="n">
        <v>45437</v>
      </c>
      <c r="C77" s="1" t="n">
        <v>45574</v>
      </c>
      <c r="D77" t="inlineStr">
        <is>
          <t>VÄSTERNORRLANDS LÄN</t>
        </is>
      </c>
      <c r="E77" t="inlineStr">
        <is>
          <t>TIMRÅ</t>
        </is>
      </c>
      <c r="F77" t="inlineStr">
        <is>
          <t>SCA</t>
        </is>
      </c>
      <c r="G77" t="n">
        <v>3.4</v>
      </c>
      <c r="H77" t="n">
        <v>0</v>
      </c>
      <c r="I77" t="n">
        <v>0</v>
      </c>
      <c r="J77" t="n">
        <v>1</v>
      </c>
      <c r="K77" t="n">
        <v>0</v>
      </c>
      <c r="L77" t="n">
        <v>0</v>
      </c>
      <c r="M77" t="n">
        <v>0</v>
      </c>
      <c r="N77" t="n">
        <v>0</v>
      </c>
      <c r="O77" t="n">
        <v>1</v>
      </c>
      <c r="P77" t="n">
        <v>0</v>
      </c>
      <c r="Q77" t="n">
        <v>1</v>
      </c>
      <c r="R77" s="2" t="inlineStr">
        <is>
          <t>Rosenticka</t>
        </is>
      </c>
      <c r="S77">
        <f>HYPERLINK("https://klasma.github.io/Logging_2262/artfynd/A 20785-2024 artfynd.xlsx", "A 20785-2024")</f>
        <v/>
      </c>
      <c r="T77">
        <f>HYPERLINK("https://klasma.github.io/Logging_2262/kartor/A 20785-2024 karta.png", "A 20785-2024")</f>
        <v/>
      </c>
      <c r="V77">
        <f>HYPERLINK("https://klasma.github.io/Logging_2262/klagomål/A 20785-2024 FSC-klagomål.docx", "A 20785-2024")</f>
        <v/>
      </c>
      <c r="W77">
        <f>HYPERLINK("https://klasma.github.io/Logging_2262/klagomålsmail/A 20785-2024 FSC-klagomål mail.docx", "A 20785-2024")</f>
        <v/>
      </c>
      <c r="X77">
        <f>HYPERLINK("https://klasma.github.io/Logging_2262/tillsyn/A 20785-2024 tillsynsbegäran.docx", "A 20785-2024")</f>
        <v/>
      </c>
      <c r="Y77">
        <f>HYPERLINK("https://klasma.github.io/Logging_2262/tillsynsmail/A 20785-2024 tillsynsbegäran mail.docx", "A 20785-2024")</f>
        <v/>
      </c>
    </row>
    <row r="78" ht="15" customHeight="1">
      <c r="A78" t="inlineStr">
        <is>
          <t>A 21845-2024</t>
        </is>
      </c>
      <c r="B78" s="1" t="n">
        <v>45442</v>
      </c>
      <c r="C78" s="1" t="n">
        <v>45574</v>
      </c>
      <c r="D78" t="inlineStr">
        <is>
          <t>VÄSTERNORRLANDS LÄN</t>
        </is>
      </c>
      <c r="E78" t="inlineStr">
        <is>
          <t>TIMRÅ</t>
        </is>
      </c>
      <c r="F78" t="inlineStr">
        <is>
          <t>SCA</t>
        </is>
      </c>
      <c r="G78" t="n">
        <v>14.7</v>
      </c>
      <c r="H78" t="n">
        <v>0</v>
      </c>
      <c r="I78" t="n">
        <v>0</v>
      </c>
      <c r="J78" t="n">
        <v>1</v>
      </c>
      <c r="K78" t="n">
        <v>0</v>
      </c>
      <c r="L78" t="n">
        <v>0</v>
      </c>
      <c r="M78" t="n">
        <v>0</v>
      </c>
      <c r="N78" t="n">
        <v>0</v>
      </c>
      <c r="O78" t="n">
        <v>1</v>
      </c>
      <c r="P78" t="n">
        <v>0</v>
      </c>
      <c r="Q78" t="n">
        <v>1</v>
      </c>
      <c r="R78" s="2" t="inlineStr">
        <is>
          <t>Lunglav</t>
        </is>
      </c>
      <c r="S78">
        <f>HYPERLINK("https://klasma.github.io/Logging_2262/artfynd/A 21845-2024 artfynd.xlsx", "A 21845-2024")</f>
        <v/>
      </c>
      <c r="T78">
        <f>HYPERLINK("https://klasma.github.io/Logging_2262/kartor/A 21845-2024 karta.png", "A 21845-2024")</f>
        <v/>
      </c>
      <c r="V78">
        <f>HYPERLINK("https://klasma.github.io/Logging_2262/klagomål/A 21845-2024 FSC-klagomål.docx", "A 21845-2024")</f>
        <v/>
      </c>
      <c r="W78">
        <f>HYPERLINK("https://klasma.github.io/Logging_2262/klagomålsmail/A 21845-2024 FSC-klagomål mail.docx", "A 21845-2024")</f>
        <v/>
      </c>
      <c r="X78">
        <f>HYPERLINK("https://klasma.github.io/Logging_2262/tillsyn/A 21845-2024 tillsynsbegäran.docx", "A 21845-2024")</f>
        <v/>
      </c>
      <c r="Y78">
        <f>HYPERLINK("https://klasma.github.io/Logging_2262/tillsynsmail/A 21845-2024 tillsynsbegäran mail.docx", "A 21845-2024")</f>
        <v/>
      </c>
    </row>
    <row r="79" ht="15" customHeight="1">
      <c r="A79" t="inlineStr">
        <is>
          <t>A 39150-2024</t>
        </is>
      </c>
      <c r="B79" s="1" t="n">
        <v>45548</v>
      </c>
      <c r="C79" s="1" t="n">
        <v>45574</v>
      </c>
      <c r="D79" t="inlineStr">
        <is>
          <t>VÄSTERNORRLANDS LÄN</t>
        </is>
      </c>
      <c r="E79" t="inlineStr">
        <is>
          <t>TIMRÅ</t>
        </is>
      </c>
      <c r="G79" t="n">
        <v>4.4</v>
      </c>
      <c r="H79" t="n">
        <v>0</v>
      </c>
      <c r="I79" t="n">
        <v>1</v>
      </c>
      <c r="J79" t="n">
        <v>0</v>
      </c>
      <c r="K79" t="n">
        <v>0</v>
      </c>
      <c r="L79" t="n">
        <v>0</v>
      </c>
      <c r="M79" t="n">
        <v>0</v>
      </c>
      <c r="N79" t="n">
        <v>0</v>
      </c>
      <c r="O79" t="n">
        <v>0</v>
      </c>
      <c r="P79" t="n">
        <v>0</v>
      </c>
      <c r="Q79" t="n">
        <v>1</v>
      </c>
      <c r="R79" s="2" t="inlineStr">
        <is>
          <t>Ögonpyrola</t>
        </is>
      </c>
      <c r="S79">
        <f>HYPERLINK("https://klasma.github.io/Logging_2262/artfynd/A 39150-2024 artfynd.xlsx", "A 39150-2024")</f>
        <v/>
      </c>
      <c r="T79">
        <f>HYPERLINK("https://klasma.github.io/Logging_2262/kartor/A 39150-2024 karta.png", "A 39150-2024")</f>
        <v/>
      </c>
      <c r="V79">
        <f>HYPERLINK("https://klasma.github.io/Logging_2262/klagomål/A 39150-2024 FSC-klagomål.docx", "A 39150-2024")</f>
        <v/>
      </c>
      <c r="W79">
        <f>HYPERLINK("https://klasma.github.io/Logging_2262/klagomålsmail/A 39150-2024 FSC-klagomål mail.docx", "A 39150-2024")</f>
        <v/>
      </c>
      <c r="X79">
        <f>HYPERLINK("https://klasma.github.io/Logging_2262/tillsyn/A 39150-2024 tillsynsbegäran.docx", "A 39150-2024")</f>
        <v/>
      </c>
      <c r="Y79">
        <f>HYPERLINK("https://klasma.github.io/Logging_2262/tillsynsmail/A 39150-2024 tillsynsbegäran mail.docx", "A 39150-2024")</f>
        <v/>
      </c>
    </row>
    <row r="80" ht="15" customHeight="1">
      <c r="A80" t="inlineStr">
        <is>
          <t>A 40659-2024</t>
        </is>
      </c>
      <c r="B80" s="1" t="n">
        <v>45558</v>
      </c>
      <c r="C80" s="1" t="n">
        <v>45574</v>
      </c>
      <c r="D80" t="inlineStr">
        <is>
          <t>VÄSTERNORRLANDS LÄN</t>
        </is>
      </c>
      <c r="E80" t="inlineStr">
        <is>
          <t>TIMRÅ</t>
        </is>
      </c>
      <c r="F80" t="inlineStr">
        <is>
          <t>SCA</t>
        </is>
      </c>
      <c r="G80" t="n">
        <v>0.7</v>
      </c>
      <c r="H80" t="n">
        <v>0</v>
      </c>
      <c r="I80" t="n">
        <v>0</v>
      </c>
      <c r="J80" t="n">
        <v>1</v>
      </c>
      <c r="K80" t="n">
        <v>0</v>
      </c>
      <c r="L80" t="n">
        <v>0</v>
      </c>
      <c r="M80" t="n">
        <v>0</v>
      </c>
      <c r="N80" t="n">
        <v>0</v>
      </c>
      <c r="O80" t="n">
        <v>1</v>
      </c>
      <c r="P80" t="n">
        <v>0</v>
      </c>
      <c r="Q80" t="n">
        <v>1</v>
      </c>
      <c r="R80" s="2" t="inlineStr">
        <is>
          <t>Rosenticka</t>
        </is>
      </c>
      <c r="S80">
        <f>HYPERLINK("https://klasma.github.io/Logging_2262/artfynd/A 40659-2024 artfynd.xlsx", "A 40659-2024")</f>
        <v/>
      </c>
      <c r="T80">
        <f>HYPERLINK("https://klasma.github.io/Logging_2262/kartor/A 40659-2024 karta.png", "A 40659-2024")</f>
        <v/>
      </c>
      <c r="V80">
        <f>HYPERLINK("https://klasma.github.io/Logging_2262/klagomål/A 40659-2024 FSC-klagomål.docx", "A 40659-2024")</f>
        <v/>
      </c>
      <c r="W80">
        <f>HYPERLINK("https://klasma.github.io/Logging_2262/klagomålsmail/A 40659-2024 FSC-klagomål mail.docx", "A 40659-2024")</f>
        <v/>
      </c>
      <c r="X80">
        <f>HYPERLINK("https://klasma.github.io/Logging_2262/tillsyn/A 40659-2024 tillsynsbegäran.docx", "A 40659-2024")</f>
        <v/>
      </c>
      <c r="Y80">
        <f>HYPERLINK("https://klasma.github.io/Logging_2262/tillsynsmail/A 40659-2024 tillsynsbegäran mail.docx", "A 40659-2024")</f>
        <v/>
      </c>
    </row>
    <row r="81" ht="15" customHeight="1">
      <c r="A81" t="inlineStr">
        <is>
          <t>A 17858-2019</t>
        </is>
      </c>
      <c r="B81" s="1" t="n">
        <v>43556</v>
      </c>
      <c r="C81" s="1" t="n">
        <v>45574</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45574</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45574</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45574</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45574</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45574</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45574</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45574</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45574</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45574</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45574</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45574</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45574</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45574</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45574</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45574</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45574</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45574</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45574</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45574</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45574</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45574</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45574</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45574</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45574</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45574</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45574</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45574</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45574</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45574</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45574</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45574</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45574</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45574</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45574</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45574</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45574</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45574</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45574</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45574</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45574</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45574</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45574</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45574</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45574</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45574</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45574</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45574</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45574</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45574</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45574</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45574</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45574</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45574</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45574</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45574</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45574</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45574</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45574</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45574</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45574</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45574</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45574</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45574</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45574</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45574</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45574</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45574</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45574</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45574</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45574</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45574</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45574</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45574</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45574</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45574</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45574</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45574</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45574</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45574</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45574</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45574</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45574</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45574</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45574</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45574</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45574</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45574</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45574</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45574</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45574</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45574</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45574</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45574</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45574</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45574</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45574</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45574</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45574</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45574</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45574</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45574</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45574</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45574</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45574</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45574</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45574</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45574</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45574</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45574</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45574</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45574</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20732-2021</t>
        </is>
      </c>
      <c r="B193" s="1" t="n">
        <v>44316</v>
      </c>
      <c r="C193" s="1" t="n">
        <v>45574</v>
      </c>
      <c r="D193" t="inlineStr">
        <is>
          <t>VÄSTERNORRLANDS LÄN</t>
        </is>
      </c>
      <c r="E193" t="inlineStr">
        <is>
          <t>TIMRÅ</t>
        </is>
      </c>
      <c r="G193" t="n">
        <v>3.8</v>
      </c>
      <c r="H193" t="n">
        <v>0</v>
      </c>
      <c r="I193" t="n">
        <v>0</v>
      </c>
      <c r="J193" t="n">
        <v>0</v>
      </c>
      <c r="K193" t="n">
        <v>0</v>
      </c>
      <c r="L193" t="n">
        <v>0</v>
      </c>
      <c r="M193" t="n">
        <v>0</v>
      </c>
      <c r="N193" t="n">
        <v>0</v>
      </c>
      <c r="O193" t="n">
        <v>0</v>
      </c>
      <c r="P193" t="n">
        <v>0</v>
      </c>
      <c r="Q193" t="n">
        <v>0</v>
      </c>
      <c r="R193" s="2" t="inlineStr"/>
    </row>
    <row r="194" ht="15" customHeight="1">
      <c r="A194" t="inlineStr">
        <is>
          <t>A 23611-2021</t>
        </is>
      </c>
      <c r="B194" s="1" t="n">
        <v>44334</v>
      </c>
      <c r="C194" s="1" t="n">
        <v>45574</v>
      </c>
      <c r="D194" t="inlineStr">
        <is>
          <t>VÄSTERNORRLANDS LÄN</t>
        </is>
      </c>
      <c r="E194" t="inlineStr">
        <is>
          <t>TIMRÅ</t>
        </is>
      </c>
      <c r="G194" t="n">
        <v>13.7</v>
      </c>
      <c r="H194" t="n">
        <v>0</v>
      </c>
      <c r="I194" t="n">
        <v>0</v>
      </c>
      <c r="J194" t="n">
        <v>0</v>
      </c>
      <c r="K194" t="n">
        <v>0</v>
      </c>
      <c r="L194" t="n">
        <v>0</v>
      </c>
      <c r="M194" t="n">
        <v>0</v>
      </c>
      <c r="N194" t="n">
        <v>0</v>
      </c>
      <c r="O194" t="n">
        <v>0</v>
      </c>
      <c r="P194" t="n">
        <v>0</v>
      </c>
      <c r="Q194" t="n">
        <v>0</v>
      </c>
      <c r="R194" s="2" t="inlineStr"/>
    </row>
    <row r="195" ht="15" customHeight="1">
      <c r="A195" t="inlineStr">
        <is>
          <t>A 24513-2021</t>
        </is>
      </c>
      <c r="B195" s="1" t="n">
        <v>44338</v>
      </c>
      <c r="C195" s="1" t="n">
        <v>45574</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26588-2021</t>
        </is>
      </c>
      <c r="B196" s="1" t="n">
        <v>44348</v>
      </c>
      <c r="C196" s="1" t="n">
        <v>45574</v>
      </c>
      <c r="D196" t="inlineStr">
        <is>
          <t>VÄSTERNORRLANDS LÄN</t>
        </is>
      </c>
      <c r="E196" t="inlineStr">
        <is>
          <t>TIMRÅ</t>
        </is>
      </c>
      <c r="F196" t="inlineStr">
        <is>
          <t>Kyrkan</t>
        </is>
      </c>
      <c r="G196" t="n">
        <v>1.1</v>
      </c>
      <c r="H196" t="n">
        <v>0</v>
      </c>
      <c r="I196" t="n">
        <v>0</v>
      </c>
      <c r="J196" t="n">
        <v>0</v>
      </c>
      <c r="K196" t="n">
        <v>0</v>
      </c>
      <c r="L196" t="n">
        <v>0</v>
      </c>
      <c r="M196" t="n">
        <v>0</v>
      </c>
      <c r="N196" t="n">
        <v>0</v>
      </c>
      <c r="O196" t="n">
        <v>0</v>
      </c>
      <c r="P196" t="n">
        <v>0</v>
      </c>
      <c r="Q196" t="n">
        <v>0</v>
      </c>
      <c r="R196" s="2" t="inlineStr"/>
    </row>
    <row r="197" ht="15" customHeight="1">
      <c r="A197" t="inlineStr">
        <is>
          <t>A 26921-2021</t>
        </is>
      </c>
      <c r="B197" s="1" t="n">
        <v>44349</v>
      </c>
      <c r="C197" s="1" t="n">
        <v>45574</v>
      </c>
      <c r="D197" t="inlineStr">
        <is>
          <t>VÄSTERNORRLANDS LÄN</t>
        </is>
      </c>
      <c r="E197" t="inlineStr">
        <is>
          <t>TIMRÅ</t>
        </is>
      </c>
      <c r="G197" t="n">
        <v>6.6</v>
      </c>
      <c r="H197" t="n">
        <v>0</v>
      </c>
      <c r="I197" t="n">
        <v>0</v>
      </c>
      <c r="J197" t="n">
        <v>0</v>
      </c>
      <c r="K197" t="n">
        <v>0</v>
      </c>
      <c r="L197" t="n">
        <v>0</v>
      </c>
      <c r="M197" t="n">
        <v>0</v>
      </c>
      <c r="N197" t="n">
        <v>0</v>
      </c>
      <c r="O197" t="n">
        <v>0</v>
      </c>
      <c r="P197" t="n">
        <v>0</v>
      </c>
      <c r="Q197" t="n">
        <v>0</v>
      </c>
      <c r="R197" s="2" t="inlineStr"/>
    </row>
    <row r="198" ht="15" customHeight="1">
      <c r="A198" t="inlineStr">
        <is>
          <t>A 26936-2021</t>
        </is>
      </c>
      <c r="B198" s="1" t="n">
        <v>44349</v>
      </c>
      <c r="C198" s="1" t="n">
        <v>45574</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27243-2021</t>
        </is>
      </c>
      <c r="B199" s="1" t="n">
        <v>44350</v>
      </c>
      <c r="C199" s="1" t="n">
        <v>45574</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28695-2021</t>
        </is>
      </c>
      <c r="B200" s="1" t="n">
        <v>44357</v>
      </c>
      <c r="C200" s="1" t="n">
        <v>45574</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28706-2021</t>
        </is>
      </c>
      <c r="B201" s="1" t="n">
        <v>44357</v>
      </c>
      <c r="C201" s="1" t="n">
        <v>45574</v>
      </c>
      <c r="D201" t="inlineStr">
        <is>
          <t>VÄSTERNORRLANDS LÄN</t>
        </is>
      </c>
      <c r="E201" t="inlineStr">
        <is>
          <t>TIMRÅ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28650-2021</t>
        </is>
      </c>
      <c r="B202" s="1" t="n">
        <v>44357</v>
      </c>
      <c r="C202" s="1" t="n">
        <v>45574</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28702-2021</t>
        </is>
      </c>
      <c r="B203" s="1" t="n">
        <v>44357</v>
      </c>
      <c r="C203" s="1" t="n">
        <v>45574</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30098-2021</t>
        </is>
      </c>
      <c r="B204" s="1" t="n">
        <v>44363</v>
      </c>
      <c r="C204" s="1" t="n">
        <v>45574</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30091-2021</t>
        </is>
      </c>
      <c r="B205" s="1" t="n">
        <v>44363</v>
      </c>
      <c r="C205" s="1" t="n">
        <v>45574</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30591-2021</t>
        </is>
      </c>
      <c r="B206" s="1" t="n">
        <v>44364</v>
      </c>
      <c r="C206" s="1" t="n">
        <v>45574</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32287-2021</t>
        </is>
      </c>
      <c r="B207" s="1" t="n">
        <v>44371</v>
      </c>
      <c r="C207" s="1" t="n">
        <v>45574</v>
      </c>
      <c r="D207" t="inlineStr">
        <is>
          <t>VÄSTERNORRLANDS LÄN</t>
        </is>
      </c>
      <c r="E207" t="inlineStr">
        <is>
          <t>TIMRÅ</t>
        </is>
      </c>
      <c r="F207" t="inlineStr">
        <is>
          <t>Kyrkan</t>
        </is>
      </c>
      <c r="G207" t="n">
        <v>5</v>
      </c>
      <c r="H207" t="n">
        <v>0</v>
      </c>
      <c r="I207" t="n">
        <v>0</v>
      </c>
      <c r="J207" t="n">
        <v>0</v>
      </c>
      <c r="K207" t="n">
        <v>0</v>
      </c>
      <c r="L207" t="n">
        <v>0</v>
      </c>
      <c r="M207" t="n">
        <v>0</v>
      </c>
      <c r="N207" t="n">
        <v>0</v>
      </c>
      <c r="O207" t="n">
        <v>0</v>
      </c>
      <c r="P207" t="n">
        <v>0</v>
      </c>
      <c r="Q207" t="n">
        <v>0</v>
      </c>
      <c r="R207" s="2" t="inlineStr"/>
    </row>
    <row r="208" ht="15" customHeight="1">
      <c r="A208" t="inlineStr">
        <is>
          <t>A 32210-2021</t>
        </is>
      </c>
      <c r="B208" s="1" t="n">
        <v>44371</v>
      </c>
      <c r="C208" s="1" t="n">
        <v>45574</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32484-2021</t>
        </is>
      </c>
      <c r="B209" s="1" t="n">
        <v>44371</v>
      </c>
      <c r="C209" s="1" t="n">
        <v>45574</v>
      </c>
      <c r="D209" t="inlineStr">
        <is>
          <t>VÄSTERNORRLANDS LÄN</t>
        </is>
      </c>
      <c r="E209" t="inlineStr">
        <is>
          <t>TIMRÅ</t>
        </is>
      </c>
      <c r="F209" t="inlineStr">
        <is>
          <t>SCA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32487-2021</t>
        </is>
      </c>
      <c r="B210" s="1" t="n">
        <v>44371</v>
      </c>
      <c r="C210" s="1" t="n">
        <v>45574</v>
      </c>
      <c r="D210" t="inlineStr">
        <is>
          <t>VÄSTERNORRLANDS LÄN</t>
        </is>
      </c>
      <c r="E210" t="inlineStr">
        <is>
          <t>TIMRÅ</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32483-2021</t>
        </is>
      </c>
      <c r="B211" s="1" t="n">
        <v>44371</v>
      </c>
      <c r="C211" s="1" t="n">
        <v>45574</v>
      </c>
      <c r="D211" t="inlineStr">
        <is>
          <t>VÄSTERNORRLANDS LÄN</t>
        </is>
      </c>
      <c r="E211" t="inlineStr">
        <is>
          <t>TIMRÅ</t>
        </is>
      </c>
      <c r="F211" t="inlineStr">
        <is>
          <t>Kyrkan</t>
        </is>
      </c>
      <c r="G211" t="n">
        <v>6.3</v>
      </c>
      <c r="H211" t="n">
        <v>0</v>
      </c>
      <c r="I211" t="n">
        <v>0</v>
      </c>
      <c r="J211" t="n">
        <v>0</v>
      </c>
      <c r="K211" t="n">
        <v>0</v>
      </c>
      <c r="L211" t="n">
        <v>0</v>
      </c>
      <c r="M211" t="n">
        <v>0</v>
      </c>
      <c r="N211" t="n">
        <v>0</v>
      </c>
      <c r="O211" t="n">
        <v>0</v>
      </c>
      <c r="P211" t="n">
        <v>0</v>
      </c>
      <c r="Q211" t="n">
        <v>0</v>
      </c>
      <c r="R211" s="2" t="inlineStr"/>
    </row>
    <row r="212" ht="15" customHeight="1">
      <c r="A212" t="inlineStr">
        <is>
          <t>A 34035-2021</t>
        </is>
      </c>
      <c r="B212" s="1" t="n">
        <v>44378</v>
      </c>
      <c r="C212" s="1" t="n">
        <v>45574</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34767-2021</t>
        </is>
      </c>
      <c r="B213" s="1" t="n">
        <v>44382</v>
      </c>
      <c r="C213" s="1" t="n">
        <v>45574</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35262-2021</t>
        </is>
      </c>
      <c r="B214" s="1" t="n">
        <v>44384</v>
      </c>
      <c r="C214" s="1" t="n">
        <v>45574</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35413-2021</t>
        </is>
      </c>
      <c r="B215" s="1" t="n">
        <v>44385</v>
      </c>
      <c r="C215" s="1" t="n">
        <v>45574</v>
      </c>
      <c r="D215" t="inlineStr">
        <is>
          <t>VÄSTERNORRLANDS LÄN</t>
        </is>
      </c>
      <c r="E215" t="inlineStr">
        <is>
          <t>TIMRÅ</t>
        </is>
      </c>
      <c r="G215" t="n">
        <v>1</v>
      </c>
      <c r="H215" t="n">
        <v>0</v>
      </c>
      <c r="I215" t="n">
        <v>0</v>
      </c>
      <c r="J215" t="n">
        <v>0</v>
      </c>
      <c r="K215" t="n">
        <v>0</v>
      </c>
      <c r="L215" t="n">
        <v>0</v>
      </c>
      <c r="M215" t="n">
        <v>0</v>
      </c>
      <c r="N215" t="n">
        <v>0</v>
      </c>
      <c r="O215" t="n">
        <v>0</v>
      </c>
      <c r="P215" t="n">
        <v>0</v>
      </c>
      <c r="Q215" t="n">
        <v>0</v>
      </c>
      <c r="R215" s="2" t="inlineStr"/>
    </row>
    <row r="216" ht="15" customHeight="1">
      <c r="A216" t="inlineStr">
        <is>
          <t>A 35417-2021</t>
        </is>
      </c>
      <c r="B216" s="1" t="n">
        <v>44385</v>
      </c>
      <c r="C216" s="1" t="n">
        <v>45574</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36987-2021</t>
        </is>
      </c>
      <c r="B217" s="1" t="n">
        <v>44393</v>
      </c>
      <c r="C217" s="1" t="n">
        <v>45574</v>
      </c>
      <c r="D217" t="inlineStr">
        <is>
          <t>VÄSTERNORRLANDS LÄN</t>
        </is>
      </c>
      <c r="E217" t="inlineStr">
        <is>
          <t>TIMRÅ</t>
        </is>
      </c>
      <c r="G217" t="n">
        <v>1.6</v>
      </c>
      <c r="H217" t="n">
        <v>0</v>
      </c>
      <c r="I217" t="n">
        <v>0</v>
      </c>
      <c r="J217" t="n">
        <v>0</v>
      </c>
      <c r="K217" t="n">
        <v>0</v>
      </c>
      <c r="L217" t="n">
        <v>0</v>
      </c>
      <c r="M217" t="n">
        <v>0</v>
      </c>
      <c r="N217" t="n">
        <v>0</v>
      </c>
      <c r="O217" t="n">
        <v>0</v>
      </c>
      <c r="P217" t="n">
        <v>0</v>
      </c>
      <c r="Q217" t="n">
        <v>0</v>
      </c>
      <c r="R217" s="2" t="inlineStr"/>
    </row>
    <row r="218" ht="15" customHeight="1">
      <c r="A218" t="inlineStr">
        <is>
          <t>A 37165-2021</t>
        </is>
      </c>
      <c r="B218" s="1" t="n">
        <v>44396</v>
      </c>
      <c r="C218" s="1" t="n">
        <v>45574</v>
      </c>
      <c r="D218" t="inlineStr">
        <is>
          <t>VÄSTERNORRLANDS LÄN</t>
        </is>
      </c>
      <c r="E218" t="inlineStr">
        <is>
          <t>TIMRÅ</t>
        </is>
      </c>
      <c r="G218" t="n">
        <v>6.8</v>
      </c>
      <c r="H218" t="n">
        <v>0</v>
      </c>
      <c r="I218" t="n">
        <v>0</v>
      </c>
      <c r="J218" t="n">
        <v>0</v>
      </c>
      <c r="K218" t="n">
        <v>0</v>
      </c>
      <c r="L218" t="n">
        <v>0</v>
      </c>
      <c r="M218" t="n">
        <v>0</v>
      </c>
      <c r="N218" t="n">
        <v>0</v>
      </c>
      <c r="O218" t="n">
        <v>0</v>
      </c>
      <c r="P218" t="n">
        <v>0</v>
      </c>
      <c r="Q218" t="n">
        <v>0</v>
      </c>
      <c r="R218" s="2" t="inlineStr"/>
    </row>
    <row r="219" ht="15" customHeight="1">
      <c r="A219" t="inlineStr">
        <is>
          <t>A 39534-2021</t>
        </is>
      </c>
      <c r="B219" s="1" t="n">
        <v>44416</v>
      </c>
      <c r="C219" s="1" t="n">
        <v>45574</v>
      </c>
      <c r="D219" t="inlineStr">
        <is>
          <t>VÄSTERNORRLANDS LÄN</t>
        </is>
      </c>
      <c r="E219" t="inlineStr">
        <is>
          <t>TIMRÅ</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39821-2021</t>
        </is>
      </c>
      <c r="B220" s="1" t="n">
        <v>44417</v>
      </c>
      <c r="C220" s="1" t="n">
        <v>45574</v>
      </c>
      <c r="D220" t="inlineStr">
        <is>
          <t>VÄSTERNORRLANDS LÄN</t>
        </is>
      </c>
      <c r="E220" t="inlineStr">
        <is>
          <t>TIMRÅ</t>
        </is>
      </c>
      <c r="G220" t="n">
        <v>0.4</v>
      </c>
      <c r="H220" t="n">
        <v>0</v>
      </c>
      <c r="I220" t="n">
        <v>0</v>
      </c>
      <c r="J220" t="n">
        <v>0</v>
      </c>
      <c r="K220" t="n">
        <v>0</v>
      </c>
      <c r="L220" t="n">
        <v>0</v>
      </c>
      <c r="M220" t="n">
        <v>0</v>
      </c>
      <c r="N220" t="n">
        <v>0</v>
      </c>
      <c r="O220" t="n">
        <v>0</v>
      </c>
      <c r="P220" t="n">
        <v>0</v>
      </c>
      <c r="Q220" t="n">
        <v>0</v>
      </c>
      <c r="R220" s="2" t="inlineStr"/>
    </row>
    <row r="221" ht="15" customHeight="1">
      <c r="A221" t="inlineStr">
        <is>
          <t>A 40519-2021</t>
        </is>
      </c>
      <c r="B221" s="1" t="n">
        <v>44420</v>
      </c>
      <c r="C221" s="1" t="n">
        <v>45574</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43848-2021</t>
        </is>
      </c>
      <c r="B222" s="1" t="n">
        <v>44434</v>
      </c>
      <c r="C222" s="1" t="n">
        <v>45574</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45441-2021</t>
        </is>
      </c>
      <c r="B223" s="1" t="n">
        <v>44440</v>
      </c>
      <c r="C223" s="1" t="n">
        <v>45574</v>
      </c>
      <c r="D223" t="inlineStr">
        <is>
          <t>VÄSTERNORRLANDS LÄN</t>
        </is>
      </c>
      <c r="E223" t="inlineStr">
        <is>
          <t>TIMRÅ</t>
        </is>
      </c>
      <c r="G223" t="n">
        <v>2</v>
      </c>
      <c r="H223" t="n">
        <v>0</v>
      </c>
      <c r="I223" t="n">
        <v>0</v>
      </c>
      <c r="J223" t="n">
        <v>0</v>
      </c>
      <c r="K223" t="n">
        <v>0</v>
      </c>
      <c r="L223" t="n">
        <v>0</v>
      </c>
      <c r="M223" t="n">
        <v>0</v>
      </c>
      <c r="N223" t="n">
        <v>0</v>
      </c>
      <c r="O223" t="n">
        <v>0</v>
      </c>
      <c r="P223" t="n">
        <v>0</v>
      </c>
      <c r="Q223" t="n">
        <v>0</v>
      </c>
      <c r="R223" s="2" t="inlineStr"/>
    </row>
    <row r="224" ht="15" customHeight="1">
      <c r="A224" t="inlineStr">
        <is>
          <t>A 47203-2021</t>
        </is>
      </c>
      <c r="B224" s="1" t="n">
        <v>44447</v>
      </c>
      <c r="C224" s="1" t="n">
        <v>45574</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47569-2021</t>
        </is>
      </c>
      <c r="B225" s="1" t="n">
        <v>44447</v>
      </c>
      <c r="C225" s="1" t="n">
        <v>45574</v>
      </c>
      <c r="D225" t="inlineStr">
        <is>
          <t>VÄSTERNORRLANDS LÄN</t>
        </is>
      </c>
      <c r="E225" t="inlineStr">
        <is>
          <t>TIMRÅ</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47570-2021</t>
        </is>
      </c>
      <c r="B226" s="1" t="n">
        <v>44448</v>
      </c>
      <c r="C226" s="1" t="n">
        <v>45574</v>
      </c>
      <c r="D226" t="inlineStr">
        <is>
          <t>VÄSTERNORRLANDS LÄN</t>
        </is>
      </c>
      <c r="E226" t="inlineStr">
        <is>
          <t>TIMRÅ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49056-2021</t>
        </is>
      </c>
      <c r="B227" s="1" t="n">
        <v>44453</v>
      </c>
      <c r="C227" s="1" t="n">
        <v>45574</v>
      </c>
      <c r="D227" t="inlineStr">
        <is>
          <t>VÄSTERNORRLANDS LÄN</t>
        </is>
      </c>
      <c r="E227" t="inlineStr">
        <is>
          <t>TIMRÅ</t>
        </is>
      </c>
      <c r="G227" t="n">
        <v>3.4</v>
      </c>
      <c r="H227" t="n">
        <v>0</v>
      </c>
      <c r="I227" t="n">
        <v>0</v>
      </c>
      <c r="J227" t="n">
        <v>0</v>
      </c>
      <c r="K227" t="n">
        <v>0</v>
      </c>
      <c r="L227" t="n">
        <v>0</v>
      </c>
      <c r="M227" t="n">
        <v>0</v>
      </c>
      <c r="N227" t="n">
        <v>0</v>
      </c>
      <c r="O227" t="n">
        <v>0</v>
      </c>
      <c r="P227" t="n">
        <v>0</v>
      </c>
      <c r="Q227" t="n">
        <v>0</v>
      </c>
      <c r="R227" s="2" t="inlineStr"/>
    </row>
    <row r="228" ht="15" customHeight="1">
      <c r="A228" t="inlineStr">
        <is>
          <t>A 49486-2021</t>
        </is>
      </c>
      <c r="B228" s="1" t="n">
        <v>44455</v>
      </c>
      <c r="C228" s="1" t="n">
        <v>45574</v>
      </c>
      <c r="D228" t="inlineStr">
        <is>
          <t>VÄSTERNORRLANDS LÄN</t>
        </is>
      </c>
      <c r="E228" t="inlineStr">
        <is>
          <t>TIMRÅ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53305-2021</t>
        </is>
      </c>
      <c r="B229" s="1" t="n">
        <v>44467</v>
      </c>
      <c r="C229" s="1" t="n">
        <v>45574</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53699-2021</t>
        </is>
      </c>
      <c r="B230" s="1" t="n">
        <v>44469</v>
      </c>
      <c r="C230" s="1" t="n">
        <v>45574</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53703-2021</t>
        </is>
      </c>
      <c r="B231" s="1" t="n">
        <v>44469</v>
      </c>
      <c r="C231" s="1" t="n">
        <v>45574</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59570-2021</t>
        </is>
      </c>
      <c r="B232" s="1" t="n">
        <v>44491</v>
      </c>
      <c r="C232" s="1" t="n">
        <v>45574</v>
      </c>
      <c r="D232" t="inlineStr">
        <is>
          <t>VÄSTERNORRLANDS LÄN</t>
        </is>
      </c>
      <c r="E232" t="inlineStr">
        <is>
          <t>TIMRÅ</t>
        </is>
      </c>
      <c r="G232" t="n">
        <v>1.3</v>
      </c>
      <c r="H232" t="n">
        <v>0</v>
      </c>
      <c r="I232" t="n">
        <v>0</v>
      </c>
      <c r="J232" t="n">
        <v>0</v>
      </c>
      <c r="K232" t="n">
        <v>0</v>
      </c>
      <c r="L232" t="n">
        <v>0</v>
      </c>
      <c r="M232" t="n">
        <v>0</v>
      </c>
      <c r="N232" t="n">
        <v>0</v>
      </c>
      <c r="O232" t="n">
        <v>0</v>
      </c>
      <c r="P232" t="n">
        <v>0</v>
      </c>
      <c r="Q232" t="n">
        <v>0</v>
      </c>
      <c r="R232" s="2" t="inlineStr"/>
    </row>
    <row r="233" ht="15" customHeight="1">
      <c r="A233" t="inlineStr">
        <is>
          <t>A 59964-2021</t>
        </is>
      </c>
      <c r="B233" s="1" t="n">
        <v>44494</v>
      </c>
      <c r="C233" s="1" t="n">
        <v>45574</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64433-2021</t>
        </is>
      </c>
      <c r="B234" s="1" t="n">
        <v>44511</v>
      </c>
      <c r="C234" s="1" t="n">
        <v>45574</v>
      </c>
      <c r="D234" t="inlineStr">
        <is>
          <t>VÄSTERNORRLANDS LÄN</t>
        </is>
      </c>
      <c r="E234" t="inlineStr">
        <is>
          <t>TIMRÅ</t>
        </is>
      </c>
      <c r="G234" t="n">
        <v>0.6</v>
      </c>
      <c r="H234" t="n">
        <v>0</v>
      </c>
      <c r="I234" t="n">
        <v>0</v>
      </c>
      <c r="J234" t="n">
        <v>0</v>
      </c>
      <c r="K234" t="n">
        <v>0</v>
      </c>
      <c r="L234" t="n">
        <v>0</v>
      </c>
      <c r="M234" t="n">
        <v>0</v>
      </c>
      <c r="N234" t="n">
        <v>0</v>
      </c>
      <c r="O234" t="n">
        <v>0</v>
      </c>
      <c r="P234" t="n">
        <v>0</v>
      </c>
      <c r="Q234" t="n">
        <v>0</v>
      </c>
      <c r="R234" s="2" t="inlineStr"/>
    </row>
    <row r="235" ht="15" customHeight="1">
      <c r="A235" t="inlineStr">
        <is>
          <t>A 66154-2021</t>
        </is>
      </c>
      <c r="B235" s="1" t="n">
        <v>44517</v>
      </c>
      <c r="C235" s="1" t="n">
        <v>45574</v>
      </c>
      <c r="D235" t="inlineStr">
        <is>
          <t>VÄSTERNORRLANDS LÄN</t>
        </is>
      </c>
      <c r="E235" t="inlineStr">
        <is>
          <t>TIMRÅ</t>
        </is>
      </c>
      <c r="G235" t="n">
        <v>5.6</v>
      </c>
      <c r="H235" t="n">
        <v>0</v>
      </c>
      <c r="I235" t="n">
        <v>0</v>
      </c>
      <c r="J235" t="n">
        <v>0</v>
      </c>
      <c r="K235" t="n">
        <v>0</v>
      </c>
      <c r="L235" t="n">
        <v>0</v>
      </c>
      <c r="M235" t="n">
        <v>0</v>
      </c>
      <c r="N235" t="n">
        <v>0</v>
      </c>
      <c r="O235" t="n">
        <v>0</v>
      </c>
      <c r="P235" t="n">
        <v>0</v>
      </c>
      <c r="Q235" t="n">
        <v>0</v>
      </c>
      <c r="R235" s="2" t="inlineStr"/>
    </row>
    <row r="236" ht="15" customHeight="1">
      <c r="A236" t="inlineStr">
        <is>
          <t>A 66409-2021</t>
        </is>
      </c>
      <c r="B236" s="1" t="n">
        <v>44518</v>
      </c>
      <c r="C236" s="1" t="n">
        <v>45574</v>
      </c>
      <c r="D236" t="inlineStr">
        <is>
          <t>VÄSTERNORRLANDS LÄN</t>
        </is>
      </c>
      <c r="E236" t="inlineStr">
        <is>
          <t>TIMRÅ</t>
        </is>
      </c>
      <c r="G236" t="n">
        <v>0.5</v>
      </c>
      <c r="H236" t="n">
        <v>0</v>
      </c>
      <c r="I236" t="n">
        <v>0</v>
      </c>
      <c r="J236" t="n">
        <v>0</v>
      </c>
      <c r="K236" t="n">
        <v>0</v>
      </c>
      <c r="L236" t="n">
        <v>0</v>
      </c>
      <c r="M236" t="n">
        <v>0</v>
      </c>
      <c r="N236" t="n">
        <v>0</v>
      </c>
      <c r="O236" t="n">
        <v>0</v>
      </c>
      <c r="P236" t="n">
        <v>0</v>
      </c>
      <c r="Q236" t="n">
        <v>0</v>
      </c>
      <c r="R236" s="2" t="inlineStr"/>
    </row>
    <row r="237" ht="15" customHeight="1">
      <c r="A237" t="inlineStr">
        <is>
          <t>A 67065-2021</t>
        </is>
      </c>
      <c r="B237" s="1" t="n">
        <v>44522</v>
      </c>
      <c r="C237" s="1" t="n">
        <v>45574</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67063-2021</t>
        </is>
      </c>
      <c r="B238" s="1" t="n">
        <v>44522</v>
      </c>
      <c r="C238" s="1" t="n">
        <v>45574</v>
      </c>
      <c r="D238" t="inlineStr">
        <is>
          <t>VÄSTERNORRLANDS LÄN</t>
        </is>
      </c>
      <c r="E238" t="inlineStr">
        <is>
          <t>TIMRÅ</t>
        </is>
      </c>
      <c r="G238" t="n">
        <v>1.9</v>
      </c>
      <c r="H238" t="n">
        <v>0</v>
      </c>
      <c r="I238" t="n">
        <v>0</v>
      </c>
      <c r="J238" t="n">
        <v>0</v>
      </c>
      <c r="K238" t="n">
        <v>0</v>
      </c>
      <c r="L238" t="n">
        <v>0</v>
      </c>
      <c r="M238" t="n">
        <v>0</v>
      </c>
      <c r="N238" t="n">
        <v>0</v>
      </c>
      <c r="O238" t="n">
        <v>0</v>
      </c>
      <c r="P238" t="n">
        <v>0</v>
      </c>
      <c r="Q238" t="n">
        <v>0</v>
      </c>
      <c r="R238" s="2" t="inlineStr"/>
    </row>
    <row r="239" ht="15" customHeight="1">
      <c r="A239" t="inlineStr">
        <is>
          <t>A 67673-2021</t>
        </is>
      </c>
      <c r="B239" s="1" t="n">
        <v>44524</v>
      </c>
      <c r="C239" s="1" t="n">
        <v>45574</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68391-2021</t>
        </is>
      </c>
      <c r="B240" s="1" t="n">
        <v>44526</v>
      </c>
      <c r="C240" s="1" t="n">
        <v>45574</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68774-2021</t>
        </is>
      </c>
      <c r="B241" s="1" t="n">
        <v>44529</v>
      </c>
      <c r="C241" s="1" t="n">
        <v>45574</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69274-2021</t>
        </is>
      </c>
      <c r="B242" s="1" t="n">
        <v>44530</v>
      </c>
      <c r="C242" s="1" t="n">
        <v>45574</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69266-2021</t>
        </is>
      </c>
      <c r="B243" s="1" t="n">
        <v>44530</v>
      </c>
      <c r="C243" s="1" t="n">
        <v>45574</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69278-2021</t>
        </is>
      </c>
      <c r="B244" s="1" t="n">
        <v>44531</v>
      </c>
      <c r="C244" s="1" t="n">
        <v>45574</v>
      </c>
      <c r="D244" t="inlineStr">
        <is>
          <t>VÄSTERNORRLANDS LÄN</t>
        </is>
      </c>
      <c r="E244" t="inlineStr">
        <is>
          <t>TIMRÅ</t>
        </is>
      </c>
      <c r="G244" t="n">
        <v>1.2</v>
      </c>
      <c r="H244" t="n">
        <v>0</v>
      </c>
      <c r="I244" t="n">
        <v>0</v>
      </c>
      <c r="J244" t="n">
        <v>0</v>
      </c>
      <c r="K244" t="n">
        <v>0</v>
      </c>
      <c r="L244" t="n">
        <v>0</v>
      </c>
      <c r="M244" t="n">
        <v>0</v>
      </c>
      <c r="N244" t="n">
        <v>0</v>
      </c>
      <c r="O244" t="n">
        <v>0</v>
      </c>
      <c r="P244" t="n">
        <v>0</v>
      </c>
      <c r="Q244" t="n">
        <v>0</v>
      </c>
      <c r="R244" s="2" t="inlineStr"/>
    </row>
    <row r="245" ht="15" customHeight="1">
      <c r="A245" t="inlineStr">
        <is>
          <t>A 69663-2021</t>
        </is>
      </c>
      <c r="B245" s="1" t="n">
        <v>44531</v>
      </c>
      <c r="C245" s="1" t="n">
        <v>45574</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70507-2021</t>
        </is>
      </c>
      <c r="B246" s="1" t="n">
        <v>44536</v>
      </c>
      <c r="C246" s="1" t="n">
        <v>45574</v>
      </c>
      <c r="D246" t="inlineStr">
        <is>
          <t>VÄSTERNORRLANDS LÄN</t>
        </is>
      </c>
      <c r="E246" t="inlineStr">
        <is>
          <t>TIMRÅ</t>
        </is>
      </c>
      <c r="G246" t="n">
        <v>2.5</v>
      </c>
      <c r="H246" t="n">
        <v>0</v>
      </c>
      <c r="I246" t="n">
        <v>0</v>
      </c>
      <c r="J246" t="n">
        <v>0</v>
      </c>
      <c r="K246" t="n">
        <v>0</v>
      </c>
      <c r="L246" t="n">
        <v>0</v>
      </c>
      <c r="M246" t="n">
        <v>0</v>
      </c>
      <c r="N246" t="n">
        <v>0</v>
      </c>
      <c r="O246" t="n">
        <v>0</v>
      </c>
      <c r="P246" t="n">
        <v>0</v>
      </c>
      <c r="Q246" t="n">
        <v>0</v>
      </c>
      <c r="R246" s="2" t="inlineStr"/>
    </row>
    <row r="247" ht="15" customHeight="1">
      <c r="A247" t="inlineStr">
        <is>
          <t>A 70906-2021</t>
        </is>
      </c>
      <c r="B247" s="1" t="n">
        <v>44537</v>
      </c>
      <c r="C247" s="1" t="n">
        <v>45574</v>
      </c>
      <c r="D247" t="inlineStr">
        <is>
          <t>VÄSTERNORRLANDS LÄN</t>
        </is>
      </c>
      <c r="E247" t="inlineStr">
        <is>
          <t>TIMRÅ</t>
        </is>
      </c>
      <c r="G247" t="n">
        <v>3.9</v>
      </c>
      <c r="H247" t="n">
        <v>0</v>
      </c>
      <c r="I247" t="n">
        <v>0</v>
      </c>
      <c r="J247" t="n">
        <v>0</v>
      </c>
      <c r="K247" t="n">
        <v>0</v>
      </c>
      <c r="L247" t="n">
        <v>0</v>
      </c>
      <c r="M247" t="n">
        <v>0</v>
      </c>
      <c r="N247" t="n">
        <v>0</v>
      </c>
      <c r="O247" t="n">
        <v>0</v>
      </c>
      <c r="P247" t="n">
        <v>0</v>
      </c>
      <c r="Q247" t="n">
        <v>0</v>
      </c>
      <c r="R247" s="2" t="inlineStr"/>
    </row>
    <row r="248" ht="15" customHeight="1">
      <c r="A248" t="inlineStr">
        <is>
          <t>A 71213-2021</t>
        </is>
      </c>
      <c r="B248" s="1" t="n">
        <v>44539</v>
      </c>
      <c r="C248" s="1" t="n">
        <v>45574</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73225-2021</t>
        </is>
      </c>
      <c r="B249" s="1" t="n">
        <v>44550</v>
      </c>
      <c r="C249" s="1" t="n">
        <v>45574</v>
      </c>
      <c r="D249" t="inlineStr">
        <is>
          <t>VÄSTERNORRLANDS LÄN</t>
        </is>
      </c>
      <c r="E249" t="inlineStr">
        <is>
          <t>TIMRÅ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45574</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74043-2021</t>
        </is>
      </c>
      <c r="B251" s="1" t="n">
        <v>44557</v>
      </c>
      <c r="C251" s="1" t="n">
        <v>45574</v>
      </c>
      <c r="D251" t="inlineStr">
        <is>
          <t>VÄSTERNORRLANDS LÄN</t>
        </is>
      </c>
      <c r="E251" t="inlineStr">
        <is>
          <t>TIMRÅ</t>
        </is>
      </c>
      <c r="G251" t="n">
        <v>0.1</v>
      </c>
      <c r="H251" t="n">
        <v>0</v>
      </c>
      <c r="I251" t="n">
        <v>0</v>
      </c>
      <c r="J251" t="n">
        <v>0</v>
      </c>
      <c r="K251" t="n">
        <v>0</v>
      </c>
      <c r="L251" t="n">
        <v>0</v>
      </c>
      <c r="M251" t="n">
        <v>0</v>
      </c>
      <c r="N251" t="n">
        <v>0</v>
      </c>
      <c r="O251" t="n">
        <v>0</v>
      </c>
      <c r="P251" t="n">
        <v>0</v>
      </c>
      <c r="Q251" t="n">
        <v>0</v>
      </c>
      <c r="R251" s="2" t="inlineStr"/>
    </row>
    <row r="252" ht="15" customHeight="1">
      <c r="A252" t="inlineStr">
        <is>
          <t>A 74044-2021</t>
        </is>
      </c>
      <c r="B252" s="1" t="n">
        <v>44557</v>
      </c>
      <c r="C252" s="1" t="n">
        <v>45574</v>
      </c>
      <c r="D252" t="inlineStr">
        <is>
          <t>VÄSTERNORRLANDS LÄN</t>
        </is>
      </c>
      <c r="E252" t="inlineStr">
        <is>
          <t>TIMRÅ</t>
        </is>
      </c>
      <c r="G252" t="n">
        <v>0.2</v>
      </c>
      <c r="H252" t="n">
        <v>0</v>
      </c>
      <c r="I252" t="n">
        <v>0</v>
      </c>
      <c r="J252" t="n">
        <v>0</v>
      </c>
      <c r="K252" t="n">
        <v>0</v>
      </c>
      <c r="L252" t="n">
        <v>0</v>
      </c>
      <c r="M252" t="n">
        <v>0</v>
      </c>
      <c r="N252" t="n">
        <v>0</v>
      </c>
      <c r="O252" t="n">
        <v>0</v>
      </c>
      <c r="P252" t="n">
        <v>0</v>
      </c>
      <c r="Q252" t="n">
        <v>0</v>
      </c>
      <c r="R252" s="2" t="inlineStr"/>
    </row>
    <row r="253" ht="15" customHeight="1">
      <c r="A253" t="inlineStr">
        <is>
          <t>A 74148-2021</t>
        </is>
      </c>
      <c r="B253" s="1" t="n">
        <v>44557</v>
      </c>
      <c r="C253" s="1" t="n">
        <v>45574</v>
      </c>
      <c r="D253" t="inlineStr">
        <is>
          <t>VÄSTERNORRLANDS LÄN</t>
        </is>
      </c>
      <c r="E253" t="inlineStr">
        <is>
          <t>TIMRÅ</t>
        </is>
      </c>
      <c r="G253" t="n">
        <v>0.7</v>
      </c>
      <c r="H253" t="n">
        <v>0</v>
      </c>
      <c r="I253" t="n">
        <v>0</v>
      </c>
      <c r="J253" t="n">
        <v>0</v>
      </c>
      <c r="K253" t="n">
        <v>0</v>
      </c>
      <c r="L253" t="n">
        <v>0</v>
      </c>
      <c r="M253" t="n">
        <v>0</v>
      </c>
      <c r="N253" t="n">
        <v>0</v>
      </c>
      <c r="O253" t="n">
        <v>0</v>
      </c>
      <c r="P253" t="n">
        <v>0</v>
      </c>
      <c r="Q253" t="n">
        <v>0</v>
      </c>
      <c r="R253" s="2" t="inlineStr"/>
    </row>
    <row r="254" ht="15" customHeight="1">
      <c r="A254" t="inlineStr">
        <is>
          <t>A 74150-2021</t>
        </is>
      </c>
      <c r="B254" s="1" t="n">
        <v>44557</v>
      </c>
      <c r="C254" s="1" t="n">
        <v>45574</v>
      </c>
      <c r="D254" t="inlineStr">
        <is>
          <t>VÄSTERNORRLANDS LÄN</t>
        </is>
      </c>
      <c r="E254" t="inlineStr">
        <is>
          <t>TIMRÅ</t>
        </is>
      </c>
      <c r="G254" t="n">
        <v>1.8</v>
      </c>
      <c r="H254" t="n">
        <v>0</v>
      </c>
      <c r="I254" t="n">
        <v>0</v>
      </c>
      <c r="J254" t="n">
        <v>0</v>
      </c>
      <c r="K254" t="n">
        <v>0</v>
      </c>
      <c r="L254" t="n">
        <v>0</v>
      </c>
      <c r="M254" t="n">
        <v>0</v>
      </c>
      <c r="N254" t="n">
        <v>0</v>
      </c>
      <c r="O254" t="n">
        <v>0</v>
      </c>
      <c r="P254" t="n">
        <v>0</v>
      </c>
      <c r="Q254" t="n">
        <v>0</v>
      </c>
      <c r="R254" s="2" t="inlineStr"/>
    </row>
    <row r="255" ht="15" customHeight="1">
      <c r="A255" t="inlineStr">
        <is>
          <t>A 74177-2021</t>
        </is>
      </c>
      <c r="B255" s="1" t="n">
        <v>44558</v>
      </c>
      <c r="C255" s="1" t="n">
        <v>45574</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580-2022</t>
        </is>
      </c>
      <c r="B256" s="1" t="n">
        <v>44566</v>
      </c>
      <c r="C256" s="1" t="n">
        <v>45574</v>
      </c>
      <c r="D256" t="inlineStr">
        <is>
          <t>VÄSTERNORRLANDS LÄN</t>
        </is>
      </c>
      <c r="E256" t="inlineStr">
        <is>
          <t>TIMRÅ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1078-2022</t>
        </is>
      </c>
      <c r="B257" s="1" t="n">
        <v>44571</v>
      </c>
      <c r="C257" s="1" t="n">
        <v>45574</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1855-2022</t>
        </is>
      </c>
      <c r="B258" s="1" t="n">
        <v>44574</v>
      </c>
      <c r="C258" s="1" t="n">
        <v>45574</v>
      </c>
      <c r="D258" t="inlineStr">
        <is>
          <t>VÄSTERNORRLANDS LÄN</t>
        </is>
      </c>
      <c r="E258" t="inlineStr">
        <is>
          <t>TIMRÅ</t>
        </is>
      </c>
      <c r="G258" t="n">
        <v>3.1</v>
      </c>
      <c r="H258" t="n">
        <v>0</v>
      </c>
      <c r="I258" t="n">
        <v>0</v>
      </c>
      <c r="J258" t="n">
        <v>0</v>
      </c>
      <c r="K258" t="n">
        <v>0</v>
      </c>
      <c r="L258" t="n">
        <v>0</v>
      </c>
      <c r="M258" t="n">
        <v>0</v>
      </c>
      <c r="N258" t="n">
        <v>0</v>
      </c>
      <c r="O258" t="n">
        <v>0</v>
      </c>
      <c r="P258" t="n">
        <v>0</v>
      </c>
      <c r="Q258" t="n">
        <v>0</v>
      </c>
      <c r="R258" s="2" t="inlineStr"/>
    </row>
    <row r="259" ht="15" customHeight="1">
      <c r="A259" t="inlineStr">
        <is>
          <t>A 2073-2022</t>
        </is>
      </c>
      <c r="B259" s="1" t="n">
        <v>44575</v>
      </c>
      <c r="C259" s="1" t="n">
        <v>45574</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2226-2022</t>
        </is>
      </c>
      <c r="B260" s="1" t="n">
        <v>44578</v>
      </c>
      <c r="C260" s="1" t="n">
        <v>45574</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5649-2022</t>
        </is>
      </c>
      <c r="B261" s="1" t="n">
        <v>44595</v>
      </c>
      <c r="C261" s="1" t="n">
        <v>45574</v>
      </c>
      <c r="D261" t="inlineStr">
        <is>
          <t>VÄSTERNORRLANDS LÄN</t>
        </is>
      </c>
      <c r="E261" t="inlineStr">
        <is>
          <t>TIMRÅ</t>
        </is>
      </c>
      <c r="G261" t="n">
        <v>1.5</v>
      </c>
      <c r="H261" t="n">
        <v>0</v>
      </c>
      <c r="I261" t="n">
        <v>0</v>
      </c>
      <c r="J261" t="n">
        <v>0</v>
      </c>
      <c r="K261" t="n">
        <v>0</v>
      </c>
      <c r="L261" t="n">
        <v>0</v>
      </c>
      <c r="M261" t="n">
        <v>0</v>
      </c>
      <c r="N261" t="n">
        <v>0</v>
      </c>
      <c r="O261" t="n">
        <v>0</v>
      </c>
      <c r="P261" t="n">
        <v>0</v>
      </c>
      <c r="Q261" t="n">
        <v>0</v>
      </c>
      <c r="R261" s="2" t="inlineStr"/>
    </row>
    <row r="262" ht="15" customHeight="1">
      <c r="A262" t="inlineStr">
        <is>
          <t>A 7152-2022</t>
        </is>
      </c>
      <c r="B262" s="1" t="n">
        <v>44603</v>
      </c>
      <c r="C262" s="1" t="n">
        <v>45574</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7670-2022</t>
        </is>
      </c>
      <c r="B263" s="1" t="n">
        <v>44607</v>
      </c>
      <c r="C263" s="1" t="n">
        <v>45574</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7966-2022</t>
        </is>
      </c>
      <c r="B264" s="1" t="n">
        <v>44608</v>
      </c>
      <c r="C264" s="1" t="n">
        <v>45574</v>
      </c>
      <c r="D264" t="inlineStr">
        <is>
          <t>VÄSTERNORRLANDS LÄN</t>
        </is>
      </c>
      <c r="E264" t="inlineStr">
        <is>
          <t>TIMRÅ</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8336-2022</t>
        </is>
      </c>
      <c r="B265" s="1" t="n">
        <v>44610</v>
      </c>
      <c r="C265" s="1" t="n">
        <v>45574</v>
      </c>
      <c r="D265" t="inlineStr">
        <is>
          <t>VÄSTERNORRLANDS LÄN</t>
        </is>
      </c>
      <c r="E265" t="inlineStr">
        <is>
          <t>TIMRÅ</t>
        </is>
      </c>
      <c r="F265" t="inlineStr">
        <is>
          <t>Kommuner</t>
        </is>
      </c>
      <c r="G265" t="n">
        <v>1.2</v>
      </c>
      <c r="H265" t="n">
        <v>0</v>
      </c>
      <c r="I265" t="n">
        <v>0</v>
      </c>
      <c r="J265" t="n">
        <v>0</v>
      </c>
      <c r="K265" t="n">
        <v>0</v>
      </c>
      <c r="L265" t="n">
        <v>0</v>
      </c>
      <c r="M265" t="n">
        <v>0</v>
      </c>
      <c r="N265" t="n">
        <v>0</v>
      </c>
      <c r="O265" t="n">
        <v>0</v>
      </c>
      <c r="P265" t="n">
        <v>0</v>
      </c>
      <c r="Q265" t="n">
        <v>0</v>
      </c>
      <c r="R265" s="2" t="inlineStr"/>
    </row>
    <row r="266" ht="15" customHeight="1">
      <c r="A266" t="inlineStr">
        <is>
          <t>A 9203-2022</t>
        </is>
      </c>
      <c r="B266" s="1" t="n">
        <v>44615</v>
      </c>
      <c r="C266" s="1" t="n">
        <v>45574</v>
      </c>
      <c r="D266" t="inlineStr">
        <is>
          <t>VÄSTERNORRLANDS LÄN</t>
        </is>
      </c>
      <c r="E266" t="inlineStr">
        <is>
          <t>TIMRÅ</t>
        </is>
      </c>
      <c r="G266" t="n">
        <v>5.5</v>
      </c>
      <c r="H266" t="n">
        <v>0</v>
      </c>
      <c r="I266" t="n">
        <v>0</v>
      </c>
      <c r="J266" t="n">
        <v>0</v>
      </c>
      <c r="K266" t="n">
        <v>0</v>
      </c>
      <c r="L266" t="n">
        <v>0</v>
      </c>
      <c r="M266" t="n">
        <v>0</v>
      </c>
      <c r="N266" t="n">
        <v>0</v>
      </c>
      <c r="O266" t="n">
        <v>0</v>
      </c>
      <c r="P266" t="n">
        <v>0</v>
      </c>
      <c r="Q266" t="n">
        <v>0</v>
      </c>
      <c r="R266" s="2" t="inlineStr"/>
    </row>
    <row r="267" ht="15" customHeight="1">
      <c r="A267" t="inlineStr">
        <is>
          <t>A 9202-2022</t>
        </is>
      </c>
      <c r="B267" s="1" t="n">
        <v>44615</v>
      </c>
      <c r="C267" s="1" t="n">
        <v>45574</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9256-2022</t>
        </is>
      </c>
      <c r="B268" s="1" t="n">
        <v>44616</v>
      </c>
      <c r="C268" s="1" t="n">
        <v>45574</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9317-2022</t>
        </is>
      </c>
      <c r="B269" s="1" t="n">
        <v>44616</v>
      </c>
      <c r="C269" s="1" t="n">
        <v>45574</v>
      </c>
      <c r="D269" t="inlineStr">
        <is>
          <t>VÄSTERNORRLANDS LÄN</t>
        </is>
      </c>
      <c r="E269" t="inlineStr">
        <is>
          <t>TIMRÅ</t>
        </is>
      </c>
      <c r="G269" t="n">
        <v>1.1</v>
      </c>
      <c r="H269" t="n">
        <v>0</v>
      </c>
      <c r="I269" t="n">
        <v>0</v>
      </c>
      <c r="J269" t="n">
        <v>0</v>
      </c>
      <c r="K269" t="n">
        <v>0</v>
      </c>
      <c r="L269" t="n">
        <v>0</v>
      </c>
      <c r="M269" t="n">
        <v>0</v>
      </c>
      <c r="N269" t="n">
        <v>0</v>
      </c>
      <c r="O269" t="n">
        <v>0</v>
      </c>
      <c r="P269" t="n">
        <v>0</v>
      </c>
      <c r="Q269" t="n">
        <v>0</v>
      </c>
      <c r="R269" s="2" t="inlineStr"/>
    </row>
    <row r="270" ht="15" customHeight="1">
      <c r="A270" t="inlineStr">
        <is>
          <t>A 11269-2022</t>
        </is>
      </c>
      <c r="B270" s="1" t="n">
        <v>44629</v>
      </c>
      <c r="C270" s="1" t="n">
        <v>45574</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11479-2022</t>
        </is>
      </c>
      <c r="B271" s="1" t="n">
        <v>44630</v>
      </c>
      <c r="C271" s="1" t="n">
        <v>45574</v>
      </c>
      <c r="D271" t="inlineStr">
        <is>
          <t>VÄSTERNORRLANDS LÄN</t>
        </is>
      </c>
      <c r="E271" t="inlineStr">
        <is>
          <t>TIMRÅ</t>
        </is>
      </c>
      <c r="G271" t="n">
        <v>2.9</v>
      </c>
      <c r="H271" t="n">
        <v>0</v>
      </c>
      <c r="I271" t="n">
        <v>0</v>
      </c>
      <c r="J271" t="n">
        <v>0</v>
      </c>
      <c r="K271" t="n">
        <v>0</v>
      </c>
      <c r="L271" t="n">
        <v>0</v>
      </c>
      <c r="M271" t="n">
        <v>0</v>
      </c>
      <c r="N271" t="n">
        <v>0</v>
      </c>
      <c r="O271" t="n">
        <v>0</v>
      </c>
      <c r="P271" t="n">
        <v>0</v>
      </c>
      <c r="Q271" t="n">
        <v>0</v>
      </c>
      <c r="R271" s="2" t="inlineStr"/>
    </row>
    <row r="272" ht="15" customHeight="1">
      <c r="A272" t="inlineStr">
        <is>
          <t>A 12205-2022</t>
        </is>
      </c>
      <c r="B272" s="1" t="n">
        <v>44636</v>
      </c>
      <c r="C272" s="1" t="n">
        <v>45574</v>
      </c>
      <c r="D272" t="inlineStr">
        <is>
          <t>VÄSTERNORRLANDS LÄN</t>
        </is>
      </c>
      <c r="E272" t="inlineStr">
        <is>
          <t>TIMRÅ</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12782-2022</t>
        </is>
      </c>
      <c r="B273" s="1" t="n">
        <v>44641</v>
      </c>
      <c r="C273" s="1" t="n">
        <v>45574</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12780-2022</t>
        </is>
      </c>
      <c r="B274" s="1" t="n">
        <v>44641</v>
      </c>
      <c r="C274" s="1" t="n">
        <v>45574</v>
      </c>
      <c r="D274" t="inlineStr">
        <is>
          <t>VÄSTERNORRLANDS LÄN</t>
        </is>
      </c>
      <c r="E274" t="inlineStr">
        <is>
          <t>TIMRÅ</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12779-2022</t>
        </is>
      </c>
      <c r="B275" s="1" t="n">
        <v>44641</v>
      </c>
      <c r="C275" s="1" t="n">
        <v>45574</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12882-2022</t>
        </is>
      </c>
      <c r="B276" s="1" t="n">
        <v>44642</v>
      </c>
      <c r="C276" s="1" t="n">
        <v>45574</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12880-2022</t>
        </is>
      </c>
      <c r="B277" s="1" t="n">
        <v>44642</v>
      </c>
      <c r="C277" s="1" t="n">
        <v>45574</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12885-2022</t>
        </is>
      </c>
      <c r="B278" s="1" t="n">
        <v>44642</v>
      </c>
      <c r="C278" s="1" t="n">
        <v>45574</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14680-2022</t>
        </is>
      </c>
      <c r="B279" s="1" t="n">
        <v>44655</v>
      </c>
      <c r="C279" s="1" t="n">
        <v>45574</v>
      </c>
      <c r="D279" t="inlineStr">
        <is>
          <t>VÄSTERNORRLANDS LÄN</t>
        </is>
      </c>
      <c r="E279" t="inlineStr">
        <is>
          <t>TIMRÅ</t>
        </is>
      </c>
      <c r="G279" t="n">
        <v>8.9</v>
      </c>
      <c r="H279" t="n">
        <v>0</v>
      </c>
      <c r="I279" t="n">
        <v>0</v>
      </c>
      <c r="J279" t="n">
        <v>0</v>
      </c>
      <c r="K279" t="n">
        <v>0</v>
      </c>
      <c r="L279" t="n">
        <v>0</v>
      </c>
      <c r="M279" t="n">
        <v>0</v>
      </c>
      <c r="N279" t="n">
        <v>0</v>
      </c>
      <c r="O279" t="n">
        <v>0</v>
      </c>
      <c r="P279" t="n">
        <v>0</v>
      </c>
      <c r="Q279" t="n">
        <v>0</v>
      </c>
      <c r="R279" s="2" t="inlineStr"/>
    </row>
    <row r="280" ht="15" customHeight="1">
      <c r="A280" t="inlineStr">
        <is>
          <t>A 16519-2022</t>
        </is>
      </c>
      <c r="B280" s="1" t="n">
        <v>44672</v>
      </c>
      <c r="C280" s="1" t="n">
        <v>45574</v>
      </c>
      <c r="D280" t="inlineStr">
        <is>
          <t>VÄSTERNORRLANDS LÄN</t>
        </is>
      </c>
      <c r="E280" t="inlineStr">
        <is>
          <t>TIMRÅ</t>
        </is>
      </c>
      <c r="G280" t="n">
        <v>3</v>
      </c>
      <c r="H280" t="n">
        <v>0</v>
      </c>
      <c r="I280" t="n">
        <v>0</v>
      </c>
      <c r="J280" t="n">
        <v>0</v>
      </c>
      <c r="K280" t="n">
        <v>0</v>
      </c>
      <c r="L280" t="n">
        <v>0</v>
      </c>
      <c r="M280" t="n">
        <v>0</v>
      </c>
      <c r="N280" t="n">
        <v>0</v>
      </c>
      <c r="O280" t="n">
        <v>0</v>
      </c>
      <c r="P280" t="n">
        <v>0</v>
      </c>
      <c r="Q280" t="n">
        <v>0</v>
      </c>
      <c r="R280" s="2" t="inlineStr"/>
    </row>
    <row r="281" ht="15" customHeight="1">
      <c r="A281" t="inlineStr">
        <is>
          <t>A 17040-2022</t>
        </is>
      </c>
      <c r="B281" s="1" t="n">
        <v>44676</v>
      </c>
      <c r="C281" s="1" t="n">
        <v>45574</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22194-2022</t>
        </is>
      </c>
      <c r="B282" s="1" t="n">
        <v>44712</v>
      </c>
      <c r="C282" s="1" t="n">
        <v>45574</v>
      </c>
      <c r="D282" t="inlineStr">
        <is>
          <t>VÄSTERNORRLANDS LÄN</t>
        </is>
      </c>
      <c r="E282" t="inlineStr">
        <is>
          <t>TIMRÅ</t>
        </is>
      </c>
      <c r="G282" t="n">
        <v>0.9</v>
      </c>
      <c r="H282" t="n">
        <v>0</v>
      </c>
      <c r="I282" t="n">
        <v>0</v>
      </c>
      <c r="J282" t="n">
        <v>0</v>
      </c>
      <c r="K282" t="n">
        <v>0</v>
      </c>
      <c r="L282" t="n">
        <v>0</v>
      </c>
      <c r="M282" t="n">
        <v>0</v>
      </c>
      <c r="N282" t="n">
        <v>0</v>
      </c>
      <c r="O282" t="n">
        <v>0</v>
      </c>
      <c r="P282" t="n">
        <v>0</v>
      </c>
      <c r="Q282" t="n">
        <v>0</v>
      </c>
      <c r="R282" s="2" t="inlineStr"/>
    </row>
    <row r="283" ht="15" customHeight="1">
      <c r="A283" t="inlineStr">
        <is>
          <t>A 23670-2022</t>
        </is>
      </c>
      <c r="B283" s="1" t="n">
        <v>44722</v>
      </c>
      <c r="C283" s="1" t="n">
        <v>45574</v>
      </c>
      <c r="D283" t="inlineStr">
        <is>
          <t>VÄSTERNORRLANDS LÄN</t>
        </is>
      </c>
      <c r="E283" t="inlineStr">
        <is>
          <t>TIMRÅ</t>
        </is>
      </c>
      <c r="G283" t="n">
        <v>4.9</v>
      </c>
      <c r="H283" t="n">
        <v>0</v>
      </c>
      <c r="I283" t="n">
        <v>0</v>
      </c>
      <c r="J283" t="n">
        <v>0</v>
      </c>
      <c r="K283" t="n">
        <v>0</v>
      </c>
      <c r="L283" t="n">
        <v>0</v>
      </c>
      <c r="M283" t="n">
        <v>0</v>
      </c>
      <c r="N283" t="n">
        <v>0</v>
      </c>
      <c r="O283" t="n">
        <v>0</v>
      </c>
      <c r="P283" t="n">
        <v>0</v>
      </c>
      <c r="Q283" t="n">
        <v>0</v>
      </c>
      <c r="R283" s="2" t="inlineStr"/>
    </row>
    <row r="284" ht="15" customHeight="1">
      <c r="A284" t="inlineStr">
        <is>
          <t>A 23693-2022</t>
        </is>
      </c>
      <c r="B284" s="1" t="n">
        <v>44721</v>
      </c>
      <c r="C284" s="1" t="n">
        <v>45574</v>
      </c>
      <c r="D284" t="inlineStr">
        <is>
          <t>VÄSTERNORRLANDS LÄN</t>
        </is>
      </c>
      <c r="E284" t="inlineStr">
        <is>
          <t>TIMRÅ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23676-2022</t>
        </is>
      </c>
      <c r="B285" s="1" t="n">
        <v>44721</v>
      </c>
      <c r="C285" s="1" t="n">
        <v>45574</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24304-2022</t>
        </is>
      </c>
      <c r="B286" s="1" t="n">
        <v>44725</v>
      </c>
      <c r="C286" s="1" t="n">
        <v>45574</v>
      </c>
      <c r="D286" t="inlineStr">
        <is>
          <t>VÄSTERNORRLANDS LÄN</t>
        </is>
      </c>
      <c r="E286" t="inlineStr">
        <is>
          <t>TIMRÅ</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24306-2022</t>
        </is>
      </c>
      <c r="B287" s="1" t="n">
        <v>44726</v>
      </c>
      <c r="C287" s="1" t="n">
        <v>45574</v>
      </c>
      <c r="D287" t="inlineStr">
        <is>
          <t>VÄSTERNORRLANDS LÄN</t>
        </is>
      </c>
      <c r="E287" t="inlineStr">
        <is>
          <t>TIMRÅ</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24305-2022</t>
        </is>
      </c>
      <c r="B288" s="1" t="n">
        <v>44726</v>
      </c>
      <c r="C288" s="1" t="n">
        <v>45574</v>
      </c>
      <c r="D288" t="inlineStr">
        <is>
          <t>VÄSTERNORRLANDS LÄN</t>
        </is>
      </c>
      <c r="E288" t="inlineStr">
        <is>
          <t>TIMRÅ</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24988-2022</t>
        </is>
      </c>
      <c r="B289" s="1" t="n">
        <v>44728</v>
      </c>
      <c r="C289" s="1" t="n">
        <v>45574</v>
      </c>
      <c r="D289" t="inlineStr">
        <is>
          <t>VÄSTERNORRLANDS LÄN</t>
        </is>
      </c>
      <c r="E289" t="inlineStr">
        <is>
          <t>TIMRÅ</t>
        </is>
      </c>
      <c r="G289" t="n">
        <v>1.7</v>
      </c>
      <c r="H289" t="n">
        <v>0</v>
      </c>
      <c r="I289" t="n">
        <v>0</v>
      </c>
      <c r="J289" t="n">
        <v>0</v>
      </c>
      <c r="K289" t="n">
        <v>0</v>
      </c>
      <c r="L289" t="n">
        <v>0</v>
      </c>
      <c r="M289" t="n">
        <v>0</v>
      </c>
      <c r="N289" t="n">
        <v>0</v>
      </c>
      <c r="O289" t="n">
        <v>0</v>
      </c>
      <c r="P289" t="n">
        <v>0</v>
      </c>
      <c r="Q289" t="n">
        <v>0</v>
      </c>
      <c r="R289" s="2" t="inlineStr"/>
    </row>
    <row r="290" ht="15" customHeight="1">
      <c r="A290" t="inlineStr">
        <is>
          <t>A 25414-2022</t>
        </is>
      </c>
      <c r="B290" s="1" t="n">
        <v>44732</v>
      </c>
      <c r="C290" s="1" t="n">
        <v>45574</v>
      </c>
      <c r="D290" t="inlineStr">
        <is>
          <t>VÄSTERNORRLANDS LÄN</t>
        </is>
      </c>
      <c r="E290" t="inlineStr">
        <is>
          <t>TIMRÅ</t>
        </is>
      </c>
      <c r="G290" t="n">
        <v>7.7</v>
      </c>
      <c r="H290" t="n">
        <v>0</v>
      </c>
      <c r="I290" t="n">
        <v>0</v>
      </c>
      <c r="J290" t="n">
        <v>0</v>
      </c>
      <c r="K290" t="n">
        <v>0</v>
      </c>
      <c r="L290" t="n">
        <v>0</v>
      </c>
      <c r="M290" t="n">
        <v>0</v>
      </c>
      <c r="N290" t="n">
        <v>0</v>
      </c>
      <c r="O290" t="n">
        <v>0</v>
      </c>
      <c r="P290" t="n">
        <v>0</v>
      </c>
      <c r="Q290" t="n">
        <v>0</v>
      </c>
      <c r="R290" s="2" t="inlineStr"/>
    </row>
    <row r="291" ht="15" customHeight="1">
      <c r="A291" t="inlineStr">
        <is>
          <t>A 25644-2022</t>
        </is>
      </c>
      <c r="B291" s="1" t="n">
        <v>44732</v>
      </c>
      <c r="C291" s="1" t="n">
        <v>45574</v>
      </c>
      <c r="D291" t="inlineStr">
        <is>
          <t>VÄSTERNORRLANDS LÄN</t>
        </is>
      </c>
      <c r="E291" t="inlineStr">
        <is>
          <t>TIMRÅ</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29308-2022</t>
        </is>
      </c>
      <c r="B292" s="1" t="n">
        <v>44750</v>
      </c>
      <c r="C292" s="1" t="n">
        <v>45574</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29306-2022</t>
        </is>
      </c>
      <c r="B293" s="1" t="n">
        <v>44751</v>
      </c>
      <c r="C293" s="1" t="n">
        <v>45574</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31489-2022</t>
        </is>
      </c>
      <c r="B294" s="1" t="n">
        <v>44774</v>
      </c>
      <c r="C294" s="1" t="n">
        <v>45574</v>
      </c>
      <c r="D294" t="inlineStr">
        <is>
          <t>VÄSTERNORRLANDS LÄN</t>
        </is>
      </c>
      <c r="E294" t="inlineStr">
        <is>
          <t>TIMRÅ</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31981-2022</t>
        </is>
      </c>
      <c r="B295" s="1" t="n">
        <v>44778</v>
      </c>
      <c r="C295" s="1" t="n">
        <v>45574</v>
      </c>
      <c r="D295" t="inlineStr">
        <is>
          <t>VÄSTERNORRLANDS LÄN</t>
        </is>
      </c>
      <c r="E295" t="inlineStr">
        <is>
          <t>TIMRÅ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32519-2022</t>
        </is>
      </c>
      <c r="B296" s="1" t="n">
        <v>44782</v>
      </c>
      <c r="C296" s="1" t="n">
        <v>45574</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33719-2022</t>
        </is>
      </c>
      <c r="B297" s="1" t="n">
        <v>44790</v>
      </c>
      <c r="C297" s="1" t="n">
        <v>45574</v>
      </c>
      <c r="D297" t="inlineStr">
        <is>
          <t>VÄSTERNORRLANDS LÄN</t>
        </is>
      </c>
      <c r="E297" t="inlineStr">
        <is>
          <t>TIMRÅ</t>
        </is>
      </c>
      <c r="G297" t="n">
        <v>2.3</v>
      </c>
      <c r="H297" t="n">
        <v>0</v>
      </c>
      <c r="I297" t="n">
        <v>0</v>
      </c>
      <c r="J297" t="n">
        <v>0</v>
      </c>
      <c r="K297" t="n">
        <v>0</v>
      </c>
      <c r="L297" t="n">
        <v>0</v>
      </c>
      <c r="M297" t="n">
        <v>0</v>
      </c>
      <c r="N297" t="n">
        <v>0</v>
      </c>
      <c r="O297" t="n">
        <v>0</v>
      </c>
      <c r="P297" t="n">
        <v>0</v>
      </c>
      <c r="Q297" t="n">
        <v>0</v>
      </c>
      <c r="R297" s="2" t="inlineStr"/>
    </row>
    <row r="298" ht="15" customHeight="1">
      <c r="A298" t="inlineStr">
        <is>
          <t>A 34041-2022</t>
        </is>
      </c>
      <c r="B298" s="1" t="n">
        <v>44790</v>
      </c>
      <c r="C298" s="1" t="n">
        <v>45574</v>
      </c>
      <c r="D298" t="inlineStr">
        <is>
          <t>VÄSTERNORRLANDS LÄN</t>
        </is>
      </c>
      <c r="E298" t="inlineStr">
        <is>
          <t>TIMRÅ</t>
        </is>
      </c>
      <c r="G298" t="n">
        <v>1.8</v>
      </c>
      <c r="H298" t="n">
        <v>0</v>
      </c>
      <c r="I298" t="n">
        <v>0</v>
      </c>
      <c r="J298" t="n">
        <v>0</v>
      </c>
      <c r="K298" t="n">
        <v>0</v>
      </c>
      <c r="L298" t="n">
        <v>0</v>
      </c>
      <c r="M298" t="n">
        <v>0</v>
      </c>
      <c r="N298" t="n">
        <v>0</v>
      </c>
      <c r="O298" t="n">
        <v>0</v>
      </c>
      <c r="P298" t="n">
        <v>0</v>
      </c>
      <c r="Q298" t="n">
        <v>0</v>
      </c>
      <c r="R298" s="2" t="inlineStr"/>
    </row>
    <row r="299" ht="15" customHeight="1">
      <c r="A299" t="inlineStr">
        <is>
          <t>A 34053-2022</t>
        </is>
      </c>
      <c r="B299" s="1" t="n">
        <v>44790</v>
      </c>
      <c r="C299" s="1" t="n">
        <v>45574</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34038-2022</t>
        </is>
      </c>
      <c r="B300" s="1" t="n">
        <v>44791</v>
      </c>
      <c r="C300" s="1" t="n">
        <v>45574</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34099-2022</t>
        </is>
      </c>
      <c r="B301" s="1" t="n">
        <v>44791</v>
      </c>
      <c r="C301" s="1" t="n">
        <v>45574</v>
      </c>
      <c r="D301" t="inlineStr">
        <is>
          <t>VÄSTERNORRLANDS LÄN</t>
        </is>
      </c>
      <c r="E301" t="inlineStr">
        <is>
          <t>TIMRÅ</t>
        </is>
      </c>
      <c r="G301" t="n">
        <v>2.7</v>
      </c>
      <c r="H301" t="n">
        <v>0</v>
      </c>
      <c r="I301" t="n">
        <v>0</v>
      </c>
      <c r="J301" t="n">
        <v>0</v>
      </c>
      <c r="K301" t="n">
        <v>0</v>
      </c>
      <c r="L301" t="n">
        <v>0</v>
      </c>
      <c r="M301" t="n">
        <v>0</v>
      </c>
      <c r="N301" t="n">
        <v>0</v>
      </c>
      <c r="O301" t="n">
        <v>0</v>
      </c>
      <c r="P301" t="n">
        <v>0</v>
      </c>
      <c r="Q301" t="n">
        <v>0</v>
      </c>
      <c r="R301" s="2" t="inlineStr"/>
    </row>
    <row r="302" ht="15" customHeight="1">
      <c r="A302" t="inlineStr">
        <is>
          <t>A 34246-2022</t>
        </is>
      </c>
      <c r="B302" s="1" t="n">
        <v>44791</v>
      </c>
      <c r="C302" s="1" t="n">
        <v>45574</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35477-2022</t>
        </is>
      </c>
      <c r="B303" s="1" t="n">
        <v>44799</v>
      </c>
      <c r="C303" s="1" t="n">
        <v>45574</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35448-2022</t>
        </is>
      </c>
      <c r="B304" s="1" t="n">
        <v>44798</v>
      </c>
      <c r="C304" s="1" t="n">
        <v>45574</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35758-2022</t>
        </is>
      </c>
      <c r="B305" s="1" t="n">
        <v>44799</v>
      </c>
      <c r="C305" s="1" t="n">
        <v>45574</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36564-2022</t>
        </is>
      </c>
      <c r="B306" s="1" t="n">
        <v>44804</v>
      </c>
      <c r="C306" s="1" t="n">
        <v>45574</v>
      </c>
      <c r="D306" t="inlineStr">
        <is>
          <t>VÄSTERNORRLANDS LÄN</t>
        </is>
      </c>
      <c r="E306" t="inlineStr">
        <is>
          <t>TIMRÅ</t>
        </is>
      </c>
      <c r="G306" t="n">
        <v>16.6</v>
      </c>
      <c r="H306" t="n">
        <v>0</v>
      </c>
      <c r="I306" t="n">
        <v>0</v>
      </c>
      <c r="J306" t="n">
        <v>0</v>
      </c>
      <c r="K306" t="n">
        <v>0</v>
      </c>
      <c r="L306" t="n">
        <v>0</v>
      </c>
      <c r="M306" t="n">
        <v>0</v>
      </c>
      <c r="N306" t="n">
        <v>0</v>
      </c>
      <c r="O306" t="n">
        <v>0</v>
      </c>
      <c r="P306" t="n">
        <v>0</v>
      </c>
      <c r="Q306" t="n">
        <v>0</v>
      </c>
      <c r="R306" s="2" t="inlineStr"/>
    </row>
    <row r="307" ht="15" customHeight="1">
      <c r="A307" t="inlineStr">
        <is>
          <t>A 38445-2022</t>
        </is>
      </c>
      <c r="B307" s="1" t="n">
        <v>44813</v>
      </c>
      <c r="C307" s="1" t="n">
        <v>45574</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39108-2022</t>
        </is>
      </c>
      <c r="B308" s="1" t="n">
        <v>44817</v>
      </c>
      <c r="C308" s="1" t="n">
        <v>45574</v>
      </c>
      <c r="D308" t="inlineStr">
        <is>
          <t>VÄSTERNORRLANDS LÄN</t>
        </is>
      </c>
      <c r="E308" t="inlineStr">
        <is>
          <t>TIMRÅ</t>
        </is>
      </c>
      <c r="G308" t="n">
        <v>2.5</v>
      </c>
      <c r="H308" t="n">
        <v>0</v>
      </c>
      <c r="I308" t="n">
        <v>0</v>
      </c>
      <c r="J308" t="n">
        <v>0</v>
      </c>
      <c r="K308" t="n">
        <v>0</v>
      </c>
      <c r="L308" t="n">
        <v>0</v>
      </c>
      <c r="M308" t="n">
        <v>0</v>
      </c>
      <c r="N308" t="n">
        <v>0</v>
      </c>
      <c r="O308" t="n">
        <v>0</v>
      </c>
      <c r="P308" t="n">
        <v>0</v>
      </c>
      <c r="Q308" t="n">
        <v>0</v>
      </c>
      <c r="R308" s="2" t="inlineStr"/>
    </row>
    <row r="309" ht="15" customHeight="1">
      <c r="A309" t="inlineStr">
        <is>
          <t>A 39691-2022</t>
        </is>
      </c>
      <c r="B309" s="1" t="n">
        <v>44819</v>
      </c>
      <c r="C309" s="1" t="n">
        <v>45574</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40270-2022</t>
        </is>
      </c>
      <c r="B310" s="1" t="n">
        <v>44821</v>
      </c>
      <c r="C310" s="1" t="n">
        <v>45574</v>
      </c>
      <c r="D310" t="inlineStr">
        <is>
          <t>VÄSTERNORRLANDS LÄN</t>
        </is>
      </c>
      <c r="E310" t="inlineStr">
        <is>
          <t>TIMRÅ</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41465-2022</t>
        </is>
      </c>
      <c r="B311" s="1" t="n">
        <v>44827</v>
      </c>
      <c r="C311" s="1" t="n">
        <v>45574</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41457-2022</t>
        </is>
      </c>
      <c r="B312" s="1" t="n">
        <v>44826</v>
      </c>
      <c r="C312" s="1" t="n">
        <v>45574</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42281-2022</t>
        </is>
      </c>
      <c r="B313" s="1" t="n">
        <v>44830</v>
      </c>
      <c r="C313" s="1" t="n">
        <v>45574</v>
      </c>
      <c r="D313" t="inlineStr">
        <is>
          <t>VÄSTERNORRLANDS LÄN</t>
        </is>
      </c>
      <c r="E313" t="inlineStr">
        <is>
          <t>TIMRÅ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43233-2022</t>
        </is>
      </c>
      <c r="B314" s="1" t="n">
        <v>44833</v>
      </c>
      <c r="C314" s="1" t="n">
        <v>45574</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43135-2022</t>
        </is>
      </c>
      <c r="B315" s="1" t="n">
        <v>44833</v>
      </c>
      <c r="C315" s="1" t="n">
        <v>45574</v>
      </c>
      <c r="D315" t="inlineStr">
        <is>
          <t>VÄSTERNORRLANDS LÄN</t>
        </is>
      </c>
      <c r="E315" t="inlineStr">
        <is>
          <t>TIMRÅ</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43162-2022</t>
        </is>
      </c>
      <c r="B316" s="1" t="n">
        <v>44834</v>
      </c>
      <c r="C316" s="1" t="n">
        <v>45574</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43237-2022</t>
        </is>
      </c>
      <c r="B317" s="1" t="n">
        <v>44833</v>
      </c>
      <c r="C317" s="1" t="n">
        <v>45574</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44432-2022</t>
        </is>
      </c>
      <c r="B318" s="1" t="n">
        <v>44839</v>
      </c>
      <c r="C318" s="1" t="n">
        <v>45574</v>
      </c>
      <c r="D318" t="inlineStr">
        <is>
          <t>VÄSTERNORRLANDS LÄN</t>
        </is>
      </c>
      <c r="E318" t="inlineStr">
        <is>
          <t>TIMRÅ</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44759-2022</t>
        </is>
      </c>
      <c r="B319" s="1" t="n">
        <v>44840</v>
      </c>
      <c r="C319" s="1" t="n">
        <v>45574</v>
      </c>
      <c r="D319" t="inlineStr">
        <is>
          <t>VÄSTERNORRLANDS LÄN</t>
        </is>
      </c>
      <c r="E319" t="inlineStr">
        <is>
          <t>TIMRÅ</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45688-2022</t>
        </is>
      </c>
      <c r="B320" s="1" t="n">
        <v>44845</v>
      </c>
      <c r="C320" s="1" t="n">
        <v>45574</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45695-2022</t>
        </is>
      </c>
      <c r="B321" s="1" t="n">
        <v>44846</v>
      </c>
      <c r="C321" s="1" t="n">
        <v>45574</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46021-2022</t>
        </is>
      </c>
      <c r="B322" s="1" t="n">
        <v>44846</v>
      </c>
      <c r="C322" s="1" t="n">
        <v>45574</v>
      </c>
      <c r="D322" t="inlineStr">
        <is>
          <t>VÄSTERNORRLANDS LÄN</t>
        </is>
      </c>
      <c r="E322" t="inlineStr">
        <is>
          <t>TIMRÅ</t>
        </is>
      </c>
      <c r="F322" t="inlineStr">
        <is>
          <t>Kyrkan</t>
        </is>
      </c>
      <c r="G322" t="n">
        <v>18</v>
      </c>
      <c r="H322" t="n">
        <v>0</v>
      </c>
      <c r="I322" t="n">
        <v>0</v>
      </c>
      <c r="J322" t="n">
        <v>0</v>
      </c>
      <c r="K322" t="n">
        <v>0</v>
      </c>
      <c r="L322" t="n">
        <v>0</v>
      </c>
      <c r="M322" t="n">
        <v>0</v>
      </c>
      <c r="N322" t="n">
        <v>0</v>
      </c>
      <c r="O322" t="n">
        <v>0</v>
      </c>
      <c r="P322" t="n">
        <v>0</v>
      </c>
      <c r="Q322" t="n">
        <v>0</v>
      </c>
      <c r="R322" s="2" t="inlineStr"/>
    </row>
    <row r="323" ht="15" customHeight="1">
      <c r="A323" t="inlineStr">
        <is>
          <t>A 46028-2022</t>
        </is>
      </c>
      <c r="B323" s="1" t="n">
        <v>44846</v>
      </c>
      <c r="C323" s="1" t="n">
        <v>45574</v>
      </c>
      <c r="D323" t="inlineStr">
        <is>
          <t>VÄSTERNORRLANDS LÄN</t>
        </is>
      </c>
      <c r="E323" t="inlineStr">
        <is>
          <t>TIMRÅ</t>
        </is>
      </c>
      <c r="F323" t="inlineStr">
        <is>
          <t>Kyrkan</t>
        </is>
      </c>
      <c r="G323" t="n">
        <v>7.9</v>
      </c>
      <c r="H323" t="n">
        <v>0</v>
      </c>
      <c r="I323" t="n">
        <v>0</v>
      </c>
      <c r="J323" t="n">
        <v>0</v>
      </c>
      <c r="K323" t="n">
        <v>0</v>
      </c>
      <c r="L323" t="n">
        <v>0</v>
      </c>
      <c r="M323" t="n">
        <v>0</v>
      </c>
      <c r="N323" t="n">
        <v>0</v>
      </c>
      <c r="O323" t="n">
        <v>0</v>
      </c>
      <c r="P323" t="n">
        <v>0</v>
      </c>
      <c r="Q323" t="n">
        <v>0</v>
      </c>
      <c r="R323" s="2" t="inlineStr"/>
    </row>
    <row r="324" ht="15" customHeight="1">
      <c r="A324" t="inlineStr">
        <is>
          <t>A 46650-2022</t>
        </is>
      </c>
      <c r="B324" s="1" t="n">
        <v>44849</v>
      </c>
      <c r="C324" s="1" t="n">
        <v>45574</v>
      </c>
      <c r="D324" t="inlineStr">
        <is>
          <t>VÄSTERNORRLANDS LÄN</t>
        </is>
      </c>
      <c r="E324" t="inlineStr">
        <is>
          <t>TIMRÅ</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46971-2022</t>
        </is>
      </c>
      <c r="B325" s="1" t="n">
        <v>44852</v>
      </c>
      <c r="C325" s="1" t="n">
        <v>45574</v>
      </c>
      <c r="D325" t="inlineStr">
        <is>
          <t>VÄSTERNORRLANDS LÄN</t>
        </is>
      </c>
      <c r="E325" t="inlineStr">
        <is>
          <t>TIMRÅ</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47293-2022</t>
        </is>
      </c>
      <c r="B326" s="1" t="n">
        <v>44853</v>
      </c>
      <c r="C326" s="1" t="n">
        <v>45574</v>
      </c>
      <c r="D326" t="inlineStr">
        <is>
          <t>VÄSTERNORRLANDS LÄN</t>
        </is>
      </c>
      <c r="E326" t="inlineStr">
        <is>
          <t>TIMRÅ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47347-2022</t>
        </is>
      </c>
      <c r="B327" s="1" t="n">
        <v>44852</v>
      </c>
      <c r="C327" s="1" t="n">
        <v>45574</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47562-2022</t>
        </is>
      </c>
      <c r="B328" s="1" t="n">
        <v>44853</v>
      </c>
      <c r="C328" s="1" t="n">
        <v>45574</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47588-2022</t>
        </is>
      </c>
      <c r="B329" s="1" t="n">
        <v>44854</v>
      </c>
      <c r="C329" s="1" t="n">
        <v>45574</v>
      </c>
      <c r="D329" t="inlineStr">
        <is>
          <t>VÄSTERNORRLANDS LÄN</t>
        </is>
      </c>
      <c r="E329" t="inlineStr">
        <is>
          <t>TIMRÅ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47697-2022</t>
        </is>
      </c>
      <c r="B330" s="1" t="n">
        <v>44854</v>
      </c>
      <c r="C330" s="1" t="n">
        <v>45574</v>
      </c>
      <c r="D330" t="inlineStr">
        <is>
          <t>VÄSTERNORRLANDS LÄN</t>
        </is>
      </c>
      <c r="E330" t="inlineStr">
        <is>
          <t>TIMRÅ</t>
        </is>
      </c>
      <c r="G330" t="n">
        <v>3.4</v>
      </c>
      <c r="H330" t="n">
        <v>0</v>
      </c>
      <c r="I330" t="n">
        <v>0</v>
      </c>
      <c r="J330" t="n">
        <v>0</v>
      </c>
      <c r="K330" t="n">
        <v>0</v>
      </c>
      <c r="L330" t="n">
        <v>0</v>
      </c>
      <c r="M330" t="n">
        <v>0</v>
      </c>
      <c r="N330" t="n">
        <v>0</v>
      </c>
      <c r="O330" t="n">
        <v>0</v>
      </c>
      <c r="P330" t="n">
        <v>0</v>
      </c>
      <c r="Q330" t="n">
        <v>0</v>
      </c>
      <c r="R330" s="2" t="inlineStr"/>
    </row>
    <row r="331" ht="15" customHeight="1">
      <c r="A331" t="inlineStr">
        <is>
          <t>A 47815-2022</t>
        </is>
      </c>
      <c r="B331" s="1" t="n">
        <v>44854</v>
      </c>
      <c r="C331" s="1" t="n">
        <v>45574</v>
      </c>
      <c r="D331" t="inlineStr">
        <is>
          <t>VÄSTERNORRLANDS LÄN</t>
        </is>
      </c>
      <c r="E331" t="inlineStr">
        <is>
          <t>TIMRÅ</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48083-2022</t>
        </is>
      </c>
      <c r="B332" s="1" t="n">
        <v>44855</v>
      </c>
      <c r="C332" s="1" t="n">
        <v>45574</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48916-2022</t>
        </is>
      </c>
      <c r="B333" s="1" t="n">
        <v>44860</v>
      </c>
      <c r="C333" s="1" t="n">
        <v>45574</v>
      </c>
      <c r="D333" t="inlineStr">
        <is>
          <t>VÄSTERNORRLANDS LÄN</t>
        </is>
      </c>
      <c r="E333" t="inlineStr">
        <is>
          <t>TIMRÅ</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48918-2022</t>
        </is>
      </c>
      <c r="B334" s="1" t="n">
        <v>44859</v>
      </c>
      <c r="C334" s="1" t="n">
        <v>45574</v>
      </c>
      <c r="D334" t="inlineStr">
        <is>
          <t>VÄSTERNORRLANDS LÄN</t>
        </is>
      </c>
      <c r="E334" t="inlineStr">
        <is>
          <t>TIMRÅ</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49203-2022</t>
        </is>
      </c>
      <c r="B335" s="1" t="n">
        <v>44860</v>
      </c>
      <c r="C335" s="1" t="n">
        <v>45574</v>
      </c>
      <c r="D335" t="inlineStr">
        <is>
          <t>VÄSTERNORRLANDS LÄN</t>
        </is>
      </c>
      <c r="E335" t="inlineStr">
        <is>
          <t>TIMRÅ</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50660-2022</t>
        </is>
      </c>
      <c r="B336" s="1" t="n">
        <v>44866</v>
      </c>
      <c r="C336" s="1" t="n">
        <v>45574</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52096-2022</t>
        </is>
      </c>
      <c r="B337" s="1" t="n">
        <v>44868</v>
      </c>
      <c r="C337" s="1" t="n">
        <v>45574</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51564-2022</t>
        </is>
      </c>
      <c r="B338" s="1" t="n">
        <v>44869</v>
      </c>
      <c r="C338" s="1" t="n">
        <v>45574</v>
      </c>
      <c r="D338" t="inlineStr">
        <is>
          <t>VÄSTERNORRLANDS LÄN</t>
        </is>
      </c>
      <c r="E338" t="inlineStr">
        <is>
          <t>TIMRÅ</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51546-2022</t>
        </is>
      </c>
      <c r="B339" s="1" t="n">
        <v>44869</v>
      </c>
      <c r="C339" s="1" t="n">
        <v>45574</v>
      </c>
      <c r="D339" t="inlineStr">
        <is>
          <t>VÄSTERNORRLANDS LÄN</t>
        </is>
      </c>
      <c r="E339" t="inlineStr">
        <is>
          <t>TIMRÅ</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52213-2022</t>
        </is>
      </c>
      <c r="B340" s="1" t="n">
        <v>44869</v>
      </c>
      <c r="C340" s="1" t="n">
        <v>45574</v>
      </c>
      <c r="D340" t="inlineStr">
        <is>
          <t>VÄSTERNORRLANDS LÄN</t>
        </is>
      </c>
      <c r="E340" t="inlineStr">
        <is>
          <t>TIMRÅ</t>
        </is>
      </c>
      <c r="G340" t="n">
        <v>11.4</v>
      </c>
      <c r="H340" t="n">
        <v>0</v>
      </c>
      <c r="I340" t="n">
        <v>0</v>
      </c>
      <c r="J340" t="n">
        <v>0</v>
      </c>
      <c r="K340" t="n">
        <v>0</v>
      </c>
      <c r="L340" t="n">
        <v>0</v>
      </c>
      <c r="M340" t="n">
        <v>0</v>
      </c>
      <c r="N340" t="n">
        <v>0</v>
      </c>
      <c r="O340" t="n">
        <v>0</v>
      </c>
      <c r="P340" t="n">
        <v>0</v>
      </c>
      <c r="Q340" t="n">
        <v>0</v>
      </c>
      <c r="R340" s="2" t="inlineStr"/>
    </row>
    <row r="341" ht="15" customHeight="1">
      <c r="A341" t="inlineStr">
        <is>
          <t>A 52232-2022</t>
        </is>
      </c>
      <c r="B341" s="1" t="n">
        <v>44869</v>
      </c>
      <c r="C341" s="1" t="n">
        <v>45574</v>
      </c>
      <c r="D341" t="inlineStr">
        <is>
          <t>VÄSTERNORRLANDS LÄN</t>
        </is>
      </c>
      <c r="E341" t="inlineStr">
        <is>
          <t>TIMRÅ</t>
        </is>
      </c>
      <c r="G341" t="n">
        <v>7.9</v>
      </c>
      <c r="H341" t="n">
        <v>0</v>
      </c>
      <c r="I341" t="n">
        <v>0</v>
      </c>
      <c r="J341" t="n">
        <v>0</v>
      </c>
      <c r="K341" t="n">
        <v>0</v>
      </c>
      <c r="L341" t="n">
        <v>0</v>
      </c>
      <c r="M341" t="n">
        <v>0</v>
      </c>
      <c r="N341" t="n">
        <v>0</v>
      </c>
      <c r="O341" t="n">
        <v>0</v>
      </c>
      <c r="P341" t="n">
        <v>0</v>
      </c>
      <c r="Q341" t="n">
        <v>0</v>
      </c>
      <c r="R341" s="2" t="inlineStr"/>
    </row>
    <row r="342" ht="15" customHeight="1">
      <c r="A342" t="inlineStr">
        <is>
          <t>A 52220-2022</t>
        </is>
      </c>
      <c r="B342" s="1" t="n">
        <v>44869</v>
      </c>
      <c r="C342" s="1" t="n">
        <v>45574</v>
      </c>
      <c r="D342" t="inlineStr">
        <is>
          <t>VÄSTERNORRLANDS LÄN</t>
        </is>
      </c>
      <c r="E342" t="inlineStr">
        <is>
          <t>TIMRÅ</t>
        </is>
      </c>
      <c r="G342" t="n">
        <v>5.5</v>
      </c>
      <c r="H342" t="n">
        <v>0</v>
      </c>
      <c r="I342" t="n">
        <v>0</v>
      </c>
      <c r="J342" t="n">
        <v>0</v>
      </c>
      <c r="K342" t="n">
        <v>0</v>
      </c>
      <c r="L342" t="n">
        <v>0</v>
      </c>
      <c r="M342" t="n">
        <v>0</v>
      </c>
      <c r="N342" t="n">
        <v>0</v>
      </c>
      <c r="O342" t="n">
        <v>0</v>
      </c>
      <c r="P342" t="n">
        <v>0</v>
      </c>
      <c r="Q342" t="n">
        <v>0</v>
      </c>
      <c r="R342" s="2" t="inlineStr"/>
    </row>
    <row r="343" ht="15" customHeight="1">
      <c r="A343" t="inlineStr">
        <is>
          <t>A 51999-2022</t>
        </is>
      </c>
      <c r="B343" s="1" t="n">
        <v>44872</v>
      </c>
      <c r="C343" s="1" t="n">
        <v>45574</v>
      </c>
      <c r="D343" t="inlineStr">
        <is>
          <t>VÄSTERNORRLANDS LÄN</t>
        </is>
      </c>
      <c r="E343" t="inlineStr">
        <is>
          <t>TIMRÅ</t>
        </is>
      </c>
      <c r="G343" t="n">
        <v>4.7</v>
      </c>
      <c r="H343" t="n">
        <v>0</v>
      </c>
      <c r="I343" t="n">
        <v>0</v>
      </c>
      <c r="J343" t="n">
        <v>0</v>
      </c>
      <c r="K343" t="n">
        <v>0</v>
      </c>
      <c r="L343" t="n">
        <v>0</v>
      </c>
      <c r="M343" t="n">
        <v>0</v>
      </c>
      <c r="N343" t="n">
        <v>0</v>
      </c>
      <c r="O343" t="n">
        <v>0</v>
      </c>
      <c r="P343" t="n">
        <v>0</v>
      </c>
      <c r="Q343" t="n">
        <v>0</v>
      </c>
      <c r="R343" s="2" t="inlineStr"/>
    </row>
    <row r="344" ht="15" customHeight="1">
      <c r="A344" t="inlineStr">
        <is>
          <t>A 52010-2022</t>
        </is>
      </c>
      <c r="B344" s="1" t="n">
        <v>44872</v>
      </c>
      <c r="C344" s="1" t="n">
        <v>45574</v>
      </c>
      <c r="D344" t="inlineStr">
        <is>
          <t>VÄSTERNORRLANDS LÄN</t>
        </is>
      </c>
      <c r="E344" t="inlineStr">
        <is>
          <t>TIMRÅ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52474-2022</t>
        </is>
      </c>
      <c r="B345" s="1" t="n">
        <v>44874</v>
      </c>
      <c r="C345" s="1" t="n">
        <v>45574</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52448-2022</t>
        </is>
      </c>
      <c r="B346" s="1" t="n">
        <v>44874</v>
      </c>
      <c r="C346" s="1" t="n">
        <v>45574</v>
      </c>
      <c r="D346" t="inlineStr">
        <is>
          <t>VÄSTERNORRLANDS LÄN</t>
        </is>
      </c>
      <c r="E346" t="inlineStr">
        <is>
          <t>TIMRÅ</t>
        </is>
      </c>
      <c r="G346" t="n">
        <v>2.3</v>
      </c>
      <c r="H346" t="n">
        <v>0</v>
      </c>
      <c r="I346" t="n">
        <v>0</v>
      </c>
      <c r="J346" t="n">
        <v>0</v>
      </c>
      <c r="K346" t="n">
        <v>0</v>
      </c>
      <c r="L346" t="n">
        <v>0</v>
      </c>
      <c r="M346" t="n">
        <v>0</v>
      </c>
      <c r="N346" t="n">
        <v>0</v>
      </c>
      <c r="O346" t="n">
        <v>0</v>
      </c>
      <c r="P346" t="n">
        <v>0</v>
      </c>
      <c r="Q346" t="n">
        <v>0</v>
      </c>
      <c r="R346" s="2" t="inlineStr"/>
    </row>
    <row r="347" ht="15" customHeight="1">
      <c r="A347" t="inlineStr">
        <is>
          <t>A 52705-2022</t>
        </is>
      </c>
      <c r="B347" s="1" t="n">
        <v>44874</v>
      </c>
      <c r="C347" s="1" t="n">
        <v>45574</v>
      </c>
      <c r="D347" t="inlineStr">
        <is>
          <t>VÄSTERNORRLANDS LÄN</t>
        </is>
      </c>
      <c r="E347" t="inlineStr">
        <is>
          <t>TIMRÅ</t>
        </is>
      </c>
      <c r="G347" t="n">
        <v>1.6</v>
      </c>
      <c r="H347" t="n">
        <v>0</v>
      </c>
      <c r="I347" t="n">
        <v>0</v>
      </c>
      <c r="J347" t="n">
        <v>0</v>
      </c>
      <c r="K347" t="n">
        <v>0</v>
      </c>
      <c r="L347" t="n">
        <v>0</v>
      </c>
      <c r="M347" t="n">
        <v>0</v>
      </c>
      <c r="N347" t="n">
        <v>0</v>
      </c>
      <c r="O347" t="n">
        <v>0</v>
      </c>
      <c r="P347" t="n">
        <v>0</v>
      </c>
      <c r="Q347" t="n">
        <v>0</v>
      </c>
      <c r="R347" s="2" t="inlineStr"/>
    </row>
    <row r="348" ht="15" customHeight="1">
      <c r="A348" t="inlineStr">
        <is>
          <t>A 53659-2022</t>
        </is>
      </c>
      <c r="B348" s="1" t="n">
        <v>44879</v>
      </c>
      <c r="C348" s="1" t="n">
        <v>45574</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53957-2022</t>
        </is>
      </c>
      <c r="B349" s="1" t="n">
        <v>44880</v>
      </c>
      <c r="C349" s="1" t="n">
        <v>45574</v>
      </c>
      <c r="D349" t="inlineStr">
        <is>
          <t>VÄSTERNORRLANDS LÄN</t>
        </is>
      </c>
      <c r="E349" t="inlineStr">
        <is>
          <t>TIMRÅ</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55357-2022</t>
        </is>
      </c>
      <c r="B350" s="1" t="n">
        <v>44882</v>
      </c>
      <c r="C350" s="1" t="n">
        <v>45574</v>
      </c>
      <c r="D350" t="inlineStr">
        <is>
          <t>VÄSTERNORRLANDS LÄN</t>
        </is>
      </c>
      <c r="E350" t="inlineStr">
        <is>
          <t>TIMRÅ</t>
        </is>
      </c>
      <c r="G350" t="n">
        <v>17.3</v>
      </c>
      <c r="H350" t="n">
        <v>0</v>
      </c>
      <c r="I350" t="n">
        <v>0</v>
      </c>
      <c r="J350" t="n">
        <v>0</v>
      </c>
      <c r="K350" t="n">
        <v>0</v>
      </c>
      <c r="L350" t="n">
        <v>0</v>
      </c>
      <c r="M350" t="n">
        <v>0</v>
      </c>
      <c r="N350" t="n">
        <v>0</v>
      </c>
      <c r="O350" t="n">
        <v>0</v>
      </c>
      <c r="P350" t="n">
        <v>0</v>
      </c>
      <c r="Q350" t="n">
        <v>0</v>
      </c>
      <c r="R350" s="2" t="inlineStr"/>
    </row>
    <row r="351" ht="15" customHeight="1">
      <c r="A351" t="inlineStr">
        <is>
          <t>A 54747-2022</t>
        </is>
      </c>
      <c r="B351" s="1" t="n">
        <v>44883</v>
      </c>
      <c r="C351" s="1" t="n">
        <v>45574</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55179-2022</t>
        </is>
      </c>
      <c r="B352" s="1" t="n">
        <v>44886</v>
      </c>
      <c r="C352" s="1" t="n">
        <v>45574</v>
      </c>
      <c r="D352" t="inlineStr">
        <is>
          <t>VÄSTERNORRLANDS LÄN</t>
        </is>
      </c>
      <c r="E352" t="inlineStr">
        <is>
          <t>TIMRÅ</t>
        </is>
      </c>
      <c r="G352" t="n">
        <v>0.4</v>
      </c>
      <c r="H352" t="n">
        <v>0</v>
      </c>
      <c r="I352" t="n">
        <v>0</v>
      </c>
      <c r="J352" t="n">
        <v>0</v>
      </c>
      <c r="K352" t="n">
        <v>0</v>
      </c>
      <c r="L352" t="n">
        <v>0</v>
      </c>
      <c r="M352" t="n">
        <v>0</v>
      </c>
      <c r="N352" t="n">
        <v>0</v>
      </c>
      <c r="O352" t="n">
        <v>0</v>
      </c>
      <c r="P352" t="n">
        <v>0</v>
      </c>
      <c r="Q352" t="n">
        <v>0</v>
      </c>
      <c r="R352" s="2" t="inlineStr"/>
    </row>
    <row r="353" ht="15" customHeight="1">
      <c r="A353" t="inlineStr">
        <is>
          <t>A 55240-2022</t>
        </is>
      </c>
      <c r="B353" s="1" t="n">
        <v>44887</v>
      </c>
      <c r="C353" s="1" t="n">
        <v>45574</v>
      </c>
      <c r="D353" t="inlineStr">
        <is>
          <t>VÄSTERNORRLANDS LÄN</t>
        </is>
      </c>
      <c r="E353" t="inlineStr">
        <is>
          <t>TIMRÅ</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55521-2022</t>
        </is>
      </c>
      <c r="B354" s="1" t="n">
        <v>44887</v>
      </c>
      <c r="C354" s="1" t="n">
        <v>45574</v>
      </c>
      <c r="D354" t="inlineStr">
        <is>
          <t>VÄSTERNORRLANDS LÄN</t>
        </is>
      </c>
      <c r="E354" t="inlineStr">
        <is>
          <t>TIMRÅ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55511-2022</t>
        </is>
      </c>
      <c r="B355" s="1" t="n">
        <v>44887</v>
      </c>
      <c r="C355" s="1" t="n">
        <v>45574</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55510-2022</t>
        </is>
      </c>
      <c r="B356" s="1" t="n">
        <v>44887</v>
      </c>
      <c r="C356" s="1" t="n">
        <v>45574</v>
      </c>
      <c r="D356" t="inlineStr">
        <is>
          <t>VÄSTERNORRLANDS LÄN</t>
        </is>
      </c>
      <c r="E356" t="inlineStr">
        <is>
          <t>TIMRÅ</t>
        </is>
      </c>
      <c r="G356" t="n">
        <v>0.8</v>
      </c>
      <c r="H356" t="n">
        <v>0</v>
      </c>
      <c r="I356" t="n">
        <v>0</v>
      </c>
      <c r="J356" t="n">
        <v>0</v>
      </c>
      <c r="K356" t="n">
        <v>0</v>
      </c>
      <c r="L356" t="n">
        <v>0</v>
      </c>
      <c r="M356" t="n">
        <v>0</v>
      </c>
      <c r="N356" t="n">
        <v>0</v>
      </c>
      <c r="O356" t="n">
        <v>0</v>
      </c>
      <c r="P356" t="n">
        <v>0</v>
      </c>
      <c r="Q356" t="n">
        <v>0</v>
      </c>
      <c r="R356" s="2" t="inlineStr"/>
    </row>
    <row r="357" ht="15" customHeight="1">
      <c r="A357" t="inlineStr">
        <is>
          <t>A 55517-2022</t>
        </is>
      </c>
      <c r="B357" s="1" t="n">
        <v>44887</v>
      </c>
      <c r="C357" s="1" t="n">
        <v>45574</v>
      </c>
      <c r="D357" t="inlineStr">
        <is>
          <t>VÄSTERNORRLANDS LÄN</t>
        </is>
      </c>
      <c r="E357" t="inlineStr">
        <is>
          <t>TIMRÅ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55872-2022</t>
        </is>
      </c>
      <c r="B358" s="1" t="n">
        <v>44888</v>
      </c>
      <c r="C358" s="1" t="n">
        <v>45574</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55886-2022</t>
        </is>
      </c>
      <c r="B359" s="1" t="n">
        <v>44888</v>
      </c>
      <c r="C359" s="1" t="n">
        <v>45574</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56170-2022</t>
        </is>
      </c>
      <c r="B360" s="1" t="n">
        <v>44889</v>
      </c>
      <c r="C360" s="1" t="n">
        <v>45574</v>
      </c>
      <c r="D360" t="inlineStr">
        <is>
          <t>VÄSTERNORRLANDS LÄN</t>
        </is>
      </c>
      <c r="E360" t="inlineStr">
        <is>
          <t>TIMRÅ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57403-2022</t>
        </is>
      </c>
      <c r="B361" s="1" t="n">
        <v>44889</v>
      </c>
      <c r="C361" s="1" t="n">
        <v>45574</v>
      </c>
      <c r="D361" t="inlineStr">
        <is>
          <t>VÄSTERNORRLANDS LÄN</t>
        </is>
      </c>
      <c r="E361" t="inlineStr">
        <is>
          <t>TIMRÅ</t>
        </is>
      </c>
      <c r="G361" t="n">
        <v>9.6</v>
      </c>
      <c r="H361" t="n">
        <v>0</v>
      </c>
      <c r="I361" t="n">
        <v>0</v>
      </c>
      <c r="J361" t="n">
        <v>0</v>
      </c>
      <c r="K361" t="n">
        <v>0</v>
      </c>
      <c r="L361" t="n">
        <v>0</v>
      </c>
      <c r="M361" t="n">
        <v>0</v>
      </c>
      <c r="N361" t="n">
        <v>0</v>
      </c>
      <c r="O361" t="n">
        <v>0</v>
      </c>
      <c r="P361" t="n">
        <v>0</v>
      </c>
      <c r="Q361" t="n">
        <v>0</v>
      </c>
      <c r="R361" s="2" t="inlineStr"/>
    </row>
    <row r="362" ht="15" customHeight="1">
      <c r="A362" t="inlineStr">
        <is>
          <t>A 57380-2022</t>
        </is>
      </c>
      <c r="B362" s="1" t="n">
        <v>44889</v>
      </c>
      <c r="C362" s="1" t="n">
        <v>45574</v>
      </c>
      <c r="D362" t="inlineStr">
        <is>
          <t>VÄSTERNORRLANDS LÄN</t>
        </is>
      </c>
      <c r="E362" t="inlineStr">
        <is>
          <t>TIMRÅ</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56410-2022</t>
        </is>
      </c>
      <c r="B363" s="1" t="n">
        <v>44890</v>
      </c>
      <c r="C363" s="1" t="n">
        <v>45574</v>
      </c>
      <c r="D363" t="inlineStr">
        <is>
          <t>VÄSTERNORRLANDS LÄN</t>
        </is>
      </c>
      <c r="E363" t="inlineStr">
        <is>
          <t>TIMRÅ</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56723-2022</t>
        </is>
      </c>
      <c r="B364" s="1" t="n">
        <v>44893</v>
      </c>
      <c r="C364" s="1" t="n">
        <v>45574</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57268-2022</t>
        </is>
      </c>
      <c r="B365" s="1" t="n">
        <v>44895</v>
      </c>
      <c r="C365" s="1" t="n">
        <v>45574</v>
      </c>
      <c r="D365" t="inlineStr">
        <is>
          <t>VÄSTERNORRLANDS LÄN</t>
        </is>
      </c>
      <c r="E365" t="inlineStr">
        <is>
          <t>TIMRÅ</t>
        </is>
      </c>
      <c r="G365" t="n">
        <v>0.6</v>
      </c>
      <c r="H365" t="n">
        <v>0</v>
      </c>
      <c r="I365" t="n">
        <v>0</v>
      </c>
      <c r="J365" t="n">
        <v>0</v>
      </c>
      <c r="K365" t="n">
        <v>0</v>
      </c>
      <c r="L365" t="n">
        <v>0</v>
      </c>
      <c r="M365" t="n">
        <v>0</v>
      </c>
      <c r="N365" t="n">
        <v>0</v>
      </c>
      <c r="O365" t="n">
        <v>0</v>
      </c>
      <c r="P365" t="n">
        <v>0</v>
      </c>
      <c r="Q365" t="n">
        <v>0</v>
      </c>
      <c r="R365" s="2" t="inlineStr"/>
    </row>
    <row r="366" ht="15" customHeight="1">
      <c r="A366" t="inlineStr">
        <is>
          <t>A 57841-2022</t>
        </is>
      </c>
      <c r="B366" s="1" t="n">
        <v>44897</v>
      </c>
      <c r="C366" s="1" t="n">
        <v>45574</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57840-2022</t>
        </is>
      </c>
      <c r="B367" s="1" t="n">
        <v>44897</v>
      </c>
      <c r="C367" s="1" t="n">
        <v>45574</v>
      </c>
      <c r="D367" t="inlineStr">
        <is>
          <t>VÄSTERNORRLANDS LÄN</t>
        </is>
      </c>
      <c r="E367" t="inlineStr">
        <is>
          <t>TIMRÅ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58188-2022</t>
        </is>
      </c>
      <c r="B368" s="1" t="n">
        <v>44900</v>
      </c>
      <c r="C368" s="1" t="n">
        <v>45574</v>
      </c>
      <c r="D368" t="inlineStr">
        <is>
          <t>VÄSTERNORRLANDS LÄN</t>
        </is>
      </c>
      <c r="E368" t="inlineStr">
        <is>
          <t>TIMRÅ</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59942-2022</t>
        </is>
      </c>
      <c r="B369" s="1" t="n">
        <v>44901</v>
      </c>
      <c r="C369" s="1" t="n">
        <v>45574</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59128-2022</t>
        </is>
      </c>
      <c r="B370" s="1" t="n">
        <v>44904</v>
      </c>
      <c r="C370" s="1" t="n">
        <v>45574</v>
      </c>
      <c r="D370" t="inlineStr">
        <is>
          <t>VÄSTERNORRLANDS LÄN</t>
        </is>
      </c>
      <c r="E370" t="inlineStr">
        <is>
          <t>TIMRÅ</t>
        </is>
      </c>
      <c r="G370" t="n">
        <v>9</v>
      </c>
      <c r="H370" t="n">
        <v>0</v>
      </c>
      <c r="I370" t="n">
        <v>0</v>
      </c>
      <c r="J370" t="n">
        <v>0</v>
      </c>
      <c r="K370" t="n">
        <v>0</v>
      </c>
      <c r="L370" t="n">
        <v>0</v>
      </c>
      <c r="M370" t="n">
        <v>0</v>
      </c>
      <c r="N370" t="n">
        <v>0</v>
      </c>
      <c r="O370" t="n">
        <v>0</v>
      </c>
      <c r="P370" t="n">
        <v>0</v>
      </c>
      <c r="Q370" t="n">
        <v>0</v>
      </c>
      <c r="R370" s="2" t="inlineStr"/>
    </row>
    <row r="371" ht="15" customHeight="1">
      <c r="A371" t="inlineStr">
        <is>
          <t>A 60166-2022</t>
        </is>
      </c>
      <c r="B371" s="1" t="n">
        <v>44909</v>
      </c>
      <c r="C371" s="1" t="n">
        <v>45574</v>
      </c>
      <c r="D371" t="inlineStr">
        <is>
          <t>VÄSTERNORRLANDS LÄN</t>
        </is>
      </c>
      <c r="E371" t="inlineStr">
        <is>
          <t>TIMRÅ</t>
        </is>
      </c>
      <c r="G371" t="n">
        <v>1.8</v>
      </c>
      <c r="H371" t="n">
        <v>0</v>
      </c>
      <c r="I371" t="n">
        <v>0</v>
      </c>
      <c r="J371" t="n">
        <v>0</v>
      </c>
      <c r="K371" t="n">
        <v>0</v>
      </c>
      <c r="L371" t="n">
        <v>0</v>
      </c>
      <c r="M371" t="n">
        <v>0</v>
      </c>
      <c r="N371" t="n">
        <v>0</v>
      </c>
      <c r="O371" t="n">
        <v>0</v>
      </c>
      <c r="P371" t="n">
        <v>0</v>
      </c>
      <c r="Q371" t="n">
        <v>0</v>
      </c>
      <c r="R371" s="2" t="inlineStr"/>
    </row>
    <row r="372" ht="15" customHeight="1">
      <c r="A372" t="inlineStr">
        <is>
          <t>A 61576-2022</t>
        </is>
      </c>
      <c r="B372" s="1" t="n">
        <v>44910</v>
      </c>
      <c r="C372" s="1" t="n">
        <v>45574</v>
      </c>
      <c r="D372" t="inlineStr">
        <is>
          <t>VÄSTERNORRLANDS LÄN</t>
        </is>
      </c>
      <c r="E372" t="inlineStr">
        <is>
          <t>TIMRÅ</t>
        </is>
      </c>
      <c r="G372" t="n">
        <v>4</v>
      </c>
      <c r="H372" t="n">
        <v>0</v>
      </c>
      <c r="I372" t="n">
        <v>0</v>
      </c>
      <c r="J372" t="n">
        <v>0</v>
      </c>
      <c r="K372" t="n">
        <v>0</v>
      </c>
      <c r="L372" t="n">
        <v>0</v>
      </c>
      <c r="M372" t="n">
        <v>0</v>
      </c>
      <c r="N372" t="n">
        <v>0</v>
      </c>
      <c r="O372" t="n">
        <v>0</v>
      </c>
      <c r="P372" t="n">
        <v>0</v>
      </c>
      <c r="Q372" t="n">
        <v>0</v>
      </c>
      <c r="R372" s="2" t="inlineStr"/>
    </row>
    <row r="373" ht="15" customHeight="1">
      <c r="A373" t="inlineStr">
        <is>
          <t>A 61373-2022</t>
        </is>
      </c>
      <c r="B373" s="1" t="n">
        <v>44915</v>
      </c>
      <c r="C373" s="1" t="n">
        <v>45574</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62113-2022</t>
        </is>
      </c>
      <c r="B374" s="1" t="n">
        <v>44921</v>
      </c>
      <c r="C374" s="1" t="n">
        <v>45574</v>
      </c>
      <c r="D374" t="inlineStr">
        <is>
          <t>VÄSTERNORRLANDS LÄN</t>
        </is>
      </c>
      <c r="E374" t="inlineStr">
        <is>
          <t>TIMRÅ</t>
        </is>
      </c>
      <c r="G374" t="n">
        <v>1</v>
      </c>
      <c r="H374" t="n">
        <v>0</v>
      </c>
      <c r="I374" t="n">
        <v>0</v>
      </c>
      <c r="J374" t="n">
        <v>0</v>
      </c>
      <c r="K374" t="n">
        <v>0</v>
      </c>
      <c r="L374" t="n">
        <v>0</v>
      </c>
      <c r="M374" t="n">
        <v>0</v>
      </c>
      <c r="N374" t="n">
        <v>0</v>
      </c>
      <c r="O374" t="n">
        <v>0</v>
      </c>
      <c r="P374" t="n">
        <v>0</v>
      </c>
      <c r="Q374" t="n">
        <v>0</v>
      </c>
      <c r="R374" s="2" t="inlineStr"/>
    </row>
    <row r="375" ht="15" customHeight="1">
      <c r="A375" t="inlineStr">
        <is>
          <t>A 528-2023</t>
        </is>
      </c>
      <c r="B375" s="1" t="n">
        <v>44924</v>
      </c>
      <c r="C375" s="1" t="n">
        <v>45574</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524-2023</t>
        </is>
      </c>
      <c r="B376" s="1" t="n">
        <v>44924</v>
      </c>
      <c r="C376" s="1" t="n">
        <v>45574</v>
      </c>
      <c r="D376" t="inlineStr">
        <is>
          <t>VÄSTERNORRLANDS LÄN</t>
        </is>
      </c>
      <c r="E376" t="inlineStr">
        <is>
          <t>TIMRÅ</t>
        </is>
      </c>
      <c r="G376" t="n">
        <v>3</v>
      </c>
      <c r="H376" t="n">
        <v>0</v>
      </c>
      <c r="I376" t="n">
        <v>0</v>
      </c>
      <c r="J376" t="n">
        <v>0</v>
      </c>
      <c r="K376" t="n">
        <v>0</v>
      </c>
      <c r="L376" t="n">
        <v>0</v>
      </c>
      <c r="M376" t="n">
        <v>0</v>
      </c>
      <c r="N376" t="n">
        <v>0</v>
      </c>
      <c r="O376" t="n">
        <v>0</v>
      </c>
      <c r="P376" t="n">
        <v>0</v>
      </c>
      <c r="Q376" t="n">
        <v>0</v>
      </c>
      <c r="R376" s="2" t="inlineStr"/>
    </row>
    <row r="377" ht="15" customHeight="1">
      <c r="A377" t="inlineStr">
        <is>
          <t>A 704-2023</t>
        </is>
      </c>
      <c r="B377" s="1" t="n">
        <v>44930</v>
      </c>
      <c r="C377" s="1" t="n">
        <v>45574</v>
      </c>
      <c r="D377" t="inlineStr">
        <is>
          <t>VÄSTERNORRLANDS LÄN</t>
        </is>
      </c>
      <c r="E377" t="inlineStr">
        <is>
          <t>TIMRÅ</t>
        </is>
      </c>
      <c r="G377" t="n">
        <v>1.6</v>
      </c>
      <c r="H377" t="n">
        <v>0</v>
      </c>
      <c r="I377" t="n">
        <v>0</v>
      </c>
      <c r="J377" t="n">
        <v>0</v>
      </c>
      <c r="K377" t="n">
        <v>0</v>
      </c>
      <c r="L377" t="n">
        <v>0</v>
      </c>
      <c r="M377" t="n">
        <v>0</v>
      </c>
      <c r="N377" t="n">
        <v>0</v>
      </c>
      <c r="O377" t="n">
        <v>0</v>
      </c>
      <c r="P377" t="n">
        <v>0</v>
      </c>
      <c r="Q377" t="n">
        <v>0</v>
      </c>
      <c r="R377" s="2" t="inlineStr"/>
    </row>
    <row r="378" ht="15" customHeight="1">
      <c r="A378" t="inlineStr">
        <is>
          <t>A 1416-2023</t>
        </is>
      </c>
      <c r="B378" s="1" t="n">
        <v>44936</v>
      </c>
      <c r="C378" s="1" t="n">
        <v>45574</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1415-2023</t>
        </is>
      </c>
      <c r="B379" s="1" t="n">
        <v>44936</v>
      </c>
      <c r="C379" s="1" t="n">
        <v>45574</v>
      </c>
      <c r="D379" t="inlineStr">
        <is>
          <t>VÄSTERNORRLANDS LÄN</t>
        </is>
      </c>
      <c r="E379" t="inlineStr">
        <is>
          <t>TIMRÅ</t>
        </is>
      </c>
      <c r="G379" t="n">
        <v>1.4</v>
      </c>
      <c r="H379" t="n">
        <v>0</v>
      </c>
      <c r="I379" t="n">
        <v>0</v>
      </c>
      <c r="J379" t="n">
        <v>0</v>
      </c>
      <c r="K379" t="n">
        <v>0</v>
      </c>
      <c r="L379" t="n">
        <v>0</v>
      </c>
      <c r="M379" t="n">
        <v>0</v>
      </c>
      <c r="N379" t="n">
        <v>0</v>
      </c>
      <c r="O379" t="n">
        <v>0</v>
      </c>
      <c r="P379" t="n">
        <v>0</v>
      </c>
      <c r="Q379" t="n">
        <v>0</v>
      </c>
      <c r="R379" s="2" t="inlineStr"/>
    </row>
    <row r="380" ht="15" customHeight="1">
      <c r="A380" t="inlineStr">
        <is>
          <t>A 1896-2023</t>
        </is>
      </c>
      <c r="B380" s="1" t="n">
        <v>44939</v>
      </c>
      <c r="C380" s="1" t="n">
        <v>45574</v>
      </c>
      <c r="D380" t="inlineStr">
        <is>
          <t>VÄSTERNORRLANDS LÄN</t>
        </is>
      </c>
      <c r="E380" t="inlineStr">
        <is>
          <t>TIMRÅ</t>
        </is>
      </c>
      <c r="G380" t="n">
        <v>7.6</v>
      </c>
      <c r="H380" t="n">
        <v>0</v>
      </c>
      <c r="I380" t="n">
        <v>0</v>
      </c>
      <c r="J380" t="n">
        <v>0</v>
      </c>
      <c r="K380" t="n">
        <v>0</v>
      </c>
      <c r="L380" t="n">
        <v>0</v>
      </c>
      <c r="M380" t="n">
        <v>0</v>
      </c>
      <c r="N380" t="n">
        <v>0</v>
      </c>
      <c r="O380" t="n">
        <v>0</v>
      </c>
      <c r="P380" t="n">
        <v>0</v>
      </c>
      <c r="Q380" t="n">
        <v>0</v>
      </c>
      <c r="R380" s="2" t="inlineStr"/>
    </row>
    <row r="381" ht="15" customHeight="1">
      <c r="A381" t="inlineStr">
        <is>
          <t>A 1935-2023</t>
        </is>
      </c>
      <c r="B381" s="1" t="n">
        <v>44939</v>
      </c>
      <c r="C381" s="1" t="n">
        <v>45574</v>
      </c>
      <c r="D381" t="inlineStr">
        <is>
          <t>VÄSTERNORRLANDS LÄN</t>
        </is>
      </c>
      <c r="E381" t="inlineStr">
        <is>
          <t>TIMRÅ</t>
        </is>
      </c>
      <c r="G381" t="n">
        <v>5</v>
      </c>
      <c r="H381" t="n">
        <v>0</v>
      </c>
      <c r="I381" t="n">
        <v>0</v>
      </c>
      <c r="J381" t="n">
        <v>0</v>
      </c>
      <c r="K381" t="n">
        <v>0</v>
      </c>
      <c r="L381" t="n">
        <v>0</v>
      </c>
      <c r="M381" t="n">
        <v>0</v>
      </c>
      <c r="N381" t="n">
        <v>0</v>
      </c>
      <c r="O381" t="n">
        <v>0</v>
      </c>
      <c r="P381" t="n">
        <v>0</v>
      </c>
      <c r="Q381" t="n">
        <v>0</v>
      </c>
      <c r="R381" s="2" t="inlineStr"/>
    </row>
    <row r="382" ht="15" customHeight="1">
      <c r="A382" t="inlineStr">
        <is>
          <t>A 2434-2023</t>
        </is>
      </c>
      <c r="B382" s="1" t="n">
        <v>44943</v>
      </c>
      <c r="C382" s="1" t="n">
        <v>45574</v>
      </c>
      <c r="D382" t="inlineStr">
        <is>
          <t>VÄSTERNORRLANDS LÄN</t>
        </is>
      </c>
      <c r="E382" t="inlineStr">
        <is>
          <t>TIMRÅ</t>
        </is>
      </c>
      <c r="G382" t="n">
        <v>6.6</v>
      </c>
      <c r="H382" t="n">
        <v>0</v>
      </c>
      <c r="I382" t="n">
        <v>0</v>
      </c>
      <c r="J382" t="n">
        <v>0</v>
      </c>
      <c r="K382" t="n">
        <v>0</v>
      </c>
      <c r="L382" t="n">
        <v>0</v>
      </c>
      <c r="M382" t="n">
        <v>0</v>
      </c>
      <c r="N382" t="n">
        <v>0</v>
      </c>
      <c r="O382" t="n">
        <v>0</v>
      </c>
      <c r="P382" t="n">
        <v>0</v>
      </c>
      <c r="Q382" t="n">
        <v>0</v>
      </c>
      <c r="R382" s="2" t="inlineStr"/>
    </row>
    <row r="383" ht="15" customHeight="1">
      <c r="A383" t="inlineStr">
        <is>
          <t>A 4124-2023</t>
        </is>
      </c>
      <c r="B383" s="1" t="n">
        <v>44952</v>
      </c>
      <c r="C383" s="1" t="n">
        <v>45574</v>
      </c>
      <c r="D383" t="inlineStr">
        <is>
          <t>VÄSTERNORRLANDS LÄN</t>
        </is>
      </c>
      <c r="E383" t="inlineStr">
        <is>
          <t>TIMRÅ</t>
        </is>
      </c>
      <c r="G383" t="n">
        <v>4.4</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45574</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4126-2023</t>
        </is>
      </c>
      <c r="B385" s="1" t="n">
        <v>44952</v>
      </c>
      <c r="C385" s="1" t="n">
        <v>45574</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4125-2023</t>
        </is>
      </c>
      <c r="B386" s="1" t="n">
        <v>44952</v>
      </c>
      <c r="C386" s="1" t="n">
        <v>45574</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4129-2023</t>
        </is>
      </c>
      <c r="B387" s="1" t="n">
        <v>44952</v>
      </c>
      <c r="C387" s="1" t="n">
        <v>45574</v>
      </c>
      <c r="D387" t="inlineStr">
        <is>
          <t>VÄSTERNORRLANDS LÄN</t>
        </is>
      </c>
      <c r="E387" t="inlineStr">
        <is>
          <t>TIMRÅ</t>
        </is>
      </c>
      <c r="G387" t="n">
        <v>13.3</v>
      </c>
      <c r="H387" t="n">
        <v>0</v>
      </c>
      <c r="I387" t="n">
        <v>0</v>
      </c>
      <c r="J387" t="n">
        <v>0</v>
      </c>
      <c r="K387" t="n">
        <v>0</v>
      </c>
      <c r="L387" t="n">
        <v>0</v>
      </c>
      <c r="M387" t="n">
        <v>0</v>
      </c>
      <c r="N387" t="n">
        <v>0</v>
      </c>
      <c r="O387" t="n">
        <v>0</v>
      </c>
      <c r="P387" t="n">
        <v>0</v>
      </c>
      <c r="Q387" t="n">
        <v>0</v>
      </c>
      <c r="R387" s="2" t="inlineStr"/>
    </row>
    <row r="388" ht="15" customHeight="1">
      <c r="A388" t="inlineStr">
        <is>
          <t>A 6772-2023</t>
        </is>
      </c>
      <c r="B388" s="1" t="n">
        <v>44966</v>
      </c>
      <c r="C388" s="1" t="n">
        <v>45574</v>
      </c>
      <c r="D388" t="inlineStr">
        <is>
          <t>VÄSTERNORRLANDS LÄN</t>
        </is>
      </c>
      <c r="E388" t="inlineStr">
        <is>
          <t>TIMRÅ</t>
        </is>
      </c>
      <c r="G388" t="n">
        <v>1.9</v>
      </c>
      <c r="H388" t="n">
        <v>0</v>
      </c>
      <c r="I388" t="n">
        <v>0</v>
      </c>
      <c r="J388" t="n">
        <v>0</v>
      </c>
      <c r="K388" t="n">
        <v>0</v>
      </c>
      <c r="L388" t="n">
        <v>0</v>
      </c>
      <c r="M388" t="n">
        <v>0</v>
      </c>
      <c r="N388" t="n">
        <v>0</v>
      </c>
      <c r="O388" t="n">
        <v>0</v>
      </c>
      <c r="P388" t="n">
        <v>0</v>
      </c>
      <c r="Q388" t="n">
        <v>0</v>
      </c>
      <c r="R388" s="2" t="inlineStr"/>
    </row>
    <row r="389" ht="15" customHeight="1">
      <c r="A389" t="inlineStr">
        <is>
          <t>A 6770-2023</t>
        </is>
      </c>
      <c r="B389" s="1" t="n">
        <v>44966</v>
      </c>
      <c r="C389" s="1" t="n">
        <v>45574</v>
      </c>
      <c r="D389" t="inlineStr">
        <is>
          <t>VÄSTERNORRLANDS LÄN</t>
        </is>
      </c>
      <c r="E389" t="inlineStr">
        <is>
          <t>TIMRÅ</t>
        </is>
      </c>
      <c r="G389" t="n">
        <v>3.3</v>
      </c>
      <c r="H389" t="n">
        <v>0</v>
      </c>
      <c r="I389" t="n">
        <v>0</v>
      </c>
      <c r="J389" t="n">
        <v>0</v>
      </c>
      <c r="K389" t="n">
        <v>0</v>
      </c>
      <c r="L389" t="n">
        <v>0</v>
      </c>
      <c r="M389" t="n">
        <v>0</v>
      </c>
      <c r="N389" t="n">
        <v>0</v>
      </c>
      <c r="O389" t="n">
        <v>0</v>
      </c>
      <c r="P389" t="n">
        <v>0</v>
      </c>
      <c r="Q389" t="n">
        <v>0</v>
      </c>
      <c r="R389" s="2" t="inlineStr"/>
    </row>
    <row r="390" ht="15" customHeight="1">
      <c r="A390" t="inlineStr">
        <is>
          <t>A 6771-2023</t>
        </is>
      </c>
      <c r="B390" s="1" t="n">
        <v>44966</v>
      </c>
      <c r="C390" s="1" t="n">
        <v>45574</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8632-2023</t>
        </is>
      </c>
      <c r="B391" s="1" t="n">
        <v>44977</v>
      </c>
      <c r="C391" s="1" t="n">
        <v>45574</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9612-2023</t>
        </is>
      </c>
      <c r="B392" s="1" t="n">
        <v>44983</v>
      </c>
      <c r="C392" s="1" t="n">
        <v>45574</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9880-2023</t>
        </is>
      </c>
      <c r="B393" s="1" t="n">
        <v>44984</v>
      </c>
      <c r="C393" s="1" t="n">
        <v>45574</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10103-2023</t>
        </is>
      </c>
      <c r="B394" s="1" t="n">
        <v>44985</v>
      </c>
      <c r="C394" s="1" t="n">
        <v>45574</v>
      </c>
      <c r="D394" t="inlineStr">
        <is>
          <t>VÄSTERNORRLANDS LÄN</t>
        </is>
      </c>
      <c r="E394" t="inlineStr">
        <is>
          <t>TIMRÅ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10104-2023</t>
        </is>
      </c>
      <c r="B395" s="1" t="n">
        <v>44985</v>
      </c>
      <c r="C395" s="1" t="n">
        <v>45574</v>
      </c>
      <c r="D395" t="inlineStr">
        <is>
          <t>VÄSTERNORRLANDS LÄN</t>
        </is>
      </c>
      <c r="E395" t="inlineStr">
        <is>
          <t>TIMRÅ</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10312-2023</t>
        </is>
      </c>
      <c r="B396" s="1" t="n">
        <v>44986</v>
      </c>
      <c r="C396" s="1" t="n">
        <v>45574</v>
      </c>
      <c r="D396" t="inlineStr">
        <is>
          <t>VÄSTERNORRLANDS LÄN</t>
        </is>
      </c>
      <c r="E396" t="inlineStr">
        <is>
          <t>TIMRÅ</t>
        </is>
      </c>
      <c r="F396" t="inlineStr">
        <is>
          <t>SCA</t>
        </is>
      </c>
      <c r="G396" t="n">
        <v>38.4</v>
      </c>
      <c r="H396" t="n">
        <v>0</v>
      </c>
      <c r="I396" t="n">
        <v>0</v>
      </c>
      <c r="J396" t="n">
        <v>0</v>
      </c>
      <c r="K396" t="n">
        <v>0</v>
      </c>
      <c r="L396" t="n">
        <v>0</v>
      </c>
      <c r="M396" t="n">
        <v>0</v>
      </c>
      <c r="N396" t="n">
        <v>0</v>
      </c>
      <c r="O396" t="n">
        <v>0</v>
      </c>
      <c r="P396" t="n">
        <v>0</v>
      </c>
      <c r="Q396" t="n">
        <v>0</v>
      </c>
      <c r="R396" s="2" t="inlineStr"/>
    </row>
    <row r="397" ht="15" customHeight="1">
      <c r="A397" t="inlineStr">
        <is>
          <t>A 10556-2023</t>
        </is>
      </c>
      <c r="B397" s="1" t="n">
        <v>44987</v>
      </c>
      <c r="C397" s="1" t="n">
        <v>45574</v>
      </c>
      <c r="D397" t="inlineStr">
        <is>
          <t>VÄSTERNORRLANDS LÄN</t>
        </is>
      </c>
      <c r="E397" t="inlineStr">
        <is>
          <t>TIMRÅ</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10773-2023</t>
        </is>
      </c>
      <c r="B398" s="1" t="n">
        <v>44988</v>
      </c>
      <c r="C398" s="1" t="n">
        <v>45574</v>
      </c>
      <c r="D398" t="inlineStr">
        <is>
          <t>VÄSTERNORRLANDS LÄN</t>
        </is>
      </c>
      <c r="E398" t="inlineStr">
        <is>
          <t>TIMRÅ</t>
        </is>
      </c>
      <c r="F398" t="inlineStr">
        <is>
          <t>SCA</t>
        </is>
      </c>
      <c r="G398" t="n">
        <v>17.3</v>
      </c>
      <c r="H398" t="n">
        <v>0</v>
      </c>
      <c r="I398" t="n">
        <v>0</v>
      </c>
      <c r="J398" t="n">
        <v>0</v>
      </c>
      <c r="K398" t="n">
        <v>0</v>
      </c>
      <c r="L398" t="n">
        <v>0</v>
      </c>
      <c r="M398" t="n">
        <v>0</v>
      </c>
      <c r="N398" t="n">
        <v>0</v>
      </c>
      <c r="O398" t="n">
        <v>0</v>
      </c>
      <c r="P398" t="n">
        <v>0</v>
      </c>
      <c r="Q398" t="n">
        <v>0</v>
      </c>
      <c r="R398" s="2" t="inlineStr"/>
    </row>
    <row r="399" ht="15" customHeight="1">
      <c r="A399" t="inlineStr">
        <is>
          <t>A 13256-2023</t>
        </is>
      </c>
      <c r="B399" s="1" t="n">
        <v>45002</v>
      </c>
      <c r="C399" s="1" t="n">
        <v>45574</v>
      </c>
      <c r="D399" t="inlineStr">
        <is>
          <t>VÄSTERNORRLANDS LÄN</t>
        </is>
      </c>
      <c r="E399" t="inlineStr">
        <is>
          <t>TIMRÅ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13254-2023</t>
        </is>
      </c>
      <c r="B400" s="1" t="n">
        <v>45002</v>
      </c>
      <c r="C400" s="1" t="n">
        <v>45574</v>
      </c>
      <c r="D400" t="inlineStr">
        <is>
          <t>VÄSTERNORRLANDS LÄN</t>
        </is>
      </c>
      <c r="E400" t="inlineStr">
        <is>
          <t>TIMRÅ</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13255-2023</t>
        </is>
      </c>
      <c r="B401" s="1" t="n">
        <v>45002</v>
      </c>
      <c r="C401" s="1" t="n">
        <v>45574</v>
      </c>
      <c r="D401" t="inlineStr">
        <is>
          <t>VÄSTERNORRLANDS LÄN</t>
        </is>
      </c>
      <c r="E401" t="inlineStr">
        <is>
          <t>TIMRÅ</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13253-2023</t>
        </is>
      </c>
      <c r="B402" s="1" t="n">
        <v>45002</v>
      </c>
      <c r="C402" s="1" t="n">
        <v>45574</v>
      </c>
      <c r="D402" t="inlineStr">
        <is>
          <t>VÄSTERNORRLANDS LÄN</t>
        </is>
      </c>
      <c r="E402" t="inlineStr">
        <is>
          <t>TIMRÅ</t>
        </is>
      </c>
      <c r="F402" t="inlineStr">
        <is>
          <t>SCA</t>
        </is>
      </c>
      <c r="G402" t="n">
        <v>10.1</v>
      </c>
      <c r="H402" t="n">
        <v>0</v>
      </c>
      <c r="I402" t="n">
        <v>0</v>
      </c>
      <c r="J402" t="n">
        <v>0</v>
      </c>
      <c r="K402" t="n">
        <v>0</v>
      </c>
      <c r="L402" t="n">
        <v>0</v>
      </c>
      <c r="M402" t="n">
        <v>0</v>
      </c>
      <c r="N402" t="n">
        <v>0</v>
      </c>
      <c r="O402" t="n">
        <v>0</v>
      </c>
      <c r="P402" t="n">
        <v>0</v>
      </c>
      <c r="Q402" t="n">
        <v>0</v>
      </c>
      <c r="R402" s="2" t="inlineStr"/>
    </row>
    <row r="403" ht="15" customHeight="1">
      <c r="A403" t="inlineStr">
        <is>
          <t>A 13446-2023</t>
        </is>
      </c>
      <c r="B403" s="1" t="n">
        <v>45005</v>
      </c>
      <c r="C403" s="1" t="n">
        <v>45574</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14865-2023</t>
        </is>
      </c>
      <c r="B404" s="1" t="n">
        <v>45015</v>
      </c>
      <c r="C404" s="1" t="n">
        <v>45574</v>
      </c>
      <c r="D404" t="inlineStr">
        <is>
          <t>VÄSTERNORRLANDS LÄN</t>
        </is>
      </c>
      <c r="E404" t="inlineStr">
        <is>
          <t>TIMRÅ</t>
        </is>
      </c>
      <c r="F404" t="inlineStr">
        <is>
          <t>SCA</t>
        </is>
      </c>
      <c r="G404" t="n">
        <v>20.1</v>
      </c>
      <c r="H404" t="n">
        <v>0</v>
      </c>
      <c r="I404" t="n">
        <v>0</v>
      </c>
      <c r="J404" t="n">
        <v>0</v>
      </c>
      <c r="K404" t="n">
        <v>0</v>
      </c>
      <c r="L404" t="n">
        <v>0</v>
      </c>
      <c r="M404" t="n">
        <v>0</v>
      </c>
      <c r="N404" t="n">
        <v>0</v>
      </c>
      <c r="O404" t="n">
        <v>0</v>
      </c>
      <c r="P404" t="n">
        <v>0</v>
      </c>
      <c r="Q404" t="n">
        <v>0</v>
      </c>
      <c r="R404" s="2" t="inlineStr"/>
    </row>
    <row r="405" ht="15" customHeight="1">
      <c r="A405" t="inlineStr">
        <is>
          <t>A 14863-2023</t>
        </is>
      </c>
      <c r="B405" s="1" t="n">
        <v>45015</v>
      </c>
      <c r="C405" s="1" t="n">
        <v>45574</v>
      </c>
      <c r="D405" t="inlineStr">
        <is>
          <t>VÄSTERNORRLANDS LÄN</t>
        </is>
      </c>
      <c r="E405" t="inlineStr">
        <is>
          <t>TIMRÅ</t>
        </is>
      </c>
      <c r="F405" t="inlineStr">
        <is>
          <t>SCA</t>
        </is>
      </c>
      <c r="G405" t="n">
        <v>19.8</v>
      </c>
      <c r="H405" t="n">
        <v>0</v>
      </c>
      <c r="I405" t="n">
        <v>0</v>
      </c>
      <c r="J405" t="n">
        <v>0</v>
      </c>
      <c r="K405" t="n">
        <v>0</v>
      </c>
      <c r="L405" t="n">
        <v>0</v>
      </c>
      <c r="M405" t="n">
        <v>0</v>
      </c>
      <c r="N405" t="n">
        <v>0</v>
      </c>
      <c r="O405" t="n">
        <v>0</v>
      </c>
      <c r="P405" t="n">
        <v>0</v>
      </c>
      <c r="Q405" t="n">
        <v>0</v>
      </c>
      <c r="R405" s="2" t="inlineStr"/>
    </row>
    <row r="406" ht="15" customHeight="1">
      <c r="A406" t="inlineStr">
        <is>
          <t>A 14864-2023</t>
        </is>
      </c>
      <c r="B406" s="1" t="n">
        <v>45015</v>
      </c>
      <c r="C406" s="1" t="n">
        <v>45574</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15815-2023</t>
        </is>
      </c>
      <c r="B407" s="1" t="n">
        <v>45022</v>
      </c>
      <c r="C407" s="1" t="n">
        <v>45574</v>
      </c>
      <c r="D407" t="inlineStr">
        <is>
          <t>VÄSTERNORRLANDS LÄN</t>
        </is>
      </c>
      <c r="E407" t="inlineStr">
        <is>
          <t>TIMRÅ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15820-2023</t>
        </is>
      </c>
      <c r="B408" s="1" t="n">
        <v>45022</v>
      </c>
      <c r="C408" s="1" t="n">
        <v>45574</v>
      </c>
      <c r="D408" t="inlineStr">
        <is>
          <t>VÄSTERNORRLANDS LÄN</t>
        </is>
      </c>
      <c r="E408" t="inlineStr">
        <is>
          <t>TIMRÅ</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15816-2023</t>
        </is>
      </c>
      <c r="B409" s="1" t="n">
        <v>45021</v>
      </c>
      <c r="C409" s="1" t="n">
        <v>45574</v>
      </c>
      <c r="D409" t="inlineStr">
        <is>
          <t>VÄSTERNORRLANDS LÄN</t>
        </is>
      </c>
      <c r="E409" t="inlineStr">
        <is>
          <t>TIMRÅ</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15821-2023</t>
        </is>
      </c>
      <c r="B410" s="1" t="n">
        <v>45022</v>
      </c>
      <c r="C410" s="1" t="n">
        <v>45574</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15823-2023</t>
        </is>
      </c>
      <c r="B411" s="1" t="n">
        <v>45021</v>
      </c>
      <c r="C411" s="1" t="n">
        <v>45574</v>
      </c>
      <c r="D411" t="inlineStr">
        <is>
          <t>VÄSTERNORRLANDS LÄN</t>
        </is>
      </c>
      <c r="E411" t="inlineStr">
        <is>
          <t>TIMRÅ</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16554-2023</t>
        </is>
      </c>
      <c r="B412" s="1" t="n">
        <v>45029</v>
      </c>
      <c r="C412" s="1" t="n">
        <v>45574</v>
      </c>
      <c r="D412" t="inlineStr">
        <is>
          <t>VÄSTERNORRLANDS LÄN</t>
        </is>
      </c>
      <c r="E412" t="inlineStr">
        <is>
          <t>TIMRÅ</t>
        </is>
      </c>
      <c r="G412" t="n">
        <v>3.8</v>
      </c>
      <c r="H412" t="n">
        <v>0</v>
      </c>
      <c r="I412" t="n">
        <v>0</v>
      </c>
      <c r="J412" t="n">
        <v>0</v>
      </c>
      <c r="K412" t="n">
        <v>0</v>
      </c>
      <c r="L412" t="n">
        <v>0</v>
      </c>
      <c r="M412" t="n">
        <v>0</v>
      </c>
      <c r="N412" t="n">
        <v>0</v>
      </c>
      <c r="O412" t="n">
        <v>0</v>
      </c>
      <c r="P412" t="n">
        <v>0</v>
      </c>
      <c r="Q412" t="n">
        <v>0</v>
      </c>
      <c r="R412" s="2" t="inlineStr"/>
    </row>
    <row r="413" ht="15" customHeight="1">
      <c r="A413" t="inlineStr">
        <is>
          <t>A 16555-2023</t>
        </is>
      </c>
      <c r="B413" s="1" t="n">
        <v>45029</v>
      </c>
      <c r="C413" s="1" t="n">
        <v>45574</v>
      </c>
      <c r="D413" t="inlineStr">
        <is>
          <t>VÄSTERNORRLANDS LÄN</t>
        </is>
      </c>
      <c r="E413" t="inlineStr">
        <is>
          <t>TIMRÅ</t>
        </is>
      </c>
      <c r="G413" t="n">
        <v>0.7</v>
      </c>
      <c r="H413" t="n">
        <v>0</v>
      </c>
      <c r="I413" t="n">
        <v>0</v>
      </c>
      <c r="J413" t="n">
        <v>0</v>
      </c>
      <c r="K413" t="n">
        <v>0</v>
      </c>
      <c r="L413" t="n">
        <v>0</v>
      </c>
      <c r="M413" t="n">
        <v>0</v>
      </c>
      <c r="N413" t="n">
        <v>0</v>
      </c>
      <c r="O413" t="n">
        <v>0</v>
      </c>
      <c r="P413" t="n">
        <v>0</v>
      </c>
      <c r="Q413" t="n">
        <v>0</v>
      </c>
      <c r="R413" s="2" t="inlineStr"/>
    </row>
    <row r="414" ht="15" customHeight="1">
      <c r="A414" t="inlineStr">
        <is>
          <t>A 16786-2023</t>
        </is>
      </c>
      <c r="B414" s="1" t="n">
        <v>45032</v>
      </c>
      <c r="C414" s="1" t="n">
        <v>45574</v>
      </c>
      <c r="D414" t="inlineStr">
        <is>
          <t>VÄSTERNORRLANDS LÄN</t>
        </is>
      </c>
      <c r="E414" t="inlineStr">
        <is>
          <t>TIMRÅ</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17002-2023</t>
        </is>
      </c>
      <c r="B415" s="1" t="n">
        <v>45033</v>
      </c>
      <c r="C415" s="1" t="n">
        <v>45574</v>
      </c>
      <c r="D415" t="inlineStr">
        <is>
          <t>VÄSTERNORRLANDS LÄN</t>
        </is>
      </c>
      <c r="E415" t="inlineStr">
        <is>
          <t>TIMRÅ</t>
        </is>
      </c>
      <c r="F415" t="inlineStr">
        <is>
          <t>SCA</t>
        </is>
      </c>
      <c r="G415" t="n">
        <v>12.7</v>
      </c>
      <c r="H415" t="n">
        <v>0</v>
      </c>
      <c r="I415" t="n">
        <v>0</v>
      </c>
      <c r="J415" t="n">
        <v>0</v>
      </c>
      <c r="K415" t="n">
        <v>0</v>
      </c>
      <c r="L415" t="n">
        <v>0</v>
      </c>
      <c r="M415" t="n">
        <v>0</v>
      </c>
      <c r="N415" t="n">
        <v>0</v>
      </c>
      <c r="O415" t="n">
        <v>0</v>
      </c>
      <c r="P415" t="n">
        <v>0</v>
      </c>
      <c r="Q415" t="n">
        <v>0</v>
      </c>
      <c r="R415" s="2" t="inlineStr"/>
    </row>
    <row r="416" ht="15" customHeight="1">
      <c r="A416" t="inlineStr">
        <is>
          <t>A 17441-2023</t>
        </is>
      </c>
      <c r="B416" s="1" t="n">
        <v>45036</v>
      </c>
      <c r="C416" s="1" t="n">
        <v>45574</v>
      </c>
      <c r="D416" t="inlineStr">
        <is>
          <t>VÄSTERNORRLANDS LÄN</t>
        </is>
      </c>
      <c r="E416" t="inlineStr">
        <is>
          <t>TIMRÅ</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17865-2023</t>
        </is>
      </c>
      <c r="B417" s="1" t="n">
        <v>45038</v>
      </c>
      <c r="C417" s="1" t="n">
        <v>45574</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17936-2023</t>
        </is>
      </c>
      <c r="B418" s="1" t="n">
        <v>45040</v>
      </c>
      <c r="C418" s="1" t="n">
        <v>45574</v>
      </c>
      <c r="D418" t="inlineStr">
        <is>
          <t>VÄSTERNORRLANDS LÄN</t>
        </is>
      </c>
      <c r="E418" t="inlineStr">
        <is>
          <t>TIMRÅ</t>
        </is>
      </c>
      <c r="G418" t="n">
        <v>4.8</v>
      </c>
      <c r="H418" t="n">
        <v>0</v>
      </c>
      <c r="I418" t="n">
        <v>0</v>
      </c>
      <c r="J418" t="n">
        <v>0</v>
      </c>
      <c r="K418" t="n">
        <v>0</v>
      </c>
      <c r="L418" t="n">
        <v>0</v>
      </c>
      <c r="M418" t="n">
        <v>0</v>
      </c>
      <c r="N418" t="n">
        <v>0</v>
      </c>
      <c r="O418" t="n">
        <v>0</v>
      </c>
      <c r="P418" t="n">
        <v>0</v>
      </c>
      <c r="Q418" t="n">
        <v>0</v>
      </c>
      <c r="R418" s="2" t="inlineStr"/>
    </row>
    <row r="419" ht="15" customHeight="1">
      <c r="A419" t="inlineStr">
        <is>
          <t>A 18289-2023</t>
        </is>
      </c>
      <c r="B419" s="1" t="n">
        <v>45040</v>
      </c>
      <c r="C419" s="1" t="n">
        <v>45574</v>
      </c>
      <c r="D419" t="inlineStr">
        <is>
          <t>VÄSTERNORRLANDS LÄN</t>
        </is>
      </c>
      <c r="E419" t="inlineStr">
        <is>
          <t>TIMRÅ</t>
        </is>
      </c>
      <c r="G419" t="n">
        <v>4.5</v>
      </c>
      <c r="H419" t="n">
        <v>0</v>
      </c>
      <c r="I419" t="n">
        <v>0</v>
      </c>
      <c r="J419" t="n">
        <v>0</v>
      </c>
      <c r="K419" t="n">
        <v>0</v>
      </c>
      <c r="L419" t="n">
        <v>0</v>
      </c>
      <c r="M419" t="n">
        <v>0</v>
      </c>
      <c r="N419" t="n">
        <v>0</v>
      </c>
      <c r="O419" t="n">
        <v>0</v>
      </c>
      <c r="P419" t="n">
        <v>0</v>
      </c>
      <c r="Q419" t="n">
        <v>0</v>
      </c>
      <c r="R419" s="2" t="inlineStr"/>
    </row>
    <row r="420" ht="15" customHeight="1">
      <c r="A420" t="inlineStr">
        <is>
          <t>A 18684-2023</t>
        </is>
      </c>
      <c r="B420" s="1" t="n">
        <v>45042</v>
      </c>
      <c r="C420" s="1" t="n">
        <v>45574</v>
      </c>
      <c r="D420" t="inlineStr">
        <is>
          <t>VÄSTERNORRLANDS LÄN</t>
        </is>
      </c>
      <c r="E420" t="inlineStr">
        <is>
          <t>TIMRÅ</t>
        </is>
      </c>
      <c r="G420" t="n">
        <v>5.7</v>
      </c>
      <c r="H420" t="n">
        <v>0</v>
      </c>
      <c r="I420" t="n">
        <v>0</v>
      </c>
      <c r="J420" t="n">
        <v>0</v>
      </c>
      <c r="K420" t="n">
        <v>0</v>
      </c>
      <c r="L420" t="n">
        <v>0</v>
      </c>
      <c r="M420" t="n">
        <v>0</v>
      </c>
      <c r="N420" t="n">
        <v>0</v>
      </c>
      <c r="O420" t="n">
        <v>0</v>
      </c>
      <c r="P420" t="n">
        <v>0</v>
      </c>
      <c r="Q420" t="n">
        <v>0</v>
      </c>
      <c r="R420" s="2" t="inlineStr"/>
    </row>
    <row r="421" ht="15" customHeight="1">
      <c r="A421" t="inlineStr">
        <is>
          <t>A 18778-2023</t>
        </is>
      </c>
      <c r="B421" s="1" t="n">
        <v>45043</v>
      </c>
      <c r="C421" s="1" t="n">
        <v>45574</v>
      </c>
      <c r="D421" t="inlineStr">
        <is>
          <t>VÄSTERNORRLANDS LÄN</t>
        </is>
      </c>
      <c r="E421" t="inlineStr">
        <is>
          <t>TIMRÅ</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19244-2023</t>
        </is>
      </c>
      <c r="B422" s="1" t="n">
        <v>45048</v>
      </c>
      <c r="C422" s="1" t="n">
        <v>45574</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19440-2023</t>
        </is>
      </c>
      <c r="B423" s="1" t="n">
        <v>45049</v>
      </c>
      <c r="C423" s="1" t="n">
        <v>45574</v>
      </c>
      <c r="D423" t="inlineStr">
        <is>
          <t>VÄSTERNORRLANDS LÄN</t>
        </is>
      </c>
      <c r="E423" t="inlineStr">
        <is>
          <t>TIMRÅ</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20097-2023</t>
        </is>
      </c>
      <c r="B424" s="1" t="n">
        <v>45055</v>
      </c>
      <c r="C424" s="1" t="n">
        <v>45574</v>
      </c>
      <c r="D424" t="inlineStr">
        <is>
          <t>VÄSTERNORRLANDS LÄN</t>
        </is>
      </c>
      <c r="E424" t="inlineStr">
        <is>
          <t>TIMRÅ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20835-2023</t>
        </is>
      </c>
      <c r="B425" s="1" t="n">
        <v>45058</v>
      </c>
      <c r="C425" s="1" t="n">
        <v>45574</v>
      </c>
      <c r="D425" t="inlineStr">
        <is>
          <t>VÄSTERNORRLANDS LÄN</t>
        </is>
      </c>
      <c r="E425" t="inlineStr">
        <is>
          <t>TIMRÅ</t>
        </is>
      </c>
      <c r="G425" t="n">
        <v>4.4</v>
      </c>
      <c r="H425" t="n">
        <v>0</v>
      </c>
      <c r="I425" t="n">
        <v>0</v>
      </c>
      <c r="J425" t="n">
        <v>0</v>
      </c>
      <c r="K425" t="n">
        <v>0</v>
      </c>
      <c r="L425" t="n">
        <v>0</v>
      </c>
      <c r="M425" t="n">
        <v>0</v>
      </c>
      <c r="N425" t="n">
        <v>0</v>
      </c>
      <c r="O425" t="n">
        <v>0</v>
      </c>
      <c r="P425" t="n">
        <v>0</v>
      </c>
      <c r="Q425" t="n">
        <v>0</v>
      </c>
      <c r="R425" s="2" t="inlineStr"/>
    </row>
    <row r="426" ht="15" customHeight="1">
      <c r="A426" t="inlineStr">
        <is>
          <t>A 20839-2023</t>
        </is>
      </c>
      <c r="B426" s="1" t="n">
        <v>45058</v>
      </c>
      <c r="C426" s="1" t="n">
        <v>45574</v>
      </c>
      <c r="D426" t="inlineStr">
        <is>
          <t>VÄSTERNORRLANDS LÄN</t>
        </is>
      </c>
      <c r="E426" t="inlineStr">
        <is>
          <t>TIMRÅ</t>
        </is>
      </c>
      <c r="G426" t="n">
        <v>7.2</v>
      </c>
      <c r="H426" t="n">
        <v>0</v>
      </c>
      <c r="I426" t="n">
        <v>0</v>
      </c>
      <c r="J426" t="n">
        <v>0</v>
      </c>
      <c r="K426" t="n">
        <v>0</v>
      </c>
      <c r="L426" t="n">
        <v>0</v>
      </c>
      <c r="M426" t="n">
        <v>0</v>
      </c>
      <c r="N426" t="n">
        <v>0</v>
      </c>
      <c r="O426" t="n">
        <v>0</v>
      </c>
      <c r="P426" t="n">
        <v>0</v>
      </c>
      <c r="Q426" t="n">
        <v>0</v>
      </c>
      <c r="R426" s="2" t="inlineStr"/>
    </row>
    <row r="427" ht="15" customHeight="1">
      <c r="A427" t="inlineStr">
        <is>
          <t>A 20837-2023</t>
        </is>
      </c>
      <c r="B427" s="1" t="n">
        <v>45058</v>
      </c>
      <c r="C427" s="1" t="n">
        <v>45574</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20841-2023</t>
        </is>
      </c>
      <c r="B428" s="1" t="n">
        <v>45058</v>
      </c>
      <c r="C428" s="1" t="n">
        <v>45574</v>
      </c>
      <c r="D428" t="inlineStr">
        <is>
          <t>VÄSTERNORRLANDS LÄN</t>
        </is>
      </c>
      <c r="E428" t="inlineStr">
        <is>
          <t>TIMRÅ</t>
        </is>
      </c>
      <c r="G428" t="n">
        <v>2.1</v>
      </c>
      <c r="H428" t="n">
        <v>0</v>
      </c>
      <c r="I428" t="n">
        <v>0</v>
      </c>
      <c r="J428" t="n">
        <v>0</v>
      </c>
      <c r="K428" t="n">
        <v>0</v>
      </c>
      <c r="L428" t="n">
        <v>0</v>
      </c>
      <c r="M428" t="n">
        <v>0</v>
      </c>
      <c r="N428" t="n">
        <v>0</v>
      </c>
      <c r="O428" t="n">
        <v>0</v>
      </c>
      <c r="P428" t="n">
        <v>0</v>
      </c>
      <c r="Q428" t="n">
        <v>0</v>
      </c>
      <c r="R428" s="2" t="inlineStr"/>
    </row>
    <row r="429" ht="15" customHeight="1">
      <c r="A429" t="inlineStr">
        <is>
          <t>A 20834-2023</t>
        </is>
      </c>
      <c r="B429" s="1" t="n">
        <v>45058</v>
      </c>
      <c r="C429" s="1" t="n">
        <v>45574</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20843-2023</t>
        </is>
      </c>
      <c r="B430" s="1" t="n">
        <v>45058</v>
      </c>
      <c r="C430" s="1" t="n">
        <v>45574</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20840-2023</t>
        </is>
      </c>
      <c r="B431" s="1" t="n">
        <v>45058</v>
      </c>
      <c r="C431" s="1" t="n">
        <v>45574</v>
      </c>
      <c r="D431" t="inlineStr">
        <is>
          <t>VÄSTERNORRLANDS LÄN</t>
        </is>
      </c>
      <c r="E431" t="inlineStr">
        <is>
          <t>TIMRÅ</t>
        </is>
      </c>
      <c r="G431" t="n">
        <v>3.1</v>
      </c>
      <c r="H431" t="n">
        <v>0</v>
      </c>
      <c r="I431" t="n">
        <v>0</v>
      </c>
      <c r="J431" t="n">
        <v>0</v>
      </c>
      <c r="K431" t="n">
        <v>0</v>
      </c>
      <c r="L431" t="n">
        <v>0</v>
      </c>
      <c r="M431" t="n">
        <v>0</v>
      </c>
      <c r="N431" t="n">
        <v>0</v>
      </c>
      <c r="O431" t="n">
        <v>0</v>
      </c>
      <c r="P431" t="n">
        <v>0</v>
      </c>
      <c r="Q431" t="n">
        <v>0</v>
      </c>
      <c r="R431" s="2" t="inlineStr"/>
    </row>
    <row r="432" ht="15" customHeight="1">
      <c r="A432" t="inlineStr">
        <is>
          <t>A 20844-2023</t>
        </is>
      </c>
      <c r="B432" s="1" t="n">
        <v>45058</v>
      </c>
      <c r="C432" s="1" t="n">
        <v>45574</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20880-2023</t>
        </is>
      </c>
      <c r="B433" s="1" t="n">
        <v>45058</v>
      </c>
      <c r="C433" s="1" t="n">
        <v>45574</v>
      </c>
      <c r="D433" t="inlineStr">
        <is>
          <t>VÄSTERNORRLANDS LÄN</t>
        </is>
      </c>
      <c r="E433" t="inlineStr">
        <is>
          <t>TIMRÅ</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21356-2023</t>
        </is>
      </c>
      <c r="B434" s="1" t="n">
        <v>45063</v>
      </c>
      <c r="C434" s="1" t="n">
        <v>45574</v>
      </c>
      <c r="D434" t="inlineStr">
        <is>
          <t>VÄSTERNORRLANDS LÄN</t>
        </is>
      </c>
      <c r="E434" t="inlineStr">
        <is>
          <t>TIMRÅ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24305-2023</t>
        </is>
      </c>
      <c r="B435" s="1" t="n">
        <v>45080</v>
      </c>
      <c r="C435" s="1" t="n">
        <v>45574</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24304-2023</t>
        </is>
      </c>
      <c r="B436" s="1" t="n">
        <v>45079</v>
      </c>
      <c r="C436" s="1" t="n">
        <v>45574</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25301-2023</t>
        </is>
      </c>
      <c r="B437" s="1" t="n">
        <v>45086</v>
      </c>
      <c r="C437" s="1" t="n">
        <v>45574</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27495-2023</t>
        </is>
      </c>
      <c r="B438" s="1" t="n">
        <v>45092</v>
      </c>
      <c r="C438" s="1" t="n">
        <v>45574</v>
      </c>
      <c r="D438" t="inlineStr">
        <is>
          <t>VÄSTERNORRLANDS LÄN</t>
        </is>
      </c>
      <c r="E438" t="inlineStr">
        <is>
          <t>TIMRÅ</t>
        </is>
      </c>
      <c r="G438" t="n">
        <v>2.6</v>
      </c>
      <c r="H438" t="n">
        <v>0</v>
      </c>
      <c r="I438" t="n">
        <v>0</v>
      </c>
      <c r="J438" t="n">
        <v>0</v>
      </c>
      <c r="K438" t="n">
        <v>0</v>
      </c>
      <c r="L438" t="n">
        <v>0</v>
      </c>
      <c r="M438" t="n">
        <v>0</v>
      </c>
      <c r="N438" t="n">
        <v>0</v>
      </c>
      <c r="O438" t="n">
        <v>0</v>
      </c>
      <c r="P438" t="n">
        <v>0</v>
      </c>
      <c r="Q438" t="n">
        <v>0</v>
      </c>
      <c r="R438" s="2" t="inlineStr"/>
    </row>
    <row r="439" ht="15" customHeight="1">
      <c r="A439" t="inlineStr">
        <is>
          <t>A 27489-2023</t>
        </is>
      </c>
      <c r="B439" s="1" t="n">
        <v>45092</v>
      </c>
      <c r="C439" s="1" t="n">
        <v>45574</v>
      </c>
      <c r="D439" t="inlineStr">
        <is>
          <t>VÄSTERNORRLANDS LÄN</t>
        </is>
      </c>
      <c r="E439" t="inlineStr">
        <is>
          <t>TIMRÅ</t>
        </is>
      </c>
      <c r="G439" t="n">
        <v>1.1</v>
      </c>
      <c r="H439" t="n">
        <v>0</v>
      </c>
      <c r="I439" t="n">
        <v>0</v>
      </c>
      <c r="J439" t="n">
        <v>0</v>
      </c>
      <c r="K439" t="n">
        <v>0</v>
      </c>
      <c r="L439" t="n">
        <v>0</v>
      </c>
      <c r="M439" t="n">
        <v>0</v>
      </c>
      <c r="N439" t="n">
        <v>0</v>
      </c>
      <c r="O439" t="n">
        <v>0</v>
      </c>
      <c r="P439" t="n">
        <v>0</v>
      </c>
      <c r="Q439" t="n">
        <v>0</v>
      </c>
      <c r="R439" s="2" t="inlineStr"/>
    </row>
    <row r="440" ht="15" customHeight="1">
      <c r="A440" t="inlineStr">
        <is>
          <t>A 26996-2023</t>
        </is>
      </c>
      <c r="B440" s="1" t="n">
        <v>45093</v>
      </c>
      <c r="C440" s="1" t="n">
        <v>45574</v>
      </c>
      <c r="D440" t="inlineStr">
        <is>
          <t>VÄSTERNORRLANDS LÄN</t>
        </is>
      </c>
      <c r="E440" t="inlineStr">
        <is>
          <t>TIMRÅ</t>
        </is>
      </c>
      <c r="G440" t="n">
        <v>8.4</v>
      </c>
      <c r="H440" t="n">
        <v>0</v>
      </c>
      <c r="I440" t="n">
        <v>0</v>
      </c>
      <c r="J440" t="n">
        <v>0</v>
      </c>
      <c r="K440" t="n">
        <v>0</v>
      </c>
      <c r="L440" t="n">
        <v>0</v>
      </c>
      <c r="M440" t="n">
        <v>0</v>
      </c>
      <c r="N440" t="n">
        <v>0</v>
      </c>
      <c r="O440" t="n">
        <v>0</v>
      </c>
      <c r="P440" t="n">
        <v>0</v>
      </c>
      <c r="Q440" t="n">
        <v>0</v>
      </c>
      <c r="R440" s="2" t="inlineStr"/>
    </row>
    <row r="441" ht="15" customHeight="1">
      <c r="A441" t="inlineStr">
        <is>
          <t>A 28007-2023</t>
        </is>
      </c>
      <c r="B441" s="1" t="n">
        <v>45098</v>
      </c>
      <c r="C441" s="1" t="n">
        <v>45574</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28373-2023</t>
        </is>
      </c>
      <c r="B442" s="1" t="n">
        <v>45100</v>
      </c>
      <c r="C442" s="1" t="n">
        <v>45574</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28372-2023</t>
        </is>
      </c>
      <c r="B443" s="1" t="n">
        <v>45100</v>
      </c>
      <c r="C443" s="1" t="n">
        <v>45574</v>
      </c>
      <c r="D443" t="inlineStr">
        <is>
          <t>VÄSTERNORRLANDS LÄN</t>
        </is>
      </c>
      <c r="E443" t="inlineStr">
        <is>
          <t>TIMRÅ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28370-2023</t>
        </is>
      </c>
      <c r="B444" s="1" t="n">
        <v>45100</v>
      </c>
      <c r="C444" s="1" t="n">
        <v>45574</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28381-2023</t>
        </is>
      </c>
      <c r="B445" s="1" t="n">
        <v>45099</v>
      </c>
      <c r="C445" s="1" t="n">
        <v>45574</v>
      </c>
      <c r="D445" t="inlineStr">
        <is>
          <t>VÄSTERNORRLANDS LÄN</t>
        </is>
      </c>
      <c r="E445" t="inlineStr">
        <is>
          <t>TIMRÅ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28369-2023</t>
        </is>
      </c>
      <c r="B446" s="1" t="n">
        <v>45099</v>
      </c>
      <c r="C446" s="1" t="n">
        <v>45574</v>
      </c>
      <c r="D446" t="inlineStr">
        <is>
          <t>VÄSTERNORRLANDS LÄN</t>
        </is>
      </c>
      <c r="E446" t="inlineStr">
        <is>
          <t>TIMRÅ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28371-2023</t>
        </is>
      </c>
      <c r="B447" s="1" t="n">
        <v>45100</v>
      </c>
      <c r="C447" s="1" t="n">
        <v>45574</v>
      </c>
      <c r="D447" t="inlineStr">
        <is>
          <t>VÄSTERNORRLANDS LÄN</t>
        </is>
      </c>
      <c r="E447" t="inlineStr">
        <is>
          <t>TIMRÅ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28734-2023</t>
        </is>
      </c>
      <c r="B448" s="1" t="n">
        <v>45104</v>
      </c>
      <c r="C448" s="1" t="n">
        <v>45574</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28750-2023</t>
        </is>
      </c>
      <c r="B449" s="1" t="n">
        <v>45104</v>
      </c>
      <c r="C449" s="1" t="n">
        <v>45574</v>
      </c>
      <c r="D449" t="inlineStr">
        <is>
          <t>VÄSTERNORRLANDS LÄN</t>
        </is>
      </c>
      <c r="E449" t="inlineStr">
        <is>
          <t>TIMRÅ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31148-2023</t>
        </is>
      </c>
      <c r="B450" s="1" t="n">
        <v>45103</v>
      </c>
      <c r="C450" s="1" t="n">
        <v>45574</v>
      </c>
      <c r="D450" t="inlineStr">
        <is>
          <t>VÄSTERNORRLANDS LÄN</t>
        </is>
      </c>
      <c r="E450" t="inlineStr">
        <is>
          <t>TIMRÅ</t>
        </is>
      </c>
      <c r="G450" t="n">
        <v>1.5</v>
      </c>
      <c r="H450" t="n">
        <v>0</v>
      </c>
      <c r="I450" t="n">
        <v>0</v>
      </c>
      <c r="J450" t="n">
        <v>0</v>
      </c>
      <c r="K450" t="n">
        <v>0</v>
      </c>
      <c r="L450" t="n">
        <v>0</v>
      </c>
      <c r="M450" t="n">
        <v>0</v>
      </c>
      <c r="N450" t="n">
        <v>0</v>
      </c>
      <c r="O450" t="n">
        <v>0</v>
      </c>
      <c r="P450" t="n">
        <v>0</v>
      </c>
      <c r="Q450" t="n">
        <v>0</v>
      </c>
      <c r="R450" s="2" t="inlineStr"/>
    </row>
    <row r="451" ht="15" customHeight="1">
      <c r="A451" t="inlineStr">
        <is>
          <t>A 31150-2023</t>
        </is>
      </c>
      <c r="B451" s="1" t="n">
        <v>45103</v>
      </c>
      <c r="C451" s="1" t="n">
        <v>45574</v>
      </c>
      <c r="D451" t="inlineStr">
        <is>
          <t>VÄSTERNORRLANDS LÄN</t>
        </is>
      </c>
      <c r="E451" t="inlineStr">
        <is>
          <t>TIMRÅ</t>
        </is>
      </c>
      <c r="G451" t="n">
        <v>0.3</v>
      </c>
      <c r="H451" t="n">
        <v>0</v>
      </c>
      <c r="I451" t="n">
        <v>0</v>
      </c>
      <c r="J451" t="n">
        <v>0</v>
      </c>
      <c r="K451" t="n">
        <v>0</v>
      </c>
      <c r="L451" t="n">
        <v>0</v>
      </c>
      <c r="M451" t="n">
        <v>0</v>
      </c>
      <c r="N451" t="n">
        <v>0</v>
      </c>
      <c r="O451" t="n">
        <v>0</v>
      </c>
      <c r="P451" t="n">
        <v>0</v>
      </c>
      <c r="Q451" t="n">
        <v>0</v>
      </c>
      <c r="R451" s="2" t="inlineStr"/>
    </row>
    <row r="452" ht="15" customHeight="1">
      <c r="A452" t="inlineStr">
        <is>
          <t>A 31154-2023</t>
        </is>
      </c>
      <c r="B452" s="1" t="n">
        <v>45103</v>
      </c>
      <c r="C452" s="1" t="n">
        <v>45574</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31381-2023</t>
        </is>
      </c>
      <c r="B453" s="1" t="n">
        <v>45104</v>
      </c>
      <c r="C453" s="1" t="n">
        <v>45574</v>
      </c>
      <c r="D453" t="inlineStr">
        <is>
          <t>VÄSTERNORRLANDS LÄN</t>
        </is>
      </c>
      <c r="E453" t="inlineStr">
        <is>
          <t>TIMRÅ</t>
        </is>
      </c>
      <c r="G453" t="n">
        <v>5.6</v>
      </c>
      <c r="H453" t="n">
        <v>0</v>
      </c>
      <c r="I453" t="n">
        <v>0</v>
      </c>
      <c r="J453" t="n">
        <v>0</v>
      </c>
      <c r="K453" t="n">
        <v>0</v>
      </c>
      <c r="L453" t="n">
        <v>0</v>
      </c>
      <c r="M453" t="n">
        <v>0</v>
      </c>
      <c r="N453" t="n">
        <v>0</v>
      </c>
      <c r="O453" t="n">
        <v>0</v>
      </c>
      <c r="P453" t="n">
        <v>0</v>
      </c>
      <c r="Q453" t="n">
        <v>0</v>
      </c>
      <c r="R453" s="2" t="inlineStr"/>
    </row>
    <row r="454" ht="15" customHeight="1">
      <c r="A454" t="inlineStr">
        <is>
          <t>A 31474-2023</t>
        </is>
      </c>
      <c r="B454" s="1" t="n">
        <v>45104</v>
      </c>
      <c r="C454" s="1" t="n">
        <v>45574</v>
      </c>
      <c r="D454" t="inlineStr">
        <is>
          <t>VÄSTERNORRLANDS LÄN</t>
        </is>
      </c>
      <c r="E454" t="inlineStr">
        <is>
          <t>TIMRÅ</t>
        </is>
      </c>
      <c r="G454" t="n">
        <v>1.3</v>
      </c>
      <c r="H454" t="n">
        <v>0</v>
      </c>
      <c r="I454" t="n">
        <v>0</v>
      </c>
      <c r="J454" t="n">
        <v>0</v>
      </c>
      <c r="K454" t="n">
        <v>0</v>
      </c>
      <c r="L454" t="n">
        <v>0</v>
      </c>
      <c r="M454" t="n">
        <v>0</v>
      </c>
      <c r="N454" t="n">
        <v>0</v>
      </c>
      <c r="O454" t="n">
        <v>0</v>
      </c>
      <c r="P454" t="n">
        <v>0</v>
      </c>
      <c r="Q454" t="n">
        <v>0</v>
      </c>
      <c r="R454" s="2" t="inlineStr"/>
    </row>
    <row r="455" ht="15" customHeight="1">
      <c r="A455" t="inlineStr">
        <is>
          <t>A 31378-2023</t>
        </is>
      </c>
      <c r="B455" s="1" t="n">
        <v>45104</v>
      </c>
      <c r="C455" s="1" t="n">
        <v>45574</v>
      </c>
      <c r="D455" t="inlineStr">
        <is>
          <t>VÄSTERNORRLANDS LÄN</t>
        </is>
      </c>
      <c r="E455" t="inlineStr">
        <is>
          <t>TIMRÅ</t>
        </is>
      </c>
      <c r="G455" t="n">
        <v>2.8</v>
      </c>
      <c r="H455" t="n">
        <v>0</v>
      </c>
      <c r="I455" t="n">
        <v>0</v>
      </c>
      <c r="J455" t="n">
        <v>0</v>
      </c>
      <c r="K455" t="n">
        <v>0</v>
      </c>
      <c r="L455" t="n">
        <v>0</v>
      </c>
      <c r="M455" t="n">
        <v>0</v>
      </c>
      <c r="N455" t="n">
        <v>0</v>
      </c>
      <c r="O455" t="n">
        <v>0</v>
      </c>
      <c r="P455" t="n">
        <v>0</v>
      </c>
      <c r="Q455" t="n">
        <v>0</v>
      </c>
      <c r="R455" s="2" t="inlineStr"/>
    </row>
    <row r="456" ht="15" customHeight="1">
      <c r="A456" t="inlineStr">
        <is>
          <t>A 31343-2023</t>
        </is>
      </c>
      <c r="B456" s="1" t="n">
        <v>45104</v>
      </c>
      <c r="C456" s="1" t="n">
        <v>45574</v>
      </c>
      <c r="D456" t="inlineStr">
        <is>
          <t>VÄSTERNORRLANDS LÄN</t>
        </is>
      </c>
      <c r="E456" t="inlineStr">
        <is>
          <t>TIMRÅ</t>
        </is>
      </c>
      <c r="G456" t="n">
        <v>7.1</v>
      </c>
      <c r="H456" t="n">
        <v>0</v>
      </c>
      <c r="I456" t="n">
        <v>0</v>
      </c>
      <c r="J456" t="n">
        <v>0</v>
      </c>
      <c r="K456" t="n">
        <v>0</v>
      </c>
      <c r="L456" t="n">
        <v>0</v>
      </c>
      <c r="M456" t="n">
        <v>0</v>
      </c>
      <c r="N456" t="n">
        <v>0</v>
      </c>
      <c r="O456" t="n">
        <v>0</v>
      </c>
      <c r="P456" t="n">
        <v>0</v>
      </c>
      <c r="Q456" t="n">
        <v>0</v>
      </c>
      <c r="R456" s="2" t="inlineStr"/>
    </row>
    <row r="457" ht="15" customHeight="1">
      <c r="A457" t="inlineStr">
        <is>
          <t>A 31472-2023</t>
        </is>
      </c>
      <c r="B457" s="1" t="n">
        <v>45104</v>
      </c>
      <c r="C457" s="1" t="n">
        <v>45574</v>
      </c>
      <c r="D457" t="inlineStr">
        <is>
          <t>VÄSTERNORRLANDS LÄN</t>
        </is>
      </c>
      <c r="E457" t="inlineStr">
        <is>
          <t>TIMRÅ</t>
        </is>
      </c>
      <c r="G457" t="n">
        <v>2.1</v>
      </c>
      <c r="H457" t="n">
        <v>0</v>
      </c>
      <c r="I457" t="n">
        <v>0</v>
      </c>
      <c r="J457" t="n">
        <v>0</v>
      </c>
      <c r="K457" t="n">
        <v>0</v>
      </c>
      <c r="L457" t="n">
        <v>0</v>
      </c>
      <c r="M457" t="n">
        <v>0</v>
      </c>
      <c r="N457" t="n">
        <v>0</v>
      </c>
      <c r="O457" t="n">
        <v>0</v>
      </c>
      <c r="P457" t="n">
        <v>0</v>
      </c>
      <c r="Q457" t="n">
        <v>0</v>
      </c>
      <c r="R457" s="2" t="inlineStr"/>
    </row>
    <row r="458" ht="15" customHeight="1">
      <c r="A458" t="inlineStr">
        <is>
          <t>A 29599-2023</t>
        </is>
      </c>
      <c r="B458" s="1" t="n">
        <v>45106</v>
      </c>
      <c r="C458" s="1" t="n">
        <v>45574</v>
      </c>
      <c r="D458" t="inlineStr">
        <is>
          <t>VÄSTERNORRLANDS LÄN</t>
        </is>
      </c>
      <c r="E458" t="inlineStr">
        <is>
          <t>TIMRÅ</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29948-2023</t>
        </is>
      </c>
      <c r="B459" s="1" t="n">
        <v>45107</v>
      </c>
      <c r="C459" s="1" t="n">
        <v>45574</v>
      </c>
      <c r="D459" t="inlineStr">
        <is>
          <t>VÄSTERNORRLANDS LÄN</t>
        </is>
      </c>
      <c r="E459" t="inlineStr">
        <is>
          <t>TIMRÅ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32070-2023</t>
        </is>
      </c>
      <c r="B460" s="1" t="n">
        <v>45107</v>
      </c>
      <c r="C460" s="1" t="n">
        <v>45574</v>
      </c>
      <c r="D460" t="inlineStr">
        <is>
          <t>VÄSTERNORRLANDS LÄN</t>
        </is>
      </c>
      <c r="E460" t="inlineStr">
        <is>
          <t>TIMRÅ</t>
        </is>
      </c>
      <c r="G460" t="n">
        <v>1.5</v>
      </c>
      <c r="H460" t="n">
        <v>0</v>
      </c>
      <c r="I460" t="n">
        <v>0</v>
      </c>
      <c r="J460" t="n">
        <v>0</v>
      </c>
      <c r="K460" t="n">
        <v>0</v>
      </c>
      <c r="L460" t="n">
        <v>0</v>
      </c>
      <c r="M460" t="n">
        <v>0</v>
      </c>
      <c r="N460" t="n">
        <v>0</v>
      </c>
      <c r="O460" t="n">
        <v>0</v>
      </c>
      <c r="P460" t="n">
        <v>0</v>
      </c>
      <c r="Q460" t="n">
        <v>0</v>
      </c>
      <c r="R460" s="2" t="inlineStr"/>
    </row>
    <row r="461" ht="15" customHeight="1">
      <c r="A461" t="inlineStr">
        <is>
          <t>A 30315-2023</t>
        </is>
      </c>
      <c r="B461" s="1" t="n">
        <v>45110</v>
      </c>
      <c r="C461" s="1" t="n">
        <v>45574</v>
      </c>
      <c r="D461" t="inlineStr">
        <is>
          <t>VÄSTERNORRLANDS LÄN</t>
        </is>
      </c>
      <c r="E461" t="inlineStr">
        <is>
          <t>TIMRÅ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30298-2023</t>
        </is>
      </c>
      <c r="B462" s="1" t="n">
        <v>45110</v>
      </c>
      <c r="C462" s="1" t="n">
        <v>45574</v>
      </c>
      <c r="D462" t="inlineStr">
        <is>
          <t>VÄSTERNORRLANDS LÄN</t>
        </is>
      </c>
      <c r="E462" t="inlineStr">
        <is>
          <t>TIMRÅ</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30850-2023</t>
        </is>
      </c>
      <c r="B463" s="1" t="n">
        <v>45112</v>
      </c>
      <c r="C463" s="1" t="n">
        <v>45574</v>
      </c>
      <c r="D463" t="inlineStr">
        <is>
          <t>VÄSTERNORRLANDS LÄN</t>
        </is>
      </c>
      <c r="E463" t="inlineStr">
        <is>
          <t>TIMRÅ</t>
        </is>
      </c>
      <c r="F463" t="inlineStr">
        <is>
          <t>SCA</t>
        </is>
      </c>
      <c r="G463" t="n">
        <v>16.1</v>
      </c>
      <c r="H463" t="n">
        <v>0</v>
      </c>
      <c r="I463" t="n">
        <v>0</v>
      </c>
      <c r="J463" t="n">
        <v>0</v>
      </c>
      <c r="K463" t="n">
        <v>0</v>
      </c>
      <c r="L463" t="n">
        <v>0</v>
      </c>
      <c r="M463" t="n">
        <v>0</v>
      </c>
      <c r="N463" t="n">
        <v>0</v>
      </c>
      <c r="O463" t="n">
        <v>0</v>
      </c>
      <c r="P463" t="n">
        <v>0</v>
      </c>
      <c r="Q463" t="n">
        <v>0</v>
      </c>
      <c r="R463" s="2" t="inlineStr"/>
    </row>
    <row r="464" ht="15" customHeight="1">
      <c r="A464" t="inlineStr">
        <is>
          <t>A 30835-2023</t>
        </is>
      </c>
      <c r="B464" s="1" t="n">
        <v>45113</v>
      </c>
      <c r="C464" s="1" t="n">
        <v>45574</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31562-2023</t>
        </is>
      </c>
      <c r="B465" s="1" t="n">
        <v>45117</v>
      </c>
      <c r="C465" s="1" t="n">
        <v>45574</v>
      </c>
      <c r="D465" t="inlineStr">
        <is>
          <t>VÄSTERNORRLANDS LÄN</t>
        </is>
      </c>
      <c r="E465" t="inlineStr">
        <is>
          <t>TIMRÅ</t>
        </is>
      </c>
      <c r="G465" t="n">
        <v>3.7</v>
      </c>
      <c r="H465" t="n">
        <v>0</v>
      </c>
      <c r="I465" t="n">
        <v>0</v>
      </c>
      <c r="J465" t="n">
        <v>0</v>
      </c>
      <c r="K465" t="n">
        <v>0</v>
      </c>
      <c r="L465" t="n">
        <v>0</v>
      </c>
      <c r="M465" t="n">
        <v>0</v>
      </c>
      <c r="N465" t="n">
        <v>0</v>
      </c>
      <c r="O465" t="n">
        <v>0</v>
      </c>
      <c r="P465" t="n">
        <v>0</v>
      </c>
      <c r="Q465" t="n">
        <v>0</v>
      </c>
      <c r="R465" s="2" t="inlineStr"/>
    </row>
    <row r="466" ht="15" customHeight="1">
      <c r="A466" t="inlineStr">
        <is>
          <t>A 31736-2023</t>
        </is>
      </c>
      <c r="B466" s="1" t="n">
        <v>45117</v>
      </c>
      <c r="C466" s="1" t="n">
        <v>45574</v>
      </c>
      <c r="D466" t="inlineStr">
        <is>
          <t>VÄSTERNORRLANDS LÄN</t>
        </is>
      </c>
      <c r="E466" t="inlineStr">
        <is>
          <t>TIMRÅ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31741-2023</t>
        </is>
      </c>
      <c r="B467" s="1" t="n">
        <v>45117</v>
      </c>
      <c r="C467" s="1" t="n">
        <v>45574</v>
      </c>
      <c r="D467" t="inlineStr">
        <is>
          <t>VÄSTERNORRLANDS LÄN</t>
        </is>
      </c>
      <c r="E467" t="inlineStr">
        <is>
          <t>TIMRÅ</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32224-2023</t>
        </is>
      </c>
      <c r="B468" s="1" t="n">
        <v>45119</v>
      </c>
      <c r="C468" s="1" t="n">
        <v>45574</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32225-2023</t>
        </is>
      </c>
      <c r="B469" s="1" t="n">
        <v>45119</v>
      </c>
      <c r="C469" s="1" t="n">
        <v>45574</v>
      </c>
      <c r="D469" t="inlineStr">
        <is>
          <t>VÄSTERNORRLANDS LÄN</t>
        </is>
      </c>
      <c r="E469" t="inlineStr">
        <is>
          <t>TIMRÅ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32223-2023</t>
        </is>
      </c>
      <c r="B470" s="1" t="n">
        <v>45119</v>
      </c>
      <c r="C470" s="1" t="n">
        <v>45574</v>
      </c>
      <c r="D470" t="inlineStr">
        <is>
          <t>VÄSTERNORRLANDS LÄN</t>
        </is>
      </c>
      <c r="E470" t="inlineStr">
        <is>
          <t>TIMRÅ</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32226-2023</t>
        </is>
      </c>
      <c r="B471" s="1" t="n">
        <v>45119</v>
      </c>
      <c r="C471" s="1" t="n">
        <v>45574</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32230-2023</t>
        </is>
      </c>
      <c r="B472" s="1" t="n">
        <v>45120</v>
      </c>
      <c r="C472" s="1" t="n">
        <v>45574</v>
      </c>
      <c r="D472" t="inlineStr">
        <is>
          <t>VÄSTERNORRLANDS LÄN</t>
        </is>
      </c>
      <c r="E472" t="inlineStr">
        <is>
          <t>TIMRÅ</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33667-2023</t>
        </is>
      </c>
      <c r="B473" s="1" t="n">
        <v>45119</v>
      </c>
      <c r="C473" s="1" t="n">
        <v>45574</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33756-2023</t>
        </is>
      </c>
      <c r="B474" s="1" t="n">
        <v>45120</v>
      </c>
      <c r="C474" s="1" t="n">
        <v>45574</v>
      </c>
      <c r="D474" t="inlineStr">
        <is>
          <t>VÄSTERNORRLANDS LÄN</t>
        </is>
      </c>
      <c r="E474" t="inlineStr">
        <is>
          <t>TIMRÅ</t>
        </is>
      </c>
      <c r="G474" t="n">
        <v>10.5</v>
      </c>
      <c r="H474" t="n">
        <v>0</v>
      </c>
      <c r="I474" t="n">
        <v>0</v>
      </c>
      <c r="J474" t="n">
        <v>0</v>
      </c>
      <c r="K474" t="n">
        <v>0</v>
      </c>
      <c r="L474" t="n">
        <v>0</v>
      </c>
      <c r="M474" t="n">
        <v>0</v>
      </c>
      <c r="N474" t="n">
        <v>0</v>
      </c>
      <c r="O474" t="n">
        <v>0</v>
      </c>
      <c r="P474" t="n">
        <v>0</v>
      </c>
      <c r="Q474" t="n">
        <v>0</v>
      </c>
      <c r="R474" s="2" t="inlineStr"/>
    </row>
    <row r="475" ht="15" customHeight="1">
      <c r="A475" t="inlineStr">
        <is>
          <t>A 33043-2023</t>
        </is>
      </c>
      <c r="B475" s="1" t="n">
        <v>45125</v>
      </c>
      <c r="C475" s="1" t="n">
        <v>45574</v>
      </c>
      <c r="D475" t="inlineStr">
        <is>
          <t>VÄSTERNORRLANDS LÄN</t>
        </is>
      </c>
      <c r="E475" t="inlineStr">
        <is>
          <t>TIMRÅ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34172-2023</t>
        </is>
      </c>
      <c r="B476" s="1" t="n">
        <v>45126</v>
      </c>
      <c r="C476" s="1" t="n">
        <v>45574</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35342-2023</t>
        </is>
      </c>
      <c r="B477" s="1" t="n">
        <v>45145</v>
      </c>
      <c r="C477" s="1" t="n">
        <v>45574</v>
      </c>
      <c r="D477" t="inlineStr">
        <is>
          <t>VÄSTERNORRLANDS LÄN</t>
        </is>
      </c>
      <c r="E477" t="inlineStr">
        <is>
          <t>TIMRÅ</t>
        </is>
      </c>
      <c r="G477" t="n">
        <v>3.2</v>
      </c>
      <c r="H477" t="n">
        <v>0</v>
      </c>
      <c r="I477" t="n">
        <v>0</v>
      </c>
      <c r="J477" t="n">
        <v>0</v>
      </c>
      <c r="K477" t="n">
        <v>0</v>
      </c>
      <c r="L477" t="n">
        <v>0</v>
      </c>
      <c r="M477" t="n">
        <v>0</v>
      </c>
      <c r="N477" t="n">
        <v>0</v>
      </c>
      <c r="O477" t="n">
        <v>0</v>
      </c>
      <c r="P477" t="n">
        <v>0</v>
      </c>
      <c r="Q477" t="n">
        <v>0</v>
      </c>
      <c r="R477" s="2" t="inlineStr"/>
    </row>
    <row r="478" ht="15" customHeight="1">
      <c r="A478" t="inlineStr">
        <is>
          <t>A 35568-2023</t>
        </is>
      </c>
      <c r="B478" s="1" t="n">
        <v>45146</v>
      </c>
      <c r="C478" s="1" t="n">
        <v>45574</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35763-2023</t>
        </is>
      </c>
      <c r="B479" s="1" t="n">
        <v>45147</v>
      </c>
      <c r="C479" s="1" t="n">
        <v>45574</v>
      </c>
      <c r="D479" t="inlineStr">
        <is>
          <t>VÄSTERNORRLANDS LÄN</t>
        </is>
      </c>
      <c r="E479" t="inlineStr">
        <is>
          <t>TIMRÅ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35939-2023</t>
        </is>
      </c>
      <c r="B480" s="1" t="n">
        <v>45148</v>
      </c>
      <c r="C480" s="1" t="n">
        <v>45574</v>
      </c>
      <c r="D480" t="inlineStr">
        <is>
          <t>VÄSTERNORRLANDS LÄN</t>
        </is>
      </c>
      <c r="E480" t="inlineStr">
        <is>
          <t>TIMRÅ</t>
        </is>
      </c>
      <c r="G480" t="n">
        <v>1.1</v>
      </c>
      <c r="H480" t="n">
        <v>0</v>
      </c>
      <c r="I480" t="n">
        <v>0</v>
      </c>
      <c r="J480" t="n">
        <v>0</v>
      </c>
      <c r="K480" t="n">
        <v>0</v>
      </c>
      <c r="L480" t="n">
        <v>0</v>
      </c>
      <c r="M480" t="n">
        <v>0</v>
      </c>
      <c r="N480" t="n">
        <v>0</v>
      </c>
      <c r="O480" t="n">
        <v>0</v>
      </c>
      <c r="P480" t="n">
        <v>0</v>
      </c>
      <c r="Q480" t="n">
        <v>0</v>
      </c>
      <c r="R480" s="2" t="inlineStr"/>
    </row>
    <row r="481" ht="15" customHeight="1">
      <c r="A481" t="inlineStr">
        <is>
          <t>A 36228-2023</t>
        </is>
      </c>
      <c r="B481" s="1" t="n">
        <v>45149</v>
      </c>
      <c r="C481" s="1" t="n">
        <v>45574</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36992-2023</t>
        </is>
      </c>
      <c r="B482" s="1" t="n">
        <v>45154</v>
      </c>
      <c r="C482" s="1" t="n">
        <v>45574</v>
      </c>
      <c r="D482" t="inlineStr">
        <is>
          <t>VÄSTERNORRLANDS LÄN</t>
        </is>
      </c>
      <c r="E482" t="inlineStr">
        <is>
          <t>TIMRÅ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36997-2023</t>
        </is>
      </c>
      <c r="B483" s="1" t="n">
        <v>45154</v>
      </c>
      <c r="C483" s="1" t="n">
        <v>45574</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37259-2023</t>
        </is>
      </c>
      <c r="B484" s="1" t="n">
        <v>45156</v>
      </c>
      <c r="C484" s="1" t="n">
        <v>45574</v>
      </c>
      <c r="D484" t="inlineStr">
        <is>
          <t>VÄSTERNORRLANDS LÄN</t>
        </is>
      </c>
      <c r="E484" t="inlineStr">
        <is>
          <t>TIMRÅ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37808-2023</t>
        </is>
      </c>
      <c r="B485" s="1" t="n">
        <v>45160</v>
      </c>
      <c r="C485" s="1" t="n">
        <v>45574</v>
      </c>
      <c r="D485" t="inlineStr">
        <is>
          <t>VÄSTERNORRLANDS LÄN</t>
        </is>
      </c>
      <c r="E485" t="inlineStr">
        <is>
          <t>TIMRÅ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38423-2023</t>
        </is>
      </c>
      <c r="B486" s="1" t="n">
        <v>45160</v>
      </c>
      <c r="C486" s="1" t="n">
        <v>45574</v>
      </c>
      <c r="D486" t="inlineStr">
        <is>
          <t>VÄSTERNORRLANDS LÄN</t>
        </is>
      </c>
      <c r="E486" t="inlineStr">
        <is>
          <t>TIMRÅ</t>
        </is>
      </c>
      <c r="G486" t="n">
        <v>6.4</v>
      </c>
      <c r="H486" t="n">
        <v>0</v>
      </c>
      <c r="I486" t="n">
        <v>0</v>
      </c>
      <c r="J486" t="n">
        <v>0</v>
      </c>
      <c r="K486" t="n">
        <v>0</v>
      </c>
      <c r="L486" t="n">
        <v>0</v>
      </c>
      <c r="M486" t="n">
        <v>0</v>
      </c>
      <c r="N486" t="n">
        <v>0</v>
      </c>
      <c r="O486" t="n">
        <v>0</v>
      </c>
      <c r="P486" t="n">
        <v>0</v>
      </c>
      <c r="Q486" t="n">
        <v>0</v>
      </c>
      <c r="R486" s="2" t="inlineStr"/>
    </row>
    <row r="487" ht="15" customHeight="1">
      <c r="A487" t="inlineStr">
        <is>
          <t>A 38360-2023</t>
        </is>
      </c>
      <c r="B487" s="1" t="n">
        <v>45162</v>
      </c>
      <c r="C487" s="1" t="n">
        <v>45574</v>
      </c>
      <c r="D487" t="inlineStr">
        <is>
          <t>VÄSTERNORRLANDS LÄN</t>
        </is>
      </c>
      <c r="E487" t="inlineStr">
        <is>
          <t>TIMRÅ</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39073-2023</t>
        </is>
      </c>
      <c r="B488" s="1" t="n">
        <v>45163</v>
      </c>
      <c r="C488" s="1" t="n">
        <v>45574</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39081-2023</t>
        </is>
      </c>
      <c r="B489" s="1" t="n">
        <v>45163</v>
      </c>
      <c r="C489" s="1" t="n">
        <v>45574</v>
      </c>
      <c r="D489" t="inlineStr">
        <is>
          <t>VÄSTERNORRLANDS LÄN</t>
        </is>
      </c>
      <c r="E489" t="inlineStr">
        <is>
          <t>TIMRÅ</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39046-2023</t>
        </is>
      </c>
      <c r="B490" s="1" t="n">
        <v>45163</v>
      </c>
      <c r="C490" s="1" t="n">
        <v>45574</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39048-2023</t>
        </is>
      </c>
      <c r="B491" s="1" t="n">
        <v>45164</v>
      </c>
      <c r="C491" s="1" t="n">
        <v>45574</v>
      </c>
      <c r="D491" t="inlineStr">
        <is>
          <t>VÄSTERNORRLANDS LÄN</t>
        </is>
      </c>
      <c r="E491" t="inlineStr">
        <is>
          <t>TIMRÅ</t>
        </is>
      </c>
      <c r="G491" t="n">
        <v>5.1</v>
      </c>
      <c r="H491" t="n">
        <v>0</v>
      </c>
      <c r="I491" t="n">
        <v>0</v>
      </c>
      <c r="J491" t="n">
        <v>0</v>
      </c>
      <c r="K491" t="n">
        <v>0</v>
      </c>
      <c r="L491" t="n">
        <v>0</v>
      </c>
      <c r="M491" t="n">
        <v>0</v>
      </c>
      <c r="N491" t="n">
        <v>0</v>
      </c>
      <c r="O491" t="n">
        <v>0</v>
      </c>
      <c r="P491" t="n">
        <v>0</v>
      </c>
      <c r="Q491" t="n">
        <v>0</v>
      </c>
      <c r="R491" s="2" t="inlineStr"/>
    </row>
    <row r="492" ht="15" customHeight="1">
      <c r="A492" t="inlineStr">
        <is>
          <t>A 39072-2023</t>
        </is>
      </c>
      <c r="B492" s="1" t="n">
        <v>45163</v>
      </c>
      <c r="C492" s="1" t="n">
        <v>45574</v>
      </c>
      <c r="D492" t="inlineStr">
        <is>
          <t>VÄSTERNORRLANDS LÄN</t>
        </is>
      </c>
      <c r="E492" t="inlineStr">
        <is>
          <t>TIMRÅ</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39143-2023</t>
        </is>
      </c>
      <c r="B493" s="1" t="n">
        <v>45165</v>
      </c>
      <c r="C493" s="1" t="n">
        <v>45574</v>
      </c>
      <c r="D493" t="inlineStr">
        <is>
          <t>VÄSTERNORRLANDS LÄN</t>
        </is>
      </c>
      <c r="E493" t="inlineStr">
        <is>
          <t>TIMRÅ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39142-2023</t>
        </is>
      </c>
      <c r="B494" s="1" t="n">
        <v>45165</v>
      </c>
      <c r="C494" s="1" t="n">
        <v>45574</v>
      </c>
      <c r="D494" t="inlineStr">
        <is>
          <t>VÄSTERNORRLANDS LÄN</t>
        </is>
      </c>
      <c r="E494" t="inlineStr">
        <is>
          <t>TIMRÅ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39693-2023</t>
        </is>
      </c>
      <c r="B495" s="1" t="n">
        <v>45166</v>
      </c>
      <c r="C495" s="1" t="n">
        <v>45574</v>
      </c>
      <c r="D495" t="inlineStr">
        <is>
          <t>VÄSTERNORRLANDS LÄN</t>
        </is>
      </c>
      <c r="E495" t="inlineStr">
        <is>
          <t>TIMRÅ</t>
        </is>
      </c>
      <c r="G495" t="n">
        <v>5.8</v>
      </c>
      <c r="H495" t="n">
        <v>0</v>
      </c>
      <c r="I495" t="n">
        <v>0</v>
      </c>
      <c r="J495" t="n">
        <v>0</v>
      </c>
      <c r="K495" t="n">
        <v>0</v>
      </c>
      <c r="L495" t="n">
        <v>0</v>
      </c>
      <c r="M495" t="n">
        <v>0</v>
      </c>
      <c r="N495" t="n">
        <v>0</v>
      </c>
      <c r="O495" t="n">
        <v>0</v>
      </c>
      <c r="P495" t="n">
        <v>0</v>
      </c>
      <c r="Q495" t="n">
        <v>0</v>
      </c>
      <c r="R495" s="2" t="inlineStr"/>
    </row>
    <row r="496" ht="15" customHeight="1">
      <c r="A496" t="inlineStr">
        <is>
          <t>A 39819-2023</t>
        </is>
      </c>
      <c r="B496" s="1" t="n">
        <v>45167</v>
      </c>
      <c r="C496" s="1" t="n">
        <v>45574</v>
      </c>
      <c r="D496" t="inlineStr">
        <is>
          <t>VÄSTERNORRLANDS LÄN</t>
        </is>
      </c>
      <c r="E496" t="inlineStr">
        <is>
          <t>TIMRÅ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40112-2023</t>
        </is>
      </c>
      <c r="B497" s="1" t="n">
        <v>45168</v>
      </c>
      <c r="C497" s="1" t="n">
        <v>45574</v>
      </c>
      <c r="D497" t="inlineStr">
        <is>
          <t>VÄSTERNORRLANDS LÄN</t>
        </is>
      </c>
      <c r="E497" t="inlineStr">
        <is>
          <t>TIMRÅ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40769-2023</t>
        </is>
      </c>
      <c r="B498" s="1" t="n">
        <v>45170</v>
      </c>
      <c r="C498" s="1" t="n">
        <v>45574</v>
      </c>
      <c r="D498" t="inlineStr">
        <is>
          <t>VÄSTERNORRLANDS LÄN</t>
        </is>
      </c>
      <c r="E498" t="inlineStr">
        <is>
          <t>TIMRÅ</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40773-2023</t>
        </is>
      </c>
      <c r="B499" s="1" t="n">
        <v>45171</v>
      </c>
      <c r="C499" s="1" t="n">
        <v>45574</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40774-2023</t>
        </is>
      </c>
      <c r="B500" s="1" t="n">
        <v>45171</v>
      </c>
      <c r="C500" s="1" t="n">
        <v>45574</v>
      </c>
      <c r="D500" t="inlineStr">
        <is>
          <t>VÄSTERNORRLANDS LÄN</t>
        </is>
      </c>
      <c r="E500" t="inlineStr">
        <is>
          <t>TIMRÅ</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40767-2023</t>
        </is>
      </c>
      <c r="B501" s="1" t="n">
        <v>45171</v>
      </c>
      <c r="C501" s="1" t="n">
        <v>45574</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40768-2023</t>
        </is>
      </c>
      <c r="B502" s="1" t="n">
        <v>45171</v>
      </c>
      <c r="C502" s="1" t="n">
        <v>45574</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45574</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42161-2023</t>
        </is>
      </c>
      <c r="B504" s="1" t="n">
        <v>45178</v>
      </c>
      <c r="C504" s="1" t="n">
        <v>45574</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42513-2023</t>
        </is>
      </c>
      <c r="B505" s="1" t="n">
        <v>45180</v>
      </c>
      <c r="C505" s="1" t="n">
        <v>45574</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42516-2023</t>
        </is>
      </c>
      <c r="B506" s="1" t="n">
        <v>45180</v>
      </c>
      <c r="C506" s="1" t="n">
        <v>45574</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43124-2023</t>
        </is>
      </c>
      <c r="B507" s="1" t="n">
        <v>45182</v>
      </c>
      <c r="C507" s="1" t="n">
        <v>45574</v>
      </c>
      <c r="D507" t="inlineStr">
        <is>
          <t>VÄSTERNORRLANDS LÄN</t>
        </is>
      </c>
      <c r="E507" t="inlineStr">
        <is>
          <t>TIMRÅ</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43130-2023</t>
        </is>
      </c>
      <c r="B508" s="1" t="n">
        <v>45183</v>
      </c>
      <c r="C508" s="1" t="n">
        <v>45574</v>
      </c>
      <c r="D508" t="inlineStr">
        <is>
          <t>VÄSTERNORRLANDS LÄN</t>
        </is>
      </c>
      <c r="E508" t="inlineStr">
        <is>
          <t>TIMRÅ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43128-2023</t>
        </is>
      </c>
      <c r="B509" s="1" t="n">
        <v>45182</v>
      </c>
      <c r="C509" s="1" t="n">
        <v>45574</v>
      </c>
      <c r="D509" t="inlineStr">
        <is>
          <t>VÄSTERNORRLANDS LÄN</t>
        </is>
      </c>
      <c r="E509" t="inlineStr">
        <is>
          <t>TIMRÅ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43113-2023</t>
        </is>
      </c>
      <c r="B510" s="1" t="n">
        <v>45182</v>
      </c>
      <c r="C510" s="1" t="n">
        <v>45574</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43129-2023</t>
        </is>
      </c>
      <c r="B511" s="1" t="n">
        <v>45182</v>
      </c>
      <c r="C511" s="1" t="n">
        <v>45574</v>
      </c>
      <c r="D511" t="inlineStr">
        <is>
          <t>VÄSTERNORRLANDS LÄN</t>
        </is>
      </c>
      <c r="E511" t="inlineStr">
        <is>
          <t>TIMRÅ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43411-2023</t>
        </is>
      </c>
      <c r="B512" s="1" t="n">
        <v>45183</v>
      </c>
      <c r="C512" s="1" t="n">
        <v>45574</v>
      </c>
      <c r="D512" t="inlineStr">
        <is>
          <t>VÄSTERNORRLANDS LÄN</t>
        </is>
      </c>
      <c r="E512" t="inlineStr">
        <is>
          <t>TIMRÅ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43412-2023</t>
        </is>
      </c>
      <c r="B513" s="1" t="n">
        <v>45184</v>
      </c>
      <c r="C513" s="1" t="n">
        <v>45574</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43959-2023</t>
        </is>
      </c>
      <c r="B514" s="1" t="n">
        <v>45188</v>
      </c>
      <c r="C514" s="1" t="n">
        <v>45574</v>
      </c>
      <c r="D514" t="inlineStr">
        <is>
          <t>VÄSTERNORRLANDS LÄN</t>
        </is>
      </c>
      <c r="E514" t="inlineStr">
        <is>
          <t>TIMRÅ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43964-2023</t>
        </is>
      </c>
      <c r="B515" s="1" t="n">
        <v>45187</v>
      </c>
      <c r="C515" s="1" t="n">
        <v>45574</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43983-2023</t>
        </is>
      </c>
      <c r="B516" s="1" t="n">
        <v>45188</v>
      </c>
      <c r="C516" s="1" t="n">
        <v>45574</v>
      </c>
      <c r="D516" t="inlineStr">
        <is>
          <t>VÄSTERNORRLANDS LÄN</t>
        </is>
      </c>
      <c r="E516" t="inlineStr">
        <is>
          <t>TIMRÅ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43962-2023</t>
        </is>
      </c>
      <c r="B517" s="1" t="n">
        <v>45187</v>
      </c>
      <c r="C517" s="1" t="n">
        <v>45574</v>
      </c>
      <c r="D517" t="inlineStr">
        <is>
          <t>VÄSTERNORRLANDS LÄN</t>
        </is>
      </c>
      <c r="E517" t="inlineStr">
        <is>
          <t>TIMRÅ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43994-2023</t>
        </is>
      </c>
      <c r="B518" s="1" t="n">
        <v>45187</v>
      </c>
      <c r="C518" s="1" t="n">
        <v>45574</v>
      </c>
      <c r="D518" t="inlineStr">
        <is>
          <t>VÄSTERNORRLANDS LÄN</t>
        </is>
      </c>
      <c r="E518" t="inlineStr">
        <is>
          <t>TIMRÅ</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44405-2023</t>
        </is>
      </c>
      <c r="B519" s="1" t="n">
        <v>45188</v>
      </c>
      <c r="C519" s="1" t="n">
        <v>45574</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44404-2023</t>
        </is>
      </c>
      <c r="B520" s="1" t="n">
        <v>45188</v>
      </c>
      <c r="C520" s="1" t="n">
        <v>45574</v>
      </c>
      <c r="D520" t="inlineStr">
        <is>
          <t>VÄSTERNORRLANDS LÄN</t>
        </is>
      </c>
      <c r="E520" t="inlineStr">
        <is>
          <t>TIMRÅ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44379-2023</t>
        </is>
      </c>
      <c r="B521" s="1" t="n">
        <v>45188</v>
      </c>
      <c r="C521" s="1" t="n">
        <v>45574</v>
      </c>
      <c r="D521" t="inlineStr">
        <is>
          <t>VÄSTERNORRLANDS LÄN</t>
        </is>
      </c>
      <c r="E521" t="inlineStr">
        <is>
          <t>TIMRÅ</t>
        </is>
      </c>
      <c r="G521" t="n">
        <v>0.6</v>
      </c>
      <c r="H521" t="n">
        <v>0</v>
      </c>
      <c r="I521" t="n">
        <v>0</v>
      </c>
      <c r="J521" t="n">
        <v>0</v>
      </c>
      <c r="K521" t="n">
        <v>0</v>
      </c>
      <c r="L521" t="n">
        <v>0</v>
      </c>
      <c r="M521" t="n">
        <v>0</v>
      </c>
      <c r="N521" t="n">
        <v>0</v>
      </c>
      <c r="O521" t="n">
        <v>0</v>
      </c>
      <c r="P521" t="n">
        <v>0</v>
      </c>
      <c r="Q521" t="n">
        <v>0</v>
      </c>
      <c r="R521" s="2" t="inlineStr"/>
    </row>
    <row r="522" ht="15" customHeight="1">
      <c r="A522" t="inlineStr">
        <is>
          <t>A 44378-2023</t>
        </is>
      </c>
      <c r="B522" s="1" t="n">
        <v>45189</v>
      </c>
      <c r="C522" s="1" t="n">
        <v>45574</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45774-2023</t>
        </is>
      </c>
      <c r="B523" s="1" t="n">
        <v>45189</v>
      </c>
      <c r="C523" s="1" t="n">
        <v>45574</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44991-2023</t>
        </is>
      </c>
      <c r="B524" s="1" t="n">
        <v>45190</v>
      </c>
      <c r="C524" s="1" t="n">
        <v>45574</v>
      </c>
      <c r="D524" t="inlineStr">
        <is>
          <t>VÄSTERNORRLANDS LÄN</t>
        </is>
      </c>
      <c r="E524" t="inlineStr">
        <is>
          <t>TIMRÅ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44990-2023</t>
        </is>
      </c>
      <c r="B525" s="1" t="n">
        <v>45190</v>
      </c>
      <c r="C525" s="1" t="n">
        <v>45574</v>
      </c>
      <c r="D525" t="inlineStr">
        <is>
          <t>VÄSTERNORRLANDS LÄN</t>
        </is>
      </c>
      <c r="E525" t="inlineStr">
        <is>
          <t>TIMRÅ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45723-2023</t>
        </is>
      </c>
      <c r="B526" s="1" t="n">
        <v>45195</v>
      </c>
      <c r="C526" s="1" t="n">
        <v>45574</v>
      </c>
      <c r="D526" t="inlineStr">
        <is>
          <t>VÄSTERNORRLANDS LÄN</t>
        </is>
      </c>
      <c r="E526" t="inlineStr">
        <is>
          <t>TIMRÅ</t>
        </is>
      </c>
      <c r="G526" t="n">
        <v>0.9</v>
      </c>
      <c r="H526" t="n">
        <v>0</v>
      </c>
      <c r="I526" t="n">
        <v>0</v>
      </c>
      <c r="J526" t="n">
        <v>0</v>
      </c>
      <c r="K526" t="n">
        <v>0</v>
      </c>
      <c r="L526" t="n">
        <v>0</v>
      </c>
      <c r="M526" t="n">
        <v>0</v>
      </c>
      <c r="N526" t="n">
        <v>0</v>
      </c>
      <c r="O526" t="n">
        <v>0</v>
      </c>
      <c r="P526" t="n">
        <v>0</v>
      </c>
      <c r="Q526" t="n">
        <v>0</v>
      </c>
      <c r="R526" s="2" t="inlineStr"/>
    </row>
    <row r="527" ht="15" customHeight="1">
      <c r="A527" t="inlineStr">
        <is>
          <t>A 45739-2023</t>
        </is>
      </c>
      <c r="B527" s="1" t="n">
        <v>45195</v>
      </c>
      <c r="C527" s="1" t="n">
        <v>45574</v>
      </c>
      <c r="D527" t="inlineStr">
        <is>
          <t>VÄSTERNORRLANDS LÄN</t>
        </is>
      </c>
      <c r="E527" t="inlineStr">
        <is>
          <t>TIMRÅ</t>
        </is>
      </c>
      <c r="G527" t="n">
        <v>1.5</v>
      </c>
      <c r="H527" t="n">
        <v>0</v>
      </c>
      <c r="I527" t="n">
        <v>0</v>
      </c>
      <c r="J527" t="n">
        <v>0</v>
      </c>
      <c r="K527" t="n">
        <v>0</v>
      </c>
      <c r="L527" t="n">
        <v>0</v>
      </c>
      <c r="M527" t="n">
        <v>0</v>
      </c>
      <c r="N527" t="n">
        <v>0</v>
      </c>
      <c r="O527" t="n">
        <v>0</v>
      </c>
      <c r="P527" t="n">
        <v>0</v>
      </c>
      <c r="Q527" t="n">
        <v>0</v>
      </c>
      <c r="R527" s="2" t="inlineStr"/>
    </row>
    <row r="528" ht="15" customHeight="1">
      <c r="A528" t="inlineStr">
        <is>
          <t>A 47147-2023</t>
        </is>
      </c>
      <c r="B528" s="1" t="n">
        <v>45201</v>
      </c>
      <c r="C528" s="1" t="n">
        <v>45574</v>
      </c>
      <c r="D528" t="inlineStr">
        <is>
          <t>VÄSTERNORRLANDS LÄN</t>
        </is>
      </c>
      <c r="E528" t="inlineStr">
        <is>
          <t>TIMRÅ</t>
        </is>
      </c>
      <c r="G528" t="n">
        <v>1.1</v>
      </c>
      <c r="H528" t="n">
        <v>0</v>
      </c>
      <c r="I528" t="n">
        <v>0</v>
      </c>
      <c r="J528" t="n">
        <v>0</v>
      </c>
      <c r="K528" t="n">
        <v>0</v>
      </c>
      <c r="L528" t="n">
        <v>0</v>
      </c>
      <c r="M528" t="n">
        <v>0</v>
      </c>
      <c r="N528" t="n">
        <v>0</v>
      </c>
      <c r="O528" t="n">
        <v>0</v>
      </c>
      <c r="P528" t="n">
        <v>0</v>
      </c>
      <c r="Q528" t="n">
        <v>0</v>
      </c>
      <c r="R528" s="2" t="inlineStr"/>
    </row>
    <row r="529" ht="15" customHeight="1">
      <c r="A529" t="inlineStr">
        <is>
          <t>A 47150-2023</t>
        </is>
      </c>
      <c r="B529" s="1" t="n">
        <v>45201</v>
      </c>
      <c r="C529" s="1" t="n">
        <v>45574</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48769-2023</t>
        </is>
      </c>
      <c r="B530" s="1" t="n">
        <v>45208</v>
      </c>
      <c r="C530" s="1" t="n">
        <v>45574</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48786-2023</t>
        </is>
      </c>
      <c r="B531" s="1" t="n">
        <v>45208</v>
      </c>
      <c r="C531" s="1" t="n">
        <v>45574</v>
      </c>
      <c r="D531" t="inlineStr">
        <is>
          <t>VÄSTERNORRLANDS LÄN</t>
        </is>
      </c>
      <c r="E531" t="inlineStr">
        <is>
          <t>TIMRÅ</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48768-2023</t>
        </is>
      </c>
      <c r="B532" s="1" t="n">
        <v>45208</v>
      </c>
      <c r="C532" s="1" t="n">
        <v>45574</v>
      </c>
      <c r="D532" t="inlineStr">
        <is>
          <t>VÄSTERNORRLANDS LÄN</t>
        </is>
      </c>
      <c r="E532" t="inlineStr">
        <is>
          <t>TIMRÅ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48785-2023</t>
        </is>
      </c>
      <c r="B533" s="1" t="n">
        <v>45208</v>
      </c>
      <c r="C533" s="1" t="n">
        <v>45574</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48784-2023</t>
        </is>
      </c>
      <c r="B534" s="1" t="n">
        <v>45208</v>
      </c>
      <c r="C534" s="1" t="n">
        <v>45574</v>
      </c>
      <c r="D534" t="inlineStr">
        <is>
          <t>VÄSTERNORRLANDS LÄN</t>
        </is>
      </c>
      <c r="E534" t="inlineStr">
        <is>
          <t>TIMRÅ</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50355-2023</t>
        </is>
      </c>
      <c r="B535" s="1" t="n">
        <v>45209</v>
      </c>
      <c r="C535" s="1" t="n">
        <v>45574</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45574</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45574</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45574</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45574</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45574</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45574</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45574</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45574</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45574</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45574</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45574</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45574</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45574</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45574</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45574</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45574</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45574</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45574</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45574</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45574</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45574</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45574</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45574</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45574</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45574</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45574</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45574</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45574</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45574</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45574</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45574</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45574</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45574</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45574</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45574</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45574</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ht="15" customHeight="1">
      <c r="A572" t="inlineStr">
        <is>
          <t>A 63294-2023</t>
        </is>
      </c>
      <c r="B572" s="1" t="n">
        <v>45273</v>
      </c>
      <c r="C572" s="1" t="n">
        <v>45574</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64031-2023</t>
        </is>
      </c>
      <c r="B573" s="1" t="n">
        <v>45278</v>
      </c>
      <c r="C573" s="1" t="n">
        <v>45574</v>
      </c>
      <c r="D573" t="inlineStr">
        <is>
          <t>VÄSTERNORRLANDS LÄN</t>
        </is>
      </c>
      <c r="E573" t="inlineStr">
        <is>
          <t>TIMRÅ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64732-2023</t>
        </is>
      </c>
      <c r="B574" s="1" t="n">
        <v>45281</v>
      </c>
      <c r="C574" s="1" t="n">
        <v>45574</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64756-2023</t>
        </is>
      </c>
      <c r="B575" s="1" t="n">
        <v>45281</v>
      </c>
      <c r="C575" s="1" t="n">
        <v>45574</v>
      </c>
      <c r="D575" t="inlineStr">
        <is>
          <t>VÄSTERNORRLANDS LÄN</t>
        </is>
      </c>
      <c r="E575" t="inlineStr">
        <is>
          <t>TIMRÅ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45574</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252-2024</t>
        </is>
      </c>
      <c r="B577" s="1" t="n">
        <v>45295</v>
      </c>
      <c r="C577" s="1" t="n">
        <v>45574</v>
      </c>
      <c r="D577" t="inlineStr">
        <is>
          <t>VÄSTERNORRLANDS LÄN</t>
        </is>
      </c>
      <c r="E577" t="inlineStr">
        <is>
          <t>TIMRÅ</t>
        </is>
      </c>
      <c r="F577" t="inlineStr">
        <is>
          <t>SCA</t>
        </is>
      </c>
      <c r="G577" t="n">
        <v>12.7</v>
      </c>
      <c r="H577" t="n">
        <v>0</v>
      </c>
      <c r="I577" t="n">
        <v>0</v>
      </c>
      <c r="J577" t="n">
        <v>0</v>
      </c>
      <c r="K577" t="n">
        <v>0</v>
      </c>
      <c r="L577" t="n">
        <v>0</v>
      </c>
      <c r="M577" t="n">
        <v>0</v>
      </c>
      <c r="N577" t="n">
        <v>0</v>
      </c>
      <c r="O577" t="n">
        <v>0</v>
      </c>
      <c r="P577" t="n">
        <v>0</v>
      </c>
      <c r="Q577" t="n">
        <v>0</v>
      </c>
      <c r="R577" s="2" t="inlineStr"/>
    </row>
    <row r="578" ht="15" customHeight="1">
      <c r="A578" t="inlineStr">
        <is>
          <t>A 290-2024</t>
        </is>
      </c>
      <c r="B578" s="1" t="n">
        <v>45295</v>
      </c>
      <c r="C578" s="1" t="n">
        <v>45574</v>
      </c>
      <c r="D578" t="inlineStr">
        <is>
          <t>VÄSTERNORRLANDS LÄN</t>
        </is>
      </c>
      <c r="E578" t="inlineStr">
        <is>
          <t>TIMRÅ</t>
        </is>
      </c>
      <c r="G578" t="n">
        <v>10.5</v>
      </c>
      <c r="H578" t="n">
        <v>0</v>
      </c>
      <c r="I578" t="n">
        <v>0</v>
      </c>
      <c r="J578" t="n">
        <v>0</v>
      </c>
      <c r="K578" t="n">
        <v>0</v>
      </c>
      <c r="L578" t="n">
        <v>0</v>
      </c>
      <c r="M578" t="n">
        <v>0</v>
      </c>
      <c r="N578" t="n">
        <v>0</v>
      </c>
      <c r="O578" t="n">
        <v>0</v>
      </c>
      <c r="P578" t="n">
        <v>0</v>
      </c>
      <c r="Q578" t="n">
        <v>0</v>
      </c>
      <c r="R578" s="2" t="inlineStr"/>
    </row>
    <row r="579" ht="15" customHeight="1">
      <c r="A579" t="inlineStr">
        <is>
          <t>A 661-2024</t>
        </is>
      </c>
      <c r="B579" s="1" t="n">
        <v>45300</v>
      </c>
      <c r="C579" s="1" t="n">
        <v>45574</v>
      </c>
      <c r="D579" t="inlineStr">
        <is>
          <t>VÄSTERNORRLANDS LÄN</t>
        </is>
      </c>
      <c r="E579" t="inlineStr">
        <is>
          <t>TIMRÅ</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1273-2024</t>
        </is>
      </c>
      <c r="B580" s="1" t="n">
        <v>45302</v>
      </c>
      <c r="C580" s="1" t="n">
        <v>45574</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1185-2024</t>
        </is>
      </c>
      <c r="B581" s="1" t="n">
        <v>45302</v>
      </c>
      <c r="C581" s="1" t="n">
        <v>45574</v>
      </c>
      <c r="D581" t="inlineStr">
        <is>
          <t>VÄSTERNORRLANDS LÄN</t>
        </is>
      </c>
      <c r="E581" t="inlineStr">
        <is>
          <t>TIMRÅ</t>
        </is>
      </c>
      <c r="G581" t="n">
        <v>4.4</v>
      </c>
      <c r="H581" t="n">
        <v>0</v>
      </c>
      <c r="I581" t="n">
        <v>0</v>
      </c>
      <c r="J581" t="n">
        <v>0</v>
      </c>
      <c r="K581" t="n">
        <v>0</v>
      </c>
      <c r="L581" t="n">
        <v>0</v>
      </c>
      <c r="M581" t="n">
        <v>0</v>
      </c>
      <c r="N581" t="n">
        <v>0</v>
      </c>
      <c r="O581" t="n">
        <v>0</v>
      </c>
      <c r="P581" t="n">
        <v>0</v>
      </c>
      <c r="Q581" t="n">
        <v>0</v>
      </c>
      <c r="R581" s="2" t="inlineStr"/>
    </row>
    <row r="582" ht="15" customHeight="1">
      <c r="A582" t="inlineStr">
        <is>
          <t>A 1272-2024</t>
        </is>
      </c>
      <c r="B582" s="1" t="n">
        <v>45302</v>
      </c>
      <c r="C582" s="1" t="n">
        <v>45574</v>
      </c>
      <c r="D582" t="inlineStr">
        <is>
          <t>VÄSTERNORRLANDS LÄN</t>
        </is>
      </c>
      <c r="E582" t="inlineStr">
        <is>
          <t>TIMRÅ</t>
        </is>
      </c>
      <c r="G582" t="n">
        <v>4.3</v>
      </c>
      <c r="H582" t="n">
        <v>0</v>
      </c>
      <c r="I582" t="n">
        <v>0</v>
      </c>
      <c r="J582" t="n">
        <v>0</v>
      </c>
      <c r="K582" t="n">
        <v>0</v>
      </c>
      <c r="L582" t="n">
        <v>0</v>
      </c>
      <c r="M582" t="n">
        <v>0</v>
      </c>
      <c r="N582" t="n">
        <v>0</v>
      </c>
      <c r="O582" t="n">
        <v>0</v>
      </c>
      <c r="P582" t="n">
        <v>0</v>
      </c>
      <c r="Q582" t="n">
        <v>0</v>
      </c>
      <c r="R582" s="2" t="inlineStr"/>
    </row>
    <row r="583" ht="15" customHeight="1">
      <c r="A583" t="inlineStr">
        <is>
          <t>A 1467-2024</t>
        </is>
      </c>
      <c r="B583" s="1" t="n">
        <v>45303</v>
      </c>
      <c r="C583" s="1" t="n">
        <v>45574</v>
      </c>
      <c r="D583" t="inlineStr">
        <is>
          <t>VÄSTERNORRLANDS LÄN</t>
        </is>
      </c>
      <c r="E583" t="inlineStr">
        <is>
          <t>TIMRÅ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1675-2024</t>
        </is>
      </c>
      <c r="B584" s="1" t="n">
        <v>45306</v>
      </c>
      <c r="C584" s="1" t="n">
        <v>45574</v>
      </c>
      <c r="D584" t="inlineStr">
        <is>
          <t>VÄSTERNORRLANDS LÄN</t>
        </is>
      </c>
      <c r="E584" t="inlineStr">
        <is>
          <t>TIMRÅ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1683-2024</t>
        </is>
      </c>
      <c r="B585" s="1" t="n">
        <v>45307</v>
      </c>
      <c r="C585" s="1" t="n">
        <v>45574</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2062-2024</t>
        </is>
      </c>
      <c r="B586" s="1" t="n">
        <v>45308</v>
      </c>
      <c r="C586" s="1" t="n">
        <v>45574</v>
      </c>
      <c r="D586" t="inlineStr">
        <is>
          <t>VÄSTERNORRLANDS LÄN</t>
        </is>
      </c>
      <c r="E586" t="inlineStr">
        <is>
          <t>TIMRÅ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2949-2024</t>
        </is>
      </c>
      <c r="B587" s="1" t="n">
        <v>45315</v>
      </c>
      <c r="C587" s="1" t="n">
        <v>45574</v>
      </c>
      <c r="D587" t="inlineStr">
        <is>
          <t>VÄSTERNORRLANDS LÄN</t>
        </is>
      </c>
      <c r="E587" t="inlineStr">
        <is>
          <t>TIMRÅ</t>
        </is>
      </c>
      <c r="G587" t="n">
        <v>7</v>
      </c>
      <c r="H587" t="n">
        <v>0</v>
      </c>
      <c r="I587" t="n">
        <v>0</v>
      </c>
      <c r="J587" t="n">
        <v>0</v>
      </c>
      <c r="K587" t="n">
        <v>0</v>
      </c>
      <c r="L587" t="n">
        <v>0</v>
      </c>
      <c r="M587" t="n">
        <v>0</v>
      </c>
      <c r="N587" t="n">
        <v>0</v>
      </c>
      <c r="O587" t="n">
        <v>0</v>
      </c>
      <c r="P587" t="n">
        <v>0</v>
      </c>
      <c r="Q587" t="n">
        <v>0</v>
      </c>
      <c r="R587" s="2" t="inlineStr"/>
    </row>
    <row r="588" ht="15" customHeight="1">
      <c r="A588" t="inlineStr">
        <is>
          <t>A 3229-2024</t>
        </is>
      </c>
      <c r="B588" s="1" t="n">
        <v>45316</v>
      </c>
      <c r="C588" s="1" t="n">
        <v>45574</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3444-2024</t>
        </is>
      </c>
      <c r="B589" s="1" t="n">
        <v>45317</v>
      </c>
      <c r="C589" s="1" t="n">
        <v>45574</v>
      </c>
      <c r="D589" t="inlineStr">
        <is>
          <t>VÄSTERNORRLANDS LÄN</t>
        </is>
      </c>
      <c r="E589" t="inlineStr">
        <is>
          <t>TIMRÅ</t>
        </is>
      </c>
      <c r="G589" t="n">
        <v>10.5</v>
      </c>
      <c r="H589" t="n">
        <v>0</v>
      </c>
      <c r="I589" t="n">
        <v>0</v>
      </c>
      <c r="J589" t="n">
        <v>0</v>
      </c>
      <c r="K589" t="n">
        <v>0</v>
      </c>
      <c r="L589" t="n">
        <v>0</v>
      </c>
      <c r="M589" t="n">
        <v>0</v>
      </c>
      <c r="N589" t="n">
        <v>0</v>
      </c>
      <c r="O589" t="n">
        <v>0</v>
      </c>
      <c r="P589" t="n">
        <v>0</v>
      </c>
      <c r="Q589" t="n">
        <v>0</v>
      </c>
      <c r="R589" s="2" t="inlineStr"/>
    </row>
    <row r="590" ht="15" customHeight="1">
      <c r="A590" t="inlineStr">
        <is>
          <t>A 3804-2024</t>
        </is>
      </c>
      <c r="B590" s="1" t="n">
        <v>45321</v>
      </c>
      <c r="C590" s="1" t="n">
        <v>45574</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3989-2024</t>
        </is>
      </c>
      <c r="B591" s="1" t="n">
        <v>45322</v>
      </c>
      <c r="C591" s="1" t="n">
        <v>45574</v>
      </c>
      <c r="D591" t="inlineStr">
        <is>
          <t>VÄSTERNORRLANDS LÄN</t>
        </is>
      </c>
      <c r="E591" t="inlineStr">
        <is>
          <t>TIMRÅ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4596-2024</t>
        </is>
      </c>
      <c r="B592" s="1" t="n">
        <v>45327</v>
      </c>
      <c r="C592" s="1" t="n">
        <v>45574</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4821-2024</t>
        </is>
      </c>
      <c r="B593" s="1" t="n">
        <v>45328</v>
      </c>
      <c r="C593" s="1" t="n">
        <v>45574</v>
      </c>
      <c r="D593" t="inlineStr">
        <is>
          <t>VÄSTERNORRLANDS LÄN</t>
        </is>
      </c>
      <c r="E593" t="inlineStr">
        <is>
          <t>TIMRÅ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5271-2024</t>
        </is>
      </c>
      <c r="B594" s="1" t="n">
        <v>45330</v>
      </c>
      <c r="C594" s="1" t="n">
        <v>45574</v>
      </c>
      <c r="D594" t="inlineStr">
        <is>
          <t>VÄSTERNORRLANDS LÄN</t>
        </is>
      </c>
      <c r="E594" t="inlineStr">
        <is>
          <t>TIMRÅ</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5265-2024</t>
        </is>
      </c>
      <c r="B595" s="1" t="n">
        <v>45330</v>
      </c>
      <c r="C595" s="1" t="n">
        <v>45574</v>
      </c>
      <c r="D595" t="inlineStr">
        <is>
          <t>VÄSTERNORRLANDS LÄN</t>
        </is>
      </c>
      <c r="E595" t="inlineStr">
        <is>
          <t>TIMRÅ</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5722-2024</t>
        </is>
      </c>
      <c r="B596" s="1" t="n">
        <v>45334</v>
      </c>
      <c r="C596" s="1" t="n">
        <v>45574</v>
      </c>
      <c r="D596" t="inlineStr">
        <is>
          <t>VÄSTERNORRLANDS LÄN</t>
        </is>
      </c>
      <c r="E596" t="inlineStr">
        <is>
          <t>TIMRÅ</t>
        </is>
      </c>
      <c r="G596" t="n">
        <v>2.2</v>
      </c>
      <c r="H596" t="n">
        <v>0</v>
      </c>
      <c r="I596" t="n">
        <v>0</v>
      </c>
      <c r="J596" t="n">
        <v>0</v>
      </c>
      <c r="K596" t="n">
        <v>0</v>
      </c>
      <c r="L596" t="n">
        <v>0</v>
      </c>
      <c r="M596" t="n">
        <v>0</v>
      </c>
      <c r="N596" t="n">
        <v>0</v>
      </c>
      <c r="O596" t="n">
        <v>0</v>
      </c>
      <c r="P596" t="n">
        <v>0</v>
      </c>
      <c r="Q596" t="n">
        <v>0</v>
      </c>
      <c r="R596" s="2" t="inlineStr"/>
    </row>
    <row r="597" ht="15" customHeight="1">
      <c r="A597" t="inlineStr">
        <is>
          <t>A 5921-2024</t>
        </is>
      </c>
      <c r="B597" s="1" t="n">
        <v>45335</v>
      </c>
      <c r="C597" s="1" t="n">
        <v>45574</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6088-2024</t>
        </is>
      </c>
      <c r="B598" s="1" t="n">
        <v>45336</v>
      </c>
      <c r="C598" s="1" t="n">
        <v>45574</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6893-2024</t>
        </is>
      </c>
      <c r="B599" s="1" t="n">
        <v>45342</v>
      </c>
      <c r="C599" s="1" t="n">
        <v>45574</v>
      </c>
      <c r="D599" t="inlineStr">
        <is>
          <t>VÄSTERNORRLANDS LÄN</t>
        </is>
      </c>
      <c r="E599" t="inlineStr">
        <is>
          <t>TIMRÅ</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7151-2024</t>
        </is>
      </c>
      <c r="B600" s="1" t="n">
        <v>45344</v>
      </c>
      <c r="C600" s="1" t="n">
        <v>45574</v>
      </c>
      <c r="D600" t="inlineStr">
        <is>
          <t>VÄSTERNORRLANDS LÄN</t>
        </is>
      </c>
      <c r="E600" t="inlineStr">
        <is>
          <t>TIMRÅ</t>
        </is>
      </c>
      <c r="G600" t="n">
        <v>2.9</v>
      </c>
      <c r="H600" t="n">
        <v>0</v>
      </c>
      <c r="I600" t="n">
        <v>0</v>
      </c>
      <c r="J600" t="n">
        <v>0</v>
      </c>
      <c r="K600" t="n">
        <v>0</v>
      </c>
      <c r="L600" t="n">
        <v>0</v>
      </c>
      <c r="M600" t="n">
        <v>0</v>
      </c>
      <c r="N600" t="n">
        <v>0</v>
      </c>
      <c r="O600" t="n">
        <v>0</v>
      </c>
      <c r="P600" t="n">
        <v>0</v>
      </c>
      <c r="Q600" t="n">
        <v>0</v>
      </c>
      <c r="R600" s="2" t="inlineStr"/>
    </row>
    <row r="601" ht="15" customHeight="1">
      <c r="A601" t="inlineStr">
        <is>
          <t>A 7291-2024</t>
        </is>
      </c>
      <c r="B601" s="1" t="n">
        <v>45344</v>
      </c>
      <c r="C601" s="1" t="n">
        <v>45574</v>
      </c>
      <c r="D601" t="inlineStr">
        <is>
          <t>VÄSTERNORRLANDS LÄN</t>
        </is>
      </c>
      <c r="E601" t="inlineStr">
        <is>
          <t>TIMRÅ</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7299-2024</t>
        </is>
      </c>
      <c r="B602" s="1" t="n">
        <v>45344</v>
      </c>
      <c r="C602" s="1" t="n">
        <v>45574</v>
      </c>
      <c r="D602" t="inlineStr">
        <is>
          <t>VÄSTERNORRLANDS LÄN</t>
        </is>
      </c>
      <c r="E602" t="inlineStr">
        <is>
          <t>TIMRÅ</t>
        </is>
      </c>
      <c r="F602" t="inlineStr">
        <is>
          <t>SCA</t>
        </is>
      </c>
      <c r="G602" t="n">
        <v>16.3</v>
      </c>
      <c r="H602" t="n">
        <v>0</v>
      </c>
      <c r="I602" t="n">
        <v>0</v>
      </c>
      <c r="J602" t="n">
        <v>0</v>
      </c>
      <c r="K602" t="n">
        <v>0</v>
      </c>
      <c r="L602" t="n">
        <v>0</v>
      </c>
      <c r="M602" t="n">
        <v>0</v>
      </c>
      <c r="N602" t="n">
        <v>0</v>
      </c>
      <c r="O602" t="n">
        <v>0</v>
      </c>
      <c r="P602" t="n">
        <v>0</v>
      </c>
      <c r="Q602" t="n">
        <v>0</v>
      </c>
      <c r="R602" s="2" t="inlineStr"/>
    </row>
    <row r="603" ht="15" customHeight="1">
      <c r="A603" t="inlineStr">
        <is>
          <t>A 7292-2024</t>
        </is>
      </c>
      <c r="B603" s="1" t="n">
        <v>45344</v>
      </c>
      <c r="C603" s="1" t="n">
        <v>45574</v>
      </c>
      <c r="D603" t="inlineStr">
        <is>
          <t>VÄSTERNORRLANDS LÄN</t>
        </is>
      </c>
      <c r="E603" t="inlineStr">
        <is>
          <t>TIMRÅ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7478-2024</t>
        </is>
      </c>
      <c r="B604" s="1" t="n">
        <v>45345</v>
      </c>
      <c r="C604" s="1" t="n">
        <v>45574</v>
      </c>
      <c r="D604" t="inlineStr">
        <is>
          <t>VÄSTERNORRLANDS LÄN</t>
        </is>
      </c>
      <c r="E604" t="inlineStr">
        <is>
          <t>TIMRÅ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7476-2024</t>
        </is>
      </c>
      <c r="B605" s="1" t="n">
        <v>45345</v>
      </c>
      <c r="C605" s="1" t="n">
        <v>45574</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7477-2024</t>
        </is>
      </c>
      <c r="B606" s="1" t="n">
        <v>45345</v>
      </c>
      <c r="C606" s="1" t="n">
        <v>45574</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7507-2024</t>
        </is>
      </c>
      <c r="B607" s="1" t="n">
        <v>45347</v>
      </c>
      <c r="C607" s="1" t="n">
        <v>45574</v>
      </c>
      <c r="D607" t="inlineStr">
        <is>
          <t>VÄSTERNORRLANDS LÄN</t>
        </is>
      </c>
      <c r="E607" t="inlineStr">
        <is>
          <t>TIMRÅ</t>
        </is>
      </c>
      <c r="F607" t="inlineStr">
        <is>
          <t>SCA</t>
        </is>
      </c>
      <c r="G607" t="n">
        <v>15.5</v>
      </c>
      <c r="H607" t="n">
        <v>0</v>
      </c>
      <c r="I607" t="n">
        <v>0</v>
      </c>
      <c r="J607" t="n">
        <v>0</v>
      </c>
      <c r="K607" t="n">
        <v>0</v>
      </c>
      <c r="L607" t="n">
        <v>0</v>
      </c>
      <c r="M607" t="n">
        <v>0</v>
      </c>
      <c r="N607" t="n">
        <v>0</v>
      </c>
      <c r="O607" t="n">
        <v>0</v>
      </c>
      <c r="P607" t="n">
        <v>0</v>
      </c>
      <c r="Q607" t="n">
        <v>0</v>
      </c>
      <c r="R607" s="2" t="inlineStr"/>
    </row>
    <row r="608" ht="15" customHeight="1">
      <c r="A608" t="inlineStr">
        <is>
          <t>A 7859-2024</t>
        </is>
      </c>
      <c r="B608" s="1" t="n">
        <v>45350</v>
      </c>
      <c r="C608" s="1" t="n">
        <v>45574</v>
      </c>
      <c r="D608" t="inlineStr">
        <is>
          <t>VÄSTERNORRLANDS LÄN</t>
        </is>
      </c>
      <c r="E608" t="inlineStr">
        <is>
          <t>TIMRÅ</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8240-2024</t>
        </is>
      </c>
      <c r="B609" s="1" t="n">
        <v>45351</v>
      </c>
      <c r="C609" s="1" t="n">
        <v>45574</v>
      </c>
      <c r="D609" t="inlineStr">
        <is>
          <t>VÄSTERNORRLANDS LÄN</t>
        </is>
      </c>
      <c r="E609" t="inlineStr">
        <is>
          <t>TIMRÅ</t>
        </is>
      </c>
      <c r="F609" t="inlineStr">
        <is>
          <t>SCA</t>
        </is>
      </c>
      <c r="G609" t="n">
        <v>17.4</v>
      </c>
      <c r="H609" t="n">
        <v>0</v>
      </c>
      <c r="I609" t="n">
        <v>0</v>
      </c>
      <c r="J609" t="n">
        <v>0</v>
      </c>
      <c r="K609" t="n">
        <v>0</v>
      </c>
      <c r="L609" t="n">
        <v>0</v>
      </c>
      <c r="M609" t="n">
        <v>0</v>
      </c>
      <c r="N609" t="n">
        <v>0</v>
      </c>
      <c r="O609" t="n">
        <v>0</v>
      </c>
      <c r="P609" t="n">
        <v>0</v>
      </c>
      <c r="Q609" t="n">
        <v>0</v>
      </c>
      <c r="R609" s="2" t="inlineStr"/>
      <c r="U609">
        <f>HYPERLINK("https://klasma.github.io/Logging_2262/knärot/A 8240-2024 karta knärot.png", "A 8240-2024")</f>
        <v/>
      </c>
      <c r="V609">
        <f>HYPERLINK("https://klasma.github.io/Logging_2262/klagomål/A 8240-2024 FSC-klagomål.docx", "A 8240-2024")</f>
        <v/>
      </c>
      <c r="W609">
        <f>HYPERLINK("https://klasma.github.io/Logging_2262/klagomålsmail/A 8240-2024 FSC-klagomål mail.docx", "A 8240-2024")</f>
        <v/>
      </c>
      <c r="X609">
        <f>HYPERLINK("https://klasma.github.io/Logging_2262/tillsyn/A 8240-2024 tillsynsbegäran.docx", "A 8240-2024")</f>
        <v/>
      </c>
      <c r="Y609">
        <f>HYPERLINK("https://klasma.github.io/Logging_2262/tillsynsmail/A 8240-2024 tillsynsbegäran mail.docx", "A 8240-2024")</f>
        <v/>
      </c>
    </row>
    <row r="610" ht="15" customHeight="1">
      <c r="A610" t="inlineStr">
        <is>
          <t>A 8237-2024</t>
        </is>
      </c>
      <c r="B610" s="1" t="n">
        <v>45351</v>
      </c>
      <c r="C610" s="1" t="n">
        <v>45574</v>
      </c>
      <c r="D610" t="inlineStr">
        <is>
          <t>VÄSTERNORRLANDS LÄN</t>
        </is>
      </c>
      <c r="E610" t="inlineStr">
        <is>
          <t>TIMRÅ</t>
        </is>
      </c>
      <c r="F610" t="inlineStr">
        <is>
          <t>SCA</t>
        </is>
      </c>
      <c r="G610" t="n">
        <v>14.2</v>
      </c>
      <c r="H610" t="n">
        <v>0</v>
      </c>
      <c r="I610" t="n">
        <v>0</v>
      </c>
      <c r="J610" t="n">
        <v>0</v>
      </c>
      <c r="K610" t="n">
        <v>0</v>
      </c>
      <c r="L610" t="n">
        <v>0</v>
      </c>
      <c r="M610" t="n">
        <v>0</v>
      </c>
      <c r="N610" t="n">
        <v>0</v>
      </c>
      <c r="O610" t="n">
        <v>0</v>
      </c>
      <c r="P610" t="n">
        <v>0</v>
      </c>
      <c r="Q610" t="n">
        <v>0</v>
      </c>
      <c r="R610" s="2" t="inlineStr"/>
    </row>
    <row r="611" ht="15" customHeight="1">
      <c r="A611" t="inlineStr">
        <is>
          <t>A 8526-2024</t>
        </is>
      </c>
      <c r="B611" s="1" t="n">
        <v>45351</v>
      </c>
      <c r="C611" s="1" t="n">
        <v>45574</v>
      </c>
      <c r="D611" t="inlineStr">
        <is>
          <t>VÄSTERNORRLANDS LÄN</t>
        </is>
      </c>
      <c r="E611" t="inlineStr">
        <is>
          <t>TIMRÅ</t>
        </is>
      </c>
      <c r="G611" t="n">
        <v>0.7</v>
      </c>
      <c r="H611" t="n">
        <v>0</v>
      </c>
      <c r="I611" t="n">
        <v>0</v>
      </c>
      <c r="J611" t="n">
        <v>0</v>
      </c>
      <c r="K611" t="n">
        <v>0</v>
      </c>
      <c r="L611" t="n">
        <v>0</v>
      </c>
      <c r="M611" t="n">
        <v>0</v>
      </c>
      <c r="N611" t="n">
        <v>0</v>
      </c>
      <c r="O611" t="n">
        <v>0</v>
      </c>
      <c r="P611" t="n">
        <v>0</v>
      </c>
      <c r="Q611" t="n">
        <v>0</v>
      </c>
      <c r="R611" s="2" t="inlineStr"/>
    </row>
    <row r="612" ht="15" customHeight="1">
      <c r="A612" t="inlineStr">
        <is>
          <t>A 8506-2024</t>
        </is>
      </c>
      <c r="B612" s="1" t="n">
        <v>45351</v>
      </c>
      <c r="C612" s="1" t="n">
        <v>45574</v>
      </c>
      <c r="D612" t="inlineStr">
        <is>
          <t>VÄSTERNORRLANDS LÄN</t>
        </is>
      </c>
      <c r="E612" t="inlineStr">
        <is>
          <t>TIMRÅ</t>
        </is>
      </c>
      <c r="G612" t="n">
        <v>3.6</v>
      </c>
      <c r="H612" t="n">
        <v>0</v>
      </c>
      <c r="I612" t="n">
        <v>0</v>
      </c>
      <c r="J612" t="n">
        <v>0</v>
      </c>
      <c r="K612" t="n">
        <v>0</v>
      </c>
      <c r="L612" t="n">
        <v>0</v>
      </c>
      <c r="M612" t="n">
        <v>0</v>
      </c>
      <c r="N612" t="n">
        <v>0</v>
      </c>
      <c r="O612" t="n">
        <v>0</v>
      </c>
      <c r="P612" t="n">
        <v>0</v>
      </c>
      <c r="Q612" t="n">
        <v>0</v>
      </c>
      <c r="R612" s="2" t="inlineStr"/>
    </row>
    <row r="613" ht="15" customHeight="1">
      <c r="A613" t="inlineStr">
        <is>
          <t>A 8640-2024</t>
        </is>
      </c>
      <c r="B613" s="1" t="n">
        <v>45356</v>
      </c>
      <c r="C613" s="1" t="n">
        <v>45574</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8877-2024</t>
        </is>
      </c>
      <c r="B614" s="1" t="n">
        <v>45356</v>
      </c>
      <c r="C614" s="1" t="n">
        <v>45574</v>
      </c>
      <c r="D614" t="inlineStr">
        <is>
          <t>VÄSTERNORRLANDS LÄN</t>
        </is>
      </c>
      <c r="E614" t="inlineStr">
        <is>
          <t>TIMRÅ</t>
        </is>
      </c>
      <c r="G614" t="n">
        <v>1.9</v>
      </c>
      <c r="H614" t="n">
        <v>0</v>
      </c>
      <c r="I614" t="n">
        <v>0</v>
      </c>
      <c r="J614" t="n">
        <v>0</v>
      </c>
      <c r="K614" t="n">
        <v>0</v>
      </c>
      <c r="L614" t="n">
        <v>0</v>
      </c>
      <c r="M614" t="n">
        <v>0</v>
      </c>
      <c r="N614" t="n">
        <v>0</v>
      </c>
      <c r="O614" t="n">
        <v>0</v>
      </c>
      <c r="P614" t="n">
        <v>0</v>
      </c>
      <c r="Q614" t="n">
        <v>0</v>
      </c>
      <c r="R614" s="2" t="inlineStr"/>
    </row>
    <row r="615" ht="15" customHeight="1">
      <c r="A615" t="inlineStr">
        <is>
          <t>A 9327-2024</t>
        </is>
      </c>
      <c r="B615" s="1" t="n">
        <v>45359</v>
      </c>
      <c r="C615" s="1" t="n">
        <v>45574</v>
      </c>
      <c r="D615" t="inlineStr">
        <is>
          <t>VÄSTERNORRLANDS LÄN</t>
        </is>
      </c>
      <c r="E615" t="inlineStr">
        <is>
          <t>TIMRÅ</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9331-2024</t>
        </is>
      </c>
      <c r="B616" s="1" t="n">
        <v>45359</v>
      </c>
      <c r="C616" s="1" t="n">
        <v>45574</v>
      </c>
      <c r="D616" t="inlineStr">
        <is>
          <t>VÄSTERNORRLANDS LÄN</t>
        </is>
      </c>
      <c r="E616" t="inlineStr">
        <is>
          <t>TIMRÅ</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9338-2024</t>
        </is>
      </c>
      <c r="B617" s="1" t="n">
        <v>45358</v>
      </c>
      <c r="C617" s="1" t="n">
        <v>45574</v>
      </c>
      <c r="D617" t="inlineStr">
        <is>
          <t>VÄSTERNORRLANDS LÄN</t>
        </is>
      </c>
      <c r="E617" t="inlineStr">
        <is>
          <t>TIMRÅ</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9823-2024</t>
        </is>
      </c>
      <c r="B618" s="1" t="n">
        <v>45363</v>
      </c>
      <c r="C618" s="1" t="n">
        <v>45574</v>
      </c>
      <c r="D618" t="inlineStr">
        <is>
          <t>VÄSTERNORRLANDS LÄN</t>
        </is>
      </c>
      <c r="E618" t="inlineStr">
        <is>
          <t>TIMRÅ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10745-2024</t>
        </is>
      </c>
      <c r="B619" s="1" t="n">
        <v>45369</v>
      </c>
      <c r="C619" s="1" t="n">
        <v>45574</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10852-2024</t>
        </is>
      </c>
      <c r="B620" s="1" t="n">
        <v>45370</v>
      </c>
      <c r="C620" s="1" t="n">
        <v>45574</v>
      </c>
      <c r="D620" t="inlineStr">
        <is>
          <t>VÄSTERNORRLANDS LÄN</t>
        </is>
      </c>
      <c r="E620" t="inlineStr">
        <is>
          <t>TIMRÅ</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11556-2024</t>
        </is>
      </c>
      <c r="B621" s="1" t="n">
        <v>45373</v>
      </c>
      <c r="C621" s="1" t="n">
        <v>45574</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12182-2024</t>
        </is>
      </c>
      <c r="B622" s="1" t="n">
        <v>45377</v>
      </c>
      <c r="C622" s="1" t="n">
        <v>45574</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12873-2024</t>
        </is>
      </c>
      <c r="B623" s="1" t="n">
        <v>45384</v>
      </c>
      <c r="C623" s="1" t="n">
        <v>45574</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13341-2024</t>
        </is>
      </c>
      <c r="B624" s="1" t="n">
        <v>45387</v>
      </c>
      <c r="C624" s="1" t="n">
        <v>45574</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13343-2024</t>
        </is>
      </c>
      <c r="B625" s="1" t="n">
        <v>45387</v>
      </c>
      <c r="C625" s="1" t="n">
        <v>45574</v>
      </c>
      <c r="D625" t="inlineStr">
        <is>
          <t>VÄSTERNORRLANDS LÄN</t>
        </is>
      </c>
      <c r="E625" t="inlineStr">
        <is>
          <t>TIMRÅ</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13763-2024</t>
        </is>
      </c>
      <c r="B626" s="1" t="n">
        <v>45390</v>
      </c>
      <c r="C626" s="1" t="n">
        <v>45574</v>
      </c>
      <c r="D626" t="inlineStr">
        <is>
          <t>VÄSTERNORRLANDS LÄN</t>
        </is>
      </c>
      <c r="E626" t="inlineStr">
        <is>
          <t>TIMRÅ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13770-2024</t>
        </is>
      </c>
      <c r="B627" s="1" t="n">
        <v>45390</v>
      </c>
      <c r="C627" s="1" t="n">
        <v>45574</v>
      </c>
      <c r="D627" t="inlineStr">
        <is>
          <t>VÄSTERNORRLANDS LÄN</t>
        </is>
      </c>
      <c r="E627" t="inlineStr">
        <is>
          <t>TIMRÅ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14375-2024</t>
        </is>
      </c>
      <c r="B628" s="1" t="n">
        <v>45394</v>
      </c>
      <c r="C628" s="1" t="n">
        <v>45574</v>
      </c>
      <c r="D628" t="inlineStr">
        <is>
          <t>VÄSTERNORRLANDS LÄN</t>
        </is>
      </c>
      <c r="E628" t="inlineStr">
        <is>
          <t>TIMRÅ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14578-2024</t>
        </is>
      </c>
      <c r="B629" s="1" t="n">
        <v>45395</v>
      </c>
      <c r="C629" s="1" t="n">
        <v>45574</v>
      </c>
      <c r="D629" t="inlineStr">
        <is>
          <t>VÄSTERNORRLANDS LÄN</t>
        </is>
      </c>
      <c r="E629" t="inlineStr">
        <is>
          <t>TIMRÅ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14572-2024</t>
        </is>
      </c>
      <c r="B630" s="1" t="n">
        <v>45395</v>
      </c>
      <c r="C630" s="1" t="n">
        <v>45574</v>
      </c>
      <c r="D630" t="inlineStr">
        <is>
          <t>VÄSTERNORRLANDS LÄN</t>
        </is>
      </c>
      <c r="E630" t="inlineStr">
        <is>
          <t>TIMRÅ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14573-2024</t>
        </is>
      </c>
      <c r="B631" s="1" t="n">
        <v>45395</v>
      </c>
      <c r="C631" s="1" t="n">
        <v>45574</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14806-2024</t>
        </is>
      </c>
      <c r="B632" s="1" t="n">
        <v>45398</v>
      </c>
      <c r="C632" s="1" t="n">
        <v>45574</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14818-2024</t>
        </is>
      </c>
      <c r="B633" s="1" t="n">
        <v>45397</v>
      </c>
      <c r="C633" s="1" t="n">
        <v>45574</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15150-2024</t>
        </is>
      </c>
      <c r="B634" s="1" t="n">
        <v>45400</v>
      </c>
      <c r="C634" s="1" t="n">
        <v>45574</v>
      </c>
      <c r="D634" t="inlineStr">
        <is>
          <t>VÄSTERNORRLANDS LÄN</t>
        </is>
      </c>
      <c r="E634" t="inlineStr">
        <is>
          <t>TIMRÅ</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16055-2024</t>
        </is>
      </c>
      <c r="B635" s="1" t="n">
        <v>45406</v>
      </c>
      <c r="C635" s="1" t="n">
        <v>45574</v>
      </c>
      <c r="D635" t="inlineStr">
        <is>
          <t>VÄSTERNORRLANDS LÄN</t>
        </is>
      </c>
      <c r="E635" t="inlineStr">
        <is>
          <t>TIMRÅ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16067-2024</t>
        </is>
      </c>
      <c r="B636" s="1" t="n">
        <v>45406</v>
      </c>
      <c r="C636" s="1" t="n">
        <v>45574</v>
      </c>
      <c r="D636" t="inlineStr">
        <is>
          <t>VÄSTERNORRLANDS LÄN</t>
        </is>
      </c>
      <c r="E636" t="inlineStr">
        <is>
          <t>TIMRÅ</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16315-2024</t>
        </is>
      </c>
      <c r="B637" s="1" t="n">
        <v>45407</v>
      </c>
      <c r="C637" s="1" t="n">
        <v>45574</v>
      </c>
      <c r="D637" t="inlineStr">
        <is>
          <t>VÄSTERNORRLANDS LÄN</t>
        </is>
      </c>
      <c r="E637" t="inlineStr">
        <is>
          <t>TIMRÅ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16863-2024</t>
        </is>
      </c>
      <c r="B638" s="1" t="n">
        <v>45411</v>
      </c>
      <c r="C638" s="1" t="n">
        <v>45574</v>
      </c>
      <c r="D638" t="inlineStr">
        <is>
          <t>VÄSTERNORRLANDS LÄN</t>
        </is>
      </c>
      <c r="E638" t="inlineStr">
        <is>
          <t>TIMRÅ</t>
        </is>
      </c>
      <c r="G638" t="n">
        <v>3.6</v>
      </c>
      <c r="H638" t="n">
        <v>0</v>
      </c>
      <c r="I638" t="n">
        <v>0</v>
      </c>
      <c r="J638" t="n">
        <v>0</v>
      </c>
      <c r="K638" t="n">
        <v>0</v>
      </c>
      <c r="L638" t="n">
        <v>0</v>
      </c>
      <c r="M638" t="n">
        <v>0</v>
      </c>
      <c r="N638" t="n">
        <v>0</v>
      </c>
      <c r="O638" t="n">
        <v>0</v>
      </c>
      <c r="P638" t="n">
        <v>0</v>
      </c>
      <c r="Q638" t="n">
        <v>0</v>
      </c>
      <c r="R638" s="2" t="inlineStr"/>
    </row>
    <row r="639" ht="15" customHeight="1">
      <c r="A639" t="inlineStr">
        <is>
          <t>A 16980-2024</t>
        </is>
      </c>
      <c r="B639" s="1" t="n">
        <v>45412</v>
      </c>
      <c r="C639" s="1" t="n">
        <v>45574</v>
      </c>
      <c r="D639" t="inlineStr">
        <is>
          <t>VÄSTERNORRLANDS LÄN</t>
        </is>
      </c>
      <c r="E639" t="inlineStr">
        <is>
          <t>TIMRÅ</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18110-2024</t>
        </is>
      </c>
      <c r="B640" s="1" t="n">
        <v>45420</v>
      </c>
      <c r="C640" s="1" t="n">
        <v>45574</v>
      </c>
      <c r="D640" t="inlineStr">
        <is>
          <t>VÄSTERNORRLANDS LÄN</t>
        </is>
      </c>
      <c r="E640" t="inlineStr">
        <is>
          <t>TIMRÅ</t>
        </is>
      </c>
      <c r="G640" t="n">
        <v>1.4</v>
      </c>
      <c r="H640" t="n">
        <v>0</v>
      </c>
      <c r="I640" t="n">
        <v>0</v>
      </c>
      <c r="J640" t="n">
        <v>0</v>
      </c>
      <c r="K640" t="n">
        <v>0</v>
      </c>
      <c r="L640" t="n">
        <v>0</v>
      </c>
      <c r="M640" t="n">
        <v>0</v>
      </c>
      <c r="N640" t="n">
        <v>0</v>
      </c>
      <c r="O640" t="n">
        <v>0</v>
      </c>
      <c r="P640" t="n">
        <v>0</v>
      </c>
      <c r="Q640" t="n">
        <v>0</v>
      </c>
      <c r="R640" s="2" t="inlineStr"/>
    </row>
    <row r="641" ht="15" customHeight="1">
      <c r="A641" t="inlineStr">
        <is>
          <t>A 18653-2024</t>
        </is>
      </c>
      <c r="B641" s="1" t="n">
        <v>45425</v>
      </c>
      <c r="C641" s="1" t="n">
        <v>45574</v>
      </c>
      <c r="D641" t="inlineStr">
        <is>
          <t>VÄSTERNORRLANDS LÄN</t>
        </is>
      </c>
      <c r="E641" t="inlineStr">
        <is>
          <t>TIMRÅ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18663-2024</t>
        </is>
      </c>
      <c r="B642" s="1" t="n">
        <v>45425</v>
      </c>
      <c r="C642" s="1" t="n">
        <v>45574</v>
      </c>
      <c r="D642" t="inlineStr">
        <is>
          <t>VÄSTERNORRLANDS LÄN</t>
        </is>
      </c>
      <c r="E642" t="inlineStr">
        <is>
          <t>TIMRÅ</t>
        </is>
      </c>
      <c r="G642" t="n">
        <v>9.5</v>
      </c>
      <c r="H642" t="n">
        <v>0</v>
      </c>
      <c r="I642" t="n">
        <v>0</v>
      </c>
      <c r="J642" t="n">
        <v>0</v>
      </c>
      <c r="K642" t="n">
        <v>0</v>
      </c>
      <c r="L642" t="n">
        <v>0</v>
      </c>
      <c r="M642" t="n">
        <v>0</v>
      </c>
      <c r="N642" t="n">
        <v>0</v>
      </c>
      <c r="O642" t="n">
        <v>0</v>
      </c>
      <c r="P642" t="n">
        <v>0</v>
      </c>
      <c r="Q642" t="n">
        <v>0</v>
      </c>
      <c r="R642" s="2" t="inlineStr"/>
    </row>
    <row r="643" ht="15" customHeight="1">
      <c r="A643" t="inlineStr">
        <is>
          <t>A 18634-2024</t>
        </is>
      </c>
      <c r="B643" s="1" t="n">
        <v>45425</v>
      </c>
      <c r="C643" s="1" t="n">
        <v>45574</v>
      </c>
      <c r="D643" t="inlineStr">
        <is>
          <t>VÄSTERNORRLANDS LÄN</t>
        </is>
      </c>
      <c r="E643" t="inlineStr">
        <is>
          <t>TIMRÅ</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19455-2024</t>
        </is>
      </c>
      <c r="B644" s="1" t="n">
        <v>45429</v>
      </c>
      <c r="C644" s="1" t="n">
        <v>45574</v>
      </c>
      <c r="D644" t="inlineStr">
        <is>
          <t>VÄSTERNORRLANDS LÄN</t>
        </is>
      </c>
      <c r="E644" t="inlineStr">
        <is>
          <t>TIMRÅ</t>
        </is>
      </c>
      <c r="G644" t="n">
        <v>1.3</v>
      </c>
      <c r="H644" t="n">
        <v>0</v>
      </c>
      <c r="I644" t="n">
        <v>0</v>
      </c>
      <c r="J644" t="n">
        <v>0</v>
      </c>
      <c r="K644" t="n">
        <v>0</v>
      </c>
      <c r="L644" t="n">
        <v>0</v>
      </c>
      <c r="M644" t="n">
        <v>0</v>
      </c>
      <c r="N644" t="n">
        <v>0</v>
      </c>
      <c r="O644" t="n">
        <v>0</v>
      </c>
      <c r="P644" t="n">
        <v>0</v>
      </c>
      <c r="Q644" t="n">
        <v>0</v>
      </c>
      <c r="R644" s="2" t="inlineStr"/>
    </row>
    <row r="645" ht="15" customHeight="1">
      <c r="A645" t="inlineStr">
        <is>
          <t>A 19558-2024</t>
        </is>
      </c>
      <c r="B645" s="1" t="n">
        <v>45429</v>
      </c>
      <c r="C645" s="1" t="n">
        <v>45574</v>
      </c>
      <c r="D645" t="inlineStr">
        <is>
          <t>VÄSTERNORRLANDS LÄN</t>
        </is>
      </c>
      <c r="E645" t="inlineStr">
        <is>
          <t>TIMRÅ</t>
        </is>
      </c>
      <c r="G645" t="n">
        <v>4.6</v>
      </c>
      <c r="H645" t="n">
        <v>0</v>
      </c>
      <c r="I645" t="n">
        <v>0</v>
      </c>
      <c r="J645" t="n">
        <v>0</v>
      </c>
      <c r="K645" t="n">
        <v>0</v>
      </c>
      <c r="L645" t="n">
        <v>0</v>
      </c>
      <c r="M645" t="n">
        <v>0</v>
      </c>
      <c r="N645" t="n">
        <v>0</v>
      </c>
      <c r="O645" t="n">
        <v>0</v>
      </c>
      <c r="P645" t="n">
        <v>0</v>
      </c>
      <c r="Q645" t="n">
        <v>0</v>
      </c>
      <c r="R645" s="2" t="inlineStr"/>
    </row>
    <row r="646" ht="15" customHeight="1">
      <c r="A646" t="inlineStr">
        <is>
          <t>A 20089-2024</t>
        </is>
      </c>
      <c r="B646" s="1" t="n">
        <v>45434</v>
      </c>
      <c r="C646" s="1" t="n">
        <v>45574</v>
      </c>
      <c r="D646" t="inlineStr">
        <is>
          <t>VÄSTERNORRLANDS LÄN</t>
        </is>
      </c>
      <c r="E646" t="inlineStr">
        <is>
          <t>TIMRÅ</t>
        </is>
      </c>
      <c r="G646" t="n">
        <v>1</v>
      </c>
      <c r="H646" t="n">
        <v>0</v>
      </c>
      <c r="I646" t="n">
        <v>0</v>
      </c>
      <c r="J646" t="n">
        <v>0</v>
      </c>
      <c r="K646" t="n">
        <v>0</v>
      </c>
      <c r="L646" t="n">
        <v>0</v>
      </c>
      <c r="M646" t="n">
        <v>0</v>
      </c>
      <c r="N646" t="n">
        <v>0</v>
      </c>
      <c r="O646" t="n">
        <v>0</v>
      </c>
      <c r="P646" t="n">
        <v>0</v>
      </c>
      <c r="Q646" t="n">
        <v>0</v>
      </c>
      <c r="R646" s="2" t="inlineStr"/>
    </row>
    <row r="647" ht="15" customHeight="1">
      <c r="A647" t="inlineStr">
        <is>
          <t>A 20226-2024</t>
        </is>
      </c>
      <c r="B647" s="1" t="n">
        <v>45434</v>
      </c>
      <c r="C647" s="1" t="n">
        <v>45574</v>
      </c>
      <c r="D647" t="inlineStr">
        <is>
          <t>VÄSTERNORRLANDS LÄN</t>
        </is>
      </c>
      <c r="E647" t="inlineStr">
        <is>
          <t>TIMRÅ</t>
        </is>
      </c>
      <c r="G647" t="n">
        <v>0.6</v>
      </c>
      <c r="H647" t="n">
        <v>0</v>
      </c>
      <c r="I647" t="n">
        <v>0</v>
      </c>
      <c r="J647" t="n">
        <v>0</v>
      </c>
      <c r="K647" t="n">
        <v>0</v>
      </c>
      <c r="L647" t="n">
        <v>0</v>
      </c>
      <c r="M647" t="n">
        <v>0</v>
      </c>
      <c r="N647" t="n">
        <v>0</v>
      </c>
      <c r="O647" t="n">
        <v>0</v>
      </c>
      <c r="P647" t="n">
        <v>0</v>
      </c>
      <c r="Q647" t="n">
        <v>0</v>
      </c>
      <c r="R647" s="2" t="inlineStr"/>
    </row>
    <row r="648" ht="15" customHeight="1">
      <c r="A648" t="inlineStr">
        <is>
          <t>A 20230-2024</t>
        </is>
      </c>
      <c r="B648" s="1" t="n">
        <v>45434</v>
      </c>
      <c r="C648" s="1" t="n">
        <v>45574</v>
      </c>
      <c r="D648" t="inlineStr">
        <is>
          <t>VÄSTERNORRLANDS LÄN</t>
        </is>
      </c>
      <c r="E648" t="inlineStr">
        <is>
          <t>TIMRÅ</t>
        </is>
      </c>
      <c r="G648" t="n">
        <v>0.8</v>
      </c>
      <c r="H648" t="n">
        <v>0</v>
      </c>
      <c r="I648" t="n">
        <v>0</v>
      </c>
      <c r="J648" t="n">
        <v>0</v>
      </c>
      <c r="K648" t="n">
        <v>0</v>
      </c>
      <c r="L648" t="n">
        <v>0</v>
      </c>
      <c r="M648" t="n">
        <v>0</v>
      </c>
      <c r="N648" t="n">
        <v>0</v>
      </c>
      <c r="O648" t="n">
        <v>0</v>
      </c>
      <c r="P648" t="n">
        <v>0</v>
      </c>
      <c r="Q648" t="n">
        <v>0</v>
      </c>
      <c r="R648" s="2" t="inlineStr"/>
    </row>
    <row r="649" ht="15" customHeight="1">
      <c r="A649" t="inlineStr">
        <is>
          <t>A 20313-2024</t>
        </is>
      </c>
      <c r="B649" s="1" t="n">
        <v>45434</v>
      </c>
      <c r="C649" s="1" t="n">
        <v>45574</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20341-2024</t>
        </is>
      </c>
      <c r="B650" s="1" t="n">
        <v>45435</v>
      </c>
      <c r="C650" s="1" t="n">
        <v>45574</v>
      </c>
      <c r="D650" t="inlineStr">
        <is>
          <t>VÄSTERNORRLANDS LÄN</t>
        </is>
      </c>
      <c r="E650" t="inlineStr">
        <is>
          <t>TIMRÅ</t>
        </is>
      </c>
      <c r="G650" t="n">
        <v>2.1</v>
      </c>
      <c r="H650" t="n">
        <v>0</v>
      </c>
      <c r="I650" t="n">
        <v>0</v>
      </c>
      <c r="J650" t="n">
        <v>0</v>
      </c>
      <c r="K650" t="n">
        <v>0</v>
      </c>
      <c r="L650" t="n">
        <v>0</v>
      </c>
      <c r="M650" t="n">
        <v>0</v>
      </c>
      <c r="N650" t="n">
        <v>0</v>
      </c>
      <c r="O650" t="n">
        <v>0</v>
      </c>
      <c r="P650" t="n">
        <v>0</v>
      </c>
      <c r="Q650" t="n">
        <v>0</v>
      </c>
      <c r="R650" s="2" t="inlineStr"/>
    </row>
    <row r="651" ht="15" customHeight="1">
      <c r="A651" t="inlineStr">
        <is>
          <t>A 20346-2024</t>
        </is>
      </c>
      <c r="B651" s="1" t="n">
        <v>45435</v>
      </c>
      <c r="C651" s="1" t="n">
        <v>45574</v>
      </c>
      <c r="D651" t="inlineStr">
        <is>
          <t>VÄSTERNORRLANDS LÄN</t>
        </is>
      </c>
      <c r="E651" t="inlineStr">
        <is>
          <t>TIMRÅ</t>
        </is>
      </c>
      <c r="G651" t="n">
        <v>2.5</v>
      </c>
      <c r="H651" t="n">
        <v>0</v>
      </c>
      <c r="I651" t="n">
        <v>0</v>
      </c>
      <c r="J651" t="n">
        <v>0</v>
      </c>
      <c r="K651" t="n">
        <v>0</v>
      </c>
      <c r="L651" t="n">
        <v>0</v>
      </c>
      <c r="M651" t="n">
        <v>0</v>
      </c>
      <c r="N651" t="n">
        <v>0</v>
      </c>
      <c r="O651" t="n">
        <v>0</v>
      </c>
      <c r="P651" t="n">
        <v>0</v>
      </c>
      <c r="Q651" t="n">
        <v>0</v>
      </c>
      <c r="R651" s="2" t="inlineStr"/>
    </row>
    <row r="652" ht="15" customHeight="1">
      <c r="A652" t="inlineStr">
        <is>
          <t>A 20527-2024</t>
        </is>
      </c>
      <c r="B652" s="1" t="n">
        <v>45436</v>
      </c>
      <c r="C652" s="1" t="n">
        <v>45574</v>
      </c>
      <c r="D652" t="inlineStr">
        <is>
          <t>VÄSTERNORRLANDS LÄN</t>
        </is>
      </c>
      <c r="E652" t="inlineStr">
        <is>
          <t>TIMRÅ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20526-2024</t>
        </is>
      </c>
      <c r="B653" s="1" t="n">
        <v>45435</v>
      </c>
      <c r="C653" s="1" t="n">
        <v>45574</v>
      </c>
      <c r="D653" t="inlineStr">
        <is>
          <t>VÄSTERNORRLANDS LÄN</t>
        </is>
      </c>
      <c r="E653" t="inlineStr">
        <is>
          <t>TIMRÅ</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20786-2024</t>
        </is>
      </c>
      <c r="B654" s="1" t="n">
        <v>45437</v>
      </c>
      <c r="C654" s="1" t="n">
        <v>45574</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20899-2024</t>
        </is>
      </c>
      <c r="B655" s="1" t="n">
        <v>45439</v>
      </c>
      <c r="C655" s="1" t="n">
        <v>45574</v>
      </c>
      <c r="D655" t="inlineStr">
        <is>
          <t>VÄSTERNORRLANDS LÄN</t>
        </is>
      </c>
      <c r="E655" t="inlineStr">
        <is>
          <t>TIMRÅ</t>
        </is>
      </c>
      <c r="G655" t="n">
        <v>2.1</v>
      </c>
      <c r="H655" t="n">
        <v>0</v>
      </c>
      <c r="I655" t="n">
        <v>0</v>
      </c>
      <c r="J655" t="n">
        <v>0</v>
      </c>
      <c r="K655" t="n">
        <v>0</v>
      </c>
      <c r="L655" t="n">
        <v>0</v>
      </c>
      <c r="M655" t="n">
        <v>0</v>
      </c>
      <c r="N655" t="n">
        <v>0</v>
      </c>
      <c r="O655" t="n">
        <v>0</v>
      </c>
      <c r="P655" t="n">
        <v>0</v>
      </c>
      <c r="Q655" t="n">
        <v>0</v>
      </c>
      <c r="R655" s="2" t="inlineStr"/>
    </row>
    <row r="656" ht="15" customHeight="1">
      <c r="A656" t="inlineStr">
        <is>
          <t>A 20936-2024</t>
        </is>
      </c>
      <c r="B656" s="1" t="n">
        <v>45439</v>
      </c>
      <c r="C656" s="1" t="n">
        <v>45574</v>
      </c>
      <c r="D656" t="inlineStr">
        <is>
          <t>VÄSTERNORRLANDS LÄN</t>
        </is>
      </c>
      <c r="E656" t="inlineStr">
        <is>
          <t>TIMRÅ</t>
        </is>
      </c>
      <c r="G656" t="n">
        <v>0.5</v>
      </c>
      <c r="H656" t="n">
        <v>0</v>
      </c>
      <c r="I656" t="n">
        <v>0</v>
      </c>
      <c r="J656" t="n">
        <v>0</v>
      </c>
      <c r="K656" t="n">
        <v>0</v>
      </c>
      <c r="L656" t="n">
        <v>0</v>
      </c>
      <c r="M656" t="n">
        <v>0</v>
      </c>
      <c r="N656" t="n">
        <v>0</v>
      </c>
      <c r="O656" t="n">
        <v>0</v>
      </c>
      <c r="P656" t="n">
        <v>0</v>
      </c>
      <c r="Q656" t="n">
        <v>0</v>
      </c>
      <c r="R656" s="2" t="inlineStr"/>
    </row>
    <row r="657" ht="15" customHeight="1">
      <c r="A657" t="inlineStr">
        <is>
          <t>A 20938-2024</t>
        </is>
      </c>
      <c r="B657" s="1" t="n">
        <v>45439</v>
      </c>
      <c r="C657" s="1" t="n">
        <v>45574</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21362-2024</t>
        </is>
      </c>
      <c r="B658" s="1" t="n">
        <v>45440</v>
      </c>
      <c r="C658" s="1" t="n">
        <v>45574</v>
      </c>
      <c r="D658" t="inlineStr">
        <is>
          <t>VÄSTERNORRLANDS LÄN</t>
        </is>
      </c>
      <c r="E658" t="inlineStr">
        <is>
          <t>TIMRÅ</t>
        </is>
      </c>
      <c r="F658" t="inlineStr">
        <is>
          <t>SCA</t>
        </is>
      </c>
      <c r="G658" t="n">
        <v>15.2</v>
      </c>
      <c r="H658" t="n">
        <v>0</v>
      </c>
      <c r="I658" t="n">
        <v>0</v>
      </c>
      <c r="J658" t="n">
        <v>0</v>
      </c>
      <c r="K658" t="n">
        <v>0</v>
      </c>
      <c r="L658" t="n">
        <v>0</v>
      </c>
      <c r="M658" t="n">
        <v>0</v>
      </c>
      <c r="N658" t="n">
        <v>0</v>
      </c>
      <c r="O658" t="n">
        <v>0</v>
      </c>
      <c r="P658" t="n">
        <v>0</v>
      </c>
      <c r="Q658" t="n">
        <v>0</v>
      </c>
      <c r="R658" s="2" t="inlineStr"/>
    </row>
    <row r="659" ht="15" customHeight="1">
      <c r="A659" t="inlineStr">
        <is>
          <t>A 21131-2024</t>
        </is>
      </c>
      <c r="B659" s="1" t="n">
        <v>45440</v>
      </c>
      <c r="C659" s="1" t="n">
        <v>45574</v>
      </c>
      <c r="D659" t="inlineStr">
        <is>
          <t>VÄSTERNORRLANDS LÄN</t>
        </is>
      </c>
      <c r="E659" t="inlineStr">
        <is>
          <t>TIMRÅ</t>
        </is>
      </c>
      <c r="G659" t="n">
        <v>10.8</v>
      </c>
      <c r="H659" t="n">
        <v>0</v>
      </c>
      <c r="I659" t="n">
        <v>0</v>
      </c>
      <c r="J659" t="n">
        <v>0</v>
      </c>
      <c r="K659" t="n">
        <v>0</v>
      </c>
      <c r="L659" t="n">
        <v>0</v>
      </c>
      <c r="M659" t="n">
        <v>0</v>
      </c>
      <c r="N659" t="n">
        <v>0</v>
      </c>
      <c r="O659" t="n">
        <v>0</v>
      </c>
      <c r="P659" t="n">
        <v>0</v>
      </c>
      <c r="Q659" t="n">
        <v>0</v>
      </c>
      <c r="R659" s="2" t="inlineStr"/>
    </row>
    <row r="660" ht="15" customHeight="1">
      <c r="A660" t="inlineStr">
        <is>
          <t>A 21607-2024</t>
        </is>
      </c>
      <c r="B660" s="1" t="n">
        <v>45441</v>
      </c>
      <c r="C660" s="1" t="n">
        <v>45574</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21443-2024</t>
        </is>
      </c>
      <c r="B661" s="1" t="n">
        <v>45441</v>
      </c>
      <c r="C661" s="1" t="n">
        <v>45574</v>
      </c>
      <c r="D661" t="inlineStr">
        <is>
          <t>VÄSTERNORRLANDS LÄN</t>
        </is>
      </c>
      <c r="E661" t="inlineStr">
        <is>
          <t>TIMRÅ</t>
        </is>
      </c>
      <c r="G661" t="n">
        <v>0.5</v>
      </c>
      <c r="H661" t="n">
        <v>0</v>
      </c>
      <c r="I661" t="n">
        <v>0</v>
      </c>
      <c r="J661" t="n">
        <v>0</v>
      </c>
      <c r="K661" t="n">
        <v>0</v>
      </c>
      <c r="L661" t="n">
        <v>0</v>
      </c>
      <c r="M661" t="n">
        <v>0</v>
      </c>
      <c r="N661" t="n">
        <v>0</v>
      </c>
      <c r="O661" t="n">
        <v>0</v>
      </c>
      <c r="P661" t="n">
        <v>0</v>
      </c>
      <c r="Q661" t="n">
        <v>0</v>
      </c>
      <c r="R661" s="2" t="inlineStr"/>
    </row>
    <row r="662" ht="15" customHeight="1">
      <c r="A662" t="inlineStr">
        <is>
          <t>A 21447-2024</t>
        </is>
      </c>
      <c r="B662" s="1" t="n">
        <v>45441</v>
      </c>
      <c r="C662" s="1" t="n">
        <v>45574</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22368-2024</t>
        </is>
      </c>
      <c r="B663" s="1" t="n">
        <v>45446</v>
      </c>
      <c r="C663" s="1" t="n">
        <v>45574</v>
      </c>
      <c r="D663" t="inlineStr">
        <is>
          <t>VÄSTERNORRLANDS LÄN</t>
        </is>
      </c>
      <c r="E663" t="inlineStr">
        <is>
          <t>TIMRÅ</t>
        </is>
      </c>
      <c r="G663" t="n">
        <v>1.2</v>
      </c>
      <c r="H663" t="n">
        <v>0</v>
      </c>
      <c r="I663" t="n">
        <v>0</v>
      </c>
      <c r="J663" t="n">
        <v>0</v>
      </c>
      <c r="K663" t="n">
        <v>0</v>
      </c>
      <c r="L663" t="n">
        <v>0</v>
      </c>
      <c r="M663" t="n">
        <v>0</v>
      </c>
      <c r="N663" t="n">
        <v>0</v>
      </c>
      <c r="O663" t="n">
        <v>0</v>
      </c>
      <c r="P663" t="n">
        <v>0</v>
      </c>
      <c r="Q663" t="n">
        <v>0</v>
      </c>
      <c r="R663" s="2" t="inlineStr"/>
    </row>
    <row r="664" ht="15" customHeight="1">
      <c r="A664" t="inlineStr">
        <is>
          <t>A 22486-2024</t>
        </is>
      </c>
      <c r="B664" s="1" t="n">
        <v>45446</v>
      </c>
      <c r="C664" s="1" t="n">
        <v>45574</v>
      </c>
      <c r="D664" t="inlineStr">
        <is>
          <t>VÄSTERNORRLANDS LÄN</t>
        </is>
      </c>
      <c r="E664" t="inlineStr">
        <is>
          <t>TIMRÅ</t>
        </is>
      </c>
      <c r="G664" t="n">
        <v>6.8</v>
      </c>
      <c r="H664" t="n">
        <v>0</v>
      </c>
      <c r="I664" t="n">
        <v>0</v>
      </c>
      <c r="J664" t="n">
        <v>0</v>
      </c>
      <c r="K664" t="n">
        <v>0</v>
      </c>
      <c r="L664" t="n">
        <v>0</v>
      </c>
      <c r="M664" t="n">
        <v>0</v>
      </c>
      <c r="N664" t="n">
        <v>0</v>
      </c>
      <c r="O664" t="n">
        <v>0</v>
      </c>
      <c r="P664" t="n">
        <v>0</v>
      </c>
      <c r="Q664" t="n">
        <v>0</v>
      </c>
      <c r="R664" s="2" t="inlineStr"/>
    </row>
    <row r="665" ht="15" customHeight="1">
      <c r="A665" t="inlineStr">
        <is>
          <t>A 22416-2024</t>
        </is>
      </c>
      <c r="B665" s="1" t="n">
        <v>45446</v>
      </c>
      <c r="C665" s="1" t="n">
        <v>45574</v>
      </c>
      <c r="D665" t="inlineStr">
        <is>
          <t>VÄSTERNORRLANDS LÄN</t>
        </is>
      </c>
      <c r="E665" t="inlineStr">
        <is>
          <t>TIMRÅ</t>
        </is>
      </c>
      <c r="G665" t="n">
        <v>2.3</v>
      </c>
      <c r="H665" t="n">
        <v>0</v>
      </c>
      <c r="I665" t="n">
        <v>0</v>
      </c>
      <c r="J665" t="n">
        <v>0</v>
      </c>
      <c r="K665" t="n">
        <v>0</v>
      </c>
      <c r="L665" t="n">
        <v>0</v>
      </c>
      <c r="M665" t="n">
        <v>0</v>
      </c>
      <c r="N665" t="n">
        <v>0</v>
      </c>
      <c r="O665" t="n">
        <v>0</v>
      </c>
      <c r="P665" t="n">
        <v>0</v>
      </c>
      <c r="Q665" t="n">
        <v>0</v>
      </c>
      <c r="R665" s="2" t="inlineStr"/>
    </row>
    <row r="666" ht="15" customHeight="1">
      <c r="A666" t="inlineStr">
        <is>
          <t>A 22669-2024</t>
        </is>
      </c>
      <c r="B666" s="1" t="n">
        <v>45447</v>
      </c>
      <c r="C666" s="1" t="n">
        <v>45574</v>
      </c>
      <c r="D666" t="inlineStr">
        <is>
          <t>VÄSTERNORRLANDS LÄN</t>
        </is>
      </c>
      <c r="E666" t="inlineStr">
        <is>
          <t>TIMRÅ</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23049-2024</t>
        </is>
      </c>
      <c r="B667" s="1" t="n">
        <v>45450</v>
      </c>
      <c r="C667" s="1" t="n">
        <v>45574</v>
      </c>
      <c r="D667" t="inlineStr">
        <is>
          <t>VÄSTERNORRLANDS LÄN</t>
        </is>
      </c>
      <c r="E667" t="inlineStr">
        <is>
          <t>TIMRÅ</t>
        </is>
      </c>
      <c r="G667" t="n">
        <v>8.4</v>
      </c>
      <c r="H667" t="n">
        <v>0</v>
      </c>
      <c r="I667" t="n">
        <v>0</v>
      </c>
      <c r="J667" t="n">
        <v>0</v>
      </c>
      <c r="K667" t="n">
        <v>0</v>
      </c>
      <c r="L667" t="n">
        <v>0</v>
      </c>
      <c r="M667" t="n">
        <v>0</v>
      </c>
      <c r="N667" t="n">
        <v>0</v>
      </c>
      <c r="O667" t="n">
        <v>0</v>
      </c>
      <c r="P667" t="n">
        <v>0</v>
      </c>
      <c r="Q667" t="n">
        <v>0</v>
      </c>
      <c r="R667" s="2" t="inlineStr"/>
    </row>
    <row r="668" ht="15" customHeight="1">
      <c r="A668" t="inlineStr">
        <is>
          <t>A 23556-2024</t>
        </is>
      </c>
      <c r="B668" s="1" t="n">
        <v>45453</v>
      </c>
      <c r="C668" s="1" t="n">
        <v>45574</v>
      </c>
      <c r="D668" t="inlineStr">
        <is>
          <t>VÄSTERNORRLANDS LÄN</t>
        </is>
      </c>
      <c r="E668" t="inlineStr">
        <is>
          <t>TIMRÅ</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23725-2024</t>
        </is>
      </c>
      <c r="B669" s="1" t="n">
        <v>45455</v>
      </c>
      <c r="C669" s="1" t="n">
        <v>45574</v>
      </c>
      <c r="D669" t="inlineStr">
        <is>
          <t>VÄSTERNORRLANDS LÄN</t>
        </is>
      </c>
      <c r="E669" t="inlineStr">
        <is>
          <t>TIMRÅ</t>
        </is>
      </c>
      <c r="G669" t="n">
        <v>2.6</v>
      </c>
      <c r="H669" t="n">
        <v>0</v>
      </c>
      <c r="I669" t="n">
        <v>0</v>
      </c>
      <c r="J669" t="n">
        <v>0</v>
      </c>
      <c r="K669" t="n">
        <v>0</v>
      </c>
      <c r="L669" t="n">
        <v>0</v>
      </c>
      <c r="M669" t="n">
        <v>0</v>
      </c>
      <c r="N669" t="n">
        <v>0</v>
      </c>
      <c r="O669" t="n">
        <v>0</v>
      </c>
      <c r="P669" t="n">
        <v>0</v>
      </c>
      <c r="Q669" t="n">
        <v>0</v>
      </c>
      <c r="R669" s="2" t="inlineStr"/>
    </row>
    <row r="670" ht="15" customHeight="1">
      <c r="A670" t="inlineStr">
        <is>
          <t>A 23878-2024</t>
        </is>
      </c>
      <c r="B670" s="1" t="n">
        <v>45455</v>
      </c>
      <c r="C670" s="1" t="n">
        <v>45574</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23851-2024</t>
        </is>
      </c>
      <c r="B671" s="1" t="n">
        <v>45455</v>
      </c>
      <c r="C671" s="1" t="n">
        <v>45574</v>
      </c>
      <c r="D671" t="inlineStr">
        <is>
          <t>VÄSTERNORRLANDS LÄN</t>
        </is>
      </c>
      <c r="E671" t="inlineStr">
        <is>
          <t>TIMRÅ</t>
        </is>
      </c>
      <c r="G671" t="n">
        <v>3.5</v>
      </c>
      <c r="H671" t="n">
        <v>0</v>
      </c>
      <c r="I671" t="n">
        <v>0</v>
      </c>
      <c r="J671" t="n">
        <v>0</v>
      </c>
      <c r="K671" t="n">
        <v>0</v>
      </c>
      <c r="L671" t="n">
        <v>0</v>
      </c>
      <c r="M671" t="n">
        <v>0</v>
      </c>
      <c r="N671" t="n">
        <v>0</v>
      </c>
      <c r="O671" t="n">
        <v>0</v>
      </c>
      <c r="P671" t="n">
        <v>0</v>
      </c>
      <c r="Q671" t="n">
        <v>0</v>
      </c>
      <c r="R671" s="2" t="inlineStr"/>
    </row>
    <row r="672" ht="15" customHeight="1">
      <c r="A672" t="inlineStr">
        <is>
          <t>A 24739-2024</t>
        </is>
      </c>
      <c r="B672" s="1" t="n">
        <v>45460</v>
      </c>
      <c r="C672" s="1" t="n">
        <v>45574</v>
      </c>
      <c r="D672" t="inlineStr">
        <is>
          <t>VÄSTERNORRLANDS LÄN</t>
        </is>
      </c>
      <c r="E672" t="inlineStr">
        <is>
          <t>TIMRÅ</t>
        </is>
      </c>
      <c r="G672" t="n">
        <v>0.9</v>
      </c>
      <c r="H672" t="n">
        <v>0</v>
      </c>
      <c r="I672" t="n">
        <v>0</v>
      </c>
      <c r="J672" t="n">
        <v>0</v>
      </c>
      <c r="K672" t="n">
        <v>0</v>
      </c>
      <c r="L672" t="n">
        <v>0</v>
      </c>
      <c r="M672" t="n">
        <v>0</v>
      </c>
      <c r="N672" t="n">
        <v>0</v>
      </c>
      <c r="O672" t="n">
        <v>0</v>
      </c>
      <c r="P672" t="n">
        <v>0</v>
      </c>
      <c r="Q672" t="n">
        <v>0</v>
      </c>
      <c r="R672" s="2" t="inlineStr"/>
    </row>
    <row r="673" ht="15" customHeight="1">
      <c r="A673" t="inlineStr">
        <is>
          <t>A 26662-2024</t>
        </is>
      </c>
      <c r="B673" s="1" t="n">
        <v>45469</v>
      </c>
      <c r="C673" s="1" t="n">
        <v>45574</v>
      </c>
      <c r="D673" t="inlineStr">
        <is>
          <t>VÄSTERNORRLANDS LÄN</t>
        </is>
      </c>
      <c r="E673" t="inlineStr">
        <is>
          <t>TIMRÅ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27623-2024</t>
        </is>
      </c>
      <c r="B674" s="1" t="n">
        <v>45474</v>
      </c>
      <c r="C674" s="1" t="n">
        <v>45574</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ht="15" customHeight="1">
      <c r="A675" t="inlineStr">
        <is>
          <t>A 28160-2024</t>
        </is>
      </c>
      <c r="B675" s="1" t="n">
        <v>45476</v>
      </c>
      <c r="C675" s="1" t="n">
        <v>45574</v>
      </c>
      <c r="D675" t="inlineStr">
        <is>
          <t>VÄSTERNORRLANDS LÄN</t>
        </is>
      </c>
      <c r="E675" t="inlineStr">
        <is>
          <t>TIMRÅ</t>
        </is>
      </c>
      <c r="F675" t="inlineStr">
        <is>
          <t>SCA</t>
        </is>
      </c>
      <c r="G675" t="n">
        <v>16.1</v>
      </c>
      <c r="H675" t="n">
        <v>0</v>
      </c>
      <c r="I675" t="n">
        <v>0</v>
      </c>
      <c r="J675" t="n">
        <v>0</v>
      </c>
      <c r="K675" t="n">
        <v>0</v>
      </c>
      <c r="L675" t="n">
        <v>0</v>
      </c>
      <c r="M675" t="n">
        <v>0</v>
      </c>
      <c r="N675" t="n">
        <v>0</v>
      </c>
      <c r="O675" t="n">
        <v>0</v>
      </c>
      <c r="P675" t="n">
        <v>0</v>
      </c>
      <c r="Q675" t="n">
        <v>0</v>
      </c>
      <c r="R675" s="2" t="inlineStr"/>
    </row>
    <row r="676" ht="15" customHeight="1">
      <c r="A676" t="inlineStr">
        <is>
          <t>A 28503-2024</t>
        </is>
      </c>
      <c r="B676" s="1" t="n">
        <v>45477</v>
      </c>
      <c r="C676" s="1" t="n">
        <v>45574</v>
      </c>
      <c r="D676" t="inlineStr">
        <is>
          <t>VÄSTERNORRLANDS LÄN</t>
        </is>
      </c>
      <c r="E676" t="inlineStr">
        <is>
          <t>TIMRÅ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28256-2024</t>
        </is>
      </c>
      <c r="B677" s="1" t="n">
        <v>45477</v>
      </c>
      <c r="C677" s="1" t="n">
        <v>45574</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29267-2024</t>
        </is>
      </c>
      <c r="B678" s="1" t="n">
        <v>45482</v>
      </c>
      <c r="C678" s="1" t="n">
        <v>45574</v>
      </c>
      <c r="D678" t="inlineStr">
        <is>
          <t>VÄSTERNORRLANDS LÄN</t>
        </is>
      </c>
      <c r="E678" t="inlineStr">
        <is>
          <t>TIMRÅ</t>
        </is>
      </c>
      <c r="G678" t="n">
        <v>4.2</v>
      </c>
      <c r="H678" t="n">
        <v>0</v>
      </c>
      <c r="I678" t="n">
        <v>0</v>
      </c>
      <c r="J678" t="n">
        <v>0</v>
      </c>
      <c r="K678" t="n">
        <v>0</v>
      </c>
      <c r="L678" t="n">
        <v>0</v>
      </c>
      <c r="M678" t="n">
        <v>0</v>
      </c>
      <c r="N678" t="n">
        <v>0</v>
      </c>
      <c r="O678" t="n">
        <v>0</v>
      </c>
      <c r="P678" t="n">
        <v>0</v>
      </c>
      <c r="Q678" t="n">
        <v>0</v>
      </c>
      <c r="R678" s="2" t="inlineStr"/>
    </row>
    <row r="679" ht="15" customHeight="1">
      <c r="A679" t="inlineStr">
        <is>
          <t>A 30612-2024</t>
        </is>
      </c>
      <c r="B679" s="1" t="n">
        <v>45495</v>
      </c>
      <c r="C679" s="1" t="n">
        <v>45574</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30680-2024</t>
        </is>
      </c>
      <c r="B680" s="1" t="n">
        <v>45495</v>
      </c>
      <c r="C680" s="1" t="n">
        <v>45574</v>
      </c>
      <c r="D680" t="inlineStr">
        <is>
          <t>VÄSTERNORRLANDS LÄN</t>
        </is>
      </c>
      <c r="E680" t="inlineStr">
        <is>
          <t>TIMRÅ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30907-2024</t>
        </is>
      </c>
      <c r="B681" s="1" t="n">
        <v>45498</v>
      </c>
      <c r="C681" s="1" t="n">
        <v>45574</v>
      </c>
      <c r="D681" t="inlineStr">
        <is>
          <t>VÄSTERNORRLANDS LÄN</t>
        </is>
      </c>
      <c r="E681" t="inlineStr">
        <is>
          <t>TIMRÅ</t>
        </is>
      </c>
      <c r="G681" t="n">
        <v>6.6</v>
      </c>
      <c r="H681" t="n">
        <v>0</v>
      </c>
      <c r="I681" t="n">
        <v>0</v>
      </c>
      <c r="J681" t="n">
        <v>0</v>
      </c>
      <c r="K681" t="n">
        <v>0</v>
      </c>
      <c r="L681" t="n">
        <v>0</v>
      </c>
      <c r="M681" t="n">
        <v>0</v>
      </c>
      <c r="N681" t="n">
        <v>0</v>
      </c>
      <c r="O681" t="n">
        <v>0</v>
      </c>
      <c r="P681" t="n">
        <v>0</v>
      </c>
      <c r="Q681" t="n">
        <v>0</v>
      </c>
      <c r="R681" s="2" t="inlineStr"/>
    </row>
    <row r="682" ht="15" customHeight="1">
      <c r="A682" t="inlineStr">
        <is>
          <t>A 31711-2024</t>
        </is>
      </c>
      <c r="B682" s="1" t="n">
        <v>45508</v>
      </c>
      <c r="C682" s="1" t="n">
        <v>45574</v>
      </c>
      <c r="D682" t="inlineStr">
        <is>
          <t>VÄSTERNORRLANDS LÄN</t>
        </is>
      </c>
      <c r="E682" t="inlineStr">
        <is>
          <t>TIMRÅ</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32048-2024</t>
        </is>
      </c>
      <c r="B683" s="1" t="n">
        <v>45510</v>
      </c>
      <c r="C683" s="1" t="n">
        <v>45574</v>
      </c>
      <c r="D683" t="inlineStr">
        <is>
          <t>VÄSTERNORRLANDS LÄN</t>
        </is>
      </c>
      <c r="E683" t="inlineStr">
        <is>
          <t>TIMRÅ</t>
        </is>
      </c>
      <c r="G683" t="n">
        <v>2.7</v>
      </c>
      <c r="H683" t="n">
        <v>0</v>
      </c>
      <c r="I683" t="n">
        <v>0</v>
      </c>
      <c r="J683" t="n">
        <v>0</v>
      </c>
      <c r="K683" t="n">
        <v>0</v>
      </c>
      <c r="L683" t="n">
        <v>0</v>
      </c>
      <c r="M683" t="n">
        <v>0</v>
      </c>
      <c r="N683" t="n">
        <v>0</v>
      </c>
      <c r="O683" t="n">
        <v>0</v>
      </c>
      <c r="P683" t="n">
        <v>0</v>
      </c>
      <c r="Q683" t="n">
        <v>0</v>
      </c>
      <c r="R683" s="2" t="inlineStr"/>
    </row>
    <row r="684" ht="15" customHeight="1">
      <c r="A684" t="inlineStr">
        <is>
          <t>A 32112-2024</t>
        </is>
      </c>
      <c r="B684" s="1" t="n">
        <v>45511</v>
      </c>
      <c r="C684" s="1" t="n">
        <v>45574</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32105-2024</t>
        </is>
      </c>
      <c r="B685" s="1" t="n">
        <v>45511</v>
      </c>
      <c r="C685" s="1" t="n">
        <v>45574</v>
      </c>
      <c r="D685" t="inlineStr">
        <is>
          <t>VÄSTERNORRLANDS LÄN</t>
        </is>
      </c>
      <c r="E685" t="inlineStr">
        <is>
          <t>TIMRÅ</t>
        </is>
      </c>
      <c r="G685" t="n">
        <v>6.4</v>
      </c>
      <c r="H685" t="n">
        <v>0</v>
      </c>
      <c r="I685" t="n">
        <v>0</v>
      </c>
      <c r="J685" t="n">
        <v>0</v>
      </c>
      <c r="K685" t="n">
        <v>0</v>
      </c>
      <c r="L685" t="n">
        <v>0</v>
      </c>
      <c r="M685" t="n">
        <v>0</v>
      </c>
      <c r="N685" t="n">
        <v>0</v>
      </c>
      <c r="O685" t="n">
        <v>0</v>
      </c>
      <c r="P685" t="n">
        <v>0</v>
      </c>
      <c r="Q685" t="n">
        <v>0</v>
      </c>
      <c r="R685" s="2" t="inlineStr"/>
    </row>
    <row r="686" ht="15" customHeight="1">
      <c r="A686" t="inlineStr">
        <is>
          <t>A 32454-2024</t>
        </is>
      </c>
      <c r="B686" s="1" t="n">
        <v>45512</v>
      </c>
      <c r="C686" s="1" t="n">
        <v>45574</v>
      </c>
      <c r="D686" t="inlineStr">
        <is>
          <t>VÄSTERNORRLANDS LÄN</t>
        </is>
      </c>
      <c r="E686" t="inlineStr">
        <is>
          <t>TIMRÅ</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32445-2024</t>
        </is>
      </c>
      <c r="B687" s="1" t="n">
        <v>45512</v>
      </c>
      <c r="C687" s="1" t="n">
        <v>45574</v>
      </c>
      <c r="D687" t="inlineStr">
        <is>
          <t>VÄSTERNORRLANDS LÄN</t>
        </is>
      </c>
      <c r="E687" t="inlineStr">
        <is>
          <t>TIMRÅ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33287-2024</t>
        </is>
      </c>
      <c r="B688" s="1" t="n">
        <v>45518</v>
      </c>
      <c r="C688" s="1" t="n">
        <v>45574</v>
      </c>
      <c r="D688" t="inlineStr">
        <is>
          <t>VÄSTERNORRLANDS LÄN</t>
        </is>
      </c>
      <c r="E688" t="inlineStr">
        <is>
          <t>TIMRÅ</t>
        </is>
      </c>
      <c r="G688" t="n">
        <v>1.4</v>
      </c>
      <c r="H688" t="n">
        <v>0</v>
      </c>
      <c r="I688" t="n">
        <v>0</v>
      </c>
      <c r="J688" t="n">
        <v>0</v>
      </c>
      <c r="K688" t="n">
        <v>0</v>
      </c>
      <c r="L688" t="n">
        <v>0</v>
      </c>
      <c r="M688" t="n">
        <v>0</v>
      </c>
      <c r="N688" t="n">
        <v>0</v>
      </c>
      <c r="O688" t="n">
        <v>0</v>
      </c>
      <c r="P688" t="n">
        <v>0</v>
      </c>
      <c r="Q688" t="n">
        <v>0</v>
      </c>
      <c r="R688" s="2" t="inlineStr"/>
    </row>
    <row r="689" ht="15" customHeight="1">
      <c r="A689" t="inlineStr">
        <is>
          <t>A 33567-2024</t>
        </is>
      </c>
      <c r="B689" s="1" t="n">
        <v>45520</v>
      </c>
      <c r="C689" s="1" t="n">
        <v>45574</v>
      </c>
      <c r="D689" t="inlineStr">
        <is>
          <t>VÄSTERNORRLANDS LÄN</t>
        </is>
      </c>
      <c r="E689" t="inlineStr">
        <is>
          <t>TIMRÅ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33749-2024</t>
        </is>
      </c>
      <c r="B690" s="1" t="n">
        <v>45520</v>
      </c>
      <c r="C690" s="1" t="n">
        <v>45574</v>
      </c>
      <c r="D690" t="inlineStr">
        <is>
          <t>VÄSTERNORRLANDS LÄN</t>
        </is>
      </c>
      <c r="E690" t="inlineStr">
        <is>
          <t>TIMRÅ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37676-2024</t>
        </is>
      </c>
      <c r="B691" s="1" t="n">
        <v>45541</v>
      </c>
      <c r="C691" s="1" t="n">
        <v>45574</v>
      </c>
      <c r="D691" t="inlineStr">
        <is>
          <t>VÄSTERNORRLANDS LÄN</t>
        </is>
      </c>
      <c r="E691" t="inlineStr">
        <is>
          <t>TIMRÅ</t>
        </is>
      </c>
      <c r="G691" t="n">
        <v>15</v>
      </c>
      <c r="H691" t="n">
        <v>0</v>
      </c>
      <c r="I691" t="n">
        <v>0</v>
      </c>
      <c r="J691" t="n">
        <v>0</v>
      </c>
      <c r="K691" t="n">
        <v>0</v>
      </c>
      <c r="L691" t="n">
        <v>0</v>
      </c>
      <c r="M691" t="n">
        <v>0</v>
      </c>
      <c r="N691" t="n">
        <v>0</v>
      </c>
      <c r="O691" t="n">
        <v>0</v>
      </c>
      <c r="P691" t="n">
        <v>0</v>
      </c>
      <c r="Q691" t="n">
        <v>0</v>
      </c>
      <c r="R691" s="2" t="inlineStr"/>
    </row>
    <row r="692" ht="15" customHeight="1">
      <c r="A692" t="inlineStr">
        <is>
          <t>A 37841-2024</t>
        </is>
      </c>
      <c r="B692" s="1" t="n">
        <v>45544</v>
      </c>
      <c r="C692" s="1" t="n">
        <v>45574</v>
      </c>
      <c r="D692" t="inlineStr">
        <is>
          <t>VÄSTERNORRLANDS LÄN</t>
        </is>
      </c>
      <c r="E692" t="inlineStr">
        <is>
          <t>TIMRÅ</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37861-2024</t>
        </is>
      </c>
      <c r="B693" s="1" t="n">
        <v>45544</v>
      </c>
      <c r="C693" s="1" t="n">
        <v>45574</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37862-2024</t>
        </is>
      </c>
      <c r="B694" s="1" t="n">
        <v>45544</v>
      </c>
      <c r="C694" s="1" t="n">
        <v>45574</v>
      </c>
      <c r="D694" t="inlineStr">
        <is>
          <t>VÄSTERNORRLANDS LÄN</t>
        </is>
      </c>
      <c r="E694" t="inlineStr">
        <is>
          <t>TIMRÅ</t>
        </is>
      </c>
      <c r="G694" t="n">
        <v>0.9</v>
      </c>
      <c r="H694" t="n">
        <v>0</v>
      </c>
      <c r="I694" t="n">
        <v>0</v>
      </c>
      <c r="J694" t="n">
        <v>0</v>
      </c>
      <c r="K694" t="n">
        <v>0</v>
      </c>
      <c r="L694" t="n">
        <v>0</v>
      </c>
      <c r="M694" t="n">
        <v>0</v>
      </c>
      <c r="N694" t="n">
        <v>0</v>
      </c>
      <c r="O694" t="n">
        <v>0</v>
      </c>
      <c r="P694" t="n">
        <v>0</v>
      </c>
      <c r="Q694" t="n">
        <v>0</v>
      </c>
      <c r="R694" s="2" t="inlineStr"/>
    </row>
    <row r="695" ht="15" customHeight="1">
      <c r="A695" t="inlineStr">
        <is>
          <t>A 38286-2024</t>
        </is>
      </c>
      <c r="B695" s="1" t="n">
        <v>45545</v>
      </c>
      <c r="C695" s="1" t="n">
        <v>45574</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38288-2024</t>
        </is>
      </c>
      <c r="B696" s="1" t="n">
        <v>45545</v>
      </c>
      <c r="C696" s="1" t="n">
        <v>45574</v>
      </c>
      <c r="D696" t="inlineStr">
        <is>
          <t>VÄSTERNORRLANDS LÄN</t>
        </is>
      </c>
      <c r="E696" t="inlineStr">
        <is>
          <t>TIMRÅ</t>
        </is>
      </c>
      <c r="G696" t="n">
        <v>1.6</v>
      </c>
      <c r="H696" t="n">
        <v>0</v>
      </c>
      <c r="I696" t="n">
        <v>0</v>
      </c>
      <c r="J696" t="n">
        <v>0</v>
      </c>
      <c r="K696" t="n">
        <v>0</v>
      </c>
      <c r="L696" t="n">
        <v>0</v>
      </c>
      <c r="M696" t="n">
        <v>0</v>
      </c>
      <c r="N696" t="n">
        <v>0</v>
      </c>
      <c r="O696" t="n">
        <v>0</v>
      </c>
      <c r="P696" t="n">
        <v>0</v>
      </c>
      <c r="Q696" t="n">
        <v>0</v>
      </c>
      <c r="R696" s="2" t="inlineStr"/>
    </row>
    <row r="697" ht="15" customHeight="1">
      <c r="A697" t="inlineStr">
        <is>
          <t>A 38684-2024</t>
        </is>
      </c>
      <c r="B697" s="1" t="n">
        <v>45547</v>
      </c>
      <c r="C697" s="1" t="n">
        <v>45574</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45574</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45574</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45574</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39094-2024</t>
        </is>
      </c>
      <c r="B701" s="1" t="n">
        <v>45548</v>
      </c>
      <c r="C701" s="1" t="n">
        <v>45574</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39110-2024</t>
        </is>
      </c>
      <c r="B702" s="1" t="n">
        <v>45548</v>
      </c>
      <c r="C702" s="1" t="n">
        <v>45574</v>
      </c>
      <c r="D702" t="inlineStr">
        <is>
          <t>VÄSTERNORRLANDS LÄN</t>
        </is>
      </c>
      <c r="E702" t="inlineStr">
        <is>
          <t>TIMRÅ</t>
        </is>
      </c>
      <c r="G702" t="n">
        <v>1.1</v>
      </c>
      <c r="H702" t="n">
        <v>0</v>
      </c>
      <c r="I702" t="n">
        <v>0</v>
      </c>
      <c r="J702" t="n">
        <v>0</v>
      </c>
      <c r="K702" t="n">
        <v>0</v>
      </c>
      <c r="L702" t="n">
        <v>0</v>
      </c>
      <c r="M702" t="n">
        <v>0</v>
      </c>
      <c r="N702" t="n">
        <v>0</v>
      </c>
      <c r="O702" t="n">
        <v>0</v>
      </c>
      <c r="P702" t="n">
        <v>0</v>
      </c>
      <c r="Q702" t="n">
        <v>0</v>
      </c>
      <c r="R702" s="2" t="inlineStr"/>
    </row>
    <row r="703" ht="15" customHeight="1">
      <c r="A703" t="inlineStr">
        <is>
          <t>A 40014-2024</t>
        </is>
      </c>
      <c r="B703" s="1" t="n">
        <v>45553</v>
      </c>
      <c r="C703" s="1" t="n">
        <v>45574</v>
      </c>
      <c r="D703" t="inlineStr">
        <is>
          <t>VÄSTERNORRLANDS LÄN</t>
        </is>
      </c>
      <c r="E703" t="inlineStr">
        <is>
          <t>TIMRÅ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40593-2024</t>
        </is>
      </c>
      <c r="B704" s="1" t="n">
        <v>45555</v>
      </c>
      <c r="C704" s="1" t="n">
        <v>45574</v>
      </c>
      <c r="D704" t="inlineStr">
        <is>
          <t>VÄSTERNORRLANDS LÄN</t>
        </is>
      </c>
      <c r="E704" t="inlineStr">
        <is>
          <t>TIMRÅ</t>
        </is>
      </c>
      <c r="G704" t="n">
        <v>3.6</v>
      </c>
      <c r="H704" t="n">
        <v>0</v>
      </c>
      <c r="I704" t="n">
        <v>0</v>
      </c>
      <c r="J704" t="n">
        <v>0</v>
      </c>
      <c r="K704" t="n">
        <v>0</v>
      </c>
      <c r="L704" t="n">
        <v>0</v>
      </c>
      <c r="M704" t="n">
        <v>0</v>
      </c>
      <c r="N704" t="n">
        <v>0</v>
      </c>
      <c r="O704" t="n">
        <v>0</v>
      </c>
      <c r="P704" t="n">
        <v>0</v>
      </c>
      <c r="Q704" t="n">
        <v>0</v>
      </c>
      <c r="R704" s="2" t="inlineStr"/>
    </row>
    <row r="705" ht="15" customHeight="1">
      <c r="A705" t="inlineStr">
        <is>
          <t>A 40762-2024</t>
        </is>
      </c>
      <c r="B705" s="1" t="n">
        <v>45558</v>
      </c>
      <c r="C705" s="1" t="n">
        <v>45574</v>
      </c>
      <c r="D705" t="inlineStr">
        <is>
          <t>VÄSTERNORRLANDS LÄN</t>
        </is>
      </c>
      <c r="E705" t="inlineStr">
        <is>
          <t>TIMRÅ</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45574</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41596-2024</t>
        </is>
      </c>
      <c r="B707" s="1" t="n">
        <v>45560</v>
      </c>
      <c r="C707" s="1" t="n">
        <v>45574</v>
      </c>
      <c r="D707" t="inlineStr">
        <is>
          <t>VÄSTERNORRLANDS LÄN</t>
        </is>
      </c>
      <c r="E707" t="inlineStr">
        <is>
          <t>TIMRÅ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42112-2024</t>
        </is>
      </c>
      <c r="B708" s="1" t="n">
        <v>45562</v>
      </c>
      <c r="C708" s="1" t="n">
        <v>45574</v>
      </c>
      <c r="D708" t="inlineStr">
        <is>
          <t>VÄSTERNORRLANDS LÄN</t>
        </is>
      </c>
      <c r="E708" t="inlineStr">
        <is>
          <t>TIMRÅ</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42094-2024</t>
        </is>
      </c>
      <c r="B709" s="1" t="n">
        <v>45562</v>
      </c>
      <c r="C709" s="1" t="n">
        <v>45574</v>
      </c>
      <c r="D709" t="inlineStr">
        <is>
          <t>VÄSTERNORRLANDS LÄN</t>
        </is>
      </c>
      <c r="E709" t="inlineStr">
        <is>
          <t>TIMRÅ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42860-2024</t>
        </is>
      </c>
      <c r="B710" s="1" t="n">
        <v>45566</v>
      </c>
      <c r="C710" s="1" t="n">
        <v>45574</v>
      </c>
      <c r="D710" t="inlineStr">
        <is>
          <t>VÄSTERNORRLANDS LÄN</t>
        </is>
      </c>
      <c r="E710" t="inlineStr">
        <is>
          <t>TIMRÅ</t>
        </is>
      </c>
      <c r="G710" t="n">
        <v>3.9</v>
      </c>
      <c r="H710" t="n">
        <v>0</v>
      </c>
      <c r="I710" t="n">
        <v>0</v>
      </c>
      <c r="J710" t="n">
        <v>0</v>
      </c>
      <c r="K710" t="n">
        <v>0</v>
      </c>
      <c r="L710" t="n">
        <v>0</v>
      </c>
      <c r="M710" t="n">
        <v>0</v>
      </c>
      <c r="N710" t="n">
        <v>0</v>
      </c>
      <c r="O710" t="n">
        <v>0</v>
      </c>
      <c r="P710" t="n">
        <v>0</v>
      </c>
      <c r="Q710" t="n">
        <v>0</v>
      </c>
      <c r="R710" s="2" t="inlineStr"/>
    </row>
    <row r="711" ht="15" customHeight="1">
      <c r="A711" t="inlineStr">
        <is>
          <t>A 42855-2024</t>
        </is>
      </c>
      <c r="B711" s="1" t="n">
        <v>45566</v>
      </c>
      <c r="C711" s="1" t="n">
        <v>45574</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43006-2024</t>
        </is>
      </c>
      <c r="B712" s="1" t="n">
        <v>45567</v>
      </c>
      <c r="C712" s="1" t="n">
        <v>45574</v>
      </c>
      <c r="D712" t="inlineStr">
        <is>
          <t>VÄSTERNORRLANDS LÄN</t>
        </is>
      </c>
      <c r="E712" t="inlineStr">
        <is>
          <t>TIMRÅ</t>
        </is>
      </c>
      <c r="F712" t="inlineStr">
        <is>
          <t>SCA</t>
        </is>
      </c>
      <c r="G712" t="n">
        <v>6</v>
      </c>
      <c r="H712" t="n">
        <v>0</v>
      </c>
      <c r="I712" t="n">
        <v>0</v>
      </c>
      <c r="J712" t="n">
        <v>0</v>
      </c>
      <c r="K712" t="n">
        <v>0</v>
      </c>
      <c r="L712" t="n">
        <v>0</v>
      </c>
      <c r="M712" t="n">
        <v>0</v>
      </c>
      <c r="N712" t="n">
        <v>0</v>
      </c>
      <c r="O712" t="n">
        <v>0</v>
      </c>
      <c r="P712" t="n">
        <v>0</v>
      </c>
      <c r="Q712" t="n">
        <v>0</v>
      </c>
      <c r="R712" s="2" t="inlineStr"/>
    </row>
    <row r="713" ht="15" customHeight="1">
      <c r="A713" t="inlineStr">
        <is>
          <t>A 43167-2024</t>
        </is>
      </c>
      <c r="B713" s="1" t="n">
        <v>45567</v>
      </c>
      <c r="C713" s="1" t="n">
        <v>45574</v>
      </c>
      <c r="D713" t="inlineStr">
        <is>
          <t>VÄSTERNORRLANDS LÄN</t>
        </is>
      </c>
      <c r="E713" t="inlineStr">
        <is>
          <t>TIMRÅ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45574</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43344-2024</t>
        </is>
      </c>
      <c r="B715" s="1" t="n">
        <v>45568</v>
      </c>
      <c r="C715" s="1" t="n">
        <v>45574</v>
      </c>
      <c r="D715" t="inlineStr">
        <is>
          <t>VÄSTERNORRLANDS LÄN</t>
        </is>
      </c>
      <c r="E715" t="inlineStr">
        <is>
          <t>TIMRÅ</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43345-2024</t>
        </is>
      </c>
      <c r="B716" s="1" t="n">
        <v>45568</v>
      </c>
      <c r="C716" s="1" t="n">
        <v>45574</v>
      </c>
      <c r="D716" t="inlineStr">
        <is>
          <t>VÄSTERNORRLANDS LÄN</t>
        </is>
      </c>
      <c r="E716" t="inlineStr">
        <is>
          <t>TIMRÅ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43527-2024</t>
        </is>
      </c>
      <c r="B717" s="1" t="n">
        <v>45569</v>
      </c>
      <c r="C717" s="1" t="n">
        <v>45574</v>
      </c>
      <c r="D717" t="inlineStr">
        <is>
          <t>VÄSTERNORRLANDS LÄN</t>
        </is>
      </c>
      <c r="E717" t="inlineStr">
        <is>
          <t>TIMRÅ</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43526-2024</t>
        </is>
      </c>
      <c r="B718" s="1" t="n">
        <v>45569</v>
      </c>
      <c r="C718" s="1" t="n">
        <v>45574</v>
      </c>
      <c r="D718" t="inlineStr">
        <is>
          <t>VÄSTERNORRLANDS LÄN</t>
        </is>
      </c>
      <c r="E718" t="inlineStr">
        <is>
          <t>TIMRÅ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43568-2024</t>
        </is>
      </c>
      <c r="B719" s="1" t="n">
        <v>45569</v>
      </c>
      <c r="C719" s="1" t="n">
        <v>45574</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43868-2024</t>
        </is>
      </c>
      <c r="B720" s="1" t="n">
        <v>45569</v>
      </c>
      <c r="C720" s="1" t="n">
        <v>45574</v>
      </c>
      <c r="D720" t="inlineStr">
        <is>
          <t>VÄSTERNORRLANDS LÄN</t>
        </is>
      </c>
      <c r="E720" t="inlineStr">
        <is>
          <t>TIMRÅ</t>
        </is>
      </c>
      <c r="G720" t="n">
        <v>1.8</v>
      </c>
      <c r="H720" t="n">
        <v>0</v>
      </c>
      <c r="I720" t="n">
        <v>0</v>
      </c>
      <c r="J720" t="n">
        <v>0</v>
      </c>
      <c r="K720" t="n">
        <v>0</v>
      </c>
      <c r="L720" t="n">
        <v>0</v>
      </c>
      <c r="M720" t="n">
        <v>0</v>
      </c>
      <c r="N720" t="n">
        <v>0</v>
      </c>
      <c r="O720" t="n">
        <v>0</v>
      </c>
      <c r="P720" t="n">
        <v>0</v>
      </c>
      <c r="Q720" t="n">
        <v>0</v>
      </c>
      <c r="R720" s="2" t="inlineStr"/>
    </row>
    <row r="721" ht="15" customHeight="1">
      <c r="A721" t="inlineStr">
        <is>
          <t>A 44011-2024</t>
        </is>
      </c>
      <c r="B721" s="1" t="n">
        <v>45572</v>
      </c>
      <c r="C721" s="1" t="n">
        <v>45574</v>
      </c>
      <c r="D721" t="inlineStr">
        <is>
          <t>VÄSTERNORRLANDS LÄN</t>
        </is>
      </c>
      <c r="E721" t="inlineStr">
        <is>
          <t>TIMRÅ</t>
        </is>
      </c>
      <c r="G721" t="n">
        <v>7.6</v>
      </c>
      <c r="H721" t="n">
        <v>0</v>
      </c>
      <c r="I721" t="n">
        <v>0</v>
      </c>
      <c r="J721" t="n">
        <v>0</v>
      </c>
      <c r="K721" t="n">
        <v>0</v>
      </c>
      <c r="L721" t="n">
        <v>0</v>
      </c>
      <c r="M721" t="n">
        <v>0</v>
      </c>
      <c r="N721" t="n">
        <v>0</v>
      </c>
      <c r="O721" t="n">
        <v>0</v>
      </c>
      <c r="P721" t="n">
        <v>0</v>
      </c>
      <c r="Q721" t="n">
        <v>0</v>
      </c>
      <c r="R721" s="2" t="inlineStr"/>
    </row>
    <row r="722">
      <c r="A722" t="inlineStr">
        <is>
          <t>A 44030-2024</t>
        </is>
      </c>
      <c r="B722" s="1" t="n">
        <v>45572</v>
      </c>
      <c r="C722" s="1" t="n">
        <v>45574</v>
      </c>
      <c r="D722" t="inlineStr">
        <is>
          <t>VÄSTERNORRLANDS LÄN</t>
        </is>
      </c>
      <c r="E722" t="inlineStr">
        <is>
          <t>TIMRÅ</t>
        </is>
      </c>
      <c r="G722" t="n">
        <v>2.1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2024-10-09T12:46:57Z</dcterms:created>
  <dcterms:modified xmlns:dcterms="http://purl.org/dc/terms/" xmlns:xsi="http://www.w3.org/2001/XMLSchema-instance" xsi:type="dcterms:W3CDTF">2024-10-09T12:46:58Z</dcterms:modified>
</cp:coreProperties>
</file>