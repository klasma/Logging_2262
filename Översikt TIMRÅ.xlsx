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45736</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45736</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45736</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45736</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45736</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45736</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45736</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45736</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45736</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45736</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45736</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45736</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45736</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45736</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45736</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45736</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45736</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45736</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45736</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45736</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45736</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45736</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45736</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45736</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45736</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45736</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45736</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45736</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45736</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45736</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45736</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45736</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45736</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45736</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45736</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45736</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45736</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45736</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45736</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45736</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45736</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45736</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45736</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45736</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45736</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45736</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45736</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45736</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45736</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45736</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45736</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45736</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45736</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45736</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45736</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45736</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45736</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45736</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45736</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45736</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30850-2023</t>
        </is>
      </c>
      <c r="B74" s="1" t="n">
        <v>45112</v>
      </c>
      <c r="C74" s="1" t="n">
        <v>45736</v>
      </c>
      <c r="D74" t="inlineStr">
        <is>
          <t>VÄSTERNORRLANDS LÄN</t>
        </is>
      </c>
      <c r="E74" t="inlineStr">
        <is>
          <t>TIMRÅ</t>
        </is>
      </c>
      <c r="F74" t="inlineStr">
        <is>
          <t>SCA</t>
        </is>
      </c>
      <c r="G74" t="n">
        <v>16.1</v>
      </c>
      <c r="H74" t="n">
        <v>0</v>
      </c>
      <c r="I74" t="n">
        <v>0</v>
      </c>
      <c r="J74" t="n">
        <v>1</v>
      </c>
      <c r="K74" t="n">
        <v>0</v>
      </c>
      <c r="L74" t="n">
        <v>0</v>
      </c>
      <c r="M74" t="n">
        <v>0</v>
      </c>
      <c r="N74" t="n">
        <v>0</v>
      </c>
      <c r="O74" t="n">
        <v>1</v>
      </c>
      <c r="P74" t="n">
        <v>0</v>
      </c>
      <c r="Q74" t="n">
        <v>1</v>
      </c>
      <c r="R74" s="2" t="inlineStr">
        <is>
          <t>Lunglav</t>
        </is>
      </c>
      <c r="S74">
        <f>HYPERLINK("https://klasma.github.io/Logging_2262/artfynd/A 30850-2023 artfynd.xlsx", "A 30850-2023")</f>
        <v/>
      </c>
      <c r="T74">
        <f>HYPERLINK("https://klasma.github.io/Logging_2262/kartor/A 30850-2023 karta.png", "A 30850-2023")</f>
        <v/>
      </c>
      <c r="V74">
        <f>HYPERLINK("https://klasma.github.io/Logging_2262/klagomål/A 30850-2023 FSC-klagomål.docx", "A 30850-2023")</f>
        <v/>
      </c>
      <c r="W74">
        <f>HYPERLINK("https://klasma.github.io/Logging_2262/klagomålsmail/A 30850-2023 FSC-klagomål mail.docx", "A 30850-2023")</f>
        <v/>
      </c>
      <c r="X74">
        <f>HYPERLINK("https://klasma.github.io/Logging_2262/tillsyn/A 30850-2023 tillsynsbegäran.docx", "A 30850-2023")</f>
        <v/>
      </c>
      <c r="Y74">
        <f>HYPERLINK("https://klasma.github.io/Logging_2262/tillsynsmail/A 30850-2023 tillsynsbegäran mail.docx", "A 30850-2023")</f>
        <v/>
      </c>
    </row>
    <row r="75" ht="15" customHeight="1">
      <c r="A75" t="inlineStr">
        <is>
          <t>A 33330-2023</t>
        </is>
      </c>
      <c r="B75" s="1" t="n">
        <v>45127</v>
      </c>
      <c r="C75" s="1" t="n">
        <v>45736</v>
      </c>
      <c r="D75" t="inlineStr">
        <is>
          <t>VÄSTERNORRLANDS LÄN</t>
        </is>
      </c>
      <c r="E75" t="inlineStr">
        <is>
          <t>TIMRÅ</t>
        </is>
      </c>
      <c r="F75" t="inlineStr">
        <is>
          <t>SCA</t>
        </is>
      </c>
      <c r="G75" t="n">
        <v>4</v>
      </c>
      <c r="H75" t="n">
        <v>0</v>
      </c>
      <c r="I75" t="n">
        <v>0</v>
      </c>
      <c r="J75" t="n">
        <v>1</v>
      </c>
      <c r="K75" t="n">
        <v>0</v>
      </c>
      <c r="L75" t="n">
        <v>0</v>
      </c>
      <c r="M75" t="n">
        <v>0</v>
      </c>
      <c r="N75" t="n">
        <v>0</v>
      </c>
      <c r="O75" t="n">
        <v>1</v>
      </c>
      <c r="P75" t="n">
        <v>0</v>
      </c>
      <c r="Q75" t="n">
        <v>1</v>
      </c>
      <c r="R75" s="2" t="inlineStr">
        <is>
          <t>Lunglav</t>
        </is>
      </c>
      <c r="S75">
        <f>HYPERLINK("https://klasma.github.io/Logging_2262/artfynd/A 33330-2023 artfynd.xlsx", "A 33330-2023")</f>
        <v/>
      </c>
      <c r="T75">
        <f>HYPERLINK("https://klasma.github.io/Logging_2262/kartor/A 33330-2023 karta.png", "A 33330-2023")</f>
        <v/>
      </c>
      <c r="V75">
        <f>HYPERLINK("https://klasma.github.io/Logging_2262/klagomål/A 33330-2023 FSC-klagomål.docx", "A 33330-2023")</f>
        <v/>
      </c>
      <c r="W75">
        <f>HYPERLINK("https://klasma.github.io/Logging_2262/klagomålsmail/A 33330-2023 FSC-klagomål mail.docx", "A 33330-2023")</f>
        <v/>
      </c>
      <c r="X75">
        <f>HYPERLINK("https://klasma.github.io/Logging_2262/tillsyn/A 33330-2023 tillsynsbegäran.docx", "A 33330-2023")</f>
        <v/>
      </c>
      <c r="Y75">
        <f>HYPERLINK("https://klasma.github.io/Logging_2262/tillsynsmail/A 33330-2023 tillsynsbegäran mail.docx", "A 33330-2023")</f>
        <v/>
      </c>
    </row>
    <row r="76" ht="15" customHeight="1">
      <c r="A76" t="inlineStr">
        <is>
          <t>A 33503-2023</t>
        </is>
      </c>
      <c r="B76" s="1" t="n">
        <v>45131</v>
      </c>
      <c r="C76" s="1" t="n">
        <v>45736</v>
      </c>
      <c r="D76" t="inlineStr">
        <is>
          <t>VÄSTERNORRLANDS LÄN</t>
        </is>
      </c>
      <c r="E76" t="inlineStr">
        <is>
          <t>TIMRÅ</t>
        </is>
      </c>
      <c r="G76" t="n">
        <v>28.3</v>
      </c>
      <c r="H76" t="n">
        <v>1</v>
      </c>
      <c r="I76" t="n">
        <v>0</v>
      </c>
      <c r="J76" t="n">
        <v>1</v>
      </c>
      <c r="K76" t="n">
        <v>0</v>
      </c>
      <c r="L76" t="n">
        <v>0</v>
      </c>
      <c r="M76" t="n">
        <v>0</v>
      </c>
      <c r="N76" t="n">
        <v>0</v>
      </c>
      <c r="O76" t="n">
        <v>1</v>
      </c>
      <c r="P76" t="n">
        <v>0</v>
      </c>
      <c r="Q76" t="n">
        <v>1</v>
      </c>
      <c r="R76" s="2" t="inlineStr">
        <is>
          <t>Utter</t>
        </is>
      </c>
      <c r="S76">
        <f>HYPERLINK("https://klasma.github.io/Logging_2262/artfynd/A 33503-2023 artfynd.xlsx", "A 33503-2023")</f>
        <v/>
      </c>
      <c r="T76">
        <f>HYPERLINK("https://klasma.github.io/Logging_2262/kartor/A 33503-2023 karta.png", "A 33503-2023")</f>
        <v/>
      </c>
      <c r="V76">
        <f>HYPERLINK("https://klasma.github.io/Logging_2262/klagomål/A 33503-2023 FSC-klagomål.docx", "A 33503-2023")</f>
        <v/>
      </c>
      <c r="W76">
        <f>HYPERLINK("https://klasma.github.io/Logging_2262/klagomålsmail/A 33503-2023 FSC-klagomål mail.docx", "A 33503-2023")</f>
        <v/>
      </c>
      <c r="X76">
        <f>HYPERLINK("https://klasma.github.io/Logging_2262/tillsyn/A 33503-2023 tillsynsbegäran.docx", "A 33503-2023")</f>
        <v/>
      </c>
      <c r="Y76">
        <f>HYPERLINK("https://klasma.github.io/Logging_2262/tillsynsmail/A 33503-2023 tillsynsbegäran mail.docx", "A 33503-2023")</f>
        <v/>
      </c>
    </row>
    <row r="77" ht="15" customHeight="1">
      <c r="A77" t="inlineStr">
        <is>
          <t>A 35510-2023</t>
        </is>
      </c>
      <c r="B77" s="1" t="n">
        <v>45147</v>
      </c>
      <c r="C77" s="1" t="n">
        <v>45736</v>
      </c>
      <c r="D77" t="inlineStr">
        <is>
          <t>VÄSTERNORRLANDS LÄN</t>
        </is>
      </c>
      <c r="E77" t="inlineStr">
        <is>
          <t>TIMRÅ</t>
        </is>
      </c>
      <c r="F77" t="inlineStr">
        <is>
          <t>SCA</t>
        </is>
      </c>
      <c r="G77" t="n">
        <v>3.5</v>
      </c>
      <c r="H77" t="n">
        <v>1</v>
      </c>
      <c r="I77" t="n">
        <v>0</v>
      </c>
      <c r="J77" t="n">
        <v>0</v>
      </c>
      <c r="K77" t="n">
        <v>0</v>
      </c>
      <c r="L77" t="n">
        <v>0</v>
      </c>
      <c r="M77" t="n">
        <v>0</v>
      </c>
      <c r="N77" t="n">
        <v>0</v>
      </c>
      <c r="O77" t="n">
        <v>0</v>
      </c>
      <c r="P77" t="n">
        <v>0</v>
      </c>
      <c r="Q77" t="n">
        <v>1</v>
      </c>
      <c r="R77" s="2" t="inlineStr">
        <is>
          <t>Revlummer</t>
        </is>
      </c>
      <c r="S77">
        <f>HYPERLINK("https://klasma.github.io/Logging_2262/artfynd/A 35510-2023 artfynd.xlsx", "A 35510-2023")</f>
        <v/>
      </c>
      <c r="T77">
        <f>HYPERLINK("https://klasma.github.io/Logging_2262/kartor/A 35510-2023 karta.png", "A 35510-2023")</f>
        <v/>
      </c>
      <c r="V77">
        <f>HYPERLINK("https://klasma.github.io/Logging_2262/klagomål/A 35510-2023 FSC-klagomål.docx", "A 35510-2023")</f>
        <v/>
      </c>
      <c r="W77">
        <f>HYPERLINK("https://klasma.github.io/Logging_2262/klagomålsmail/A 35510-2023 FSC-klagomål mail.docx", "A 35510-2023")</f>
        <v/>
      </c>
      <c r="X77">
        <f>HYPERLINK("https://klasma.github.io/Logging_2262/tillsyn/A 35510-2023 tillsynsbegäran.docx", "A 35510-2023")</f>
        <v/>
      </c>
      <c r="Y77">
        <f>HYPERLINK("https://klasma.github.io/Logging_2262/tillsynsmail/A 35510-2023 tillsynsbegäran mail.docx", "A 35510-2023")</f>
        <v/>
      </c>
    </row>
    <row r="78" ht="15" customHeight="1">
      <c r="A78" t="inlineStr">
        <is>
          <t>A 39141-2023</t>
        </is>
      </c>
      <c r="B78" s="1" t="n">
        <v>45165</v>
      </c>
      <c r="C78" s="1" t="n">
        <v>45736</v>
      </c>
      <c r="D78" t="inlineStr">
        <is>
          <t>VÄSTERNORRLANDS LÄN</t>
        </is>
      </c>
      <c r="E78" t="inlineStr">
        <is>
          <t>TIMRÅ</t>
        </is>
      </c>
      <c r="F78" t="inlineStr">
        <is>
          <t>SCA</t>
        </is>
      </c>
      <c r="G78" t="n">
        <v>11.3</v>
      </c>
      <c r="H78" t="n">
        <v>1</v>
      </c>
      <c r="I78" t="n">
        <v>1</v>
      </c>
      <c r="J78" t="n">
        <v>0</v>
      </c>
      <c r="K78" t="n">
        <v>0</v>
      </c>
      <c r="L78" t="n">
        <v>0</v>
      </c>
      <c r="M78" t="n">
        <v>0</v>
      </c>
      <c r="N78" t="n">
        <v>0</v>
      </c>
      <c r="O78" t="n">
        <v>0</v>
      </c>
      <c r="P78" t="n">
        <v>0</v>
      </c>
      <c r="Q78" t="n">
        <v>1</v>
      </c>
      <c r="R78" s="2" t="inlineStr">
        <is>
          <t>Plattlummer</t>
        </is>
      </c>
      <c r="S78">
        <f>HYPERLINK("https://klasma.github.io/Logging_2262/artfynd/A 39141-2023 artfynd.xlsx", "A 39141-2023")</f>
        <v/>
      </c>
      <c r="T78">
        <f>HYPERLINK("https://klasma.github.io/Logging_2262/kartor/A 39141-2023 karta.png", "A 39141-2023")</f>
        <v/>
      </c>
      <c r="V78">
        <f>HYPERLINK("https://klasma.github.io/Logging_2262/klagomål/A 39141-2023 FSC-klagomål.docx", "A 39141-2023")</f>
        <v/>
      </c>
      <c r="W78">
        <f>HYPERLINK("https://klasma.github.io/Logging_2262/klagomålsmail/A 39141-2023 FSC-klagomål mail.docx", "A 39141-2023")</f>
        <v/>
      </c>
      <c r="X78">
        <f>HYPERLINK("https://klasma.github.io/Logging_2262/tillsyn/A 39141-2023 tillsynsbegäran.docx", "A 39141-2023")</f>
        <v/>
      </c>
      <c r="Y78">
        <f>HYPERLINK("https://klasma.github.io/Logging_2262/tillsynsmail/A 39141-2023 tillsynsbegäran mail.docx", "A 39141-2023")</f>
        <v/>
      </c>
    </row>
    <row r="79" ht="15" customHeight="1">
      <c r="A79" t="inlineStr">
        <is>
          <t>A 47793-2023</t>
        </is>
      </c>
      <c r="B79" s="1" t="n">
        <v>45203</v>
      </c>
      <c r="C79" s="1" t="n">
        <v>45736</v>
      </c>
      <c r="D79" t="inlineStr">
        <is>
          <t>VÄSTERNORRLANDS LÄN</t>
        </is>
      </c>
      <c r="E79" t="inlineStr">
        <is>
          <t>TIMRÅ</t>
        </is>
      </c>
      <c r="F79" t="inlineStr">
        <is>
          <t>SCA</t>
        </is>
      </c>
      <c r="G79" t="n">
        <v>9.699999999999999</v>
      </c>
      <c r="H79" t="n">
        <v>1</v>
      </c>
      <c r="I79" t="n">
        <v>0</v>
      </c>
      <c r="J79" t="n">
        <v>0</v>
      </c>
      <c r="K79" t="n">
        <v>0</v>
      </c>
      <c r="L79" t="n">
        <v>0</v>
      </c>
      <c r="M79" t="n">
        <v>0</v>
      </c>
      <c r="N79" t="n">
        <v>0</v>
      </c>
      <c r="O79" t="n">
        <v>0</v>
      </c>
      <c r="P79" t="n">
        <v>0</v>
      </c>
      <c r="Q79" t="n">
        <v>1</v>
      </c>
      <c r="R79" s="2" t="inlineStr">
        <is>
          <t>Revlummer</t>
        </is>
      </c>
      <c r="S79">
        <f>HYPERLINK("https://klasma.github.io/Logging_2262/artfynd/A 47793-2023 artfynd.xlsx", "A 47793-2023")</f>
        <v/>
      </c>
      <c r="T79">
        <f>HYPERLINK("https://klasma.github.io/Logging_2262/kartor/A 47793-2023 karta.png", "A 47793-2023")</f>
        <v/>
      </c>
      <c r="V79">
        <f>HYPERLINK("https://klasma.github.io/Logging_2262/klagomål/A 47793-2023 FSC-klagomål.docx", "A 47793-2023")</f>
        <v/>
      </c>
      <c r="W79">
        <f>HYPERLINK("https://klasma.github.io/Logging_2262/klagomålsmail/A 47793-2023 FSC-klagomål mail.docx", "A 47793-2023")</f>
        <v/>
      </c>
      <c r="X79">
        <f>HYPERLINK("https://klasma.github.io/Logging_2262/tillsyn/A 47793-2023 tillsynsbegäran.docx", "A 47793-2023")</f>
        <v/>
      </c>
      <c r="Y79">
        <f>HYPERLINK("https://klasma.github.io/Logging_2262/tillsynsmail/A 47793-2023 tillsynsbegäran mail.docx", "A 47793-2023")</f>
        <v/>
      </c>
    </row>
    <row r="80" ht="15" customHeight="1">
      <c r="A80" t="inlineStr">
        <is>
          <t>A 47792-2023</t>
        </is>
      </c>
      <c r="B80" s="1" t="n">
        <v>45203</v>
      </c>
      <c r="C80" s="1" t="n">
        <v>45736</v>
      </c>
      <c r="D80" t="inlineStr">
        <is>
          <t>VÄSTERNORRLANDS LÄN</t>
        </is>
      </c>
      <c r="E80" t="inlineStr">
        <is>
          <t>TIMRÅ</t>
        </is>
      </c>
      <c r="F80" t="inlineStr">
        <is>
          <t>SCA</t>
        </is>
      </c>
      <c r="G80" t="n">
        <v>4.1</v>
      </c>
      <c r="H80" t="n">
        <v>0</v>
      </c>
      <c r="I80" t="n">
        <v>1</v>
      </c>
      <c r="J80" t="n">
        <v>0</v>
      </c>
      <c r="K80" t="n">
        <v>0</v>
      </c>
      <c r="L80" t="n">
        <v>0</v>
      </c>
      <c r="M80" t="n">
        <v>0</v>
      </c>
      <c r="N80" t="n">
        <v>0</v>
      </c>
      <c r="O80" t="n">
        <v>0</v>
      </c>
      <c r="P80" t="n">
        <v>0</v>
      </c>
      <c r="Q80" t="n">
        <v>1</v>
      </c>
      <c r="R80" s="2" t="inlineStr">
        <is>
          <t>Gräsull</t>
        </is>
      </c>
      <c r="S80">
        <f>HYPERLINK("https://klasma.github.io/Logging_2262/artfynd/A 47792-2023 artfynd.xlsx", "A 47792-2023")</f>
        <v/>
      </c>
      <c r="T80">
        <f>HYPERLINK("https://klasma.github.io/Logging_2262/kartor/A 47792-2023 karta.png", "A 47792-2023")</f>
        <v/>
      </c>
      <c r="V80">
        <f>HYPERLINK("https://klasma.github.io/Logging_2262/klagomål/A 47792-2023 FSC-klagomål.docx", "A 47792-2023")</f>
        <v/>
      </c>
      <c r="W80">
        <f>HYPERLINK("https://klasma.github.io/Logging_2262/klagomålsmail/A 47792-2023 FSC-klagomål mail.docx", "A 47792-2023")</f>
        <v/>
      </c>
      <c r="X80">
        <f>HYPERLINK("https://klasma.github.io/Logging_2262/tillsyn/A 47792-2023 tillsynsbegäran.docx", "A 47792-2023")</f>
        <v/>
      </c>
      <c r="Y80">
        <f>HYPERLINK("https://klasma.github.io/Logging_2262/tillsynsmail/A 47792-2023 tillsynsbegäran mail.docx", "A 47792-2023")</f>
        <v/>
      </c>
    </row>
    <row r="81" ht="15" customHeight="1">
      <c r="A81" t="inlineStr">
        <is>
          <t>A 49329-2023</t>
        </is>
      </c>
      <c r="B81" s="1" t="n">
        <v>45210</v>
      </c>
      <c r="C81" s="1" t="n">
        <v>45736</v>
      </c>
      <c r="D81" t="inlineStr">
        <is>
          <t>VÄSTERNORRLANDS LÄN</t>
        </is>
      </c>
      <c r="E81" t="inlineStr">
        <is>
          <t>TIMRÅ</t>
        </is>
      </c>
      <c r="F81" t="inlineStr">
        <is>
          <t>SCA</t>
        </is>
      </c>
      <c r="G81" t="n">
        <v>12.9</v>
      </c>
      <c r="H81" t="n">
        <v>0</v>
      </c>
      <c r="I81" t="n">
        <v>0</v>
      </c>
      <c r="J81" t="n">
        <v>1</v>
      </c>
      <c r="K81" t="n">
        <v>0</v>
      </c>
      <c r="L81" t="n">
        <v>0</v>
      </c>
      <c r="M81" t="n">
        <v>0</v>
      </c>
      <c r="N81" t="n">
        <v>0</v>
      </c>
      <c r="O81" t="n">
        <v>1</v>
      </c>
      <c r="P81" t="n">
        <v>0</v>
      </c>
      <c r="Q81" t="n">
        <v>1</v>
      </c>
      <c r="R81" s="2" t="inlineStr">
        <is>
          <t>Ullticka</t>
        </is>
      </c>
      <c r="S81">
        <f>HYPERLINK("https://klasma.github.io/Logging_2262/artfynd/A 49329-2023 artfynd.xlsx", "A 49329-2023")</f>
        <v/>
      </c>
      <c r="T81">
        <f>HYPERLINK("https://klasma.github.io/Logging_2262/kartor/A 49329-2023 karta.png", "A 49329-2023")</f>
        <v/>
      </c>
      <c r="V81">
        <f>HYPERLINK("https://klasma.github.io/Logging_2262/klagomål/A 49329-2023 FSC-klagomål.docx", "A 49329-2023")</f>
        <v/>
      </c>
      <c r="W81">
        <f>HYPERLINK("https://klasma.github.io/Logging_2262/klagomålsmail/A 49329-2023 FSC-klagomål mail.docx", "A 49329-2023")</f>
        <v/>
      </c>
      <c r="X81">
        <f>HYPERLINK("https://klasma.github.io/Logging_2262/tillsyn/A 49329-2023 tillsynsbegäran.docx", "A 49329-2023")</f>
        <v/>
      </c>
      <c r="Y81">
        <f>HYPERLINK("https://klasma.github.io/Logging_2262/tillsynsmail/A 49329-2023 tillsynsbegäran mail.docx", "A 49329-2023")</f>
        <v/>
      </c>
    </row>
    <row r="82" ht="15" customHeight="1">
      <c r="A82" t="inlineStr">
        <is>
          <t>A 56372-2023</t>
        </is>
      </c>
      <c r="B82" s="1" t="n">
        <v>45243</v>
      </c>
      <c r="C82" s="1" t="n">
        <v>45736</v>
      </c>
      <c r="D82" t="inlineStr">
        <is>
          <t>VÄSTERNORRLANDS LÄN</t>
        </is>
      </c>
      <c r="E82" t="inlineStr">
        <is>
          <t>TIMRÅ</t>
        </is>
      </c>
      <c r="G82" t="n">
        <v>6.9</v>
      </c>
      <c r="H82" t="n">
        <v>1</v>
      </c>
      <c r="I82" t="n">
        <v>0</v>
      </c>
      <c r="J82" t="n">
        <v>0</v>
      </c>
      <c r="K82" t="n">
        <v>1</v>
      </c>
      <c r="L82" t="n">
        <v>0</v>
      </c>
      <c r="M82" t="n">
        <v>0</v>
      </c>
      <c r="N82" t="n">
        <v>0</v>
      </c>
      <c r="O82" t="n">
        <v>1</v>
      </c>
      <c r="P82" t="n">
        <v>1</v>
      </c>
      <c r="Q82" t="n">
        <v>1</v>
      </c>
      <c r="R82" s="2" t="inlineStr">
        <is>
          <t>Knärot</t>
        </is>
      </c>
      <c r="S82">
        <f>HYPERLINK("https://klasma.github.io/Logging_2262/artfynd/A 56372-2023 artfynd.xlsx", "A 56372-2023")</f>
        <v/>
      </c>
      <c r="T82">
        <f>HYPERLINK("https://klasma.github.io/Logging_2262/kartor/A 56372-2023 karta.png", "A 56372-2023")</f>
        <v/>
      </c>
      <c r="U82">
        <f>HYPERLINK("https://klasma.github.io/Logging_2262/knärot/A 56372-2023 karta knärot.png", "A 56372-2023")</f>
        <v/>
      </c>
      <c r="V82">
        <f>HYPERLINK("https://klasma.github.io/Logging_2262/klagomål/A 56372-2023 FSC-klagomål.docx", "A 56372-2023")</f>
        <v/>
      </c>
      <c r="W82">
        <f>HYPERLINK("https://klasma.github.io/Logging_2262/klagomålsmail/A 56372-2023 FSC-klagomål mail.docx", "A 56372-2023")</f>
        <v/>
      </c>
      <c r="X82">
        <f>HYPERLINK("https://klasma.github.io/Logging_2262/tillsyn/A 56372-2023 tillsynsbegäran.docx", "A 56372-2023")</f>
        <v/>
      </c>
      <c r="Y82">
        <f>HYPERLINK("https://klasma.github.io/Logging_2262/tillsynsmail/A 56372-2023 tillsynsbegäran mail.docx", "A 56372-2023")</f>
        <v/>
      </c>
    </row>
    <row r="83" ht="15" customHeight="1">
      <c r="A83" t="inlineStr">
        <is>
          <t>A 58464-2023</t>
        </is>
      </c>
      <c r="B83" s="1" t="n">
        <v>45250</v>
      </c>
      <c r="C83" s="1" t="n">
        <v>45736</v>
      </c>
      <c r="D83" t="inlineStr">
        <is>
          <t>VÄSTERNORRLANDS LÄN</t>
        </is>
      </c>
      <c r="E83" t="inlineStr">
        <is>
          <t>TIMRÅ</t>
        </is>
      </c>
      <c r="F83" t="inlineStr">
        <is>
          <t>SCA</t>
        </is>
      </c>
      <c r="G83" t="n">
        <v>6.5</v>
      </c>
      <c r="H83" t="n">
        <v>0</v>
      </c>
      <c r="I83" t="n">
        <v>0</v>
      </c>
      <c r="J83" t="n">
        <v>1</v>
      </c>
      <c r="K83" t="n">
        <v>0</v>
      </c>
      <c r="L83" t="n">
        <v>0</v>
      </c>
      <c r="M83" t="n">
        <v>0</v>
      </c>
      <c r="N83" t="n">
        <v>0</v>
      </c>
      <c r="O83" t="n">
        <v>1</v>
      </c>
      <c r="P83" t="n">
        <v>0</v>
      </c>
      <c r="Q83" t="n">
        <v>1</v>
      </c>
      <c r="R83" s="2" t="inlineStr">
        <is>
          <t>Granticka</t>
        </is>
      </c>
      <c r="S83">
        <f>HYPERLINK("https://klasma.github.io/Logging_2262/artfynd/A 58464-2023 artfynd.xlsx", "A 58464-2023")</f>
        <v/>
      </c>
      <c r="T83">
        <f>HYPERLINK("https://klasma.github.io/Logging_2262/kartor/A 58464-2023 karta.png", "A 58464-2023")</f>
        <v/>
      </c>
      <c r="V83">
        <f>HYPERLINK("https://klasma.github.io/Logging_2262/klagomål/A 58464-2023 FSC-klagomål.docx", "A 58464-2023")</f>
        <v/>
      </c>
      <c r="W83">
        <f>HYPERLINK("https://klasma.github.io/Logging_2262/klagomålsmail/A 58464-2023 FSC-klagomål mail.docx", "A 58464-2023")</f>
        <v/>
      </c>
      <c r="X83">
        <f>HYPERLINK("https://klasma.github.io/Logging_2262/tillsyn/A 58464-2023 tillsynsbegäran.docx", "A 58464-2023")</f>
        <v/>
      </c>
      <c r="Y83">
        <f>HYPERLINK("https://klasma.github.io/Logging_2262/tillsynsmail/A 58464-2023 tillsynsbegäran mail.docx", "A 58464-2023")</f>
        <v/>
      </c>
    </row>
    <row r="84" ht="15" customHeight="1">
      <c r="A84" t="inlineStr">
        <is>
          <t>A 1152-2024</t>
        </is>
      </c>
      <c r="B84" s="1" t="n">
        <v>45302</v>
      </c>
      <c r="C84" s="1" t="n">
        <v>45736</v>
      </c>
      <c r="D84" t="inlineStr">
        <is>
          <t>VÄSTERNORRLANDS LÄN</t>
        </is>
      </c>
      <c r="E84" t="inlineStr">
        <is>
          <t>TIMRÅ</t>
        </is>
      </c>
      <c r="G84" t="n">
        <v>5.8</v>
      </c>
      <c r="H84" t="n">
        <v>0</v>
      </c>
      <c r="I84" t="n">
        <v>1</v>
      </c>
      <c r="J84" t="n">
        <v>0</v>
      </c>
      <c r="K84" t="n">
        <v>0</v>
      </c>
      <c r="L84" t="n">
        <v>0</v>
      </c>
      <c r="M84" t="n">
        <v>0</v>
      </c>
      <c r="N84" t="n">
        <v>0</v>
      </c>
      <c r="O84" t="n">
        <v>0</v>
      </c>
      <c r="P84" t="n">
        <v>0</v>
      </c>
      <c r="Q84" t="n">
        <v>1</v>
      </c>
      <c r="R84" s="2" t="inlineStr">
        <is>
          <t>Tibast</t>
        </is>
      </c>
      <c r="S84">
        <f>HYPERLINK("https://klasma.github.io/Logging_2262/artfynd/A 1152-2024 artfynd.xlsx", "A 1152-2024")</f>
        <v/>
      </c>
      <c r="T84">
        <f>HYPERLINK("https://klasma.github.io/Logging_2262/kartor/A 1152-2024 karta.png", "A 1152-2024")</f>
        <v/>
      </c>
      <c r="V84">
        <f>HYPERLINK("https://klasma.github.io/Logging_2262/klagomål/A 1152-2024 FSC-klagomål.docx", "A 1152-2024")</f>
        <v/>
      </c>
      <c r="W84">
        <f>HYPERLINK("https://klasma.github.io/Logging_2262/klagomålsmail/A 1152-2024 FSC-klagomål mail.docx", "A 1152-2024")</f>
        <v/>
      </c>
      <c r="X84">
        <f>HYPERLINK("https://klasma.github.io/Logging_2262/tillsyn/A 1152-2024 tillsynsbegäran.docx", "A 1152-2024")</f>
        <v/>
      </c>
      <c r="Y84">
        <f>HYPERLINK("https://klasma.github.io/Logging_2262/tillsynsmail/A 1152-2024 tillsynsbegäran mail.docx", "A 1152-2024")</f>
        <v/>
      </c>
    </row>
    <row r="85" ht="15" customHeight="1">
      <c r="A85" t="inlineStr">
        <is>
          <t>A 7904-2024</t>
        </is>
      </c>
      <c r="B85" s="1" t="n">
        <v>45349</v>
      </c>
      <c r="C85" s="1" t="n">
        <v>45736</v>
      </c>
      <c r="D85" t="inlineStr">
        <is>
          <t>VÄSTERNORRLANDS LÄN</t>
        </is>
      </c>
      <c r="E85" t="inlineStr">
        <is>
          <t>TIMRÅ</t>
        </is>
      </c>
      <c r="G85" t="n">
        <v>7.3</v>
      </c>
      <c r="H85" t="n">
        <v>1</v>
      </c>
      <c r="I85" t="n">
        <v>0</v>
      </c>
      <c r="J85" t="n">
        <v>0</v>
      </c>
      <c r="K85" t="n">
        <v>1</v>
      </c>
      <c r="L85" t="n">
        <v>0</v>
      </c>
      <c r="M85" t="n">
        <v>0</v>
      </c>
      <c r="N85" t="n">
        <v>0</v>
      </c>
      <c r="O85" t="n">
        <v>1</v>
      </c>
      <c r="P85" t="n">
        <v>1</v>
      </c>
      <c r="Q85" t="n">
        <v>1</v>
      </c>
      <c r="R85" s="2" t="inlineStr">
        <is>
          <t>Bergviol</t>
        </is>
      </c>
      <c r="S85">
        <f>HYPERLINK("https://klasma.github.io/Logging_2262/artfynd/A 7904-2024 artfynd.xlsx", "A 7904-2024")</f>
        <v/>
      </c>
      <c r="T85">
        <f>HYPERLINK("https://klasma.github.io/Logging_2262/kartor/A 7904-2024 karta.png", "A 7904-2024")</f>
        <v/>
      </c>
      <c r="V85">
        <f>HYPERLINK("https://klasma.github.io/Logging_2262/klagomål/A 7904-2024 FSC-klagomål.docx", "A 7904-2024")</f>
        <v/>
      </c>
      <c r="W85">
        <f>HYPERLINK("https://klasma.github.io/Logging_2262/klagomålsmail/A 7904-2024 FSC-klagomål mail.docx", "A 7904-2024")</f>
        <v/>
      </c>
      <c r="X85">
        <f>HYPERLINK("https://klasma.github.io/Logging_2262/tillsyn/A 7904-2024 tillsynsbegäran.docx", "A 7904-2024")</f>
        <v/>
      </c>
      <c r="Y85">
        <f>HYPERLINK("https://klasma.github.io/Logging_2262/tillsynsmail/A 7904-2024 tillsynsbegäran mail.docx", "A 7904-2024")</f>
        <v/>
      </c>
    </row>
    <row r="86" ht="15" customHeight="1">
      <c r="A86" t="inlineStr">
        <is>
          <t>A 8998-2024</t>
        </is>
      </c>
      <c r="B86" s="1" t="n">
        <v>45356</v>
      </c>
      <c r="C86" s="1" t="n">
        <v>45736</v>
      </c>
      <c r="D86" t="inlineStr">
        <is>
          <t>VÄSTERNORRLANDS LÄN</t>
        </is>
      </c>
      <c r="E86" t="inlineStr">
        <is>
          <t>TIMRÅ</t>
        </is>
      </c>
      <c r="G86" t="n">
        <v>2.1</v>
      </c>
      <c r="H86" t="n">
        <v>0</v>
      </c>
      <c r="I86" t="n">
        <v>1</v>
      </c>
      <c r="J86" t="n">
        <v>0</v>
      </c>
      <c r="K86" t="n">
        <v>0</v>
      </c>
      <c r="L86" t="n">
        <v>0</v>
      </c>
      <c r="M86" t="n">
        <v>0</v>
      </c>
      <c r="N86" t="n">
        <v>0</v>
      </c>
      <c r="O86" t="n">
        <v>0</v>
      </c>
      <c r="P86" t="n">
        <v>0</v>
      </c>
      <c r="Q86" t="n">
        <v>1</v>
      </c>
      <c r="R86" s="2" t="inlineStr">
        <is>
          <t>Strutbräken</t>
        </is>
      </c>
      <c r="S86">
        <f>HYPERLINK("https://klasma.github.io/Logging_2262/artfynd/A 8998-2024 artfynd.xlsx", "A 8998-2024")</f>
        <v/>
      </c>
      <c r="T86">
        <f>HYPERLINK("https://klasma.github.io/Logging_2262/kartor/A 8998-2024 karta.png", "A 8998-2024")</f>
        <v/>
      </c>
      <c r="V86">
        <f>HYPERLINK("https://klasma.github.io/Logging_2262/klagomål/A 8998-2024 FSC-klagomål.docx", "A 8998-2024")</f>
        <v/>
      </c>
      <c r="W86">
        <f>HYPERLINK("https://klasma.github.io/Logging_2262/klagomålsmail/A 8998-2024 FSC-klagomål mail.docx", "A 8998-2024")</f>
        <v/>
      </c>
      <c r="X86">
        <f>HYPERLINK("https://klasma.github.io/Logging_2262/tillsyn/A 8998-2024 tillsynsbegäran.docx", "A 8998-2024")</f>
        <v/>
      </c>
      <c r="Y86">
        <f>HYPERLINK("https://klasma.github.io/Logging_2262/tillsynsmail/A 8998-2024 tillsynsbegäran mail.docx", "A 8998-2024")</f>
        <v/>
      </c>
    </row>
    <row r="87" ht="15" customHeight="1">
      <c r="A87" t="inlineStr">
        <is>
          <t>A 14168-2024</t>
        </is>
      </c>
      <c r="B87" s="1" t="n">
        <v>45392</v>
      </c>
      <c r="C87" s="1" t="n">
        <v>45736</v>
      </c>
      <c r="D87" t="inlineStr">
        <is>
          <t>VÄSTERNORRLANDS LÄN</t>
        </is>
      </c>
      <c r="E87" t="inlineStr">
        <is>
          <t>TIMRÅ</t>
        </is>
      </c>
      <c r="F87" t="inlineStr">
        <is>
          <t>SCA</t>
        </is>
      </c>
      <c r="G87" t="n">
        <v>6.3</v>
      </c>
      <c r="H87" t="n">
        <v>0</v>
      </c>
      <c r="I87" t="n">
        <v>1</v>
      </c>
      <c r="J87" t="n">
        <v>0</v>
      </c>
      <c r="K87" t="n">
        <v>0</v>
      </c>
      <c r="L87" t="n">
        <v>0</v>
      </c>
      <c r="M87" t="n">
        <v>0</v>
      </c>
      <c r="N87" t="n">
        <v>0</v>
      </c>
      <c r="O87" t="n">
        <v>0</v>
      </c>
      <c r="P87" t="n">
        <v>0</v>
      </c>
      <c r="Q87" t="n">
        <v>1</v>
      </c>
      <c r="R87" s="2" t="inlineStr">
        <is>
          <t>Vedticka</t>
        </is>
      </c>
      <c r="S87">
        <f>HYPERLINK("https://klasma.github.io/Logging_2262/artfynd/A 14168-2024 artfynd.xlsx", "A 14168-2024")</f>
        <v/>
      </c>
      <c r="T87">
        <f>HYPERLINK("https://klasma.github.io/Logging_2262/kartor/A 14168-2024 karta.png", "A 14168-2024")</f>
        <v/>
      </c>
      <c r="V87">
        <f>HYPERLINK("https://klasma.github.io/Logging_2262/klagomål/A 14168-2024 FSC-klagomål.docx", "A 14168-2024")</f>
        <v/>
      </c>
      <c r="W87">
        <f>HYPERLINK("https://klasma.github.io/Logging_2262/klagomålsmail/A 14168-2024 FSC-klagomål mail.docx", "A 14168-2024")</f>
        <v/>
      </c>
      <c r="X87">
        <f>HYPERLINK("https://klasma.github.io/Logging_2262/tillsyn/A 14168-2024 tillsynsbegäran.docx", "A 14168-2024")</f>
        <v/>
      </c>
      <c r="Y87">
        <f>HYPERLINK("https://klasma.github.io/Logging_2262/tillsynsmail/A 14168-2024 tillsynsbegäran mail.docx", "A 14168-2024")</f>
        <v/>
      </c>
    </row>
    <row r="88" ht="15" customHeight="1">
      <c r="A88" t="inlineStr">
        <is>
          <t>A 15477-2024</t>
        </is>
      </c>
      <c r="B88" s="1" t="n">
        <v>45401</v>
      </c>
      <c r="C88" s="1" t="n">
        <v>45736</v>
      </c>
      <c r="D88" t="inlineStr">
        <is>
          <t>VÄSTERNORRLANDS LÄN</t>
        </is>
      </c>
      <c r="E88" t="inlineStr">
        <is>
          <t>TIMRÅ</t>
        </is>
      </c>
      <c r="G88" t="n">
        <v>2.1</v>
      </c>
      <c r="H88" t="n">
        <v>0</v>
      </c>
      <c r="I88" t="n">
        <v>0</v>
      </c>
      <c r="J88" t="n">
        <v>1</v>
      </c>
      <c r="K88" t="n">
        <v>0</v>
      </c>
      <c r="L88" t="n">
        <v>0</v>
      </c>
      <c r="M88" t="n">
        <v>0</v>
      </c>
      <c r="N88" t="n">
        <v>0</v>
      </c>
      <c r="O88" t="n">
        <v>1</v>
      </c>
      <c r="P88" t="n">
        <v>0</v>
      </c>
      <c r="Q88" t="n">
        <v>1</v>
      </c>
      <c r="R88" s="2" t="inlineStr">
        <is>
          <t>Tallticka</t>
        </is>
      </c>
      <c r="S88">
        <f>HYPERLINK("https://klasma.github.io/Logging_2262/artfynd/A 15477-2024 artfynd.xlsx", "A 15477-2024")</f>
        <v/>
      </c>
      <c r="T88">
        <f>HYPERLINK("https://klasma.github.io/Logging_2262/kartor/A 15477-2024 karta.png", "A 15477-2024")</f>
        <v/>
      </c>
      <c r="V88">
        <f>HYPERLINK("https://klasma.github.io/Logging_2262/klagomål/A 15477-2024 FSC-klagomål.docx", "A 15477-2024")</f>
        <v/>
      </c>
      <c r="W88">
        <f>HYPERLINK("https://klasma.github.io/Logging_2262/klagomålsmail/A 15477-2024 FSC-klagomål mail.docx", "A 15477-2024")</f>
        <v/>
      </c>
      <c r="X88">
        <f>HYPERLINK("https://klasma.github.io/Logging_2262/tillsyn/A 15477-2024 tillsynsbegäran.docx", "A 15477-2024")</f>
        <v/>
      </c>
      <c r="Y88">
        <f>HYPERLINK("https://klasma.github.io/Logging_2262/tillsynsmail/A 15477-2024 tillsynsbegäran mail.docx", "A 15477-2024")</f>
        <v/>
      </c>
    </row>
    <row r="89" ht="15" customHeight="1">
      <c r="A89" t="inlineStr">
        <is>
          <t>A 20350-2024</t>
        </is>
      </c>
      <c r="B89" s="1" t="n">
        <v>45435</v>
      </c>
      <c r="C89" s="1" t="n">
        <v>45736</v>
      </c>
      <c r="D89" t="inlineStr">
        <is>
          <t>VÄSTERNORRLANDS LÄN</t>
        </is>
      </c>
      <c r="E89" t="inlineStr">
        <is>
          <t>TIMRÅ</t>
        </is>
      </c>
      <c r="F89" t="inlineStr">
        <is>
          <t>SCA</t>
        </is>
      </c>
      <c r="G89" t="n">
        <v>6.9</v>
      </c>
      <c r="H89" t="n">
        <v>0</v>
      </c>
      <c r="I89" t="n">
        <v>0</v>
      </c>
      <c r="J89" t="n">
        <v>1</v>
      </c>
      <c r="K89" t="n">
        <v>0</v>
      </c>
      <c r="L89" t="n">
        <v>0</v>
      </c>
      <c r="M89" t="n">
        <v>0</v>
      </c>
      <c r="N89" t="n">
        <v>0</v>
      </c>
      <c r="O89" t="n">
        <v>1</v>
      </c>
      <c r="P89" t="n">
        <v>0</v>
      </c>
      <c r="Q89" t="n">
        <v>1</v>
      </c>
      <c r="R89" s="2" t="inlineStr">
        <is>
          <t>Garnlav</t>
        </is>
      </c>
      <c r="S89">
        <f>HYPERLINK("https://klasma.github.io/Logging_2262/artfynd/A 20350-2024 artfynd.xlsx", "A 20350-2024")</f>
        <v/>
      </c>
      <c r="T89">
        <f>HYPERLINK("https://klasma.github.io/Logging_2262/kartor/A 20350-2024 karta.png", "A 20350-2024")</f>
        <v/>
      </c>
      <c r="V89">
        <f>HYPERLINK("https://klasma.github.io/Logging_2262/klagomål/A 20350-2024 FSC-klagomål.docx", "A 20350-2024")</f>
        <v/>
      </c>
      <c r="W89">
        <f>HYPERLINK("https://klasma.github.io/Logging_2262/klagomålsmail/A 20350-2024 FSC-klagomål mail.docx", "A 20350-2024")</f>
        <v/>
      </c>
      <c r="X89">
        <f>HYPERLINK("https://klasma.github.io/Logging_2262/tillsyn/A 20350-2024 tillsynsbegäran.docx", "A 20350-2024")</f>
        <v/>
      </c>
      <c r="Y89">
        <f>HYPERLINK("https://klasma.github.io/Logging_2262/tillsynsmail/A 20350-2024 tillsynsbegäran mail.docx", "A 20350-2024")</f>
        <v/>
      </c>
    </row>
    <row r="90" ht="15" customHeight="1">
      <c r="A90" t="inlineStr">
        <is>
          <t>A 20785-2024</t>
        </is>
      </c>
      <c r="B90" s="1" t="n">
        <v>45437</v>
      </c>
      <c r="C90" s="1" t="n">
        <v>45736</v>
      </c>
      <c r="D90" t="inlineStr">
        <is>
          <t>VÄSTERNORRLANDS LÄN</t>
        </is>
      </c>
      <c r="E90" t="inlineStr">
        <is>
          <t>TIMRÅ</t>
        </is>
      </c>
      <c r="F90" t="inlineStr">
        <is>
          <t>SCA</t>
        </is>
      </c>
      <c r="G90" t="n">
        <v>3.4</v>
      </c>
      <c r="H90" t="n">
        <v>0</v>
      </c>
      <c r="I90" t="n">
        <v>0</v>
      </c>
      <c r="J90" t="n">
        <v>1</v>
      </c>
      <c r="K90" t="n">
        <v>0</v>
      </c>
      <c r="L90" t="n">
        <v>0</v>
      </c>
      <c r="M90" t="n">
        <v>0</v>
      </c>
      <c r="N90" t="n">
        <v>0</v>
      </c>
      <c r="O90" t="n">
        <v>1</v>
      </c>
      <c r="P90" t="n">
        <v>0</v>
      </c>
      <c r="Q90" t="n">
        <v>1</v>
      </c>
      <c r="R90" s="2" t="inlineStr">
        <is>
          <t>Rosenticka</t>
        </is>
      </c>
      <c r="S90">
        <f>HYPERLINK("https://klasma.github.io/Logging_2262/artfynd/A 20785-2024 artfynd.xlsx", "A 20785-2024")</f>
        <v/>
      </c>
      <c r="T90">
        <f>HYPERLINK("https://klasma.github.io/Logging_2262/kartor/A 20785-2024 karta.png", "A 20785-2024")</f>
        <v/>
      </c>
      <c r="V90">
        <f>HYPERLINK("https://klasma.github.io/Logging_2262/klagomål/A 20785-2024 FSC-klagomål.docx", "A 20785-2024")</f>
        <v/>
      </c>
      <c r="W90">
        <f>HYPERLINK("https://klasma.github.io/Logging_2262/klagomålsmail/A 20785-2024 FSC-klagomål mail.docx", "A 20785-2024")</f>
        <v/>
      </c>
      <c r="X90">
        <f>HYPERLINK("https://klasma.github.io/Logging_2262/tillsyn/A 20785-2024 tillsynsbegäran.docx", "A 20785-2024")</f>
        <v/>
      </c>
      <c r="Y90">
        <f>HYPERLINK("https://klasma.github.io/Logging_2262/tillsynsmail/A 20785-2024 tillsynsbegäran mail.docx", "A 20785-2024")</f>
        <v/>
      </c>
    </row>
    <row r="91" ht="15" customHeight="1">
      <c r="A91" t="inlineStr">
        <is>
          <t>A 21845-2024</t>
        </is>
      </c>
      <c r="B91" s="1" t="n">
        <v>45442</v>
      </c>
      <c r="C91" s="1" t="n">
        <v>45736</v>
      </c>
      <c r="D91" t="inlineStr">
        <is>
          <t>VÄSTERNORRLANDS LÄN</t>
        </is>
      </c>
      <c r="E91" t="inlineStr">
        <is>
          <t>TIMRÅ</t>
        </is>
      </c>
      <c r="F91" t="inlineStr">
        <is>
          <t>SCA</t>
        </is>
      </c>
      <c r="G91" t="n">
        <v>14.7</v>
      </c>
      <c r="H91" t="n">
        <v>0</v>
      </c>
      <c r="I91" t="n">
        <v>0</v>
      </c>
      <c r="J91" t="n">
        <v>1</v>
      </c>
      <c r="K91" t="n">
        <v>0</v>
      </c>
      <c r="L91" t="n">
        <v>0</v>
      </c>
      <c r="M91" t="n">
        <v>0</v>
      </c>
      <c r="N91" t="n">
        <v>0</v>
      </c>
      <c r="O91" t="n">
        <v>1</v>
      </c>
      <c r="P91" t="n">
        <v>0</v>
      </c>
      <c r="Q91" t="n">
        <v>1</v>
      </c>
      <c r="R91" s="2" t="inlineStr">
        <is>
          <t>Lunglav</t>
        </is>
      </c>
      <c r="S91">
        <f>HYPERLINK("https://klasma.github.io/Logging_2262/artfynd/A 21845-2024 artfynd.xlsx", "A 21845-2024")</f>
        <v/>
      </c>
      <c r="T91">
        <f>HYPERLINK("https://klasma.github.io/Logging_2262/kartor/A 21845-2024 karta.png", "A 21845-2024")</f>
        <v/>
      </c>
      <c r="V91">
        <f>HYPERLINK("https://klasma.github.io/Logging_2262/klagomål/A 21845-2024 FSC-klagomål.docx", "A 21845-2024")</f>
        <v/>
      </c>
      <c r="W91">
        <f>HYPERLINK("https://klasma.github.io/Logging_2262/klagomålsmail/A 21845-2024 FSC-klagomål mail.docx", "A 21845-2024")</f>
        <v/>
      </c>
      <c r="X91">
        <f>HYPERLINK("https://klasma.github.io/Logging_2262/tillsyn/A 21845-2024 tillsynsbegäran.docx", "A 21845-2024")</f>
        <v/>
      </c>
      <c r="Y91">
        <f>HYPERLINK("https://klasma.github.io/Logging_2262/tillsynsmail/A 21845-2024 tillsynsbegäran mail.docx", "A 21845-2024")</f>
        <v/>
      </c>
    </row>
    <row r="92" ht="15" customHeight="1">
      <c r="A92" t="inlineStr">
        <is>
          <t>A 39150-2024</t>
        </is>
      </c>
      <c r="B92" s="1" t="n">
        <v>45548</v>
      </c>
      <c r="C92" s="1" t="n">
        <v>45736</v>
      </c>
      <c r="D92" t="inlineStr">
        <is>
          <t>VÄSTERNORRLANDS LÄN</t>
        </is>
      </c>
      <c r="E92" t="inlineStr">
        <is>
          <t>TIMRÅ</t>
        </is>
      </c>
      <c r="G92" t="n">
        <v>4.4</v>
      </c>
      <c r="H92" t="n">
        <v>0</v>
      </c>
      <c r="I92" t="n">
        <v>1</v>
      </c>
      <c r="J92" t="n">
        <v>0</v>
      </c>
      <c r="K92" t="n">
        <v>0</v>
      </c>
      <c r="L92" t="n">
        <v>0</v>
      </c>
      <c r="M92" t="n">
        <v>0</v>
      </c>
      <c r="N92" t="n">
        <v>0</v>
      </c>
      <c r="O92" t="n">
        <v>0</v>
      </c>
      <c r="P92" t="n">
        <v>0</v>
      </c>
      <c r="Q92" t="n">
        <v>1</v>
      </c>
      <c r="R92" s="2" t="inlineStr">
        <is>
          <t>Ögonpyrola</t>
        </is>
      </c>
      <c r="S92">
        <f>HYPERLINK("https://klasma.github.io/Logging_2262/artfynd/A 39150-2024 artfynd.xlsx", "A 39150-2024")</f>
        <v/>
      </c>
      <c r="T92">
        <f>HYPERLINK("https://klasma.github.io/Logging_2262/kartor/A 39150-2024 karta.png", "A 39150-2024")</f>
        <v/>
      </c>
      <c r="V92">
        <f>HYPERLINK("https://klasma.github.io/Logging_2262/klagomål/A 39150-2024 FSC-klagomål.docx", "A 39150-2024")</f>
        <v/>
      </c>
      <c r="W92">
        <f>HYPERLINK("https://klasma.github.io/Logging_2262/klagomålsmail/A 39150-2024 FSC-klagomål mail.docx", "A 39150-2024")</f>
        <v/>
      </c>
      <c r="X92">
        <f>HYPERLINK("https://klasma.github.io/Logging_2262/tillsyn/A 39150-2024 tillsynsbegäran.docx", "A 39150-2024")</f>
        <v/>
      </c>
      <c r="Y92">
        <f>HYPERLINK("https://klasma.github.io/Logging_2262/tillsynsmail/A 39150-2024 tillsynsbegäran mail.docx", "A 39150-2024")</f>
        <v/>
      </c>
    </row>
    <row r="93" ht="15" customHeight="1">
      <c r="A93" t="inlineStr">
        <is>
          <t>A 40659-2024</t>
        </is>
      </c>
      <c r="B93" s="1" t="n">
        <v>45558</v>
      </c>
      <c r="C93" s="1" t="n">
        <v>45736</v>
      </c>
      <c r="D93" t="inlineStr">
        <is>
          <t>VÄSTERNORRLANDS LÄN</t>
        </is>
      </c>
      <c r="E93" t="inlineStr">
        <is>
          <t>TIMRÅ</t>
        </is>
      </c>
      <c r="F93" t="inlineStr">
        <is>
          <t>SCA</t>
        </is>
      </c>
      <c r="G93" t="n">
        <v>0.7</v>
      </c>
      <c r="H93" t="n">
        <v>0</v>
      </c>
      <c r="I93" t="n">
        <v>0</v>
      </c>
      <c r="J93" t="n">
        <v>1</v>
      </c>
      <c r="K93" t="n">
        <v>0</v>
      </c>
      <c r="L93" t="n">
        <v>0</v>
      </c>
      <c r="M93" t="n">
        <v>0</v>
      </c>
      <c r="N93" t="n">
        <v>0</v>
      </c>
      <c r="O93" t="n">
        <v>1</v>
      </c>
      <c r="P93" t="n">
        <v>0</v>
      </c>
      <c r="Q93" t="n">
        <v>1</v>
      </c>
      <c r="R93" s="2" t="inlineStr">
        <is>
          <t>Rosenticka</t>
        </is>
      </c>
      <c r="S93">
        <f>HYPERLINK("https://klasma.github.io/Logging_2262/artfynd/A 40659-2024 artfynd.xlsx", "A 40659-2024")</f>
        <v/>
      </c>
      <c r="T93">
        <f>HYPERLINK("https://klasma.github.io/Logging_2262/kartor/A 40659-2024 karta.png", "A 40659-2024")</f>
        <v/>
      </c>
      <c r="V93">
        <f>HYPERLINK("https://klasma.github.io/Logging_2262/klagomål/A 40659-2024 FSC-klagomål.docx", "A 40659-2024")</f>
        <v/>
      </c>
      <c r="W93">
        <f>HYPERLINK("https://klasma.github.io/Logging_2262/klagomålsmail/A 40659-2024 FSC-klagomål mail.docx", "A 40659-2024")</f>
        <v/>
      </c>
      <c r="X93">
        <f>HYPERLINK("https://klasma.github.io/Logging_2262/tillsyn/A 40659-2024 tillsynsbegäran.docx", "A 40659-2024")</f>
        <v/>
      </c>
      <c r="Y93">
        <f>HYPERLINK("https://klasma.github.io/Logging_2262/tillsynsmail/A 40659-2024 tillsynsbegäran mail.docx", "A 40659-2024")</f>
        <v/>
      </c>
    </row>
    <row r="94" ht="15" customHeight="1">
      <c r="A94" t="inlineStr">
        <is>
          <t>A 45721-2024</t>
        </is>
      </c>
      <c r="B94" s="1" t="n">
        <v>45579</v>
      </c>
      <c r="C94" s="1" t="n">
        <v>45736</v>
      </c>
      <c r="D94" t="inlineStr">
        <is>
          <t>VÄSTERNORRLANDS LÄN</t>
        </is>
      </c>
      <c r="E94" t="inlineStr">
        <is>
          <t>TIMRÅ</t>
        </is>
      </c>
      <c r="F94" t="inlineStr">
        <is>
          <t>SCA</t>
        </is>
      </c>
      <c r="G94" t="n">
        <v>6</v>
      </c>
      <c r="H94" t="n">
        <v>0</v>
      </c>
      <c r="I94" t="n">
        <v>0</v>
      </c>
      <c r="J94" t="n">
        <v>1</v>
      </c>
      <c r="K94" t="n">
        <v>0</v>
      </c>
      <c r="L94" t="n">
        <v>0</v>
      </c>
      <c r="M94" t="n">
        <v>0</v>
      </c>
      <c r="N94" t="n">
        <v>0</v>
      </c>
      <c r="O94" t="n">
        <v>1</v>
      </c>
      <c r="P94" t="n">
        <v>0</v>
      </c>
      <c r="Q94" t="n">
        <v>1</v>
      </c>
      <c r="R94" s="2" t="inlineStr">
        <is>
          <t>Gammelgransskål</t>
        </is>
      </c>
      <c r="S94">
        <f>HYPERLINK("https://klasma.github.io/Logging_2262/artfynd/A 45721-2024 artfynd.xlsx", "A 45721-2024")</f>
        <v/>
      </c>
      <c r="T94">
        <f>HYPERLINK("https://klasma.github.io/Logging_2262/kartor/A 45721-2024 karta.png", "A 45721-2024")</f>
        <v/>
      </c>
      <c r="V94">
        <f>HYPERLINK("https://klasma.github.io/Logging_2262/klagomål/A 45721-2024 FSC-klagomål.docx", "A 45721-2024")</f>
        <v/>
      </c>
      <c r="W94">
        <f>HYPERLINK("https://klasma.github.io/Logging_2262/klagomålsmail/A 45721-2024 FSC-klagomål mail.docx", "A 45721-2024")</f>
        <v/>
      </c>
      <c r="X94">
        <f>HYPERLINK("https://klasma.github.io/Logging_2262/tillsyn/A 45721-2024 tillsynsbegäran.docx", "A 45721-2024")</f>
        <v/>
      </c>
      <c r="Y94">
        <f>HYPERLINK("https://klasma.github.io/Logging_2262/tillsynsmail/A 45721-2024 tillsynsbegäran mail.docx", "A 45721-2024")</f>
        <v/>
      </c>
    </row>
    <row r="95" ht="15" customHeight="1">
      <c r="A95" t="inlineStr">
        <is>
          <t>A 53295-2024</t>
        </is>
      </c>
      <c r="B95" s="1" t="n">
        <v>45614</v>
      </c>
      <c r="C95" s="1" t="n">
        <v>45736</v>
      </c>
      <c r="D95" t="inlineStr">
        <is>
          <t>VÄSTERNORRLANDS LÄN</t>
        </is>
      </c>
      <c r="E95" t="inlineStr">
        <is>
          <t>TIMRÅ</t>
        </is>
      </c>
      <c r="F95" t="inlineStr">
        <is>
          <t>SCA</t>
        </is>
      </c>
      <c r="G95" t="n">
        <v>1.9</v>
      </c>
      <c r="H95" t="n">
        <v>0</v>
      </c>
      <c r="I95" t="n">
        <v>0</v>
      </c>
      <c r="J95" t="n">
        <v>1</v>
      </c>
      <c r="K95" t="n">
        <v>0</v>
      </c>
      <c r="L95" t="n">
        <v>0</v>
      </c>
      <c r="M95" t="n">
        <v>0</v>
      </c>
      <c r="N95" t="n">
        <v>0</v>
      </c>
      <c r="O95" t="n">
        <v>1</v>
      </c>
      <c r="P95" t="n">
        <v>0</v>
      </c>
      <c r="Q95" t="n">
        <v>1</v>
      </c>
      <c r="R95" s="2" t="inlineStr">
        <is>
          <t>Vedskivlav</t>
        </is>
      </c>
      <c r="S95">
        <f>HYPERLINK("https://klasma.github.io/Logging_2262/artfynd/A 53295-2024 artfynd.xlsx", "A 53295-2024")</f>
        <v/>
      </c>
      <c r="T95">
        <f>HYPERLINK("https://klasma.github.io/Logging_2262/kartor/A 53295-2024 karta.png", "A 53295-2024")</f>
        <v/>
      </c>
      <c r="V95">
        <f>HYPERLINK("https://klasma.github.io/Logging_2262/klagomål/A 53295-2024 FSC-klagomål.docx", "A 53295-2024")</f>
        <v/>
      </c>
      <c r="W95">
        <f>HYPERLINK("https://klasma.github.io/Logging_2262/klagomålsmail/A 53295-2024 FSC-klagomål mail.docx", "A 53295-2024")</f>
        <v/>
      </c>
      <c r="X95">
        <f>HYPERLINK("https://klasma.github.io/Logging_2262/tillsyn/A 53295-2024 tillsynsbegäran.docx", "A 53295-2024")</f>
        <v/>
      </c>
      <c r="Y95">
        <f>HYPERLINK("https://klasma.github.io/Logging_2262/tillsynsmail/A 53295-2024 tillsynsbegäran mail.docx", "A 53295-2024")</f>
        <v/>
      </c>
    </row>
    <row r="96" ht="15" customHeight="1">
      <c r="A96" t="inlineStr">
        <is>
          <t>A 53300-2024</t>
        </is>
      </c>
      <c r="B96" s="1" t="n">
        <v>45614</v>
      </c>
      <c r="C96" s="1" t="n">
        <v>45736</v>
      </c>
      <c r="D96" t="inlineStr">
        <is>
          <t>VÄSTERNORRLANDS LÄN</t>
        </is>
      </c>
      <c r="E96" t="inlineStr">
        <is>
          <t>TIMRÅ</t>
        </is>
      </c>
      <c r="F96" t="inlineStr">
        <is>
          <t>SCA</t>
        </is>
      </c>
      <c r="G96" t="n">
        <v>1</v>
      </c>
      <c r="H96" t="n">
        <v>0</v>
      </c>
      <c r="I96" t="n">
        <v>0</v>
      </c>
      <c r="J96" t="n">
        <v>1</v>
      </c>
      <c r="K96" t="n">
        <v>0</v>
      </c>
      <c r="L96" t="n">
        <v>0</v>
      </c>
      <c r="M96" t="n">
        <v>0</v>
      </c>
      <c r="N96" t="n">
        <v>0</v>
      </c>
      <c r="O96" t="n">
        <v>1</v>
      </c>
      <c r="P96" t="n">
        <v>0</v>
      </c>
      <c r="Q96" t="n">
        <v>1</v>
      </c>
      <c r="R96" s="2" t="inlineStr">
        <is>
          <t>Garnlav</t>
        </is>
      </c>
      <c r="S96">
        <f>HYPERLINK("https://klasma.github.io/Logging_2262/artfynd/A 53300-2024 artfynd.xlsx", "A 53300-2024")</f>
        <v/>
      </c>
      <c r="T96">
        <f>HYPERLINK("https://klasma.github.io/Logging_2262/kartor/A 53300-2024 karta.png", "A 53300-2024")</f>
        <v/>
      </c>
      <c r="V96">
        <f>HYPERLINK("https://klasma.github.io/Logging_2262/klagomål/A 53300-2024 FSC-klagomål.docx", "A 53300-2024")</f>
        <v/>
      </c>
      <c r="W96">
        <f>HYPERLINK("https://klasma.github.io/Logging_2262/klagomålsmail/A 53300-2024 FSC-klagomål mail.docx", "A 53300-2024")</f>
        <v/>
      </c>
      <c r="X96">
        <f>HYPERLINK("https://klasma.github.io/Logging_2262/tillsyn/A 53300-2024 tillsynsbegäran.docx", "A 53300-2024")</f>
        <v/>
      </c>
      <c r="Y96">
        <f>HYPERLINK("https://klasma.github.io/Logging_2262/tillsynsmail/A 53300-2024 tillsynsbegäran mail.docx", "A 53300-2024")</f>
        <v/>
      </c>
    </row>
    <row r="97" ht="15" customHeight="1">
      <c r="A97" t="inlineStr">
        <is>
          <t>A 56287-2024</t>
        </is>
      </c>
      <c r="B97" s="1" t="n">
        <v>45624</v>
      </c>
      <c r="C97" s="1" t="n">
        <v>45736</v>
      </c>
      <c r="D97" t="inlineStr">
        <is>
          <t>VÄSTERNORRLANDS LÄN</t>
        </is>
      </c>
      <c r="E97" t="inlineStr">
        <is>
          <t>TIMRÅ</t>
        </is>
      </c>
      <c r="F97" t="inlineStr">
        <is>
          <t>SCA</t>
        </is>
      </c>
      <c r="G97" t="n">
        <v>10.2</v>
      </c>
      <c r="H97" t="n">
        <v>0</v>
      </c>
      <c r="I97" t="n">
        <v>0</v>
      </c>
      <c r="J97" t="n">
        <v>1</v>
      </c>
      <c r="K97" t="n">
        <v>0</v>
      </c>
      <c r="L97" t="n">
        <v>0</v>
      </c>
      <c r="M97" t="n">
        <v>0</v>
      </c>
      <c r="N97" t="n">
        <v>0</v>
      </c>
      <c r="O97" t="n">
        <v>1</v>
      </c>
      <c r="P97" t="n">
        <v>0</v>
      </c>
      <c r="Q97" t="n">
        <v>1</v>
      </c>
      <c r="R97" s="2" t="inlineStr">
        <is>
          <t>Garnlav</t>
        </is>
      </c>
      <c r="S97">
        <f>HYPERLINK("https://klasma.github.io/Logging_2262/artfynd/A 56287-2024 artfynd.xlsx", "A 56287-2024")</f>
        <v/>
      </c>
      <c r="T97">
        <f>HYPERLINK("https://klasma.github.io/Logging_2262/kartor/A 56287-2024 karta.png", "A 56287-2024")</f>
        <v/>
      </c>
      <c r="V97">
        <f>HYPERLINK("https://klasma.github.io/Logging_2262/klagomål/A 56287-2024 FSC-klagomål.docx", "A 56287-2024")</f>
        <v/>
      </c>
      <c r="W97">
        <f>HYPERLINK("https://klasma.github.io/Logging_2262/klagomålsmail/A 56287-2024 FSC-klagomål mail.docx", "A 56287-2024")</f>
        <v/>
      </c>
      <c r="X97">
        <f>HYPERLINK("https://klasma.github.io/Logging_2262/tillsyn/A 56287-2024 tillsynsbegäran.docx", "A 56287-2024")</f>
        <v/>
      </c>
      <c r="Y97">
        <f>HYPERLINK("https://klasma.github.io/Logging_2262/tillsynsmail/A 56287-2024 tillsynsbegäran mail.docx", "A 56287-2024")</f>
        <v/>
      </c>
    </row>
    <row r="98" ht="15" customHeight="1">
      <c r="A98" t="inlineStr">
        <is>
          <t>A 62081-2024</t>
        </is>
      </c>
      <c r="B98" s="1" t="n">
        <v>45656</v>
      </c>
      <c r="C98" s="1" t="n">
        <v>45736</v>
      </c>
      <c r="D98" t="inlineStr">
        <is>
          <t>VÄSTERNORRLANDS LÄN</t>
        </is>
      </c>
      <c r="E98" t="inlineStr">
        <is>
          <t>TIMRÅ</t>
        </is>
      </c>
      <c r="F98" t="inlineStr">
        <is>
          <t>SCA</t>
        </is>
      </c>
      <c r="G98" t="n">
        <v>6.3</v>
      </c>
      <c r="H98" t="n">
        <v>1</v>
      </c>
      <c r="I98" t="n">
        <v>0</v>
      </c>
      <c r="J98" t="n">
        <v>0</v>
      </c>
      <c r="K98" t="n">
        <v>1</v>
      </c>
      <c r="L98" t="n">
        <v>0</v>
      </c>
      <c r="M98" t="n">
        <v>0</v>
      </c>
      <c r="N98" t="n">
        <v>0</v>
      </c>
      <c r="O98" t="n">
        <v>1</v>
      </c>
      <c r="P98" t="n">
        <v>1</v>
      </c>
      <c r="Q98" t="n">
        <v>1</v>
      </c>
      <c r="R98" s="2" t="inlineStr">
        <is>
          <t>Knärot</t>
        </is>
      </c>
      <c r="S98">
        <f>HYPERLINK("https://klasma.github.io/Logging_2262/artfynd/A 62081-2024 artfynd.xlsx", "A 62081-2024")</f>
        <v/>
      </c>
      <c r="T98">
        <f>HYPERLINK("https://klasma.github.io/Logging_2262/kartor/A 62081-2024 karta.png", "A 62081-2024")</f>
        <v/>
      </c>
      <c r="U98">
        <f>HYPERLINK("https://klasma.github.io/Logging_2262/knärot/A 62081-2024 karta knärot.png", "A 62081-2024")</f>
        <v/>
      </c>
      <c r="V98">
        <f>HYPERLINK("https://klasma.github.io/Logging_2262/klagomål/A 62081-2024 FSC-klagomål.docx", "A 62081-2024")</f>
        <v/>
      </c>
      <c r="W98">
        <f>HYPERLINK("https://klasma.github.io/Logging_2262/klagomålsmail/A 62081-2024 FSC-klagomål mail.docx", "A 62081-2024")</f>
        <v/>
      </c>
      <c r="X98">
        <f>HYPERLINK("https://klasma.github.io/Logging_2262/tillsyn/A 62081-2024 tillsynsbegäran.docx", "A 62081-2024")</f>
        <v/>
      </c>
      <c r="Y98">
        <f>HYPERLINK("https://klasma.github.io/Logging_2262/tillsynsmail/A 62081-2024 tillsynsbegäran mail.docx", "A 62081-2024")</f>
        <v/>
      </c>
    </row>
    <row r="99" ht="15" customHeight="1">
      <c r="A99" t="inlineStr">
        <is>
          <t>A 2295-2025</t>
        </is>
      </c>
      <c r="B99" s="1" t="n">
        <v>45673</v>
      </c>
      <c r="C99" s="1" t="n">
        <v>45736</v>
      </c>
      <c r="D99" t="inlineStr">
        <is>
          <t>VÄSTERNORRLANDS LÄN</t>
        </is>
      </c>
      <c r="E99" t="inlineStr">
        <is>
          <t>TIMRÅ</t>
        </is>
      </c>
      <c r="F99" t="inlineStr">
        <is>
          <t>SCA</t>
        </is>
      </c>
      <c r="G99" t="n">
        <v>5.1</v>
      </c>
      <c r="H99" t="n">
        <v>0</v>
      </c>
      <c r="I99" t="n">
        <v>0</v>
      </c>
      <c r="J99" t="n">
        <v>1</v>
      </c>
      <c r="K99" t="n">
        <v>0</v>
      </c>
      <c r="L99" t="n">
        <v>0</v>
      </c>
      <c r="M99" t="n">
        <v>0</v>
      </c>
      <c r="N99" t="n">
        <v>0</v>
      </c>
      <c r="O99" t="n">
        <v>1</v>
      </c>
      <c r="P99" t="n">
        <v>0</v>
      </c>
      <c r="Q99" t="n">
        <v>1</v>
      </c>
      <c r="R99" s="2" t="inlineStr">
        <is>
          <t>Ullticka</t>
        </is>
      </c>
      <c r="S99">
        <f>HYPERLINK("https://klasma.github.io/Logging_2262/artfynd/A 2295-2025 artfynd.xlsx", "A 2295-2025")</f>
        <v/>
      </c>
      <c r="T99">
        <f>HYPERLINK("https://klasma.github.io/Logging_2262/kartor/A 2295-2025 karta.png", "A 2295-2025")</f>
        <v/>
      </c>
      <c r="V99">
        <f>HYPERLINK("https://klasma.github.io/Logging_2262/klagomål/A 2295-2025 FSC-klagomål.docx", "A 2295-2025")</f>
        <v/>
      </c>
      <c r="W99">
        <f>HYPERLINK("https://klasma.github.io/Logging_2262/klagomålsmail/A 2295-2025 FSC-klagomål mail.docx", "A 2295-2025")</f>
        <v/>
      </c>
      <c r="X99">
        <f>HYPERLINK("https://klasma.github.io/Logging_2262/tillsyn/A 2295-2025 tillsynsbegäran.docx", "A 2295-2025")</f>
        <v/>
      </c>
      <c r="Y99">
        <f>HYPERLINK("https://klasma.github.io/Logging_2262/tillsynsmail/A 2295-2025 tillsynsbegäran mail.docx", "A 2295-2025")</f>
        <v/>
      </c>
    </row>
    <row r="100" ht="15" customHeight="1">
      <c r="A100" t="inlineStr">
        <is>
          <t>A 7272-2025</t>
        </is>
      </c>
      <c r="B100" s="1" t="n">
        <v>45702</v>
      </c>
      <c r="C100" s="1" t="n">
        <v>45736</v>
      </c>
      <c r="D100" t="inlineStr">
        <is>
          <t>VÄSTERNORRLANDS LÄN</t>
        </is>
      </c>
      <c r="E100" t="inlineStr">
        <is>
          <t>TIMRÅ</t>
        </is>
      </c>
      <c r="G100" t="n">
        <v>2.9</v>
      </c>
      <c r="H100" t="n">
        <v>0</v>
      </c>
      <c r="I100" t="n">
        <v>0</v>
      </c>
      <c r="J100" t="n">
        <v>1</v>
      </c>
      <c r="K100" t="n">
        <v>0</v>
      </c>
      <c r="L100" t="n">
        <v>0</v>
      </c>
      <c r="M100" t="n">
        <v>0</v>
      </c>
      <c r="N100" t="n">
        <v>0</v>
      </c>
      <c r="O100" t="n">
        <v>1</v>
      </c>
      <c r="P100" t="n">
        <v>0</v>
      </c>
      <c r="Q100" t="n">
        <v>1</v>
      </c>
      <c r="R100" s="2" t="inlineStr">
        <is>
          <t>Reliktbock</t>
        </is>
      </c>
      <c r="S100">
        <f>HYPERLINK("https://klasma.github.io/Logging_2262/artfynd/A 7272-2025 artfynd.xlsx", "A 7272-2025")</f>
        <v/>
      </c>
      <c r="T100">
        <f>HYPERLINK("https://klasma.github.io/Logging_2262/kartor/A 7272-2025 karta.png", "A 7272-2025")</f>
        <v/>
      </c>
      <c r="V100">
        <f>HYPERLINK("https://klasma.github.io/Logging_2262/klagomål/A 7272-2025 FSC-klagomål.docx", "A 7272-2025")</f>
        <v/>
      </c>
      <c r="W100">
        <f>HYPERLINK("https://klasma.github.io/Logging_2262/klagomålsmail/A 7272-2025 FSC-klagomål mail.docx", "A 7272-2025")</f>
        <v/>
      </c>
      <c r="X100">
        <f>HYPERLINK("https://klasma.github.io/Logging_2262/tillsyn/A 7272-2025 tillsynsbegäran.docx", "A 7272-2025")</f>
        <v/>
      </c>
      <c r="Y100">
        <f>HYPERLINK("https://klasma.github.io/Logging_2262/tillsynsmail/A 7272-2025 tillsynsbegäran mail.docx", "A 7272-2025")</f>
        <v/>
      </c>
    </row>
    <row r="101" ht="15" customHeight="1">
      <c r="A101" t="inlineStr">
        <is>
          <t>A 17858-2019</t>
        </is>
      </c>
      <c r="B101" s="1" t="n">
        <v>43556</v>
      </c>
      <c r="C101" s="1" t="n">
        <v>45736</v>
      </c>
      <c r="D101" t="inlineStr">
        <is>
          <t>VÄSTERNORRLANDS LÄN</t>
        </is>
      </c>
      <c r="E101" t="inlineStr">
        <is>
          <t>TIMRÅ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18703-2019</t>
        </is>
      </c>
      <c r="B102" s="1" t="n">
        <v>43559</v>
      </c>
      <c r="C102" s="1" t="n">
        <v>45736</v>
      </c>
      <c r="D102" t="inlineStr">
        <is>
          <t>VÄSTERNORRLANDS LÄN</t>
        </is>
      </c>
      <c r="E102" t="inlineStr">
        <is>
          <t>TIMRÅ</t>
        </is>
      </c>
      <c r="G102" t="n">
        <v>5</v>
      </c>
      <c r="H102" t="n">
        <v>0</v>
      </c>
      <c r="I102" t="n">
        <v>0</v>
      </c>
      <c r="J102" t="n">
        <v>0</v>
      </c>
      <c r="K102" t="n">
        <v>0</v>
      </c>
      <c r="L102" t="n">
        <v>0</v>
      </c>
      <c r="M102" t="n">
        <v>0</v>
      </c>
      <c r="N102" t="n">
        <v>0</v>
      </c>
      <c r="O102" t="n">
        <v>0</v>
      </c>
      <c r="P102" t="n">
        <v>0</v>
      </c>
      <c r="Q102" t="n">
        <v>0</v>
      </c>
      <c r="R102" s="2" t="inlineStr"/>
    </row>
    <row r="103" ht="15" customHeight="1">
      <c r="A103" t="inlineStr">
        <is>
          <t>A 20205-2019</t>
        </is>
      </c>
      <c r="B103" s="1" t="n">
        <v>43570</v>
      </c>
      <c r="C103" s="1" t="n">
        <v>45736</v>
      </c>
      <c r="D103" t="inlineStr">
        <is>
          <t>VÄSTERNORRLANDS LÄN</t>
        </is>
      </c>
      <c r="E103" t="inlineStr">
        <is>
          <t>TIMRÅ</t>
        </is>
      </c>
      <c r="F103" t="inlineStr">
        <is>
          <t>SCA</t>
        </is>
      </c>
      <c r="G103" t="n">
        <v>29.1</v>
      </c>
      <c r="H103" t="n">
        <v>0</v>
      </c>
      <c r="I103" t="n">
        <v>0</v>
      </c>
      <c r="J103" t="n">
        <v>0</v>
      </c>
      <c r="K103" t="n">
        <v>0</v>
      </c>
      <c r="L103" t="n">
        <v>0</v>
      </c>
      <c r="M103" t="n">
        <v>0</v>
      </c>
      <c r="N103" t="n">
        <v>0</v>
      </c>
      <c r="O103" t="n">
        <v>0</v>
      </c>
      <c r="P103" t="n">
        <v>0</v>
      </c>
      <c r="Q103" t="n">
        <v>0</v>
      </c>
      <c r="R103" s="2" t="inlineStr"/>
    </row>
    <row r="104" ht="15" customHeight="1">
      <c r="A104" t="inlineStr">
        <is>
          <t>A 20591-2019</t>
        </is>
      </c>
      <c r="B104" s="1" t="n">
        <v>43572</v>
      </c>
      <c r="C104" s="1" t="n">
        <v>45736</v>
      </c>
      <c r="D104" t="inlineStr">
        <is>
          <t>VÄSTERNORRLANDS LÄN</t>
        </is>
      </c>
      <c r="E104" t="inlineStr">
        <is>
          <t>TIMRÅ</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22036-2019</t>
        </is>
      </c>
      <c r="B105" s="1" t="n">
        <v>43584</v>
      </c>
      <c r="C105" s="1" t="n">
        <v>45736</v>
      </c>
      <c r="D105" t="inlineStr">
        <is>
          <t>VÄSTERNORRLANDS LÄN</t>
        </is>
      </c>
      <c r="E105" t="inlineStr">
        <is>
          <t>TIMRÅ</t>
        </is>
      </c>
      <c r="G105" t="n">
        <v>0.4</v>
      </c>
      <c r="H105" t="n">
        <v>0</v>
      </c>
      <c r="I105" t="n">
        <v>0</v>
      </c>
      <c r="J105" t="n">
        <v>0</v>
      </c>
      <c r="K105" t="n">
        <v>0</v>
      </c>
      <c r="L105" t="n">
        <v>0</v>
      </c>
      <c r="M105" t="n">
        <v>0</v>
      </c>
      <c r="N105" t="n">
        <v>0</v>
      </c>
      <c r="O105" t="n">
        <v>0</v>
      </c>
      <c r="P105" t="n">
        <v>0</v>
      </c>
      <c r="Q105" t="n">
        <v>0</v>
      </c>
      <c r="R105" s="2" t="inlineStr"/>
    </row>
    <row r="106" ht="15" customHeight="1">
      <c r="A106" t="inlineStr">
        <is>
          <t>A 22345-2019</t>
        </is>
      </c>
      <c r="B106" s="1" t="n">
        <v>43587</v>
      </c>
      <c r="C106" s="1" t="n">
        <v>45736</v>
      </c>
      <c r="D106" t="inlineStr">
        <is>
          <t>VÄSTERNORRLANDS LÄN</t>
        </is>
      </c>
      <c r="E106" t="inlineStr">
        <is>
          <t>TIMRÅ</t>
        </is>
      </c>
      <c r="G106" t="n">
        <v>0.3</v>
      </c>
      <c r="H106" t="n">
        <v>0</v>
      </c>
      <c r="I106" t="n">
        <v>0</v>
      </c>
      <c r="J106" t="n">
        <v>0</v>
      </c>
      <c r="K106" t="n">
        <v>0</v>
      </c>
      <c r="L106" t="n">
        <v>0</v>
      </c>
      <c r="M106" t="n">
        <v>0</v>
      </c>
      <c r="N106" t="n">
        <v>0</v>
      </c>
      <c r="O106" t="n">
        <v>0</v>
      </c>
      <c r="P106" t="n">
        <v>0</v>
      </c>
      <c r="Q106" t="n">
        <v>0</v>
      </c>
      <c r="R106" s="2" t="inlineStr"/>
    </row>
    <row r="107" ht="15" customHeight="1">
      <c r="A107" t="inlineStr">
        <is>
          <t>A 23074-2019</t>
        </is>
      </c>
      <c r="B107" s="1" t="n">
        <v>43591</v>
      </c>
      <c r="C107" s="1" t="n">
        <v>45736</v>
      </c>
      <c r="D107" t="inlineStr">
        <is>
          <t>VÄSTERNORRLANDS LÄN</t>
        </is>
      </c>
      <c r="E107" t="inlineStr">
        <is>
          <t>TIMRÅ</t>
        </is>
      </c>
      <c r="G107" t="n">
        <v>1.3</v>
      </c>
      <c r="H107" t="n">
        <v>0</v>
      </c>
      <c r="I107" t="n">
        <v>0</v>
      </c>
      <c r="J107" t="n">
        <v>0</v>
      </c>
      <c r="K107" t="n">
        <v>0</v>
      </c>
      <c r="L107" t="n">
        <v>0</v>
      </c>
      <c r="M107" t="n">
        <v>0</v>
      </c>
      <c r="N107" t="n">
        <v>0</v>
      </c>
      <c r="O107" t="n">
        <v>0</v>
      </c>
      <c r="P107" t="n">
        <v>0</v>
      </c>
      <c r="Q107" t="n">
        <v>0</v>
      </c>
      <c r="R107" s="2" t="inlineStr"/>
    </row>
    <row r="108" ht="15" customHeight="1">
      <c r="A108" t="inlineStr">
        <is>
          <t>A 24767-2019</t>
        </is>
      </c>
      <c r="B108" s="1" t="n">
        <v>43601</v>
      </c>
      <c r="C108" s="1" t="n">
        <v>45736</v>
      </c>
      <c r="D108" t="inlineStr">
        <is>
          <t>VÄSTERNORRLANDS LÄN</t>
        </is>
      </c>
      <c r="E108" t="inlineStr">
        <is>
          <t>TIMRÅ</t>
        </is>
      </c>
      <c r="G108" t="n">
        <v>6.1</v>
      </c>
      <c r="H108" t="n">
        <v>0</v>
      </c>
      <c r="I108" t="n">
        <v>0</v>
      </c>
      <c r="J108" t="n">
        <v>0</v>
      </c>
      <c r="K108" t="n">
        <v>0</v>
      </c>
      <c r="L108" t="n">
        <v>0</v>
      </c>
      <c r="M108" t="n">
        <v>0</v>
      </c>
      <c r="N108" t="n">
        <v>0</v>
      </c>
      <c r="O108" t="n">
        <v>0</v>
      </c>
      <c r="P108" t="n">
        <v>0</v>
      </c>
      <c r="Q108" t="n">
        <v>0</v>
      </c>
      <c r="R108" s="2" t="inlineStr"/>
    </row>
    <row r="109" ht="15" customHeight="1">
      <c r="A109" t="inlineStr">
        <is>
          <t>A 29163-2019</t>
        </is>
      </c>
      <c r="B109" s="1" t="n">
        <v>43628</v>
      </c>
      <c r="C109" s="1" t="n">
        <v>45736</v>
      </c>
      <c r="D109" t="inlineStr">
        <is>
          <t>VÄSTERNORRLANDS LÄN</t>
        </is>
      </c>
      <c r="E109" t="inlineStr">
        <is>
          <t>TIMRÅ</t>
        </is>
      </c>
      <c r="G109" t="n">
        <v>4.6</v>
      </c>
      <c r="H109" t="n">
        <v>0</v>
      </c>
      <c r="I109" t="n">
        <v>0</v>
      </c>
      <c r="J109" t="n">
        <v>0</v>
      </c>
      <c r="K109" t="n">
        <v>0</v>
      </c>
      <c r="L109" t="n">
        <v>0</v>
      </c>
      <c r="M109" t="n">
        <v>0</v>
      </c>
      <c r="N109" t="n">
        <v>0</v>
      </c>
      <c r="O109" t="n">
        <v>0</v>
      </c>
      <c r="P109" t="n">
        <v>0</v>
      </c>
      <c r="Q109" t="n">
        <v>0</v>
      </c>
      <c r="R109" s="2" t="inlineStr"/>
    </row>
    <row r="110" ht="15" customHeight="1">
      <c r="A110" t="inlineStr">
        <is>
          <t>A 29485-2019</t>
        </is>
      </c>
      <c r="B110" s="1" t="n">
        <v>43629</v>
      </c>
      <c r="C110" s="1" t="n">
        <v>45736</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29751-2019</t>
        </is>
      </c>
      <c r="B111" s="1" t="n">
        <v>43630</v>
      </c>
      <c r="C111" s="1" t="n">
        <v>45736</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32982-2019</t>
        </is>
      </c>
      <c r="B112" s="1" t="n">
        <v>43648</v>
      </c>
      <c r="C112" s="1" t="n">
        <v>45736</v>
      </c>
      <c r="D112" t="inlineStr">
        <is>
          <t>VÄSTERNORRLANDS LÄN</t>
        </is>
      </c>
      <c r="E112" t="inlineStr">
        <is>
          <t>TIMRÅ</t>
        </is>
      </c>
      <c r="F112" t="inlineStr">
        <is>
          <t>SCA</t>
        </is>
      </c>
      <c r="G112" t="n">
        <v>1.5</v>
      </c>
      <c r="H112" t="n">
        <v>0</v>
      </c>
      <c r="I112" t="n">
        <v>0</v>
      </c>
      <c r="J112" t="n">
        <v>0</v>
      </c>
      <c r="K112" t="n">
        <v>0</v>
      </c>
      <c r="L112" t="n">
        <v>0</v>
      </c>
      <c r="M112" t="n">
        <v>0</v>
      </c>
      <c r="N112" t="n">
        <v>0</v>
      </c>
      <c r="O112" t="n">
        <v>0</v>
      </c>
      <c r="P112" t="n">
        <v>0</v>
      </c>
      <c r="Q112" t="n">
        <v>0</v>
      </c>
      <c r="R112" s="2" t="inlineStr"/>
    </row>
    <row r="113" ht="15" customHeight="1">
      <c r="A113" t="inlineStr">
        <is>
          <t>A 33835-2019</t>
        </is>
      </c>
      <c r="B113" s="1" t="n">
        <v>43651</v>
      </c>
      <c r="C113" s="1" t="n">
        <v>45736</v>
      </c>
      <c r="D113" t="inlineStr">
        <is>
          <t>VÄSTERNORRLANDS LÄN</t>
        </is>
      </c>
      <c r="E113" t="inlineStr">
        <is>
          <t>TIMRÅ</t>
        </is>
      </c>
      <c r="G113" t="n">
        <v>6.2</v>
      </c>
      <c r="H113" t="n">
        <v>0</v>
      </c>
      <c r="I113" t="n">
        <v>0</v>
      </c>
      <c r="J113" t="n">
        <v>0</v>
      </c>
      <c r="K113" t="n">
        <v>0</v>
      </c>
      <c r="L113" t="n">
        <v>0</v>
      </c>
      <c r="M113" t="n">
        <v>0</v>
      </c>
      <c r="N113" t="n">
        <v>0</v>
      </c>
      <c r="O113" t="n">
        <v>0</v>
      </c>
      <c r="P113" t="n">
        <v>0</v>
      </c>
      <c r="Q113" t="n">
        <v>0</v>
      </c>
      <c r="R113" s="2" t="inlineStr"/>
    </row>
    <row r="114" ht="15" customHeight="1">
      <c r="A114" t="inlineStr">
        <is>
          <t>A 33834-2019</t>
        </is>
      </c>
      <c r="B114" s="1" t="n">
        <v>43651</v>
      </c>
      <c r="C114" s="1" t="n">
        <v>45736</v>
      </c>
      <c r="D114" t="inlineStr">
        <is>
          <t>VÄSTERNORRLANDS LÄN</t>
        </is>
      </c>
      <c r="E114" t="inlineStr">
        <is>
          <t>TIMRÅ</t>
        </is>
      </c>
      <c r="G114" t="n">
        <v>4.5</v>
      </c>
      <c r="H114" t="n">
        <v>0</v>
      </c>
      <c r="I114" t="n">
        <v>0</v>
      </c>
      <c r="J114" t="n">
        <v>0</v>
      </c>
      <c r="K114" t="n">
        <v>0</v>
      </c>
      <c r="L114" t="n">
        <v>0</v>
      </c>
      <c r="M114" t="n">
        <v>0</v>
      </c>
      <c r="N114" t="n">
        <v>0</v>
      </c>
      <c r="O114" t="n">
        <v>0</v>
      </c>
      <c r="P114" t="n">
        <v>0</v>
      </c>
      <c r="Q114" t="n">
        <v>0</v>
      </c>
      <c r="R114" s="2" t="inlineStr"/>
    </row>
    <row r="115" ht="15" customHeight="1">
      <c r="A115" t="inlineStr">
        <is>
          <t>A 34106-2019</t>
        </is>
      </c>
      <c r="B115" s="1" t="n">
        <v>43654</v>
      </c>
      <c r="C115" s="1" t="n">
        <v>45736</v>
      </c>
      <c r="D115" t="inlineStr">
        <is>
          <t>VÄSTERNORRLANDS LÄN</t>
        </is>
      </c>
      <c r="E115" t="inlineStr">
        <is>
          <t>TIMRÅ</t>
        </is>
      </c>
      <c r="G115" t="n">
        <v>1</v>
      </c>
      <c r="H115" t="n">
        <v>0</v>
      </c>
      <c r="I115" t="n">
        <v>0</v>
      </c>
      <c r="J115" t="n">
        <v>0</v>
      </c>
      <c r="K115" t="n">
        <v>0</v>
      </c>
      <c r="L115" t="n">
        <v>0</v>
      </c>
      <c r="M115" t="n">
        <v>0</v>
      </c>
      <c r="N115" t="n">
        <v>0</v>
      </c>
      <c r="O115" t="n">
        <v>0</v>
      </c>
      <c r="P115" t="n">
        <v>0</v>
      </c>
      <c r="Q115" t="n">
        <v>0</v>
      </c>
      <c r="R115" s="2" t="inlineStr"/>
    </row>
    <row r="116" ht="15" customHeight="1">
      <c r="A116" t="inlineStr">
        <is>
          <t>A 35877-2019</t>
        </is>
      </c>
      <c r="B116" s="1" t="n">
        <v>43665</v>
      </c>
      <c r="C116" s="1" t="n">
        <v>45736</v>
      </c>
      <c r="D116" t="inlineStr">
        <is>
          <t>VÄSTERNORRLANDS LÄN</t>
        </is>
      </c>
      <c r="E116" t="inlineStr">
        <is>
          <t>TIMRÅ</t>
        </is>
      </c>
      <c r="G116" t="n">
        <v>3.7</v>
      </c>
      <c r="H116" t="n">
        <v>0</v>
      </c>
      <c r="I116" t="n">
        <v>0</v>
      </c>
      <c r="J116" t="n">
        <v>0</v>
      </c>
      <c r="K116" t="n">
        <v>0</v>
      </c>
      <c r="L116" t="n">
        <v>0</v>
      </c>
      <c r="M116" t="n">
        <v>0</v>
      </c>
      <c r="N116" t="n">
        <v>0</v>
      </c>
      <c r="O116" t="n">
        <v>0</v>
      </c>
      <c r="P116" t="n">
        <v>0</v>
      </c>
      <c r="Q116" t="n">
        <v>0</v>
      </c>
      <c r="R116" s="2" t="inlineStr"/>
    </row>
    <row r="117" ht="15" customHeight="1">
      <c r="A117" t="inlineStr">
        <is>
          <t>A 36176-2019</t>
        </is>
      </c>
      <c r="B117" s="1" t="n">
        <v>43668</v>
      </c>
      <c r="C117" s="1" t="n">
        <v>45736</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36806-2019</t>
        </is>
      </c>
      <c r="B118" s="1" t="n">
        <v>43672</v>
      </c>
      <c r="C118" s="1" t="n">
        <v>45736</v>
      </c>
      <c r="D118" t="inlineStr">
        <is>
          <t>VÄSTERNORRLANDS LÄN</t>
        </is>
      </c>
      <c r="E118" t="inlineStr">
        <is>
          <t>TIMRÅ</t>
        </is>
      </c>
      <c r="G118" t="n">
        <v>3.8</v>
      </c>
      <c r="H118" t="n">
        <v>0</v>
      </c>
      <c r="I118" t="n">
        <v>0</v>
      </c>
      <c r="J118" t="n">
        <v>0</v>
      </c>
      <c r="K118" t="n">
        <v>0</v>
      </c>
      <c r="L118" t="n">
        <v>0</v>
      </c>
      <c r="M118" t="n">
        <v>0</v>
      </c>
      <c r="N118" t="n">
        <v>0</v>
      </c>
      <c r="O118" t="n">
        <v>0</v>
      </c>
      <c r="P118" t="n">
        <v>0</v>
      </c>
      <c r="Q118" t="n">
        <v>0</v>
      </c>
      <c r="R118" s="2" t="inlineStr"/>
    </row>
    <row r="119" ht="15" customHeight="1">
      <c r="A119" t="inlineStr">
        <is>
          <t>A 40956-2019</t>
        </is>
      </c>
      <c r="B119" s="1" t="n">
        <v>43697</v>
      </c>
      <c r="C119" s="1" t="n">
        <v>45736</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43975-2019</t>
        </is>
      </c>
      <c r="B120" s="1" t="n">
        <v>43708</v>
      </c>
      <c r="C120" s="1" t="n">
        <v>45736</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44673-2019</t>
        </is>
      </c>
      <c r="B121" s="1" t="n">
        <v>43712</v>
      </c>
      <c r="C121" s="1" t="n">
        <v>45736</v>
      </c>
      <c r="D121" t="inlineStr">
        <is>
          <t>VÄSTERNORRLANDS LÄN</t>
        </is>
      </c>
      <c r="E121" t="inlineStr">
        <is>
          <t>TIMRÅ</t>
        </is>
      </c>
      <c r="G121" t="n">
        <v>1.8</v>
      </c>
      <c r="H121" t="n">
        <v>0</v>
      </c>
      <c r="I121" t="n">
        <v>0</v>
      </c>
      <c r="J121" t="n">
        <v>0</v>
      </c>
      <c r="K121" t="n">
        <v>0</v>
      </c>
      <c r="L121" t="n">
        <v>0</v>
      </c>
      <c r="M121" t="n">
        <v>0</v>
      </c>
      <c r="N121" t="n">
        <v>0</v>
      </c>
      <c r="O121" t="n">
        <v>0</v>
      </c>
      <c r="P121" t="n">
        <v>0</v>
      </c>
      <c r="Q121" t="n">
        <v>0</v>
      </c>
      <c r="R121" s="2" t="inlineStr"/>
    </row>
    <row r="122" ht="15" customHeight="1">
      <c r="A122" t="inlineStr">
        <is>
          <t>A 47656-2019</t>
        </is>
      </c>
      <c r="B122" s="1" t="n">
        <v>43724</v>
      </c>
      <c r="C122" s="1" t="n">
        <v>45736</v>
      </c>
      <c r="D122" t="inlineStr">
        <is>
          <t>VÄSTERNORRLANDS LÄN</t>
        </is>
      </c>
      <c r="E122" t="inlineStr">
        <is>
          <t>TIMRÅ</t>
        </is>
      </c>
      <c r="G122" t="n">
        <v>8</v>
      </c>
      <c r="H122" t="n">
        <v>0</v>
      </c>
      <c r="I122" t="n">
        <v>0</v>
      </c>
      <c r="J122" t="n">
        <v>0</v>
      </c>
      <c r="K122" t="n">
        <v>0</v>
      </c>
      <c r="L122" t="n">
        <v>0</v>
      </c>
      <c r="M122" t="n">
        <v>0</v>
      </c>
      <c r="N122" t="n">
        <v>0</v>
      </c>
      <c r="O122" t="n">
        <v>0</v>
      </c>
      <c r="P122" t="n">
        <v>0</v>
      </c>
      <c r="Q122" t="n">
        <v>0</v>
      </c>
      <c r="R122" s="2" t="inlineStr"/>
    </row>
    <row r="123" ht="15" customHeight="1">
      <c r="A123" t="inlineStr">
        <is>
          <t>A 48964-2019</t>
        </is>
      </c>
      <c r="B123" s="1" t="n">
        <v>43728</v>
      </c>
      <c r="C123" s="1" t="n">
        <v>45736</v>
      </c>
      <c r="D123" t="inlineStr">
        <is>
          <t>VÄSTERNORRLANDS LÄN</t>
        </is>
      </c>
      <c r="E123" t="inlineStr">
        <is>
          <t>TIMRÅ</t>
        </is>
      </c>
      <c r="G123" t="n">
        <v>7.8</v>
      </c>
      <c r="H123" t="n">
        <v>0</v>
      </c>
      <c r="I123" t="n">
        <v>0</v>
      </c>
      <c r="J123" t="n">
        <v>0</v>
      </c>
      <c r="K123" t="n">
        <v>0</v>
      </c>
      <c r="L123" t="n">
        <v>0</v>
      </c>
      <c r="M123" t="n">
        <v>0</v>
      </c>
      <c r="N123" t="n">
        <v>0</v>
      </c>
      <c r="O123" t="n">
        <v>0</v>
      </c>
      <c r="P123" t="n">
        <v>0</v>
      </c>
      <c r="Q123" t="n">
        <v>0</v>
      </c>
      <c r="R123" s="2" t="inlineStr"/>
    </row>
    <row r="124" ht="15" customHeight="1">
      <c r="A124" t="inlineStr">
        <is>
          <t>A 50604-2019</t>
        </is>
      </c>
      <c r="B124" s="1" t="n">
        <v>43735</v>
      </c>
      <c r="C124" s="1" t="n">
        <v>45736</v>
      </c>
      <c r="D124" t="inlineStr">
        <is>
          <t>VÄSTERNORRLANDS LÄN</t>
        </is>
      </c>
      <c r="E124" t="inlineStr">
        <is>
          <t>TIMRÅ</t>
        </is>
      </c>
      <c r="G124" t="n">
        <v>7.7</v>
      </c>
      <c r="H124" t="n">
        <v>0</v>
      </c>
      <c r="I124" t="n">
        <v>0</v>
      </c>
      <c r="J124" t="n">
        <v>0</v>
      </c>
      <c r="K124" t="n">
        <v>0</v>
      </c>
      <c r="L124" t="n">
        <v>0</v>
      </c>
      <c r="M124" t="n">
        <v>0</v>
      </c>
      <c r="N124" t="n">
        <v>0</v>
      </c>
      <c r="O124" t="n">
        <v>0</v>
      </c>
      <c r="P124" t="n">
        <v>0</v>
      </c>
      <c r="Q124" t="n">
        <v>0</v>
      </c>
      <c r="R124" s="2" t="inlineStr"/>
    </row>
    <row r="125" ht="15" customHeight="1">
      <c r="A125" t="inlineStr">
        <is>
          <t>A 51297-2019</t>
        </is>
      </c>
      <c r="B125" s="1" t="n">
        <v>43739</v>
      </c>
      <c r="C125" s="1" t="n">
        <v>45736</v>
      </c>
      <c r="D125" t="inlineStr">
        <is>
          <t>VÄSTERNORRLANDS LÄN</t>
        </is>
      </c>
      <c r="E125" t="inlineStr">
        <is>
          <t>TIMRÅ</t>
        </is>
      </c>
      <c r="G125" t="n">
        <v>2</v>
      </c>
      <c r="H125" t="n">
        <v>0</v>
      </c>
      <c r="I125" t="n">
        <v>0</v>
      </c>
      <c r="J125" t="n">
        <v>0</v>
      </c>
      <c r="K125" t="n">
        <v>0</v>
      </c>
      <c r="L125" t="n">
        <v>0</v>
      </c>
      <c r="M125" t="n">
        <v>0</v>
      </c>
      <c r="N125" t="n">
        <v>0</v>
      </c>
      <c r="O125" t="n">
        <v>0</v>
      </c>
      <c r="P125" t="n">
        <v>0</v>
      </c>
      <c r="Q125" t="n">
        <v>0</v>
      </c>
      <c r="R125" s="2" t="inlineStr"/>
    </row>
    <row r="126" ht="15" customHeight="1">
      <c r="A126" t="inlineStr">
        <is>
          <t>A 52869-2019</t>
        </is>
      </c>
      <c r="B126" s="1" t="n">
        <v>43739</v>
      </c>
      <c r="C126" s="1" t="n">
        <v>45736</v>
      </c>
      <c r="D126" t="inlineStr">
        <is>
          <t>VÄSTERNORRLANDS LÄN</t>
        </is>
      </c>
      <c r="E126" t="inlineStr">
        <is>
          <t>TIMRÅ</t>
        </is>
      </c>
      <c r="G126" t="n">
        <v>4</v>
      </c>
      <c r="H126" t="n">
        <v>0</v>
      </c>
      <c r="I126" t="n">
        <v>0</v>
      </c>
      <c r="J126" t="n">
        <v>0</v>
      </c>
      <c r="K126" t="n">
        <v>0</v>
      </c>
      <c r="L126" t="n">
        <v>0</v>
      </c>
      <c r="M126" t="n">
        <v>0</v>
      </c>
      <c r="N126" t="n">
        <v>0</v>
      </c>
      <c r="O126" t="n">
        <v>0</v>
      </c>
      <c r="P126" t="n">
        <v>0</v>
      </c>
      <c r="Q126" t="n">
        <v>0</v>
      </c>
      <c r="R126" s="2" t="inlineStr"/>
    </row>
    <row r="127" ht="15" customHeight="1">
      <c r="A127" t="inlineStr">
        <is>
          <t>A 51907-2019</t>
        </is>
      </c>
      <c r="B127" s="1" t="n">
        <v>43741</v>
      </c>
      <c r="C127" s="1" t="n">
        <v>45736</v>
      </c>
      <c r="D127" t="inlineStr">
        <is>
          <t>VÄSTERNORRLANDS LÄN</t>
        </is>
      </c>
      <c r="E127" t="inlineStr">
        <is>
          <t>TIMRÅ</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53162-2019</t>
        </is>
      </c>
      <c r="B128" s="1" t="n">
        <v>43747</v>
      </c>
      <c r="C128" s="1" t="n">
        <v>45736</v>
      </c>
      <c r="D128" t="inlineStr">
        <is>
          <t>VÄSTERNORRLANDS LÄN</t>
        </is>
      </c>
      <c r="E128" t="inlineStr">
        <is>
          <t>TIMRÅ</t>
        </is>
      </c>
      <c r="G128" t="n">
        <v>3.4</v>
      </c>
      <c r="H128" t="n">
        <v>0</v>
      </c>
      <c r="I128" t="n">
        <v>0</v>
      </c>
      <c r="J128" t="n">
        <v>0</v>
      </c>
      <c r="K128" t="n">
        <v>0</v>
      </c>
      <c r="L128" t="n">
        <v>0</v>
      </c>
      <c r="M128" t="n">
        <v>0</v>
      </c>
      <c r="N128" t="n">
        <v>0</v>
      </c>
      <c r="O128" t="n">
        <v>0</v>
      </c>
      <c r="P128" t="n">
        <v>0</v>
      </c>
      <c r="Q128" t="n">
        <v>0</v>
      </c>
      <c r="R128" s="2" t="inlineStr"/>
    </row>
    <row r="129" ht="15" customHeight="1">
      <c r="A129" t="inlineStr">
        <is>
          <t>A 54072-2019</t>
        </is>
      </c>
      <c r="B129" s="1" t="n">
        <v>43752</v>
      </c>
      <c r="C129" s="1" t="n">
        <v>45736</v>
      </c>
      <c r="D129" t="inlineStr">
        <is>
          <t>VÄSTERNORRLANDS LÄN</t>
        </is>
      </c>
      <c r="E129" t="inlineStr">
        <is>
          <t>TIMRÅ</t>
        </is>
      </c>
      <c r="G129" t="n">
        <v>12.8</v>
      </c>
      <c r="H129" t="n">
        <v>0</v>
      </c>
      <c r="I129" t="n">
        <v>0</v>
      </c>
      <c r="J129" t="n">
        <v>0</v>
      </c>
      <c r="K129" t="n">
        <v>0</v>
      </c>
      <c r="L129" t="n">
        <v>0</v>
      </c>
      <c r="M129" t="n">
        <v>0</v>
      </c>
      <c r="N129" t="n">
        <v>0</v>
      </c>
      <c r="O129" t="n">
        <v>0</v>
      </c>
      <c r="P129" t="n">
        <v>0</v>
      </c>
      <c r="Q129" t="n">
        <v>0</v>
      </c>
      <c r="R129" s="2" t="inlineStr"/>
    </row>
    <row r="130" ht="15" customHeight="1">
      <c r="A130" t="inlineStr">
        <is>
          <t>A 54365-2019</t>
        </is>
      </c>
      <c r="B130" s="1" t="n">
        <v>43753</v>
      </c>
      <c r="C130" s="1" t="n">
        <v>45736</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56316-2019</t>
        </is>
      </c>
      <c r="B131" s="1" t="n">
        <v>43756</v>
      </c>
      <c r="C131" s="1" t="n">
        <v>45736</v>
      </c>
      <c r="D131" t="inlineStr">
        <is>
          <t>VÄSTERNORRLANDS LÄN</t>
        </is>
      </c>
      <c r="E131" t="inlineStr">
        <is>
          <t>TIMRÅ</t>
        </is>
      </c>
      <c r="G131" t="n">
        <v>2.6</v>
      </c>
      <c r="H131" t="n">
        <v>0</v>
      </c>
      <c r="I131" t="n">
        <v>0</v>
      </c>
      <c r="J131" t="n">
        <v>0</v>
      </c>
      <c r="K131" t="n">
        <v>0</v>
      </c>
      <c r="L131" t="n">
        <v>0</v>
      </c>
      <c r="M131" t="n">
        <v>0</v>
      </c>
      <c r="N131" t="n">
        <v>0</v>
      </c>
      <c r="O131" t="n">
        <v>0</v>
      </c>
      <c r="P131" t="n">
        <v>0</v>
      </c>
      <c r="Q131" t="n">
        <v>0</v>
      </c>
      <c r="R131" s="2" t="inlineStr"/>
    </row>
    <row r="132" ht="15" customHeight="1">
      <c r="A132" t="inlineStr">
        <is>
          <t>A 55809-2019</t>
        </is>
      </c>
      <c r="B132" s="1" t="n">
        <v>43759</v>
      </c>
      <c r="C132" s="1" t="n">
        <v>45736</v>
      </c>
      <c r="D132" t="inlineStr">
        <is>
          <t>VÄSTERNORRLANDS LÄN</t>
        </is>
      </c>
      <c r="E132" t="inlineStr">
        <is>
          <t>TIMRÅ</t>
        </is>
      </c>
      <c r="G132" t="n">
        <v>5.9</v>
      </c>
      <c r="H132" t="n">
        <v>0</v>
      </c>
      <c r="I132" t="n">
        <v>0</v>
      </c>
      <c r="J132" t="n">
        <v>0</v>
      </c>
      <c r="K132" t="n">
        <v>0</v>
      </c>
      <c r="L132" t="n">
        <v>0</v>
      </c>
      <c r="M132" t="n">
        <v>0</v>
      </c>
      <c r="N132" t="n">
        <v>0</v>
      </c>
      <c r="O132" t="n">
        <v>0</v>
      </c>
      <c r="P132" t="n">
        <v>0</v>
      </c>
      <c r="Q132" t="n">
        <v>0</v>
      </c>
      <c r="R132" s="2" t="inlineStr"/>
    </row>
    <row r="133" ht="15" customHeight="1">
      <c r="A133" t="inlineStr">
        <is>
          <t>A 56065-2019</t>
        </is>
      </c>
      <c r="B133" s="1" t="n">
        <v>43759</v>
      </c>
      <c r="C133" s="1" t="n">
        <v>45736</v>
      </c>
      <c r="D133" t="inlineStr">
        <is>
          <t>VÄSTERNORRLANDS LÄN</t>
        </is>
      </c>
      <c r="E133" t="inlineStr">
        <is>
          <t>TIMRÅ</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56178-2019</t>
        </is>
      </c>
      <c r="B134" s="1" t="n">
        <v>43761</v>
      </c>
      <c r="C134" s="1" t="n">
        <v>45736</v>
      </c>
      <c r="D134" t="inlineStr">
        <is>
          <t>VÄSTERNORRLANDS LÄN</t>
        </is>
      </c>
      <c r="E134" t="inlineStr">
        <is>
          <t>TIMRÅ</t>
        </is>
      </c>
      <c r="G134" t="n">
        <v>0.8</v>
      </c>
      <c r="H134" t="n">
        <v>0</v>
      </c>
      <c r="I134" t="n">
        <v>0</v>
      </c>
      <c r="J134" t="n">
        <v>0</v>
      </c>
      <c r="K134" t="n">
        <v>0</v>
      </c>
      <c r="L134" t="n">
        <v>0</v>
      </c>
      <c r="M134" t="n">
        <v>0</v>
      </c>
      <c r="N134" t="n">
        <v>0</v>
      </c>
      <c r="O134" t="n">
        <v>0</v>
      </c>
      <c r="P134" t="n">
        <v>0</v>
      </c>
      <c r="Q134" t="n">
        <v>0</v>
      </c>
      <c r="R134" s="2" t="inlineStr"/>
    </row>
    <row r="135" ht="15" customHeight="1">
      <c r="A135" t="inlineStr">
        <is>
          <t>A 58711-2019</t>
        </is>
      </c>
      <c r="B135" s="1" t="n">
        <v>43768</v>
      </c>
      <c r="C135" s="1" t="n">
        <v>45736</v>
      </c>
      <c r="D135" t="inlineStr">
        <is>
          <t>VÄSTERNORRLANDS LÄN</t>
        </is>
      </c>
      <c r="E135" t="inlineStr">
        <is>
          <t>TIMRÅ</t>
        </is>
      </c>
      <c r="G135" t="n">
        <v>3.6</v>
      </c>
      <c r="H135" t="n">
        <v>0</v>
      </c>
      <c r="I135" t="n">
        <v>0</v>
      </c>
      <c r="J135" t="n">
        <v>0</v>
      </c>
      <c r="K135" t="n">
        <v>0</v>
      </c>
      <c r="L135" t="n">
        <v>0</v>
      </c>
      <c r="M135" t="n">
        <v>0</v>
      </c>
      <c r="N135" t="n">
        <v>0</v>
      </c>
      <c r="O135" t="n">
        <v>0</v>
      </c>
      <c r="P135" t="n">
        <v>0</v>
      </c>
      <c r="Q135" t="n">
        <v>0</v>
      </c>
      <c r="R135" s="2" t="inlineStr"/>
    </row>
    <row r="136" ht="15" customHeight="1">
      <c r="A136" t="inlineStr">
        <is>
          <t>A 58867-2019</t>
        </is>
      </c>
      <c r="B136" s="1" t="n">
        <v>43774</v>
      </c>
      <c r="C136" s="1" t="n">
        <v>45736</v>
      </c>
      <c r="D136" t="inlineStr">
        <is>
          <t>VÄSTERNORRLANDS LÄN</t>
        </is>
      </c>
      <c r="E136" t="inlineStr">
        <is>
          <t>TIMRÅ</t>
        </is>
      </c>
      <c r="G136" t="n">
        <v>1.7</v>
      </c>
      <c r="H136" t="n">
        <v>0</v>
      </c>
      <c r="I136" t="n">
        <v>0</v>
      </c>
      <c r="J136" t="n">
        <v>0</v>
      </c>
      <c r="K136" t="n">
        <v>0</v>
      </c>
      <c r="L136" t="n">
        <v>0</v>
      </c>
      <c r="M136" t="n">
        <v>0</v>
      </c>
      <c r="N136" t="n">
        <v>0</v>
      </c>
      <c r="O136" t="n">
        <v>0</v>
      </c>
      <c r="P136" t="n">
        <v>0</v>
      </c>
      <c r="Q136" t="n">
        <v>0</v>
      </c>
      <c r="R136" s="2" t="inlineStr"/>
    </row>
    <row r="137" ht="15" customHeight="1">
      <c r="A137" t="inlineStr">
        <is>
          <t>A 60849-2019</t>
        </is>
      </c>
      <c r="B137" s="1" t="n">
        <v>43781</v>
      </c>
      <c r="C137" s="1" t="n">
        <v>45736</v>
      </c>
      <c r="D137" t="inlineStr">
        <is>
          <t>VÄSTERNORRLANDS LÄN</t>
        </is>
      </c>
      <c r="E137" t="inlineStr">
        <is>
          <t>TIMRÅ</t>
        </is>
      </c>
      <c r="F137" t="inlineStr">
        <is>
          <t>Kommuner</t>
        </is>
      </c>
      <c r="G137" t="n">
        <v>1.7</v>
      </c>
      <c r="H137" t="n">
        <v>0</v>
      </c>
      <c r="I137" t="n">
        <v>0</v>
      </c>
      <c r="J137" t="n">
        <v>0</v>
      </c>
      <c r="K137" t="n">
        <v>0</v>
      </c>
      <c r="L137" t="n">
        <v>0</v>
      </c>
      <c r="M137" t="n">
        <v>0</v>
      </c>
      <c r="N137" t="n">
        <v>0</v>
      </c>
      <c r="O137" t="n">
        <v>0</v>
      </c>
      <c r="P137" t="n">
        <v>0</v>
      </c>
      <c r="Q137" t="n">
        <v>0</v>
      </c>
      <c r="R137" s="2" t="inlineStr"/>
    </row>
    <row r="138" ht="15" customHeight="1">
      <c r="A138" t="inlineStr">
        <is>
          <t>A 62282-2019</t>
        </is>
      </c>
      <c r="B138" s="1" t="n">
        <v>43782</v>
      </c>
      <c r="C138" s="1" t="n">
        <v>45736</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63685-2019</t>
        </is>
      </c>
      <c r="B139" s="1" t="n">
        <v>43788</v>
      </c>
      <c r="C139" s="1" t="n">
        <v>45736</v>
      </c>
      <c r="D139" t="inlineStr">
        <is>
          <t>VÄSTERNORRLANDS LÄN</t>
        </is>
      </c>
      <c r="E139" t="inlineStr">
        <is>
          <t>TIMRÅ</t>
        </is>
      </c>
      <c r="G139" t="n">
        <v>1.9</v>
      </c>
      <c r="H139" t="n">
        <v>0</v>
      </c>
      <c r="I139" t="n">
        <v>0</v>
      </c>
      <c r="J139" t="n">
        <v>0</v>
      </c>
      <c r="K139" t="n">
        <v>0</v>
      </c>
      <c r="L139" t="n">
        <v>0</v>
      </c>
      <c r="M139" t="n">
        <v>0</v>
      </c>
      <c r="N139" t="n">
        <v>0</v>
      </c>
      <c r="O139" t="n">
        <v>0</v>
      </c>
      <c r="P139" t="n">
        <v>0</v>
      </c>
      <c r="Q139" t="n">
        <v>0</v>
      </c>
      <c r="R139" s="2" t="inlineStr"/>
    </row>
    <row r="140" ht="15" customHeight="1">
      <c r="A140" t="inlineStr">
        <is>
          <t>A 63836-2019</t>
        </is>
      </c>
      <c r="B140" s="1" t="n">
        <v>43795</v>
      </c>
      <c r="C140" s="1" t="n">
        <v>45736</v>
      </c>
      <c r="D140" t="inlineStr">
        <is>
          <t>VÄSTERNORRLANDS LÄN</t>
        </is>
      </c>
      <c r="E140" t="inlineStr">
        <is>
          <t>TIMRÅ</t>
        </is>
      </c>
      <c r="F140" t="inlineStr">
        <is>
          <t>Kyrkan</t>
        </is>
      </c>
      <c r="G140" t="n">
        <v>4.9</v>
      </c>
      <c r="H140" t="n">
        <v>0</v>
      </c>
      <c r="I140" t="n">
        <v>0</v>
      </c>
      <c r="J140" t="n">
        <v>0</v>
      </c>
      <c r="K140" t="n">
        <v>0</v>
      </c>
      <c r="L140" t="n">
        <v>0</v>
      </c>
      <c r="M140" t="n">
        <v>0</v>
      </c>
      <c r="N140" t="n">
        <v>0</v>
      </c>
      <c r="O140" t="n">
        <v>0</v>
      </c>
      <c r="P140" t="n">
        <v>0</v>
      </c>
      <c r="Q140" t="n">
        <v>0</v>
      </c>
      <c r="R140" s="2" t="inlineStr"/>
    </row>
    <row r="141" ht="15" customHeight="1">
      <c r="A141" t="inlineStr">
        <is>
          <t>A 65954-2019</t>
        </is>
      </c>
      <c r="B141" s="1" t="n">
        <v>43801</v>
      </c>
      <c r="C141" s="1" t="n">
        <v>45736</v>
      </c>
      <c r="D141" t="inlineStr">
        <is>
          <t>VÄSTERNORRLANDS LÄN</t>
        </is>
      </c>
      <c r="E141" t="inlineStr">
        <is>
          <t>TIMRÅ</t>
        </is>
      </c>
      <c r="G141" t="n">
        <v>9.1</v>
      </c>
      <c r="H141" t="n">
        <v>0</v>
      </c>
      <c r="I141" t="n">
        <v>0</v>
      </c>
      <c r="J141" t="n">
        <v>0</v>
      </c>
      <c r="K141" t="n">
        <v>0</v>
      </c>
      <c r="L141" t="n">
        <v>0</v>
      </c>
      <c r="M141" t="n">
        <v>0</v>
      </c>
      <c r="N141" t="n">
        <v>0</v>
      </c>
      <c r="O141" t="n">
        <v>0</v>
      </c>
      <c r="P141" t="n">
        <v>0</v>
      </c>
      <c r="Q141" t="n">
        <v>0</v>
      </c>
      <c r="R141" s="2" t="inlineStr"/>
    </row>
    <row r="142" ht="15" customHeight="1">
      <c r="A142" t="inlineStr">
        <is>
          <t>A 65367-2019</t>
        </is>
      </c>
      <c r="B142" s="1" t="n">
        <v>43803</v>
      </c>
      <c r="C142" s="1" t="n">
        <v>45736</v>
      </c>
      <c r="D142" t="inlineStr">
        <is>
          <t>VÄSTERNORRLANDS LÄN</t>
        </is>
      </c>
      <c r="E142" t="inlineStr">
        <is>
          <t>TIMRÅ</t>
        </is>
      </c>
      <c r="G142" t="n">
        <v>1.7</v>
      </c>
      <c r="H142" t="n">
        <v>0</v>
      </c>
      <c r="I142" t="n">
        <v>0</v>
      </c>
      <c r="J142" t="n">
        <v>0</v>
      </c>
      <c r="K142" t="n">
        <v>0</v>
      </c>
      <c r="L142" t="n">
        <v>0</v>
      </c>
      <c r="M142" t="n">
        <v>0</v>
      </c>
      <c r="N142" t="n">
        <v>0</v>
      </c>
      <c r="O142" t="n">
        <v>0</v>
      </c>
      <c r="P142" t="n">
        <v>0</v>
      </c>
      <c r="Q142" t="n">
        <v>0</v>
      </c>
      <c r="R142" s="2" t="inlineStr"/>
    </row>
    <row r="143" ht="15" customHeight="1">
      <c r="A143" t="inlineStr">
        <is>
          <t>A 66385-2019</t>
        </is>
      </c>
      <c r="B143" s="1" t="n">
        <v>43808</v>
      </c>
      <c r="C143" s="1" t="n">
        <v>45736</v>
      </c>
      <c r="D143" t="inlineStr">
        <is>
          <t>VÄSTERNORRLANDS LÄN</t>
        </is>
      </c>
      <c r="E143" t="inlineStr">
        <is>
          <t>TIMRÅ</t>
        </is>
      </c>
      <c r="G143" t="n">
        <v>1.5</v>
      </c>
      <c r="H143" t="n">
        <v>0</v>
      </c>
      <c r="I143" t="n">
        <v>0</v>
      </c>
      <c r="J143" t="n">
        <v>0</v>
      </c>
      <c r="K143" t="n">
        <v>0</v>
      </c>
      <c r="L143" t="n">
        <v>0</v>
      </c>
      <c r="M143" t="n">
        <v>0</v>
      </c>
      <c r="N143" t="n">
        <v>0</v>
      </c>
      <c r="O143" t="n">
        <v>0</v>
      </c>
      <c r="P143" t="n">
        <v>0</v>
      </c>
      <c r="Q143" t="n">
        <v>0</v>
      </c>
      <c r="R143" s="2" t="inlineStr"/>
    </row>
    <row r="144" ht="15" customHeight="1">
      <c r="A144" t="inlineStr">
        <is>
          <t>A 66415-2019</t>
        </is>
      </c>
      <c r="B144" s="1" t="n">
        <v>43808</v>
      </c>
      <c r="C144" s="1" t="n">
        <v>45736</v>
      </c>
      <c r="D144" t="inlineStr">
        <is>
          <t>VÄSTERNORRLANDS LÄN</t>
        </is>
      </c>
      <c r="E144" t="inlineStr">
        <is>
          <t>TIMRÅ</t>
        </is>
      </c>
      <c r="G144" t="n">
        <v>2.8</v>
      </c>
      <c r="H144" t="n">
        <v>0</v>
      </c>
      <c r="I144" t="n">
        <v>0</v>
      </c>
      <c r="J144" t="n">
        <v>0</v>
      </c>
      <c r="K144" t="n">
        <v>0</v>
      </c>
      <c r="L144" t="n">
        <v>0</v>
      </c>
      <c r="M144" t="n">
        <v>0</v>
      </c>
      <c r="N144" t="n">
        <v>0</v>
      </c>
      <c r="O144" t="n">
        <v>0</v>
      </c>
      <c r="P144" t="n">
        <v>0</v>
      </c>
      <c r="Q144" t="n">
        <v>0</v>
      </c>
      <c r="R144" s="2" t="inlineStr"/>
    </row>
    <row r="145" ht="15" customHeight="1">
      <c r="A145" t="inlineStr">
        <is>
          <t>A 66387-2019</t>
        </is>
      </c>
      <c r="B145" s="1" t="n">
        <v>43808</v>
      </c>
      <c r="C145" s="1" t="n">
        <v>45736</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67825-2019</t>
        </is>
      </c>
      <c r="B146" s="1" t="n">
        <v>43815</v>
      </c>
      <c r="C146" s="1" t="n">
        <v>45736</v>
      </c>
      <c r="D146" t="inlineStr">
        <is>
          <t>VÄSTERNORRLANDS LÄN</t>
        </is>
      </c>
      <c r="E146" t="inlineStr">
        <is>
          <t>TIMRÅ</t>
        </is>
      </c>
      <c r="G146" t="n">
        <v>2.6</v>
      </c>
      <c r="H146" t="n">
        <v>0</v>
      </c>
      <c r="I146" t="n">
        <v>0</v>
      </c>
      <c r="J146" t="n">
        <v>0</v>
      </c>
      <c r="K146" t="n">
        <v>0</v>
      </c>
      <c r="L146" t="n">
        <v>0</v>
      </c>
      <c r="M146" t="n">
        <v>0</v>
      </c>
      <c r="N146" t="n">
        <v>0</v>
      </c>
      <c r="O146" t="n">
        <v>0</v>
      </c>
      <c r="P146" t="n">
        <v>0</v>
      </c>
      <c r="Q146" t="n">
        <v>0</v>
      </c>
      <c r="R146" s="2" t="inlineStr"/>
    </row>
    <row r="147" ht="15" customHeight="1">
      <c r="A147" t="inlineStr">
        <is>
          <t>A 1298-2020</t>
        </is>
      </c>
      <c r="B147" s="1" t="n">
        <v>43842</v>
      </c>
      <c r="C147" s="1" t="n">
        <v>45736</v>
      </c>
      <c r="D147" t="inlineStr">
        <is>
          <t>VÄSTERNORRLANDS LÄN</t>
        </is>
      </c>
      <c r="E147" t="inlineStr">
        <is>
          <t>TIMRÅ</t>
        </is>
      </c>
      <c r="G147" t="n">
        <v>10.8</v>
      </c>
      <c r="H147" t="n">
        <v>0</v>
      </c>
      <c r="I147" t="n">
        <v>0</v>
      </c>
      <c r="J147" t="n">
        <v>0</v>
      </c>
      <c r="K147" t="n">
        <v>0</v>
      </c>
      <c r="L147" t="n">
        <v>0</v>
      </c>
      <c r="M147" t="n">
        <v>0</v>
      </c>
      <c r="N147" t="n">
        <v>0</v>
      </c>
      <c r="O147" t="n">
        <v>0</v>
      </c>
      <c r="P147" t="n">
        <v>0</v>
      </c>
      <c r="Q147" t="n">
        <v>0</v>
      </c>
      <c r="R147" s="2" t="inlineStr"/>
    </row>
    <row r="148" ht="15" customHeight="1">
      <c r="A148" t="inlineStr">
        <is>
          <t>A 3007-2020</t>
        </is>
      </c>
      <c r="B148" s="1" t="n">
        <v>43850</v>
      </c>
      <c r="C148" s="1" t="n">
        <v>45736</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3006-2020</t>
        </is>
      </c>
      <c r="B149" s="1" t="n">
        <v>43850</v>
      </c>
      <c r="C149" s="1" t="n">
        <v>45736</v>
      </c>
      <c r="D149" t="inlineStr">
        <is>
          <t>VÄSTERNORRLANDS LÄN</t>
        </is>
      </c>
      <c r="E149" t="inlineStr">
        <is>
          <t>TIMRÅ</t>
        </is>
      </c>
      <c r="G149" t="n">
        <v>1.3</v>
      </c>
      <c r="H149" t="n">
        <v>0</v>
      </c>
      <c r="I149" t="n">
        <v>0</v>
      </c>
      <c r="J149" t="n">
        <v>0</v>
      </c>
      <c r="K149" t="n">
        <v>0</v>
      </c>
      <c r="L149" t="n">
        <v>0</v>
      </c>
      <c r="M149" t="n">
        <v>0</v>
      </c>
      <c r="N149" t="n">
        <v>0</v>
      </c>
      <c r="O149" t="n">
        <v>0</v>
      </c>
      <c r="P149" t="n">
        <v>0</v>
      </c>
      <c r="Q149" t="n">
        <v>0</v>
      </c>
      <c r="R149" s="2" t="inlineStr"/>
    </row>
    <row r="150" ht="15" customHeight="1">
      <c r="A150" t="inlineStr">
        <is>
          <t>A 3010-2020</t>
        </is>
      </c>
      <c r="B150" s="1" t="n">
        <v>43850</v>
      </c>
      <c r="C150" s="1" t="n">
        <v>45736</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3030-2020</t>
        </is>
      </c>
      <c r="B151" s="1" t="n">
        <v>43851</v>
      </c>
      <c r="C151" s="1" t="n">
        <v>45736</v>
      </c>
      <c r="D151" t="inlineStr">
        <is>
          <t>VÄSTERNORRLANDS LÄN</t>
        </is>
      </c>
      <c r="E151" t="inlineStr">
        <is>
          <t>TIMRÅ</t>
        </is>
      </c>
      <c r="F151" t="inlineStr">
        <is>
          <t>Kyrkan</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3285-2020</t>
        </is>
      </c>
      <c r="B152" s="1" t="n">
        <v>43852</v>
      </c>
      <c r="C152" s="1" t="n">
        <v>45736</v>
      </c>
      <c r="D152" t="inlineStr">
        <is>
          <t>VÄSTERNORRLANDS LÄN</t>
        </is>
      </c>
      <c r="E152" t="inlineStr">
        <is>
          <t>TIMRÅ</t>
        </is>
      </c>
      <c r="G152" t="n">
        <v>0.6</v>
      </c>
      <c r="H152" t="n">
        <v>0</v>
      </c>
      <c r="I152" t="n">
        <v>0</v>
      </c>
      <c r="J152" t="n">
        <v>0</v>
      </c>
      <c r="K152" t="n">
        <v>0</v>
      </c>
      <c r="L152" t="n">
        <v>0</v>
      </c>
      <c r="M152" t="n">
        <v>0</v>
      </c>
      <c r="N152" t="n">
        <v>0</v>
      </c>
      <c r="O152" t="n">
        <v>0</v>
      </c>
      <c r="P152" t="n">
        <v>0</v>
      </c>
      <c r="Q152" t="n">
        <v>0</v>
      </c>
      <c r="R152" s="2" t="inlineStr"/>
    </row>
    <row r="153" ht="15" customHeight="1">
      <c r="A153" t="inlineStr">
        <is>
          <t>A 3283-2020</t>
        </is>
      </c>
      <c r="B153" s="1" t="n">
        <v>43852</v>
      </c>
      <c r="C153" s="1" t="n">
        <v>45736</v>
      </c>
      <c r="D153" t="inlineStr">
        <is>
          <t>VÄSTERNORRLANDS LÄN</t>
        </is>
      </c>
      <c r="E153" t="inlineStr">
        <is>
          <t>TIMRÅ</t>
        </is>
      </c>
      <c r="G153" t="n">
        <v>3</v>
      </c>
      <c r="H153" t="n">
        <v>0</v>
      </c>
      <c r="I153" t="n">
        <v>0</v>
      </c>
      <c r="J153" t="n">
        <v>0</v>
      </c>
      <c r="K153" t="n">
        <v>0</v>
      </c>
      <c r="L153" t="n">
        <v>0</v>
      </c>
      <c r="M153" t="n">
        <v>0</v>
      </c>
      <c r="N153" t="n">
        <v>0</v>
      </c>
      <c r="O153" t="n">
        <v>0</v>
      </c>
      <c r="P153" t="n">
        <v>0</v>
      </c>
      <c r="Q153" t="n">
        <v>0</v>
      </c>
      <c r="R153" s="2" t="inlineStr"/>
    </row>
    <row r="154" ht="15" customHeight="1">
      <c r="A154" t="inlineStr">
        <is>
          <t>A 7134-2020</t>
        </is>
      </c>
      <c r="B154" s="1" t="n">
        <v>43868</v>
      </c>
      <c r="C154" s="1" t="n">
        <v>45736</v>
      </c>
      <c r="D154" t="inlineStr">
        <is>
          <t>VÄSTERNORRLANDS LÄN</t>
        </is>
      </c>
      <c r="E154" t="inlineStr">
        <is>
          <t>TIMRÅ</t>
        </is>
      </c>
      <c r="F154" t="inlineStr">
        <is>
          <t>SCA</t>
        </is>
      </c>
      <c r="G154" t="n">
        <v>25.8</v>
      </c>
      <c r="H154" t="n">
        <v>0</v>
      </c>
      <c r="I154" t="n">
        <v>0</v>
      </c>
      <c r="J154" t="n">
        <v>0</v>
      </c>
      <c r="K154" t="n">
        <v>0</v>
      </c>
      <c r="L154" t="n">
        <v>0</v>
      </c>
      <c r="M154" t="n">
        <v>0</v>
      </c>
      <c r="N154" t="n">
        <v>0</v>
      </c>
      <c r="O154" t="n">
        <v>0</v>
      </c>
      <c r="P154" t="n">
        <v>0</v>
      </c>
      <c r="Q154" t="n">
        <v>0</v>
      </c>
      <c r="R154" s="2" t="inlineStr"/>
    </row>
    <row r="155" ht="15" customHeight="1">
      <c r="A155" t="inlineStr">
        <is>
          <t>A 8279-2020</t>
        </is>
      </c>
      <c r="B155" s="1" t="n">
        <v>43874</v>
      </c>
      <c r="C155" s="1" t="n">
        <v>45736</v>
      </c>
      <c r="D155" t="inlineStr">
        <is>
          <t>VÄSTERNORRLANDS LÄN</t>
        </is>
      </c>
      <c r="E155" t="inlineStr">
        <is>
          <t>TIMRÅ</t>
        </is>
      </c>
      <c r="G155" t="n">
        <v>10.9</v>
      </c>
      <c r="H155" t="n">
        <v>0</v>
      </c>
      <c r="I155" t="n">
        <v>0</v>
      </c>
      <c r="J155" t="n">
        <v>0</v>
      </c>
      <c r="K155" t="n">
        <v>0</v>
      </c>
      <c r="L155" t="n">
        <v>0</v>
      </c>
      <c r="M155" t="n">
        <v>0</v>
      </c>
      <c r="N155" t="n">
        <v>0</v>
      </c>
      <c r="O155" t="n">
        <v>0</v>
      </c>
      <c r="P155" t="n">
        <v>0</v>
      </c>
      <c r="Q155" t="n">
        <v>0</v>
      </c>
      <c r="R155" s="2" t="inlineStr"/>
    </row>
    <row r="156" ht="15" customHeight="1">
      <c r="A156" t="inlineStr">
        <is>
          <t>A 9029-2020</t>
        </is>
      </c>
      <c r="B156" s="1" t="n">
        <v>43879</v>
      </c>
      <c r="C156" s="1" t="n">
        <v>45736</v>
      </c>
      <c r="D156" t="inlineStr">
        <is>
          <t>VÄSTERNORRLANDS LÄN</t>
        </is>
      </c>
      <c r="E156" t="inlineStr">
        <is>
          <t>TIMRÅ</t>
        </is>
      </c>
      <c r="G156" t="n">
        <v>6.3</v>
      </c>
      <c r="H156" t="n">
        <v>0</v>
      </c>
      <c r="I156" t="n">
        <v>0</v>
      </c>
      <c r="J156" t="n">
        <v>0</v>
      </c>
      <c r="K156" t="n">
        <v>0</v>
      </c>
      <c r="L156" t="n">
        <v>0</v>
      </c>
      <c r="M156" t="n">
        <v>0</v>
      </c>
      <c r="N156" t="n">
        <v>0</v>
      </c>
      <c r="O156" t="n">
        <v>0</v>
      </c>
      <c r="P156" t="n">
        <v>0</v>
      </c>
      <c r="Q156" t="n">
        <v>0</v>
      </c>
      <c r="R156" s="2" t="inlineStr"/>
    </row>
    <row r="157" ht="15" customHeight="1">
      <c r="A157" t="inlineStr">
        <is>
          <t>A 9097-2020</t>
        </is>
      </c>
      <c r="B157" s="1" t="n">
        <v>43879</v>
      </c>
      <c r="C157" s="1" t="n">
        <v>45736</v>
      </c>
      <c r="D157" t="inlineStr">
        <is>
          <t>VÄSTERNORRLANDS LÄN</t>
        </is>
      </c>
      <c r="E157" t="inlineStr">
        <is>
          <t>TIMRÅ</t>
        </is>
      </c>
      <c r="G157" t="n">
        <v>7.4</v>
      </c>
      <c r="H157" t="n">
        <v>0</v>
      </c>
      <c r="I157" t="n">
        <v>0</v>
      </c>
      <c r="J157" t="n">
        <v>0</v>
      </c>
      <c r="K157" t="n">
        <v>0</v>
      </c>
      <c r="L157" t="n">
        <v>0</v>
      </c>
      <c r="M157" t="n">
        <v>0</v>
      </c>
      <c r="N157" t="n">
        <v>0</v>
      </c>
      <c r="O157" t="n">
        <v>0</v>
      </c>
      <c r="P157" t="n">
        <v>0</v>
      </c>
      <c r="Q157" t="n">
        <v>0</v>
      </c>
      <c r="R157" s="2" t="inlineStr"/>
    </row>
    <row r="158" ht="15" customHeight="1">
      <c r="A158" t="inlineStr">
        <is>
          <t>A 10377-2020</t>
        </is>
      </c>
      <c r="B158" s="1" t="n">
        <v>43885</v>
      </c>
      <c r="C158" s="1" t="n">
        <v>45736</v>
      </c>
      <c r="D158" t="inlineStr">
        <is>
          <t>VÄSTERNORRLANDS LÄN</t>
        </is>
      </c>
      <c r="E158" t="inlineStr">
        <is>
          <t>TIMRÅ</t>
        </is>
      </c>
      <c r="G158" t="n">
        <v>1.6</v>
      </c>
      <c r="H158" t="n">
        <v>0</v>
      </c>
      <c r="I158" t="n">
        <v>0</v>
      </c>
      <c r="J158" t="n">
        <v>0</v>
      </c>
      <c r="K158" t="n">
        <v>0</v>
      </c>
      <c r="L158" t="n">
        <v>0</v>
      </c>
      <c r="M158" t="n">
        <v>0</v>
      </c>
      <c r="N158" t="n">
        <v>0</v>
      </c>
      <c r="O158" t="n">
        <v>0</v>
      </c>
      <c r="P158" t="n">
        <v>0</v>
      </c>
      <c r="Q158" t="n">
        <v>0</v>
      </c>
      <c r="R158" s="2" t="inlineStr"/>
    </row>
    <row r="159" ht="15" customHeight="1">
      <c r="A159" t="inlineStr">
        <is>
          <t>A 13782-2020</t>
        </is>
      </c>
      <c r="B159" s="1" t="n">
        <v>43903</v>
      </c>
      <c r="C159" s="1" t="n">
        <v>45736</v>
      </c>
      <c r="D159" t="inlineStr">
        <is>
          <t>VÄSTERNORRLANDS LÄN</t>
        </is>
      </c>
      <c r="E159" t="inlineStr">
        <is>
          <t>TIMRÅ</t>
        </is>
      </c>
      <c r="G159" t="n">
        <v>4.1</v>
      </c>
      <c r="H159" t="n">
        <v>0</v>
      </c>
      <c r="I159" t="n">
        <v>0</v>
      </c>
      <c r="J159" t="n">
        <v>0</v>
      </c>
      <c r="K159" t="n">
        <v>0</v>
      </c>
      <c r="L159" t="n">
        <v>0</v>
      </c>
      <c r="M159" t="n">
        <v>0</v>
      </c>
      <c r="N159" t="n">
        <v>0</v>
      </c>
      <c r="O159" t="n">
        <v>0</v>
      </c>
      <c r="P159" t="n">
        <v>0</v>
      </c>
      <c r="Q159" t="n">
        <v>0</v>
      </c>
      <c r="R159" s="2" t="inlineStr"/>
    </row>
    <row r="160" ht="15" customHeight="1">
      <c r="A160" t="inlineStr">
        <is>
          <t>A 15631-2020</t>
        </is>
      </c>
      <c r="B160" s="1" t="n">
        <v>43914</v>
      </c>
      <c r="C160" s="1" t="n">
        <v>45736</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17822-2020</t>
        </is>
      </c>
      <c r="B161" s="1" t="n">
        <v>43924</v>
      </c>
      <c r="C161" s="1" t="n">
        <v>45736</v>
      </c>
      <c r="D161" t="inlineStr">
        <is>
          <t>VÄSTERNORRLANDS LÄN</t>
        </is>
      </c>
      <c r="E161" t="inlineStr">
        <is>
          <t>TIMRÅ</t>
        </is>
      </c>
      <c r="G161" t="n">
        <v>0.2</v>
      </c>
      <c r="H161" t="n">
        <v>0</v>
      </c>
      <c r="I161" t="n">
        <v>0</v>
      </c>
      <c r="J161" t="n">
        <v>0</v>
      </c>
      <c r="K161" t="n">
        <v>0</v>
      </c>
      <c r="L161" t="n">
        <v>0</v>
      </c>
      <c r="M161" t="n">
        <v>0</v>
      </c>
      <c r="N161" t="n">
        <v>0</v>
      </c>
      <c r="O161" t="n">
        <v>0</v>
      </c>
      <c r="P161" t="n">
        <v>0</v>
      </c>
      <c r="Q161" t="n">
        <v>0</v>
      </c>
      <c r="R161" s="2" t="inlineStr"/>
    </row>
    <row r="162" ht="15" customHeight="1">
      <c r="A162" t="inlineStr">
        <is>
          <t>A 18107-2020</t>
        </is>
      </c>
      <c r="B162" s="1" t="n">
        <v>43927</v>
      </c>
      <c r="C162" s="1" t="n">
        <v>45736</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18211-2020</t>
        </is>
      </c>
      <c r="B163" s="1" t="n">
        <v>43927</v>
      </c>
      <c r="C163" s="1" t="n">
        <v>45736</v>
      </c>
      <c r="D163" t="inlineStr">
        <is>
          <t>VÄSTERNORRLANDS LÄN</t>
        </is>
      </c>
      <c r="E163" t="inlineStr">
        <is>
          <t>TIMRÅ</t>
        </is>
      </c>
      <c r="G163" t="n">
        <v>0.5</v>
      </c>
      <c r="H163" t="n">
        <v>0</v>
      </c>
      <c r="I163" t="n">
        <v>0</v>
      </c>
      <c r="J163" t="n">
        <v>0</v>
      </c>
      <c r="K163" t="n">
        <v>0</v>
      </c>
      <c r="L163" t="n">
        <v>0</v>
      </c>
      <c r="M163" t="n">
        <v>0</v>
      </c>
      <c r="N163" t="n">
        <v>0</v>
      </c>
      <c r="O163" t="n">
        <v>0</v>
      </c>
      <c r="P163" t="n">
        <v>0</v>
      </c>
      <c r="Q163" t="n">
        <v>0</v>
      </c>
      <c r="R163" s="2" t="inlineStr"/>
    </row>
    <row r="164" ht="15" customHeight="1">
      <c r="A164" t="inlineStr">
        <is>
          <t>A 18208-2020</t>
        </is>
      </c>
      <c r="B164" s="1" t="n">
        <v>43927</v>
      </c>
      <c r="C164" s="1" t="n">
        <v>45736</v>
      </c>
      <c r="D164" t="inlineStr">
        <is>
          <t>VÄSTERNORRLANDS LÄN</t>
        </is>
      </c>
      <c r="E164" t="inlineStr">
        <is>
          <t>TIMRÅ</t>
        </is>
      </c>
      <c r="G164" t="n">
        <v>8.9</v>
      </c>
      <c r="H164" t="n">
        <v>0</v>
      </c>
      <c r="I164" t="n">
        <v>0</v>
      </c>
      <c r="J164" t="n">
        <v>0</v>
      </c>
      <c r="K164" t="n">
        <v>0</v>
      </c>
      <c r="L164" t="n">
        <v>0</v>
      </c>
      <c r="M164" t="n">
        <v>0</v>
      </c>
      <c r="N164" t="n">
        <v>0</v>
      </c>
      <c r="O164" t="n">
        <v>0</v>
      </c>
      <c r="P164" t="n">
        <v>0</v>
      </c>
      <c r="Q164" t="n">
        <v>0</v>
      </c>
      <c r="R164" s="2" t="inlineStr"/>
    </row>
    <row r="165" ht="15" customHeight="1">
      <c r="A165" t="inlineStr">
        <is>
          <t>A 19769-2020</t>
        </is>
      </c>
      <c r="B165" s="1" t="n">
        <v>43937</v>
      </c>
      <c r="C165" s="1" t="n">
        <v>45736</v>
      </c>
      <c r="D165" t="inlineStr">
        <is>
          <t>VÄSTERNORRLANDS LÄN</t>
        </is>
      </c>
      <c r="E165" t="inlineStr">
        <is>
          <t>TIMRÅ</t>
        </is>
      </c>
      <c r="G165" t="n">
        <v>2.1</v>
      </c>
      <c r="H165" t="n">
        <v>0</v>
      </c>
      <c r="I165" t="n">
        <v>0</v>
      </c>
      <c r="J165" t="n">
        <v>0</v>
      </c>
      <c r="K165" t="n">
        <v>0</v>
      </c>
      <c r="L165" t="n">
        <v>0</v>
      </c>
      <c r="M165" t="n">
        <v>0</v>
      </c>
      <c r="N165" t="n">
        <v>0</v>
      </c>
      <c r="O165" t="n">
        <v>0</v>
      </c>
      <c r="P165" t="n">
        <v>0</v>
      </c>
      <c r="Q165" t="n">
        <v>0</v>
      </c>
      <c r="R165" s="2" t="inlineStr"/>
    </row>
    <row r="166" ht="15" customHeight="1">
      <c r="A166" t="inlineStr">
        <is>
          <t>A 19792-2020</t>
        </is>
      </c>
      <c r="B166" s="1" t="n">
        <v>43937</v>
      </c>
      <c r="C166" s="1" t="n">
        <v>45736</v>
      </c>
      <c r="D166" t="inlineStr">
        <is>
          <t>VÄSTERNORRLANDS LÄN</t>
        </is>
      </c>
      <c r="E166" t="inlineStr">
        <is>
          <t>TIMRÅ</t>
        </is>
      </c>
      <c r="G166" t="n">
        <v>1.2</v>
      </c>
      <c r="H166" t="n">
        <v>0</v>
      </c>
      <c r="I166" t="n">
        <v>0</v>
      </c>
      <c r="J166" t="n">
        <v>0</v>
      </c>
      <c r="K166" t="n">
        <v>0</v>
      </c>
      <c r="L166" t="n">
        <v>0</v>
      </c>
      <c r="M166" t="n">
        <v>0</v>
      </c>
      <c r="N166" t="n">
        <v>0</v>
      </c>
      <c r="O166" t="n">
        <v>0</v>
      </c>
      <c r="P166" t="n">
        <v>0</v>
      </c>
      <c r="Q166" t="n">
        <v>0</v>
      </c>
      <c r="R166" s="2" t="inlineStr"/>
    </row>
    <row r="167" ht="15" customHeight="1">
      <c r="A167" t="inlineStr">
        <is>
          <t>A 19311-2020</t>
        </is>
      </c>
      <c r="B167" s="1" t="n">
        <v>43937</v>
      </c>
      <c r="C167" s="1" t="n">
        <v>45736</v>
      </c>
      <c r="D167" t="inlineStr">
        <is>
          <t>VÄSTERNORRLANDS LÄN</t>
        </is>
      </c>
      <c r="E167" t="inlineStr">
        <is>
          <t>TIMRÅ</t>
        </is>
      </c>
      <c r="G167" t="n">
        <v>1.5</v>
      </c>
      <c r="H167" t="n">
        <v>0</v>
      </c>
      <c r="I167" t="n">
        <v>0</v>
      </c>
      <c r="J167" t="n">
        <v>0</v>
      </c>
      <c r="K167" t="n">
        <v>0</v>
      </c>
      <c r="L167" t="n">
        <v>0</v>
      </c>
      <c r="M167" t="n">
        <v>0</v>
      </c>
      <c r="N167" t="n">
        <v>0</v>
      </c>
      <c r="O167" t="n">
        <v>0</v>
      </c>
      <c r="P167" t="n">
        <v>0</v>
      </c>
      <c r="Q167" t="n">
        <v>0</v>
      </c>
      <c r="R167" s="2" t="inlineStr"/>
    </row>
    <row r="168" ht="15" customHeight="1">
      <c r="A168" t="inlineStr">
        <is>
          <t>A 19764-2020</t>
        </is>
      </c>
      <c r="B168" s="1" t="n">
        <v>43937</v>
      </c>
      <c r="C168" s="1" t="n">
        <v>45736</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19785-2020</t>
        </is>
      </c>
      <c r="B169" s="1" t="n">
        <v>43937</v>
      </c>
      <c r="C169" s="1" t="n">
        <v>45736</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19796-2020</t>
        </is>
      </c>
      <c r="B170" s="1" t="n">
        <v>43937</v>
      </c>
      <c r="C170" s="1" t="n">
        <v>45736</v>
      </c>
      <c r="D170" t="inlineStr">
        <is>
          <t>VÄSTERNORRLANDS LÄN</t>
        </is>
      </c>
      <c r="E170" t="inlineStr">
        <is>
          <t>TIMRÅ</t>
        </is>
      </c>
      <c r="G170" t="n">
        <v>1.4</v>
      </c>
      <c r="H170" t="n">
        <v>0</v>
      </c>
      <c r="I170" t="n">
        <v>0</v>
      </c>
      <c r="J170" t="n">
        <v>0</v>
      </c>
      <c r="K170" t="n">
        <v>0</v>
      </c>
      <c r="L170" t="n">
        <v>0</v>
      </c>
      <c r="M170" t="n">
        <v>0</v>
      </c>
      <c r="N170" t="n">
        <v>0</v>
      </c>
      <c r="O170" t="n">
        <v>0</v>
      </c>
      <c r="P170" t="n">
        <v>0</v>
      </c>
      <c r="Q170" t="n">
        <v>0</v>
      </c>
      <c r="R170" s="2" t="inlineStr"/>
    </row>
    <row r="171" ht="15" customHeight="1">
      <c r="A171" t="inlineStr">
        <is>
          <t>A 19809-2020</t>
        </is>
      </c>
      <c r="B171" s="1" t="n">
        <v>43937</v>
      </c>
      <c r="C171" s="1" t="n">
        <v>45736</v>
      </c>
      <c r="D171" t="inlineStr">
        <is>
          <t>VÄSTERNORRLANDS LÄN</t>
        </is>
      </c>
      <c r="E171" t="inlineStr">
        <is>
          <t>TIMRÅ</t>
        </is>
      </c>
      <c r="G171" t="n">
        <v>4.5</v>
      </c>
      <c r="H171" t="n">
        <v>0</v>
      </c>
      <c r="I171" t="n">
        <v>0</v>
      </c>
      <c r="J171" t="n">
        <v>0</v>
      </c>
      <c r="K171" t="n">
        <v>0</v>
      </c>
      <c r="L171" t="n">
        <v>0</v>
      </c>
      <c r="M171" t="n">
        <v>0</v>
      </c>
      <c r="N171" t="n">
        <v>0</v>
      </c>
      <c r="O171" t="n">
        <v>0</v>
      </c>
      <c r="P171" t="n">
        <v>0</v>
      </c>
      <c r="Q171" t="n">
        <v>0</v>
      </c>
      <c r="R171" s="2" t="inlineStr"/>
    </row>
    <row r="172" ht="15" customHeight="1">
      <c r="A172" t="inlineStr">
        <is>
          <t>A 19761-2020</t>
        </is>
      </c>
      <c r="B172" s="1" t="n">
        <v>43937</v>
      </c>
      <c r="C172" s="1" t="n">
        <v>45736</v>
      </c>
      <c r="D172" t="inlineStr">
        <is>
          <t>VÄSTERNORRLANDS LÄN</t>
        </is>
      </c>
      <c r="E172" t="inlineStr">
        <is>
          <t>TIMRÅ</t>
        </is>
      </c>
      <c r="G172" t="n">
        <v>0.4</v>
      </c>
      <c r="H172" t="n">
        <v>0</v>
      </c>
      <c r="I172" t="n">
        <v>0</v>
      </c>
      <c r="J172" t="n">
        <v>0</v>
      </c>
      <c r="K172" t="n">
        <v>0</v>
      </c>
      <c r="L172" t="n">
        <v>0</v>
      </c>
      <c r="M172" t="n">
        <v>0</v>
      </c>
      <c r="N172" t="n">
        <v>0</v>
      </c>
      <c r="O172" t="n">
        <v>0</v>
      </c>
      <c r="P172" t="n">
        <v>0</v>
      </c>
      <c r="Q172" t="n">
        <v>0</v>
      </c>
      <c r="R172" s="2" t="inlineStr"/>
    </row>
    <row r="173" ht="15" customHeight="1">
      <c r="A173" t="inlineStr">
        <is>
          <t>A 19774-2020</t>
        </is>
      </c>
      <c r="B173" s="1" t="n">
        <v>43937</v>
      </c>
      <c r="C173" s="1" t="n">
        <v>45736</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19794-2020</t>
        </is>
      </c>
      <c r="B174" s="1" t="n">
        <v>43937</v>
      </c>
      <c r="C174" s="1" t="n">
        <v>45736</v>
      </c>
      <c r="D174" t="inlineStr">
        <is>
          <t>VÄSTERNORRLANDS LÄN</t>
        </is>
      </c>
      <c r="E174" t="inlineStr">
        <is>
          <t>TIMRÅ</t>
        </is>
      </c>
      <c r="G174" t="n">
        <v>3</v>
      </c>
      <c r="H174" t="n">
        <v>0</v>
      </c>
      <c r="I174" t="n">
        <v>0</v>
      </c>
      <c r="J174" t="n">
        <v>0</v>
      </c>
      <c r="K174" t="n">
        <v>0</v>
      </c>
      <c r="L174" t="n">
        <v>0</v>
      </c>
      <c r="M174" t="n">
        <v>0</v>
      </c>
      <c r="N174" t="n">
        <v>0</v>
      </c>
      <c r="O174" t="n">
        <v>0</v>
      </c>
      <c r="P174" t="n">
        <v>0</v>
      </c>
      <c r="Q174" t="n">
        <v>0</v>
      </c>
      <c r="R174" s="2" t="inlineStr"/>
    </row>
    <row r="175" ht="15" customHeight="1">
      <c r="A175" t="inlineStr">
        <is>
          <t>A 19807-2020</t>
        </is>
      </c>
      <c r="B175" s="1" t="n">
        <v>43937</v>
      </c>
      <c r="C175" s="1" t="n">
        <v>45736</v>
      </c>
      <c r="D175" t="inlineStr">
        <is>
          <t>VÄSTERNORRLANDS LÄN</t>
        </is>
      </c>
      <c r="E175" t="inlineStr">
        <is>
          <t>TIMRÅ</t>
        </is>
      </c>
      <c r="G175" t="n">
        <v>3.4</v>
      </c>
      <c r="H175" t="n">
        <v>0</v>
      </c>
      <c r="I175" t="n">
        <v>0</v>
      </c>
      <c r="J175" t="n">
        <v>0</v>
      </c>
      <c r="K175" t="n">
        <v>0</v>
      </c>
      <c r="L175" t="n">
        <v>0</v>
      </c>
      <c r="M175" t="n">
        <v>0</v>
      </c>
      <c r="N175" t="n">
        <v>0</v>
      </c>
      <c r="O175" t="n">
        <v>0</v>
      </c>
      <c r="P175" t="n">
        <v>0</v>
      </c>
      <c r="Q175" t="n">
        <v>0</v>
      </c>
      <c r="R175" s="2" t="inlineStr"/>
    </row>
    <row r="176" ht="15" customHeight="1">
      <c r="A176" t="inlineStr">
        <is>
          <t>A 19765-2020</t>
        </is>
      </c>
      <c r="B176" s="1" t="n">
        <v>43937</v>
      </c>
      <c r="C176" s="1" t="n">
        <v>45736</v>
      </c>
      <c r="D176" t="inlineStr">
        <is>
          <t>VÄSTERNORRLANDS LÄN</t>
        </is>
      </c>
      <c r="E176" t="inlineStr">
        <is>
          <t>TIMRÅ</t>
        </is>
      </c>
      <c r="G176" t="n">
        <v>1.2</v>
      </c>
      <c r="H176" t="n">
        <v>0</v>
      </c>
      <c r="I176" t="n">
        <v>0</v>
      </c>
      <c r="J176" t="n">
        <v>0</v>
      </c>
      <c r="K176" t="n">
        <v>0</v>
      </c>
      <c r="L176" t="n">
        <v>0</v>
      </c>
      <c r="M176" t="n">
        <v>0</v>
      </c>
      <c r="N176" t="n">
        <v>0</v>
      </c>
      <c r="O176" t="n">
        <v>0</v>
      </c>
      <c r="P176" t="n">
        <v>0</v>
      </c>
      <c r="Q176" t="n">
        <v>0</v>
      </c>
      <c r="R176" s="2" t="inlineStr"/>
    </row>
    <row r="177" ht="15" customHeight="1">
      <c r="A177" t="inlineStr">
        <is>
          <t>A 19789-2020</t>
        </is>
      </c>
      <c r="B177" s="1" t="n">
        <v>43937</v>
      </c>
      <c r="C177" s="1" t="n">
        <v>45736</v>
      </c>
      <c r="D177" t="inlineStr">
        <is>
          <t>VÄSTERNORRLANDS LÄN</t>
        </is>
      </c>
      <c r="E177" t="inlineStr">
        <is>
          <t>TIMRÅ</t>
        </is>
      </c>
      <c r="G177" t="n">
        <v>0.3</v>
      </c>
      <c r="H177" t="n">
        <v>0</v>
      </c>
      <c r="I177" t="n">
        <v>0</v>
      </c>
      <c r="J177" t="n">
        <v>0</v>
      </c>
      <c r="K177" t="n">
        <v>0</v>
      </c>
      <c r="L177" t="n">
        <v>0</v>
      </c>
      <c r="M177" t="n">
        <v>0</v>
      </c>
      <c r="N177" t="n">
        <v>0</v>
      </c>
      <c r="O177" t="n">
        <v>0</v>
      </c>
      <c r="P177" t="n">
        <v>0</v>
      </c>
      <c r="Q177" t="n">
        <v>0</v>
      </c>
      <c r="R177" s="2" t="inlineStr"/>
    </row>
    <row r="178" ht="15" customHeight="1">
      <c r="A178" t="inlineStr">
        <is>
          <t>A 21210-2020</t>
        </is>
      </c>
      <c r="B178" s="1" t="n">
        <v>43951</v>
      </c>
      <c r="C178" s="1" t="n">
        <v>45736</v>
      </c>
      <c r="D178" t="inlineStr">
        <is>
          <t>VÄSTERNORRLANDS LÄN</t>
        </is>
      </c>
      <c r="E178" t="inlineStr">
        <is>
          <t>TIMRÅ</t>
        </is>
      </c>
      <c r="G178" t="n">
        <v>1</v>
      </c>
      <c r="H178" t="n">
        <v>0</v>
      </c>
      <c r="I178" t="n">
        <v>0</v>
      </c>
      <c r="J178" t="n">
        <v>0</v>
      </c>
      <c r="K178" t="n">
        <v>0</v>
      </c>
      <c r="L178" t="n">
        <v>0</v>
      </c>
      <c r="M178" t="n">
        <v>0</v>
      </c>
      <c r="N178" t="n">
        <v>0</v>
      </c>
      <c r="O178" t="n">
        <v>0</v>
      </c>
      <c r="P178" t="n">
        <v>0</v>
      </c>
      <c r="Q178" t="n">
        <v>0</v>
      </c>
      <c r="R178" s="2" t="inlineStr"/>
    </row>
    <row r="179" ht="15" customHeight="1">
      <c r="A179" t="inlineStr">
        <is>
          <t>A 21874-2020</t>
        </is>
      </c>
      <c r="B179" s="1" t="n">
        <v>43955</v>
      </c>
      <c r="C179" s="1" t="n">
        <v>45736</v>
      </c>
      <c r="D179" t="inlineStr">
        <is>
          <t>VÄSTERNORRLANDS LÄN</t>
        </is>
      </c>
      <c r="E179" t="inlineStr">
        <is>
          <t>TIMRÅ</t>
        </is>
      </c>
      <c r="G179" t="n">
        <v>7.5</v>
      </c>
      <c r="H179" t="n">
        <v>0</v>
      </c>
      <c r="I179" t="n">
        <v>0</v>
      </c>
      <c r="J179" t="n">
        <v>0</v>
      </c>
      <c r="K179" t="n">
        <v>0</v>
      </c>
      <c r="L179" t="n">
        <v>0</v>
      </c>
      <c r="M179" t="n">
        <v>0</v>
      </c>
      <c r="N179" t="n">
        <v>0</v>
      </c>
      <c r="O179" t="n">
        <v>0</v>
      </c>
      <c r="P179" t="n">
        <v>0</v>
      </c>
      <c r="Q179" t="n">
        <v>0</v>
      </c>
      <c r="R179" s="2" t="inlineStr"/>
    </row>
    <row r="180" ht="15" customHeight="1">
      <c r="A180" t="inlineStr">
        <is>
          <t>A 21598-2020</t>
        </is>
      </c>
      <c r="B180" s="1" t="n">
        <v>43956</v>
      </c>
      <c r="C180" s="1" t="n">
        <v>45736</v>
      </c>
      <c r="D180" t="inlineStr">
        <is>
          <t>VÄSTERNORRLANDS LÄN</t>
        </is>
      </c>
      <c r="E180" t="inlineStr">
        <is>
          <t>TIMRÅ</t>
        </is>
      </c>
      <c r="G180" t="n">
        <v>5</v>
      </c>
      <c r="H180" t="n">
        <v>0</v>
      </c>
      <c r="I180" t="n">
        <v>0</v>
      </c>
      <c r="J180" t="n">
        <v>0</v>
      </c>
      <c r="K180" t="n">
        <v>0</v>
      </c>
      <c r="L180" t="n">
        <v>0</v>
      </c>
      <c r="M180" t="n">
        <v>0</v>
      </c>
      <c r="N180" t="n">
        <v>0</v>
      </c>
      <c r="O180" t="n">
        <v>0</v>
      </c>
      <c r="P180" t="n">
        <v>0</v>
      </c>
      <c r="Q180" t="n">
        <v>0</v>
      </c>
      <c r="R180" s="2" t="inlineStr"/>
    </row>
    <row r="181" ht="15" customHeight="1">
      <c r="A181" t="inlineStr">
        <is>
          <t>A 24263-2020</t>
        </is>
      </c>
      <c r="B181" s="1" t="n">
        <v>43971</v>
      </c>
      <c r="C181" s="1" t="n">
        <v>45736</v>
      </c>
      <c r="D181" t="inlineStr">
        <is>
          <t>VÄSTERNORRLANDS LÄN</t>
        </is>
      </c>
      <c r="E181" t="inlineStr">
        <is>
          <t>TIMRÅ</t>
        </is>
      </c>
      <c r="G181" t="n">
        <v>1.4</v>
      </c>
      <c r="H181" t="n">
        <v>0</v>
      </c>
      <c r="I181" t="n">
        <v>0</v>
      </c>
      <c r="J181" t="n">
        <v>0</v>
      </c>
      <c r="K181" t="n">
        <v>0</v>
      </c>
      <c r="L181" t="n">
        <v>0</v>
      </c>
      <c r="M181" t="n">
        <v>0</v>
      </c>
      <c r="N181" t="n">
        <v>0</v>
      </c>
      <c r="O181" t="n">
        <v>0</v>
      </c>
      <c r="P181" t="n">
        <v>0</v>
      </c>
      <c r="Q181" t="n">
        <v>0</v>
      </c>
      <c r="R181" s="2" t="inlineStr"/>
    </row>
    <row r="182" ht="15" customHeight="1">
      <c r="A182" t="inlineStr">
        <is>
          <t>A 29475-2020</t>
        </is>
      </c>
      <c r="B182" s="1" t="n">
        <v>44004</v>
      </c>
      <c r="C182" s="1" t="n">
        <v>45736</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33966-2020</t>
        </is>
      </c>
      <c r="B183" s="1" t="n">
        <v>44028</v>
      </c>
      <c r="C183" s="1" t="n">
        <v>45736</v>
      </c>
      <c r="D183" t="inlineStr">
        <is>
          <t>VÄSTERNORRLANDS LÄN</t>
        </is>
      </c>
      <c r="E183" t="inlineStr">
        <is>
          <t>TIMRÅ</t>
        </is>
      </c>
      <c r="G183" t="n">
        <v>4.9</v>
      </c>
      <c r="H183" t="n">
        <v>0</v>
      </c>
      <c r="I183" t="n">
        <v>0</v>
      </c>
      <c r="J183" t="n">
        <v>0</v>
      </c>
      <c r="K183" t="n">
        <v>0</v>
      </c>
      <c r="L183" t="n">
        <v>0</v>
      </c>
      <c r="M183" t="n">
        <v>0</v>
      </c>
      <c r="N183" t="n">
        <v>0</v>
      </c>
      <c r="O183" t="n">
        <v>0</v>
      </c>
      <c r="P183" t="n">
        <v>0</v>
      </c>
      <c r="Q183" t="n">
        <v>0</v>
      </c>
      <c r="R183" s="2" t="inlineStr"/>
    </row>
    <row r="184" ht="15" customHeight="1">
      <c r="A184" t="inlineStr">
        <is>
          <t>A 35531-2020</t>
        </is>
      </c>
      <c r="B184" s="1" t="n">
        <v>44043</v>
      </c>
      <c r="C184" s="1" t="n">
        <v>45736</v>
      </c>
      <c r="D184" t="inlineStr">
        <is>
          <t>VÄSTERNORRLANDS LÄN</t>
        </is>
      </c>
      <c r="E184" t="inlineStr">
        <is>
          <t>TIMRÅ</t>
        </is>
      </c>
      <c r="G184" t="n">
        <v>0.9</v>
      </c>
      <c r="H184" t="n">
        <v>0</v>
      </c>
      <c r="I184" t="n">
        <v>0</v>
      </c>
      <c r="J184" t="n">
        <v>0</v>
      </c>
      <c r="K184" t="n">
        <v>0</v>
      </c>
      <c r="L184" t="n">
        <v>0</v>
      </c>
      <c r="M184" t="n">
        <v>0</v>
      </c>
      <c r="N184" t="n">
        <v>0</v>
      </c>
      <c r="O184" t="n">
        <v>0</v>
      </c>
      <c r="P184" t="n">
        <v>0</v>
      </c>
      <c r="Q184" t="n">
        <v>0</v>
      </c>
      <c r="R184" s="2" t="inlineStr"/>
    </row>
    <row r="185" ht="15" customHeight="1">
      <c r="A185" t="inlineStr">
        <is>
          <t>A 40413-2020</t>
        </is>
      </c>
      <c r="B185" s="1" t="n">
        <v>44068</v>
      </c>
      <c r="C185" s="1" t="n">
        <v>45736</v>
      </c>
      <c r="D185" t="inlineStr">
        <is>
          <t>VÄSTERNORRLANDS LÄN</t>
        </is>
      </c>
      <c r="E185" t="inlineStr">
        <is>
          <t>TIMRÅ</t>
        </is>
      </c>
      <c r="G185" t="n">
        <v>2.5</v>
      </c>
      <c r="H185" t="n">
        <v>0</v>
      </c>
      <c r="I185" t="n">
        <v>0</v>
      </c>
      <c r="J185" t="n">
        <v>0</v>
      </c>
      <c r="K185" t="n">
        <v>0</v>
      </c>
      <c r="L185" t="n">
        <v>0</v>
      </c>
      <c r="M185" t="n">
        <v>0</v>
      </c>
      <c r="N185" t="n">
        <v>0</v>
      </c>
      <c r="O185" t="n">
        <v>0</v>
      </c>
      <c r="P185" t="n">
        <v>0</v>
      </c>
      <c r="Q185" t="n">
        <v>0</v>
      </c>
      <c r="R185" s="2" t="inlineStr"/>
    </row>
    <row r="186" ht="15" customHeight="1">
      <c r="A186" t="inlineStr">
        <is>
          <t>A 40410-2020</t>
        </is>
      </c>
      <c r="B186" s="1" t="n">
        <v>44068</v>
      </c>
      <c r="C186" s="1" t="n">
        <v>45736</v>
      </c>
      <c r="D186" t="inlineStr">
        <is>
          <t>VÄSTERNORRLANDS LÄN</t>
        </is>
      </c>
      <c r="E186" t="inlineStr">
        <is>
          <t>TIMRÅ</t>
        </is>
      </c>
      <c r="G186" t="n">
        <v>0.8</v>
      </c>
      <c r="H186" t="n">
        <v>0</v>
      </c>
      <c r="I186" t="n">
        <v>0</v>
      </c>
      <c r="J186" t="n">
        <v>0</v>
      </c>
      <c r="K186" t="n">
        <v>0</v>
      </c>
      <c r="L186" t="n">
        <v>0</v>
      </c>
      <c r="M186" t="n">
        <v>0</v>
      </c>
      <c r="N186" t="n">
        <v>0</v>
      </c>
      <c r="O186" t="n">
        <v>0</v>
      </c>
      <c r="P186" t="n">
        <v>0</v>
      </c>
      <c r="Q186" t="n">
        <v>0</v>
      </c>
      <c r="R186" s="2" t="inlineStr"/>
    </row>
    <row r="187" ht="15" customHeight="1">
      <c r="A187" t="inlineStr">
        <is>
          <t>A 40737-2020</t>
        </is>
      </c>
      <c r="B187" s="1" t="n">
        <v>44069</v>
      </c>
      <c r="C187" s="1" t="n">
        <v>45736</v>
      </c>
      <c r="D187" t="inlineStr">
        <is>
          <t>VÄSTERNORRLANDS LÄN</t>
        </is>
      </c>
      <c r="E187" t="inlineStr">
        <is>
          <t>TIMRÅ</t>
        </is>
      </c>
      <c r="G187" t="n">
        <v>3.1</v>
      </c>
      <c r="H187" t="n">
        <v>0</v>
      </c>
      <c r="I187" t="n">
        <v>0</v>
      </c>
      <c r="J187" t="n">
        <v>0</v>
      </c>
      <c r="K187" t="n">
        <v>0</v>
      </c>
      <c r="L187" t="n">
        <v>0</v>
      </c>
      <c r="M187" t="n">
        <v>0</v>
      </c>
      <c r="N187" t="n">
        <v>0</v>
      </c>
      <c r="O187" t="n">
        <v>0</v>
      </c>
      <c r="P187" t="n">
        <v>0</v>
      </c>
      <c r="Q187" t="n">
        <v>0</v>
      </c>
      <c r="R187" s="2" t="inlineStr"/>
    </row>
    <row r="188" ht="15" customHeight="1">
      <c r="A188" t="inlineStr">
        <is>
          <t>A 42443-2020</t>
        </is>
      </c>
      <c r="B188" s="1" t="n">
        <v>44074</v>
      </c>
      <c r="C188" s="1" t="n">
        <v>45736</v>
      </c>
      <c r="D188" t="inlineStr">
        <is>
          <t>VÄSTERNORRLANDS LÄN</t>
        </is>
      </c>
      <c r="E188" t="inlineStr">
        <is>
          <t>TIMRÅ</t>
        </is>
      </c>
      <c r="G188" t="n">
        <v>1.5</v>
      </c>
      <c r="H188" t="n">
        <v>0</v>
      </c>
      <c r="I188" t="n">
        <v>0</v>
      </c>
      <c r="J188" t="n">
        <v>0</v>
      </c>
      <c r="K188" t="n">
        <v>0</v>
      </c>
      <c r="L188" t="n">
        <v>0</v>
      </c>
      <c r="M188" t="n">
        <v>0</v>
      </c>
      <c r="N188" t="n">
        <v>0</v>
      </c>
      <c r="O188" t="n">
        <v>0</v>
      </c>
      <c r="P188" t="n">
        <v>0</v>
      </c>
      <c r="Q188" t="n">
        <v>0</v>
      </c>
      <c r="R188" s="2" t="inlineStr"/>
    </row>
    <row r="189" ht="15" customHeight="1">
      <c r="A189" t="inlineStr">
        <is>
          <t>A 44503-2020</t>
        </is>
      </c>
      <c r="B189" s="1" t="n">
        <v>44084</v>
      </c>
      <c r="C189" s="1" t="n">
        <v>45736</v>
      </c>
      <c r="D189" t="inlineStr">
        <is>
          <t>VÄSTERNORRLANDS LÄN</t>
        </is>
      </c>
      <c r="E189" t="inlineStr">
        <is>
          <t>TIMRÅ</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48574-2020</t>
        </is>
      </c>
      <c r="B190" s="1" t="n">
        <v>44103</v>
      </c>
      <c r="C190" s="1" t="n">
        <v>45736</v>
      </c>
      <c r="D190" t="inlineStr">
        <is>
          <t>VÄSTERNORRLANDS LÄN</t>
        </is>
      </c>
      <c r="E190" t="inlineStr">
        <is>
          <t>TIMRÅ</t>
        </is>
      </c>
      <c r="G190" t="n">
        <v>1.1</v>
      </c>
      <c r="H190" t="n">
        <v>0</v>
      </c>
      <c r="I190" t="n">
        <v>0</v>
      </c>
      <c r="J190" t="n">
        <v>0</v>
      </c>
      <c r="K190" t="n">
        <v>0</v>
      </c>
      <c r="L190" t="n">
        <v>0</v>
      </c>
      <c r="M190" t="n">
        <v>0</v>
      </c>
      <c r="N190" t="n">
        <v>0</v>
      </c>
      <c r="O190" t="n">
        <v>0</v>
      </c>
      <c r="P190" t="n">
        <v>0</v>
      </c>
      <c r="Q190" t="n">
        <v>0</v>
      </c>
      <c r="R190" s="2" t="inlineStr"/>
    </row>
    <row r="191" ht="15" customHeight="1">
      <c r="A191" t="inlineStr">
        <is>
          <t>A 50162-2020</t>
        </is>
      </c>
      <c r="B191" s="1" t="n">
        <v>44104</v>
      </c>
      <c r="C191" s="1" t="n">
        <v>45736</v>
      </c>
      <c r="D191" t="inlineStr">
        <is>
          <t>VÄSTERNORRLANDS LÄN</t>
        </is>
      </c>
      <c r="E191" t="inlineStr">
        <is>
          <t>TIMRÅ</t>
        </is>
      </c>
      <c r="G191" t="n">
        <v>6</v>
      </c>
      <c r="H191" t="n">
        <v>0</v>
      </c>
      <c r="I191" t="n">
        <v>0</v>
      </c>
      <c r="J191" t="n">
        <v>0</v>
      </c>
      <c r="K191" t="n">
        <v>0</v>
      </c>
      <c r="L191" t="n">
        <v>0</v>
      </c>
      <c r="M191" t="n">
        <v>0</v>
      </c>
      <c r="N191" t="n">
        <v>0</v>
      </c>
      <c r="O191" t="n">
        <v>0</v>
      </c>
      <c r="P191" t="n">
        <v>0</v>
      </c>
      <c r="Q191" t="n">
        <v>0</v>
      </c>
      <c r="R191" s="2" t="inlineStr"/>
    </row>
    <row r="192" ht="15" customHeight="1">
      <c r="A192" t="inlineStr">
        <is>
          <t>A 51330-2020</t>
        </is>
      </c>
      <c r="B192" s="1" t="n">
        <v>44112</v>
      </c>
      <c r="C192" s="1" t="n">
        <v>45736</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53254-2020</t>
        </is>
      </c>
      <c r="B193" s="1" t="n">
        <v>44123</v>
      </c>
      <c r="C193" s="1" t="n">
        <v>45736</v>
      </c>
      <c r="D193" t="inlineStr">
        <is>
          <t>VÄSTERNORRLANDS LÄN</t>
        </is>
      </c>
      <c r="E193" t="inlineStr">
        <is>
          <t>TIMRÅ</t>
        </is>
      </c>
      <c r="G193" t="n">
        <v>6.1</v>
      </c>
      <c r="H193" t="n">
        <v>0</v>
      </c>
      <c r="I193" t="n">
        <v>0</v>
      </c>
      <c r="J193" t="n">
        <v>0</v>
      </c>
      <c r="K193" t="n">
        <v>0</v>
      </c>
      <c r="L193" t="n">
        <v>0</v>
      </c>
      <c r="M193" t="n">
        <v>0</v>
      </c>
      <c r="N193" t="n">
        <v>0</v>
      </c>
      <c r="O193" t="n">
        <v>0</v>
      </c>
      <c r="P193" t="n">
        <v>0</v>
      </c>
      <c r="Q193" t="n">
        <v>0</v>
      </c>
      <c r="R193" s="2" t="inlineStr"/>
    </row>
    <row r="194" ht="15" customHeight="1">
      <c r="A194" t="inlineStr">
        <is>
          <t>A 54946-2020</t>
        </is>
      </c>
      <c r="B194" s="1" t="n">
        <v>44129</v>
      </c>
      <c r="C194" s="1" t="n">
        <v>45736</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57007-2020</t>
        </is>
      </c>
      <c r="B195" s="1" t="n">
        <v>44137</v>
      </c>
      <c r="C195" s="1" t="n">
        <v>45736</v>
      </c>
      <c r="D195" t="inlineStr">
        <is>
          <t>VÄSTERNORRLANDS LÄN</t>
        </is>
      </c>
      <c r="E195" t="inlineStr">
        <is>
          <t>TIMRÅ</t>
        </is>
      </c>
      <c r="G195" t="n">
        <v>4.1</v>
      </c>
      <c r="H195" t="n">
        <v>0</v>
      </c>
      <c r="I195" t="n">
        <v>0</v>
      </c>
      <c r="J195" t="n">
        <v>0</v>
      </c>
      <c r="K195" t="n">
        <v>0</v>
      </c>
      <c r="L195" t="n">
        <v>0</v>
      </c>
      <c r="M195" t="n">
        <v>0</v>
      </c>
      <c r="N195" t="n">
        <v>0</v>
      </c>
      <c r="O195" t="n">
        <v>0</v>
      </c>
      <c r="P195" t="n">
        <v>0</v>
      </c>
      <c r="Q195" t="n">
        <v>0</v>
      </c>
      <c r="R195" s="2" t="inlineStr"/>
    </row>
    <row r="196" ht="15" customHeight="1">
      <c r="A196" t="inlineStr">
        <is>
          <t>A 61730-2020</t>
        </is>
      </c>
      <c r="B196" s="1" t="n">
        <v>44158</v>
      </c>
      <c r="C196" s="1" t="n">
        <v>45736</v>
      </c>
      <c r="D196" t="inlineStr">
        <is>
          <t>VÄSTERNORRLANDS LÄN</t>
        </is>
      </c>
      <c r="E196" t="inlineStr">
        <is>
          <t>TIMRÅ</t>
        </is>
      </c>
      <c r="G196" t="n">
        <v>2.8</v>
      </c>
      <c r="H196" t="n">
        <v>0</v>
      </c>
      <c r="I196" t="n">
        <v>0</v>
      </c>
      <c r="J196" t="n">
        <v>0</v>
      </c>
      <c r="K196" t="n">
        <v>0</v>
      </c>
      <c r="L196" t="n">
        <v>0</v>
      </c>
      <c r="M196" t="n">
        <v>0</v>
      </c>
      <c r="N196" t="n">
        <v>0</v>
      </c>
      <c r="O196" t="n">
        <v>0</v>
      </c>
      <c r="P196" t="n">
        <v>0</v>
      </c>
      <c r="Q196" t="n">
        <v>0</v>
      </c>
      <c r="R196" s="2" t="inlineStr"/>
    </row>
    <row r="197" ht="15" customHeight="1">
      <c r="A197" t="inlineStr">
        <is>
          <t>A 63960-2020</t>
        </is>
      </c>
      <c r="B197" s="1" t="n">
        <v>44165</v>
      </c>
      <c r="C197" s="1" t="n">
        <v>45736</v>
      </c>
      <c r="D197" t="inlineStr">
        <is>
          <t>VÄSTERNORRLANDS LÄN</t>
        </is>
      </c>
      <c r="E197" t="inlineStr">
        <is>
          <t>TIMRÅ</t>
        </is>
      </c>
      <c r="G197" t="n">
        <v>3.5</v>
      </c>
      <c r="H197" t="n">
        <v>0</v>
      </c>
      <c r="I197" t="n">
        <v>0</v>
      </c>
      <c r="J197" t="n">
        <v>0</v>
      </c>
      <c r="K197" t="n">
        <v>0</v>
      </c>
      <c r="L197" t="n">
        <v>0</v>
      </c>
      <c r="M197" t="n">
        <v>0</v>
      </c>
      <c r="N197" t="n">
        <v>0</v>
      </c>
      <c r="O197" t="n">
        <v>0</v>
      </c>
      <c r="P197" t="n">
        <v>0</v>
      </c>
      <c r="Q197" t="n">
        <v>0</v>
      </c>
      <c r="R197" s="2" t="inlineStr"/>
    </row>
    <row r="198" ht="15" customHeight="1">
      <c r="A198" t="inlineStr">
        <is>
          <t>A 63927-2020</t>
        </is>
      </c>
      <c r="B198" s="1" t="n">
        <v>44166</v>
      </c>
      <c r="C198" s="1" t="n">
        <v>45736</v>
      </c>
      <c r="D198" t="inlineStr">
        <is>
          <t>VÄSTERNORRLANDS LÄN</t>
        </is>
      </c>
      <c r="E198" t="inlineStr">
        <is>
          <t>TIMRÅ</t>
        </is>
      </c>
      <c r="G198" t="n">
        <v>1.6</v>
      </c>
      <c r="H198" t="n">
        <v>0</v>
      </c>
      <c r="I198" t="n">
        <v>0</v>
      </c>
      <c r="J198" t="n">
        <v>0</v>
      </c>
      <c r="K198" t="n">
        <v>0</v>
      </c>
      <c r="L198" t="n">
        <v>0</v>
      </c>
      <c r="M198" t="n">
        <v>0</v>
      </c>
      <c r="N198" t="n">
        <v>0</v>
      </c>
      <c r="O198" t="n">
        <v>0</v>
      </c>
      <c r="P198" t="n">
        <v>0</v>
      </c>
      <c r="Q198" t="n">
        <v>0</v>
      </c>
      <c r="R198" s="2" t="inlineStr"/>
    </row>
    <row r="199" ht="15" customHeight="1">
      <c r="A199" t="inlineStr">
        <is>
          <t>A 64571-2020</t>
        </is>
      </c>
      <c r="B199" s="1" t="n">
        <v>44166</v>
      </c>
      <c r="C199" s="1" t="n">
        <v>45736</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65001-2020</t>
        </is>
      </c>
      <c r="B200" s="1" t="n">
        <v>44167</v>
      </c>
      <c r="C200" s="1" t="n">
        <v>45736</v>
      </c>
      <c r="D200" t="inlineStr">
        <is>
          <t>VÄSTERNORRLANDS LÄN</t>
        </is>
      </c>
      <c r="E200" t="inlineStr">
        <is>
          <t>TIMRÅ</t>
        </is>
      </c>
      <c r="G200" t="n">
        <v>3.3</v>
      </c>
      <c r="H200" t="n">
        <v>0</v>
      </c>
      <c r="I200" t="n">
        <v>0</v>
      </c>
      <c r="J200" t="n">
        <v>0</v>
      </c>
      <c r="K200" t="n">
        <v>0</v>
      </c>
      <c r="L200" t="n">
        <v>0</v>
      </c>
      <c r="M200" t="n">
        <v>0</v>
      </c>
      <c r="N200" t="n">
        <v>0</v>
      </c>
      <c r="O200" t="n">
        <v>0</v>
      </c>
      <c r="P200" t="n">
        <v>0</v>
      </c>
      <c r="Q200" t="n">
        <v>0</v>
      </c>
      <c r="R200" s="2" t="inlineStr"/>
    </row>
    <row r="201" ht="15" customHeight="1">
      <c r="A201" t="inlineStr">
        <is>
          <t>A 66837-2020</t>
        </is>
      </c>
      <c r="B201" s="1" t="n">
        <v>44179</v>
      </c>
      <c r="C201" s="1" t="n">
        <v>45736</v>
      </c>
      <c r="D201" t="inlineStr">
        <is>
          <t>VÄSTERNORRLANDS LÄN</t>
        </is>
      </c>
      <c r="E201" t="inlineStr">
        <is>
          <t>TIMRÅ</t>
        </is>
      </c>
      <c r="F201" t="inlineStr">
        <is>
          <t>Kommuner</t>
        </is>
      </c>
      <c r="G201" t="n">
        <v>1.9</v>
      </c>
      <c r="H201" t="n">
        <v>0</v>
      </c>
      <c r="I201" t="n">
        <v>0</v>
      </c>
      <c r="J201" t="n">
        <v>0</v>
      </c>
      <c r="K201" t="n">
        <v>0</v>
      </c>
      <c r="L201" t="n">
        <v>0</v>
      </c>
      <c r="M201" t="n">
        <v>0</v>
      </c>
      <c r="N201" t="n">
        <v>0</v>
      </c>
      <c r="O201" t="n">
        <v>0</v>
      </c>
      <c r="P201" t="n">
        <v>0</v>
      </c>
      <c r="Q201" t="n">
        <v>0</v>
      </c>
      <c r="R201" s="2" t="inlineStr"/>
    </row>
    <row r="202" ht="15" customHeight="1">
      <c r="A202" t="inlineStr">
        <is>
          <t>A 67610-2020</t>
        </is>
      </c>
      <c r="B202" s="1" t="n">
        <v>44181</v>
      </c>
      <c r="C202" s="1" t="n">
        <v>45736</v>
      </c>
      <c r="D202" t="inlineStr">
        <is>
          <t>VÄSTERNORRLANDS LÄN</t>
        </is>
      </c>
      <c r="E202" t="inlineStr">
        <is>
          <t>TIMRÅ</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69203-2020</t>
        </is>
      </c>
      <c r="B203" s="1" t="n">
        <v>44191</v>
      </c>
      <c r="C203" s="1" t="n">
        <v>45736</v>
      </c>
      <c r="D203" t="inlineStr">
        <is>
          <t>VÄSTERNORRLANDS LÄN</t>
        </is>
      </c>
      <c r="E203" t="inlineStr">
        <is>
          <t>TIMRÅ</t>
        </is>
      </c>
      <c r="F203" t="inlineStr">
        <is>
          <t>SCA</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731-2021</t>
        </is>
      </c>
      <c r="B204" s="1" t="n">
        <v>44203</v>
      </c>
      <c r="C204" s="1" t="n">
        <v>45736</v>
      </c>
      <c r="D204" t="inlineStr">
        <is>
          <t>VÄSTERNORRLANDS LÄN</t>
        </is>
      </c>
      <c r="E204" t="inlineStr">
        <is>
          <t>TIMRÅ</t>
        </is>
      </c>
      <c r="G204" t="n">
        <v>3.5</v>
      </c>
      <c r="H204" t="n">
        <v>0</v>
      </c>
      <c r="I204" t="n">
        <v>0</v>
      </c>
      <c r="J204" t="n">
        <v>0</v>
      </c>
      <c r="K204" t="n">
        <v>0</v>
      </c>
      <c r="L204" t="n">
        <v>0</v>
      </c>
      <c r="M204" t="n">
        <v>0</v>
      </c>
      <c r="N204" t="n">
        <v>0</v>
      </c>
      <c r="O204" t="n">
        <v>0</v>
      </c>
      <c r="P204" t="n">
        <v>0</v>
      </c>
      <c r="Q204" t="n">
        <v>0</v>
      </c>
      <c r="R204" s="2" t="inlineStr"/>
    </row>
    <row r="205" ht="15" customHeight="1">
      <c r="A205" t="inlineStr">
        <is>
          <t>A 1555-2021</t>
        </is>
      </c>
      <c r="B205" s="1" t="n">
        <v>44209</v>
      </c>
      <c r="C205" s="1" t="n">
        <v>45736</v>
      </c>
      <c r="D205" t="inlineStr">
        <is>
          <t>VÄSTERNORRLANDS LÄN</t>
        </is>
      </c>
      <c r="E205" t="inlineStr">
        <is>
          <t>TIMRÅ</t>
        </is>
      </c>
      <c r="G205" t="n">
        <v>2.9</v>
      </c>
      <c r="H205" t="n">
        <v>0</v>
      </c>
      <c r="I205" t="n">
        <v>0</v>
      </c>
      <c r="J205" t="n">
        <v>0</v>
      </c>
      <c r="K205" t="n">
        <v>0</v>
      </c>
      <c r="L205" t="n">
        <v>0</v>
      </c>
      <c r="M205" t="n">
        <v>0</v>
      </c>
      <c r="N205" t="n">
        <v>0</v>
      </c>
      <c r="O205" t="n">
        <v>0</v>
      </c>
      <c r="P205" t="n">
        <v>0</v>
      </c>
      <c r="Q205" t="n">
        <v>0</v>
      </c>
      <c r="R205" s="2" t="inlineStr"/>
    </row>
    <row r="206" ht="15" customHeight="1">
      <c r="A206" t="inlineStr">
        <is>
          <t>A 1559-2021</t>
        </is>
      </c>
      <c r="B206" s="1" t="n">
        <v>44209</v>
      </c>
      <c r="C206" s="1" t="n">
        <v>45736</v>
      </c>
      <c r="D206" t="inlineStr">
        <is>
          <t>VÄSTERNORRLANDS LÄN</t>
        </is>
      </c>
      <c r="E206" t="inlineStr">
        <is>
          <t>TIMRÅ</t>
        </is>
      </c>
      <c r="G206" t="n">
        <v>6.7</v>
      </c>
      <c r="H206" t="n">
        <v>0</v>
      </c>
      <c r="I206" t="n">
        <v>0</v>
      </c>
      <c r="J206" t="n">
        <v>0</v>
      </c>
      <c r="K206" t="n">
        <v>0</v>
      </c>
      <c r="L206" t="n">
        <v>0</v>
      </c>
      <c r="M206" t="n">
        <v>0</v>
      </c>
      <c r="N206" t="n">
        <v>0</v>
      </c>
      <c r="O206" t="n">
        <v>0</v>
      </c>
      <c r="P206" t="n">
        <v>0</v>
      </c>
      <c r="Q206" t="n">
        <v>0</v>
      </c>
      <c r="R206" s="2" t="inlineStr"/>
    </row>
    <row r="207" ht="15" customHeight="1">
      <c r="A207" t="inlineStr">
        <is>
          <t>A 2284-2021</t>
        </is>
      </c>
      <c r="B207" s="1" t="n">
        <v>44211</v>
      </c>
      <c r="C207" s="1" t="n">
        <v>45736</v>
      </c>
      <c r="D207" t="inlineStr">
        <is>
          <t>VÄSTERNORRLANDS LÄN</t>
        </is>
      </c>
      <c r="E207" t="inlineStr">
        <is>
          <t>TIMRÅ</t>
        </is>
      </c>
      <c r="G207" t="n">
        <v>2.2</v>
      </c>
      <c r="H207" t="n">
        <v>0</v>
      </c>
      <c r="I207" t="n">
        <v>0</v>
      </c>
      <c r="J207" t="n">
        <v>0</v>
      </c>
      <c r="K207" t="n">
        <v>0</v>
      </c>
      <c r="L207" t="n">
        <v>0</v>
      </c>
      <c r="M207" t="n">
        <v>0</v>
      </c>
      <c r="N207" t="n">
        <v>0</v>
      </c>
      <c r="O207" t="n">
        <v>0</v>
      </c>
      <c r="P207" t="n">
        <v>0</v>
      </c>
      <c r="Q207" t="n">
        <v>0</v>
      </c>
      <c r="R207" s="2" t="inlineStr"/>
    </row>
    <row r="208" ht="15" customHeight="1">
      <c r="A208" t="inlineStr">
        <is>
          <t>A 7367-2021</t>
        </is>
      </c>
      <c r="B208" s="1" t="n">
        <v>44237</v>
      </c>
      <c r="C208" s="1" t="n">
        <v>45736</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9472-2021</t>
        </is>
      </c>
      <c r="B209" s="1" t="n">
        <v>44250</v>
      </c>
      <c r="C209" s="1" t="n">
        <v>45736</v>
      </c>
      <c r="D209" t="inlineStr">
        <is>
          <t>VÄSTERNORRLANDS LÄN</t>
        </is>
      </c>
      <c r="E209" t="inlineStr">
        <is>
          <t>TIMRÅ</t>
        </is>
      </c>
      <c r="G209" t="n">
        <v>4</v>
      </c>
      <c r="H209" t="n">
        <v>0</v>
      </c>
      <c r="I209" t="n">
        <v>0</v>
      </c>
      <c r="J209" t="n">
        <v>0</v>
      </c>
      <c r="K209" t="n">
        <v>0</v>
      </c>
      <c r="L209" t="n">
        <v>0</v>
      </c>
      <c r="M209" t="n">
        <v>0</v>
      </c>
      <c r="N209" t="n">
        <v>0</v>
      </c>
      <c r="O209" t="n">
        <v>0</v>
      </c>
      <c r="P209" t="n">
        <v>0</v>
      </c>
      <c r="Q209" t="n">
        <v>0</v>
      </c>
      <c r="R209" s="2" t="inlineStr"/>
    </row>
    <row r="210" ht="15" customHeight="1">
      <c r="A210" t="inlineStr">
        <is>
          <t>A 9503-2021</t>
        </is>
      </c>
      <c r="B210" s="1" t="n">
        <v>44250</v>
      </c>
      <c r="C210" s="1" t="n">
        <v>45736</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9480-2021</t>
        </is>
      </c>
      <c r="B211" s="1" t="n">
        <v>44250</v>
      </c>
      <c r="C211" s="1" t="n">
        <v>45736</v>
      </c>
      <c r="D211" t="inlineStr">
        <is>
          <t>VÄSTERNORRLANDS LÄN</t>
        </is>
      </c>
      <c r="E211" t="inlineStr">
        <is>
          <t>TIMRÅ</t>
        </is>
      </c>
      <c r="G211" t="n">
        <v>2.7</v>
      </c>
      <c r="H211" t="n">
        <v>0</v>
      </c>
      <c r="I211" t="n">
        <v>0</v>
      </c>
      <c r="J211" t="n">
        <v>0</v>
      </c>
      <c r="K211" t="n">
        <v>0</v>
      </c>
      <c r="L211" t="n">
        <v>0</v>
      </c>
      <c r="M211" t="n">
        <v>0</v>
      </c>
      <c r="N211" t="n">
        <v>0</v>
      </c>
      <c r="O211" t="n">
        <v>0</v>
      </c>
      <c r="P211" t="n">
        <v>0</v>
      </c>
      <c r="Q211" t="n">
        <v>0</v>
      </c>
      <c r="R211" s="2" t="inlineStr"/>
    </row>
    <row r="212" ht="15" customHeight="1">
      <c r="A212" t="inlineStr">
        <is>
          <t>A 20487-2021</t>
        </is>
      </c>
      <c r="B212" s="1" t="n">
        <v>44315</v>
      </c>
      <c r="C212" s="1" t="n">
        <v>45736</v>
      </c>
      <c r="D212" t="inlineStr">
        <is>
          <t>VÄSTERNORRLANDS LÄN</t>
        </is>
      </c>
      <c r="E212" t="inlineStr">
        <is>
          <t>TIMRÅ</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20732-2021</t>
        </is>
      </c>
      <c r="B213" s="1" t="n">
        <v>44316</v>
      </c>
      <c r="C213" s="1" t="n">
        <v>45736</v>
      </c>
      <c r="D213" t="inlineStr">
        <is>
          <t>VÄSTERNORRLANDS LÄN</t>
        </is>
      </c>
      <c r="E213" t="inlineStr">
        <is>
          <t>TIMRÅ</t>
        </is>
      </c>
      <c r="G213" t="n">
        <v>3.8</v>
      </c>
      <c r="H213" t="n">
        <v>0</v>
      </c>
      <c r="I213" t="n">
        <v>0</v>
      </c>
      <c r="J213" t="n">
        <v>0</v>
      </c>
      <c r="K213" t="n">
        <v>0</v>
      </c>
      <c r="L213" t="n">
        <v>0</v>
      </c>
      <c r="M213" t="n">
        <v>0</v>
      </c>
      <c r="N213" t="n">
        <v>0</v>
      </c>
      <c r="O213" t="n">
        <v>0</v>
      </c>
      <c r="P213" t="n">
        <v>0</v>
      </c>
      <c r="Q213" t="n">
        <v>0</v>
      </c>
      <c r="R213" s="2" t="inlineStr"/>
    </row>
    <row r="214" ht="15" customHeight="1">
      <c r="A214" t="inlineStr">
        <is>
          <t>A 23611-2021</t>
        </is>
      </c>
      <c r="B214" s="1" t="n">
        <v>44334</v>
      </c>
      <c r="C214" s="1" t="n">
        <v>45736</v>
      </c>
      <c r="D214" t="inlineStr">
        <is>
          <t>VÄSTERNORRLANDS LÄN</t>
        </is>
      </c>
      <c r="E214" t="inlineStr">
        <is>
          <t>TIMRÅ</t>
        </is>
      </c>
      <c r="G214" t="n">
        <v>13.7</v>
      </c>
      <c r="H214" t="n">
        <v>0</v>
      </c>
      <c r="I214" t="n">
        <v>0</v>
      </c>
      <c r="J214" t="n">
        <v>0</v>
      </c>
      <c r="K214" t="n">
        <v>0</v>
      </c>
      <c r="L214" t="n">
        <v>0</v>
      </c>
      <c r="M214" t="n">
        <v>0</v>
      </c>
      <c r="N214" t="n">
        <v>0</v>
      </c>
      <c r="O214" t="n">
        <v>0</v>
      </c>
      <c r="P214" t="n">
        <v>0</v>
      </c>
      <c r="Q214" t="n">
        <v>0</v>
      </c>
      <c r="R214" s="2" t="inlineStr"/>
    </row>
    <row r="215" ht="15" customHeight="1">
      <c r="A215" t="inlineStr">
        <is>
          <t>A 24513-2021</t>
        </is>
      </c>
      <c r="B215" s="1" t="n">
        <v>44338</v>
      </c>
      <c r="C215" s="1" t="n">
        <v>45736</v>
      </c>
      <c r="D215" t="inlineStr">
        <is>
          <t>VÄSTERNORRLANDS LÄN</t>
        </is>
      </c>
      <c r="E215" t="inlineStr">
        <is>
          <t>TIMRÅ</t>
        </is>
      </c>
      <c r="G215" t="n">
        <v>2.6</v>
      </c>
      <c r="H215" t="n">
        <v>0</v>
      </c>
      <c r="I215" t="n">
        <v>0</v>
      </c>
      <c r="J215" t="n">
        <v>0</v>
      </c>
      <c r="K215" t="n">
        <v>0</v>
      </c>
      <c r="L215" t="n">
        <v>0</v>
      </c>
      <c r="M215" t="n">
        <v>0</v>
      </c>
      <c r="N215" t="n">
        <v>0</v>
      </c>
      <c r="O215" t="n">
        <v>0</v>
      </c>
      <c r="P215" t="n">
        <v>0</v>
      </c>
      <c r="Q215" t="n">
        <v>0</v>
      </c>
      <c r="R215" s="2" t="inlineStr"/>
    </row>
    <row r="216" ht="15" customHeight="1">
      <c r="A216" t="inlineStr">
        <is>
          <t>A 26588-2021</t>
        </is>
      </c>
      <c r="B216" s="1" t="n">
        <v>44348</v>
      </c>
      <c r="C216" s="1" t="n">
        <v>45736</v>
      </c>
      <c r="D216" t="inlineStr">
        <is>
          <t>VÄSTERNORRLANDS LÄN</t>
        </is>
      </c>
      <c r="E216" t="inlineStr">
        <is>
          <t>TIMRÅ</t>
        </is>
      </c>
      <c r="F216" t="inlineStr">
        <is>
          <t>Kyrkan</t>
        </is>
      </c>
      <c r="G216" t="n">
        <v>1.1</v>
      </c>
      <c r="H216" t="n">
        <v>0</v>
      </c>
      <c r="I216" t="n">
        <v>0</v>
      </c>
      <c r="J216" t="n">
        <v>0</v>
      </c>
      <c r="K216" t="n">
        <v>0</v>
      </c>
      <c r="L216" t="n">
        <v>0</v>
      </c>
      <c r="M216" t="n">
        <v>0</v>
      </c>
      <c r="N216" t="n">
        <v>0</v>
      </c>
      <c r="O216" t="n">
        <v>0</v>
      </c>
      <c r="P216" t="n">
        <v>0</v>
      </c>
      <c r="Q216" t="n">
        <v>0</v>
      </c>
      <c r="R216" s="2" t="inlineStr"/>
    </row>
    <row r="217" ht="15" customHeight="1">
      <c r="A217" t="inlineStr">
        <is>
          <t>A 26921-2021</t>
        </is>
      </c>
      <c r="B217" s="1" t="n">
        <v>44349</v>
      </c>
      <c r="C217" s="1" t="n">
        <v>45736</v>
      </c>
      <c r="D217" t="inlineStr">
        <is>
          <t>VÄSTERNORRLANDS LÄN</t>
        </is>
      </c>
      <c r="E217" t="inlineStr">
        <is>
          <t>TIMRÅ</t>
        </is>
      </c>
      <c r="G217" t="n">
        <v>6.6</v>
      </c>
      <c r="H217" t="n">
        <v>0</v>
      </c>
      <c r="I217" t="n">
        <v>0</v>
      </c>
      <c r="J217" t="n">
        <v>0</v>
      </c>
      <c r="K217" t="n">
        <v>0</v>
      </c>
      <c r="L217" t="n">
        <v>0</v>
      </c>
      <c r="M217" t="n">
        <v>0</v>
      </c>
      <c r="N217" t="n">
        <v>0</v>
      </c>
      <c r="O217" t="n">
        <v>0</v>
      </c>
      <c r="P217" t="n">
        <v>0</v>
      </c>
      <c r="Q217" t="n">
        <v>0</v>
      </c>
      <c r="R217" s="2" t="inlineStr"/>
    </row>
    <row r="218" ht="15" customHeight="1">
      <c r="A218" t="inlineStr">
        <is>
          <t>A 26936-2021</t>
        </is>
      </c>
      <c r="B218" s="1" t="n">
        <v>44349</v>
      </c>
      <c r="C218" s="1" t="n">
        <v>45736</v>
      </c>
      <c r="D218" t="inlineStr">
        <is>
          <t>VÄSTERNORRLANDS LÄN</t>
        </is>
      </c>
      <c r="E218" t="inlineStr">
        <is>
          <t>TIMRÅ</t>
        </is>
      </c>
      <c r="G218" t="n">
        <v>4.1</v>
      </c>
      <c r="H218" t="n">
        <v>0</v>
      </c>
      <c r="I218" t="n">
        <v>0</v>
      </c>
      <c r="J218" t="n">
        <v>0</v>
      </c>
      <c r="K218" t="n">
        <v>0</v>
      </c>
      <c r="L218" t="n">
        <v>0</v>
      </c>
      <c r="M218" t="n">
        <v>0</v>
      </c>
      <c r="N218" t="n">
        <v>0</v>
      </c>
      <c r="O218" t="n">
        <v>0</v>
      </c>
      <c r="P218" t="n">
        <v>0</v>
      </c>
      <c r="Q218" t="n">
        <v>0</v>
      </c>
      <c r="R218" s="2" t="inlineStr"/>
    </row>
    <row r="219" ht="15" customHeight="1">
      <c r="A219" t="inlineStr">
        <is>
          <t>A 27243-2021</t>
        </is>
      </c>
      <c r="B219" s="1" t="n">
        <v>44350</v>
      </c>
      <c r="C219" s="1" t="n">
        <v>45736</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28695-2021</t>
        </is>
      </c>
      <c r="B220" s="1" t="n">
        <v>44357</v>
      </c>
      <c r="C220" s="1" t="n">
        <v>45736</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28706-2021</t>
        </is>
      </c>
      <c r="B221" s="1" t="n">
        <v>44357</v>
      </c>
      <c r="C221" s="1" t="n">
        <v>45736</v>
      </c>
      <c r="D221" t="inlineStr">
        <is>
          <t>VÄSTERNORRLANDS LÄN</t>
        </is>
      </c>
      <c r="E221" t="inlineStr">
        <is>
          <t>TIMRÅ</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28650-2021</t>
        </is>
      </c>
      <c r="B222" s="1" t="n">
        <v>44357</v>
      </c>
      <c r="C222" s="1" t="n">
        <v>45736</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28702-2021</t>
        </is>
      </c>
      <c r="B223" s="1" t="n">
        <v>44357</v>
      </c>
      <c r="C223" s="1" t="n">
        <v>45736</v>
      </c>
      <c r="D223" t="inlineStr">
        <is>
          <t>VÄSTERNORRLANDS LÄN</t>
        </is>
      </c>
      <c r="E223" t="inlineStr">
        <is>
          <t>TIMRÅ</t>
        </is>
      </c>
      <c r="G223" t="n">
        <v>3.6</v>
      </c>
      <c r="H223" t="n">
        <v>0</v>
      </c>
      <c r="I223" t="n">
        <v>0</v>
      </c>
      <c r="J223" t="n">
        <v>0</v>
      </c>
      <c r="K223" t="n">
        <v>0</v>
      </c>
      <c r="L223" t="n">
        <v>0</v>
      </c>
      <c r="M223" t="n">
        <v>0</v>
      </c>
      <c r="N223" t="n">
        <v>0</v>
      </c>
      <c r="O223" t="n">
        <v>0</v>
      </c>
      <c r="P223" t="n">
        <v>0</v>
      </c>
      <c r="Q223" t="n">
        <v>0</v>
      </c>
      <c r="R223" s="2" t="inlineStr"/>
    </row>
    <row r="224" ht="15" customHeight="1">
      <c r="A224" t="inlineStr">
        <is>
          <t>A 30098-2021</t>
        </is>
      </c>
      <c r="B224" s="1" t="n">
        <v>44363</v>
      </c>
      <c r="C224" s="1" t="n">
        <v>45736</v>
      </c>
      <c r="D224" t="inlineStr">
        <is>
          <t>VÄSTERNORRLANDS LÄN</t>
        </is>
      </c>
      <c r="E224" t="inlineStr">
        <is>
          <t>TIMRÅ</t>
        </is>
      </c>
      <c r="G224" t="n">
        <v>6.1</v>
      </c>
      <c r="H224" t="n">
        <v>0</v>
      </c>
      <c r="I224" t="n">
        <v>0</v>
      </c>
      <c r="J224" t="n">
        <v>0</v>
      </c>
      <c r="K224" t="n">
        <v>0</v>
      </c>
      <c r="L224" t="n">
        <v>0</v>
      </c>
      <c r="M224" t="n">
        <v>0</v>
      </c>
      <c r="N224" t="n">
        <v>0</v>
      </c>
      <c r="O224" t="n">
        <v>0</v>
      </c>
      <c r="P224" t="n">
        <v>0</v>
      </c>
      <c r="Q224" t="n">
        <v>0</v>
      </c>
      <c r="R224" s="2" t="inlineStr"/>
    </row>
    <row r="225" ht="15" customHeight="1">
      <c r="A225" t="inlineStr">
        <is>
          <t>A 30091-2021</t>
        </is>
      </c>
      <c r="B225" s="1" t="n">
        <v>44363</v>
      </c>
      <c r="C225" s="1" t="n">
        <v>45736</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30591-2021</t>
        </is>
      </c>
      <c r="B226" s="1" t="n">
        <v>44364</v>
      </c>
      <c r="C226" s="1" t="n">
        <v>45736</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32287-2021</t>
        </is>
      </c>
      <c r="B227" s="1" t="n">
        <v>44371</v>
      </c>
      <c r="C227" s="1" t="n">
        <v>45736</v>
      </c>
      <c r="D227" t="inlineStr">
        <is>
          <t>VÄSTERNORRLANDS LÄN</t>
        </is>
      </c>
      <c r="E227" t="inlineStr">
        <is>
          <t>TIMRÅ</t>
        </is>
      </c>
      <c r="F227" t="inlineStr">
        <is>
          <t>Kyrkan</t>
        </is>
      </c>
      <c r="G227" t="n">
        <v>5</v>
      </c>
      <c r="H227" t="n">
        <v>0</v>
      </c>
      <c r="I227" t="n">
        <v>0</v>
      </c>
      <c r="J227" t="n">
        <v>0</v>
      </c>
      <c r="K227" t="n">
        <v>0</v>
      </c>
      <c r="L227" t="n">
        <v>0</v>
      </c>
      <c r="M227" t="n">
        <v>0</v>
      </c>
      <c r="N227" t="n">
        <v>0</v>
      </c>
      <c r="O227" t="n">
        <v>0</v>
      </c>
      <c r="P227" t="n">
        <v>0</v>
      </c>
      <c r="Q227" t="n">
        <v>0</v>
      </c>
      <c r="R227" s="2" t="inlineStr"/>
    </row>
    <row r="228" ht="15" customHeight="1">
      <c r="A228" t="inlineStr">
        <is>
          <t>A 32210-2021</t>
        </is>
      </c>
      <c r="B228" s="1" t="n">
        <v>44371</v>
      </c>
      <c r="C228" s="1" t="n">
        <v>45736</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32484-2021</t>
        </is>
      </c>
      <c r="B229" s="1" t="n">
        <v>44371</v>
      </c>
      <c r="C229" s="1" t="n">
        <v>45736</v>
      </c>
      <c r="D229" t="inlineStr">
        <is>
          <t>VÄSTERNORRLANDS LÄN</t>
        </is>
      </c>
      <c r="E229" t="inlineStr">
        <is>
          <t>TIMRÅ</t>
        </is>
      </c>
      <c r="F229" t="inlineStr">
        <is>
          <t>SCA</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32487-2021</t>
        </is>
      </c>
      <c r="B230" s="1" t="n">
        <v>44371</v>
      </c>
      <c r="C230" s="1" t="n">
        <v>45736</v>
      </c>
      <c r="D230" t="inlineStr">
        <is>
          <t>VÄSTERNORRLANDS LÄN</t>
        </is>
      </c>
      <c r="E230" t="inlineStr">
        <is>
          <t>TIMRÅ</t>
        </is>
      </c>
      <c r="F230" t="inlineStr">
        <is>
          <t>Kyrkan</t>
        </is>
      </c>
      <c r="G230" t="n">
        <v>21</v>
      </c>
      <c r="H230" t="n">
        <v>0</v>
      </c>
      <c r="I230" t="n">
        <v>0</v>
      </c>
      <c r="J230" t="n">
        <v>0</v>
      </c>
      <c r="K230" t="n">
        <v>0</v>
      </c>
      <c r="L230" t="n">
        <v>0</v>
      </c>
      <c r="M230" t="n">
        <v>0</v>
      </c>
      <c r="N230" t="n">
        <v>0</v>
      </c>
      <c r="O230" t="n">
        <v>0</v>
      </c>
      <c r="P230" t="n">
        <v>0</v>
      </c>
      <c r="Q230" t="n">
        <v>0</v>
      </c>
      <c r="R230" s="2" t="inlineStr"/>
    </row>
    <row r="231" ht="15" customHeight="1">
      <c r="A231" t="inlineStr">
        <is>
          <t>A 32483-2021</t>
        </is>
      </c>
      <c r="B231" s="1" t="n">
        <v>44371</v>
      </c>
      <c r="C231" s="1" t="n">
        <v>45736</v>
      </c>
      <c r="D231" t="inlineStr">
        <is>
          <t>VÄSTERNORRLANDS LÄN</t>
        </is>
      </c>
      <c r="E231" t="inlineStr">
        <is>
          <t>TIMRÅ</t>
        </is>
      </c>
      <c r="F231" t="inlineStr">
        <is>
          <t>Kyrkan</t>
        </is>
      </c>
      <c r="G231" t="n">
        <v>6.3</v>
      </c>
      <c r="H231" t="n">
        <v>0</v>
      </c>
      <c r="I231" t="n">
        <v>0</v>
      </c>
      <c r="J231" t="n">
        <v>0</v>
      </c>
      <c r="K231" t="n">
        <v>0</v>
      </c>
      <c r="L231" t="n">
        <v>0</v>
      </c>
      <c r="M231" t="n">
        <v>0</v>
      </c>
      <c r="N231" t="n">
        <v>0</v>
      </c>
      <c r="O231" t="n">
        <v>0</v>
      </c>
      <c r="P231" t="n">
        <v>0</v>
      </c>
      <c r="Q231" t="n">
        <v>0</v>
      </c>
      <c r="R231" s="2" t="inlineStr"/>
    </row>
    <row r="232" ht="15" customHeight="1">
      <c r="A232" t="inlineStr">
        <is>
          <t>A 34035-2021</t>
        </is>
      </c>
      <c r="B232" s="1" t="n">
        <v>44378</v>
      </c>
      <c r="C232" s="1" t="n">
        <v>45736</v>
      </c>
      <c r="D232" t="inlineStr">
        <is>
          <t>VÄSTERNORRLANDS LÄN</t>
        </is>
      </c>
      <c r="E232" t="inlineStr">
        <is>
          <t>TIMRÅ</t>
        </is>
      </c>
      <c r="G232" t="n">
        <v>4</v>
      </c>
      <c r="H232" t="n">
        <v>0</v>
      </c>
      <c r="I232" t="n">
        <v>0</v>
      </c>
      <c r="J232" t="n">
        <v>0</v>
      </c>
      <c r="K232" t="n">
        <v>0</v>
      </c>
      <c r="L232" t="n">
        <v>0</v>
      </c>
      <c r="M232" t="n">
        <v>0</v>
      </c>
      <c r="N232" t="n">
        <v>0</v>
      </c>
      <c r="O232" t="n">
        <v>0</v>
      </c>
      <c r="P232" t="n">
        <v>0</v>
      </c>
      <c r="Q232" t="n">
        <v>0</v>
      </c>
      <c r="R232" s="2" t="inlineStr"/>
    </row>
    <row r="233" ht="15" customHeight="1">
      <c r="A233" t="inlineStr">
        <is>
          <t>A 34767-2021</t>
        </is>
      </c>
      <c r="B233" s="1" t="n">
        <v>44382</v>
      </c>
      <c r="C233" s="1" t="n">
        <v>45736</v>
      </c>
      <c r="D233" t="inlineStr">
        <is>
          <t>VÄSTERNORRLANDS LÄN</t>
        </is>
      </c>
      <c r="E233" t="inlineStr">
        <is>
          <t>TIMRÅ</t>
        </is>
      </c>
      <c r="G233" t="n">
        <v>2.4</v>
      </c>
      <c r="H233" t="n">
        <v>0</v>
      </c>
      <c r="I233" t="n">
        <v>0</v>
      </c>
      <c r="J233" t="n">
        <v>0</v>
      </c>
      <c r="K233" t="n">
        <v>0</v>
      </c>
      <c r="L233" t="n">
        <v>0</v>
      </c>
      <c r="M233" t="n">
        <v>0</v>
      </c>
      <c r="N233" t="n">
        <v>0</v>
      </c>
      <c r="O233" t="n">
        <v>0</v>
      </c>
      <c r="P233" t="n">
        <v>0</v>
      </c>
      <c r="Q233" t="n">
        <v>0</v>
      </c>
      <c r="R233" s="2" t="inlineStr"/>
    </row>
    <row r="234" ht="15" customHeight="1">
      <c r="A234" t="inlineStr">
        <is>
          <t>A 35262-2021</t>
        </is>
      </c>
      <c r="B234" s="1" t="n">
        <v>44384</v>
      </c>
      <c r="C234" s="1" t="n">
        <v>45736</v>
      </c>
      <c r="D234" t="inlineStr">
        <is>
          <t>VÄSTERNORRLANDS LÄN</t>
        </is>
      </c>
      <c r="E234" t="inlineStr">
        <is>
          <t>TIMRÅ</t>
        </is>
      </c>
      <c r="G234" t="n">
        <v>2.1</v>
      </c>
      <c r="H234" t="n">
        <v>0</v>
      </c>
      <c r="I234" t="n">
        <v>0</v>
      </c>
      <c r="J234" t="n">
        <v>0</v>
      </c>
      <c r="K234" t="n">
        <v>0</v>
      </c>
      <c r="L234" t="n">
        <v>0</v>
      </c>
      <c r="M234" t="n">
        <v>0</v>
      </c>
      <c r="N234" t="n">
        <v>0</v>
      </c>
      <c r="O234" t="n">
        <v>0</v>
      </c>
      <c r="P234" t="n">
        <v>0</v>
      </c>
      <c r="Q234" t="n">
        <v>0</v>
      </c>
      <c r="R234" s="2" t="inlineStr"/>
    </row>
    <row r="235" ht="15" customHeight="1">
      <c r="A235" t="inlineStr">
        <is>
          <t>A 35413-2021</t>
        </is>
      </c>
      <c r="B235" s="1" t="n">
        <v>44385</v>
      </c>
      <c r="C235" s="1" t="n">
        <v>45736</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35417-2021</t>
        </is>
      </c>
      <c r="B236" s="1" t="n">
        <v>44385</v>
      </c>
      <c r="C236" s="1" t="n">
        <v>45736</v>
      </c>
      <c r="D236" t="inlineStr">
        <is>
          <t>VÄSTERNORRLANDS LÄN</t>
        </is>
      </c>
      <c r="E236" t="inlineStr">
        <is>
          <t>TIMRÅ</t>
        </is>
      </c>
      <c r="G236" t="n">
        <v>4.9</v>
      </c>
      <c r="H236" t="n">
        <v>0</v>
      </c>
      <c r="I236" t="n">
        <v>0</v>
      </c>
      <c r="J236" t="n">
        <v>0</v>
      </c>
      <c r="K236" t="n">
        <v>0</v>
      </c>
      <c r="L236" t="n">
        <v>0</v>
      </c>
      <c r="M236" t="n">
        <v>0</v>
      </c>
      <c r="N236" t="n">
        <v>0</v>
      </c>
      <c r="O236" t="n">
        <v>0</v>
      </c>
      <c r="P236" t="n">
        <v>0</v>
      </c>
      <c r="Q236" t="n">
        <v>0</v>
      </c>
      <c r="R236" s="2" t="inlineStr"/>
    </row>
    <row r="237" ht="15" customHeight="1">
      <c r="A237" t="inlineStr">
        <is>
          <t>A 36987-2021</t>
        </is>
      </c>
      <c r="B237" s="1" t="n">
        <v>44393</v>
      </c>
      <c r="C237" s="1" t="n">
        <v>45736</v>
      </c>
      <c r="D237" t="inlineStr">
        <is>
          <t>VÄSTERNORRLANDS LÄN</t>
        </is>
      </c>
      <c r="E237" t="inlineStr">
        <is>
          <t>TIMRÅ</t>
        </is>
      </c>
      <c r="G237" t="n">
        <v>1.6</v>
      </c>
      <c r="H237" t="n">
        <v>0</v>
      </c>
      <c r="I237" t="n">
        <v>0</v>
      </c>
      <c r="J237" t="n">
        <v>0</v>
      </c>
      <c r="K237" t="n">
        <v>0</v>
      </c>
      <c r="L237" t="n">
        <v>0</v>
      </c>
      <c r="M237" t="n">
        <v>0</v>
      </c>
      <c r="N237" t="n">
        <v>0</v>
      </c>
      <c r="O237" t="n">
        <v>0</v>
      </c>
      <c r="P237" t="n">
        <v>0</v>
      </c>
      <c r="Q237" t="n">
        <v>0</v>
      </c>
      <c r="R237" s="2" t="inlineStr"/>
    </row>
    <row r="238" ht="15" customHeight="1">
      <c r="A238" t="inlineStr">
        <is>
          <t>A 37165-2021</t>
        </is>
      </c>
      <c r="B238" s="1" t="n">
        <v>44396</v>
      </c>
      <c r="C238" s="1" t="n">
        <v>45736</v>
      </c>
      <c r="D238" t="inlineStr">
        <is>
          <t>VÄSTERNORRLANDS LÄN</t>
        </is>
      </c>
      <c r="E238" t="inlineStr">
        <is>
          <t>TIMRÅ</t>
        </is>
      </c>
      <c r="G238" t="n">
        <v>6.8</v>
      </c>
      <c r="H238" t="n">
        <v>0</v>
      </c>
      <c r="I238" t="n">
        <v>0</v>
      </c>
      <c r="J238" t="n">
        <v>0</v>
      </c>
      <c r="K238" t="n">
        <v>0</v>
      </c>
      <c r="L238" t="n">
        <v>0</v>
      </c>
      <c r="M238" t="n">
        <v>0</v>
      </c>
      <c r="N238" t="n">
        <v>0</v>
      </c>
      <c r="O238" t="n">
        <v>0</v>
      </c>
      <c r="P238" t="n">
        <v>0</v>
      </c>
      <c r="Q238" t="n">
        <v>0</v>
      </c>
      <c r="R238" s="2" t="inlineStr"/>
    </row>
    <row r="239" ht="15" customHeight="1">
      <c r="A239" t="inlineStr">
        <is>
          <t>A 39534-2021</t>
        </is>
      </c>
      <c r="B239" s="1" t="n">
        <v>44416</v>
      </c>
      <c r="C239" s="1" t="n">
        <v>45736</v>
      </c>
      <c r="D239" t="inlineStr">
        <is>
          <t>VÄSTERNORRLANDS LÄN</t>
        </is>
      </c>
      <c r="E239" t="inlineStr">
        <is>
          <t>TIMRÅ</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39821-2021</t>
        </is>
      </c>
      <c r="B240" s="1" t="n">
        <v>44417</v>
      </c>
      <c r="C240" s="1" t="n">
        <v>45736</v>
      </c>
      <c r="D240" t="inlineStr">
        <is>
          <t>VÄSTERNORRLANDS LÄN</t>
        </is>
      </c>
      <c r="E240" t="inlineStr">
        <is>
          <t>TIMRÅ</t>
        </is>
      </c>
      <c r="G240" t="n">
        <v>0.4</v>
      </c>
      <c r="H240" t="n">
        <v>0</v>
      </c>
      <c r="I240" t="n">
        <v>0</v>
      </c>
      <c r="J240" t="n">
        <v>0</v>
      </c>
      <c r="K240" t="n">
        <v>0</v>
      </c>
      <c r="L240" t="n">
        <v>0</v>
      </c>
      <c r="M240" t="n">
        <v>0</v>
      </c>
      <c r="N240" t="n">
        <v>0</v>
      </c>
      <c r="O240" t="n">
        <v>0</v>
      </c>
      <c r="P240" t="n">
        <v>0</v>
      </c>
      <c r="Q240" t="n">
        <v>0</v>
      </c>
      <c r="R240" s="2" t="inlineStr"/>
    </row>
    <row r="241" ht="15" customHeight="1">
      <c r="A241" t="inlineStr">
        <is>
          <t>A 40519-2021</t>
        </is>
      </c>
      <c r="B241" s="1" t="n">
        <v>44420</v>
      </c>
      <c r="C241" s="1" t="n">
        <v>45736</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43848-2021</t>
        </is>
      </c>
      <c r="B242" s="1" t="n">
        <v>44434</v>
      </c>
      <c r="C242" s="1" t="n">
        <v>45736</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45441-2021</t>
        </is>
      </c>
      <c r="B243" s="1" t="n">
        <v>44440</v>
      </c>
      <c r="C243" s="1" t="n">
        <v>45736</v>
      </c>
      <c r="D243" t="inlineStr">
        <is>
          <t>VÄSTERNORRLANDS LÄN</t>
        </is>
      </c>
      <c r="E243" t="inlineStr">
        <is>
          <t>TIMRÅ</t>
        </is>
      </c>
      <c r="G243" t="n">
        <v>2</v>
      </c>
      <c r="H243" t="n">
        <v>0</v>
      </c>
      <c r="I243" t="n">
        <v>0</v>
      </c>
      <c r="J243" t="n">
        <v>0</v>
      </c>
      <c r="K243" t="n">
        <v>0</v>
      </c>
      <c r="L243" t="n">
        <v>0</v>
      </c>
      <c r="M243" t="n">
        <v>0</v>
      </c>
      <c r="N243" t="n">
        <v>0</v>
      </c>
      <c r="O243" t="n">
        <v>0</v>
      </c>
      <c r="P243" t="n">
        <v>0</v>
      </c>
      <c r="Q243" t="n">
        <v>0</v>
      </c>
      <c r="R243" s="2" t="inlineStr"/>
    </row>
    <row r="244" ht="15" customHeight="1">
      <c r="A244" t="inlineStr">
        <is>
          <t>A 47203-2021</t>
        </is>
      </c>
      <c r="B244" s="1" t="n">
        <v>44447</v>
      </c>
      <c r="C244" s="1" t="n">
        <v>45736</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47569-2021</t>
        </is>
      </c>
      <c r="B245" s="1" t="n">
        <v>44447</v>
      </c>
      <c r="C245" s="1" t="n">
        <v>45736</v>
      </c>
      <c r="D245" t="inlineStr">
        <is>
          <t>VÄSTERNORRLANDS LÄN</t>
        </is>
      </c>
      <c r="E245" t="inlineStr">
        <is>
          <t>TIMRÅ</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47570-2021</t>
        </is>
      </c>
      <c r="B246" s="1" t="n">
        <v>44448</v>
      </c>
      <c r="C246" s="1" t="n">
        <v>45736</v>
      </c>
      <c r="D246" t="inlineStr">
        <is>
          <t>VÄSTERNORRLANDS LÄN</t>
        </is>
      </c>
      <c r="E246" t="inlineStr">
        <is>
          <t>TIMRÅ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49056-2021</t>
        </is>
      </c>
      <c r="B247" s="1" t="n">
        <v>44453</v>
      </c>
      <c r="C247" s="1" t="n">
        <v>45736</v>
      </c>
      <c r="D247" t="inlineStr">
        <is>
          <t>VÄSTERNORRLANDS LÄN</t>
        </is>
      </c>
      <c r="E247" t="inlineStr">
        <is>
          <t>TIMRÅ</t>
        </is>
      </c>
      <c r="G247" t="n">
        <v>3.4</v>
      </c>
      <c r="H247" t="n">
        <v>0</v>
      </c>
      <c r="I247" t="n">
        <v>0</v>
      </c>
      <c r="J247" t="n">
        <v>0</v>
      </c>
      <c r="K247" t="n">
        <v>0</v>
      </c>
      <c r="L247" t="n">
        <v>0</v>
      </c>
      <c r="M247" t="n">
        <v>0</v>
      </c>
      <c r="N247" t="n">
        <v>0</v>
      </c>
      <c r="O247" t="n">
        <v>0</v>
      </c>
      <c r="P247" t="n">
        <v>0</v>
      </c>
      <c r="Q247" t="n">
        <v>0</v>
      </c>
      <c r="R247" s="2" t="inlineStr"/>
    </row>
    <row r="248" ht="15" customHeight="1">
      <c r="A248" t="inlineStr">
        <is>
          <t>A 49486-2021</t>
        </is>
      </c>
      <c r="B248" s="1" t="n">
        <v>44455</v>
      </c>
      <c r="C248" s="1" t="n">
        <v>45736</v>
      </c>
      <c r="D248" t="inlineStr">
        <is>
          <t>VÄSTERNORRLANDS LÄN</t>
        </is>
      </c>
      <c r="E248" t="inlineStr">
        <is>
          <t>TIMRÅ</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53305-2021</t>
        </is>
      </c>
      <c r="B249" s="1" t="n">
        <v>44467</v>
      </c>
      <c r="C249" s="1" t="n">
        <v>45736</v>
      </c>
      <c r="D249" t="inlineStr">
        <is>
          <t>VÄSTERNORRLANDS LÄN</t>
        </is>
      </c>
      <c r="E249" t="inlineStr">
        <is>
          <t>TIMRÅ</t>
        </is>
      </c>
      <c r="G249" t="n">
        <v>1.7</v>
      </c>
      <c r="H249" t="n">
        <v>0</v>
      </c>
      <c r="I249" t="n">
        <v>0</v>
      </c>
      <c r="J249" t="n">
        <v>0</v>
      </c>
      <c r="K249" t="n">
        <v>0</v>
      </c>
      <c r="L249" t="n">
        <v>0</v>
      </c>
      <c r="M249" t="n">
        <v>0</v>
      </c>
      <c r="N249" t="n">
        <v>0</v>
      </c>
      <c r="O249" t="n">
        <v>0</v>
      </c>
      <c r="P249" t="n">
        <v>0</v>
      </c>
      <c r="Q249" t="n">
        <v>0</v>
      </c>
      <c r="R249" s="2" t="inlineStr"/>
    </row>
    <row r="250" ht="15" customHeight="1">
      <c r="A250" t="inlineStr">
        <is>
          <t>A 53699-2021</t>
        </is>
      </c>
      <c r="B250" s="1" t="n">
        <v>44469</v>
      </c>
      <c r="C250" s="1" t="n">
        <v>45736</v>
      </c>
      <c r="D250" t="inlineStr">
        <is>
          <t>VÄSTERNORRLANDS LÄN</t>
        </is>
      </c>
      <c r="E250" t="inlineStr">
        <is>
          <t>TIMRÅ</t>
        </is>
      </c>
      <c r="G250" t="n">
        <v>2.4</v>
      </c>
      <c r="H250" t="n">
        <v>0</v>
      </c>
      <c r="I250" t="n">
        <v>0</v>
      </c>
      <c r="J250" t="n">
        <v>0</v>
      </c>
      <c r="K250" t="n">
        <v>0</v>
      </c>
      <c r="L250" t="n">
        <v>0</v>
      </c>
      <c r="M250" t="n">
        <v>0</v>
      </c>
      <c r="N250" t="n">
        <v>0</v>
      </c>
      <c r="O250" t="n">
        <v>0</v>
      </c>
      <c r="P250" t="n">
        <v>0</v>
      </c>
      <c r="Q250" t="n">
        <v>0</v>
      </c>
      <c r="R250" s="2" t="inlineStr"/>
    </row>
    <row r="251" ht="15" customHeight="1">
      <c r="A251" t="inlineStr">
        <is>
          <t>A 53703-2021</t>
        </is>
      </c>
      <c r="B251" s="1" t="n">
        <v>44469</v>
      </c>
      <c r="C251" s="1" t="n">
        <v>45736</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59570-2021</t>
        </is>
      </c>
      <c r="B252" s="1" t="n">
        <v>44491</v>
      </c>
      <c r="C252" s="1" t="n">
        <v>45736</v>
      </c>
      <c r="D252" t="inlineStr">
        <is>
          <t>VÄSTERNORRLANDS LÄN</t>
        </is>
      </c>
      <c r="E252" t="inlineStr">
        <is>
          <t>TIMRÅ</t>
        </is>
      </c>
      <c r="G252" t="n">
        <v>1.3</v>
      </c>
      <c r="H252" t="n">
        <v>0</v>
      </c>
      <c r="I252" t="n">
        <v>0</v>
      </c>
      <c r="J252" t="n">
        <v>0</v>
      </c>
      <c r="K252" t="n">
        <v>0</v>
      </c>
      <c r="L252" t="n">
        <v>0</v>
      </c>
      <c r="M252" t="n">
        <v>0</v>
      </c>
      <c r="N252" t="n">
        <v>0</v>
      </c>
      <c r="O252" t="n">
        <v>0</v>
      </c>
      <c r="P252" t="n">
        <v>0</v>
      </c>
      <c r="Q252" t="n">
        <v>0</v>
      </c>
      <c r="R252" s="2" t="inlineStr"/>
    </row>
    <row r="253" ht="15" customHeight="1">
      <c r="A253" t="inlineStr">
        <is>
          <t>A 59964-2021</t>
        </is>
      </c>
      <c r="B253" s="1" t="n">
        <v>44494</v>
      </c>
      <c r="C253" s="1" t="n">
        <v>45736</v>
      </c>
      <c r="D253" t="inlineStr">
        <is>
          <t>VÄSTERNORRLANDS LÄN</t>
        </is>
      </c>
      <c r="E253" t="inlineStr">
        <is>
          <t>TIMRÅ</t>
        </is>
      </c>
      <c r="G253" t="n">
        <v>1</v>
      </c>
      <c r="H253" t="n">
        <v>0</v>
      </c>
      <c r="I253" t="n">
        <v>0</v>
      </c>
      <c r="J253" t="n">
        <v>0</v>
      </c>
      <c r="K253" t="n">
        <v>0</v>
      </c>
      <c r="L253" t="n">
        <v>0</v>
      </c>
      <c r="M253" t="n">
        <v>0</v>
      </c>
      <c r="N253" t="n">
        <v>0</v>
      </c>
      <c r="O253" t="n">
        <v>0</v>
      </c>
      <c r="P253" t="n">
        <v>0</v>
      </c>
      <c r="Q253" t="n">
        <v>0</v>
      </c>
      <c r="R253" s="2" t="inlineStr"/>
    </row>
    <row r="254" ht="15" customHeight="1">
      <c r="A254" t="inlineStr">
        <is>
          <t>A 64433-2021</t>
        </is>
      </c>
      <c r="B254" s="1" t="n">
        <v>44511</v>
      </c>
      <c r="C254" s="1" t="n">
        <v>45736</v>
      </c>
      <c r="D254" t="inlineStr">
        <is>
          <t>VÄSTERNORRLANDS LÄN</t>
        </is>
      </c>
      <c r="E254" t="inlineStr">
        <is>
          <t>TIMRÅ</t>
        </is>
      </c>
      <c r="G254" t="n">
        <v>0.6</v>
      </c>
      <c r="H254" t="n">
        <v>0</v>
      </c>
      <c r="I254" t="n">
        <v>0</v>
      </c>
      <c r="J254" t="n">
        <v>0</v>
      </c>
      <c r="K254" t="n">
        <v>0</v>
      </c>
      <c r="L254" t="n">
        <v>0</v>
      </c>
      <c r="M254" t="n">
        <v>0</v>
      </c>
      <c r="N254" t="n">
        <v>0</v>
      </c>
      <c r="O254" t="n">
        <v>0</v>
      </c>
      <c r="P254" t="n">
        <v>0</v>
      </c>
      <c r="Q254" t="n">
        <v>0</v>
      </c>
      <c r="R254" s="2" t="inlineStr"/>
    </row>
    <row r="255" ht="15" customHeight="1">
      <c r="A255" t="inlineStr">
        <is>
          <t>A 66154-2021</t>
        </is>
      </c>
      <c r="B255" s="1" t="n">
        <v>44517</v>
      </c>
      <c r="C255" s="1" t="n">
        <v>45736</v>
      </c>
      <c r="D255" t="inlineStr">
        <is>
          <t>VÄSTERNORRLANDS LÄN</t>
        </is>
      </c>
      <c r="E255" t="inlineStr">
        <is>
          <t>TIMRÅ</t>
        </is>
      </c>
      <c r="G255" t="n">
        <v>5.6</v>
      </c>
      <c r="H255" t="n">
        <v>0</v>
      </c>
      <c r="I255" t="n">
        <v>0</v>
      </c>
      <c r="J255" t="n">
        <v>0</v>
      </c>
      <c r="K255" t="n">
        <v>0</v>
      </c>
      <c r="L255" t="n">
        <v>0</v>
      </c>
      <c r="M255" t="n">
        <v>0</v>
      </c>
      <c r="N255" t="n">
        <v>0</v>
      </c>
      <c r="O255" t="n">
        <v>0</v>
      </c>
      <c r="P255" t="n">
        <v>0</v>
      </c>
      <c r="Q255" t="n">
        <v>0</v>
      </c>
      <c r="R255" s="2" t="inlineStr"/>
    </row>
    <row r="256" ht="15" customHeight="1">
      <c r="A256" t="inlineStr">
        <is>
          <t>A 66409-2021</t>
        </is>
      </c>
      <c r="B256" s="1" t="n">
        <v>44518</v>
      </c>
      <c r="C256" s="1" t="n">
        <v>45736</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67065-2021</t>
        </is>
      </c>
      <c r="B257" s="1" t="n">
        <v>44522</v>
      </c>
      <c r="C257" s="1" t="n">
        <v>45736</v>
      </c>
      <c r="D257" t="inlineStr">
        <is>
          <t>VÄSTERNORRLANDS LÄN</t>
        </is>
      </c>
      <c r="E257" t="inlineStr">
        <is>
          <t>TIMRÅ</t>
        </is>
      </c>
      <c r="G257" t="n">
        <v>2.6</v>
      </c>
      <c r="H257" t="n">
        <v>0</v>
      </c>
      <c r="I257" t="n">
        <v>0</v>
      </c>
      <c r="J257" t="n">
        <v>0</v>
      </c>
      <c r="K257" t="n">
        <v>0</v>
      </c>
      <c r="L257" t="n">
        <v>0</v>
      </c>
      <c r="M257" t="n">
        <v>0</v>
      </c>
      <c r="N257" t="n">
        <v>0</v>
      </c>
      <c r="O257" t="n">
        <v>0</v>
      </c>
      <c r="P257" t="n">
        <v>0</v>
      </c>
      <c r="Q257" t="n">
        <v>0</v>
      </c>
      <c r="R257" s="2" t="inlineStr"/>
    </row>
    <row r="258" ht="15" customHeight="1">
      <c r="A258" t="inlineStr">
        <is>
          <t>A 67063-2021</t>
        </is>
      </c>
      <c r="B258" s="1" t="n">
        <v>44522</v>
      </c>
      <c r="C258" s="1" t="n">
        <v>45736</v>
      </c>
      <c r="D258" t="inlineStr">
        <is>
          <t>VÄSTERNORRLANDS LÄN</t>
        </is>
      </c>
      <c r="E258" t="inlineStr">
        <is>
          <t>TIMRÅ</t>
        </is>
      </c>
      <c r="G258" t="n">
        <v>1.9</v>
      </c>
      <c r="H258" t="n">
        <v>0</v>
      </c>
      <c r="I258" t="n">
        <v>0</v>
      </c>
      <c r="J258" t="n">
        <v>0</v>
      </c>
      <c r="K258" t="n">
        <v>0</v>
      </c>
      <c r="L258" t="n">
        <v>0</v>
      </c>
      <c r="M258" t="n">
        <v>0</v>
      </c>
      <c r="N258" t="n">
        <v>0</v>
      </c>
      <c r="O258" t="n">
        <v>0</v>
      </c>
      <c r="P258" t="n">
        <v>0</v>
      </c>
      <c r="Q258" t="n">
        <v>0</v>
      </c>
      <c r="R258" s="2" t="inlineStr"/>
    </row>
    <row r="259" ht="15" customHeight="1">
      <c r="A259" t="inlineStr">
        <is>
          <t>A 67673-2021</t>
        </is>
      </c>
      <c r="B259" s="1" t="n">
        <v>44524</v>
      </c>
      <c r="C259" s="1" t="n">
        <v>45736</v>
      </c>
      <c r="D259" t="inlineStr">
        <is>
          <t>VÄSTERNORRLANDS LÄN</t>
        </is>
      </c>
      <c r="E259" t="inlineStr">
        <is>
          <t>TIMRÅ</t>
        </is>
      </c>
      <c r="G259" t="n">
        <v>6.8</v>
      </c>
      <c r="H259" t="n">
        <v>0</v>
      </c>
      <c r="I259" t="n">
        <v>0</v>
      </c>
      <c r="J259" t="n">
        <v>0</v>
      </c>
      <c r="K259" t="n">
        <v>0</v>
      </c>
      <c r="L259" t="n">
        <v>0</v>
      </c>
      <c r="M259" t="n">
        <v>0</v>
      </c>
      <c r="N259" t="n">
        <v>0</v>
      </c>
      <c r="O259" t="n">
        <v>0</v>
      </c>
      <c r="P259" t="n">
        <v>0</v>
      </c>
      <c r="Q259" t="n">
        <v>0</v>
      </c>
      <c r="R259" s="2" t="inlineStr"/>
    </row>
    <row r="260" ht="15" customHeight="1">
      <c r="A260" t="inlineStr">
        <is>
          <t>A 68391-2021</t>
        </is>
      </c>
      <c r="B260" s="1" t="n">
        <v>44526</v>
      </c>
      <c r="C260" s="1" t="n">
        <v>45736</v>
      </c>
      <c r="D260" t="inlineStr">
        <is>
          <t>VÄSTERNORRLANDS LÄN</t>
        </is>
      </c>
      <c r="E260" t="inlineStr">
        <is>
          <t>TIMRÅ</t>
        </is>
      </c>
      <c r="G260" t="n">
        <v>2.2</v>
      </c>
      <c r="H260" t="n">
        <v>0</v>
      </c>
      <c r="I260" t="n">
        <v>0</v>
      </c>
      <c r="J260" t="n">
        <v>0</v>
      </c>
      <c r="K260" t="n">
        <v>0</v>
      </c>
      <c r="L260" t="n">
        <v>0</v>
      </c>
      <c r="M260" t="n">
        <v>0</v>
      </c>
      <c r="N260" t="n">
        <v>0</v>
      </c>
      <c r="O260" t="n">
        <v>0</v>
      </c>
      <c r="P260" t="n">
        <v>0</v>
      </c>
      <c r="Q260" t="n">
        <v>0</v>
      </c>
      <c r="R260" s="2" t="inlineStr"/>
    </row>
    <row r="261" ht="15" customHeight="1">
      <c r="A261" t="inlineStr">
        <is>
          <t>A 68774-2021</t>
        </is>
      </c>
      <c r="B261" s="1" t="n">
        <v>44529</v>
      </c>
      <c r="C261" s="1" t="n">
        <v>45736</v>
      </c>
      <c r="D261" t="inlineStr">
        <is>
          <t>VÄSTERNORRLANDS LÄN</t>
        </is>
      </c>
      <c r="E261" t="inlineStr">
        <is>
          <t>TIMRÅ</t>
        </is>
      </c>
      <c r="G261" t="n">
        <v>0.5</v>
      </c>
      <c r="H261" t="n">
        <v>0</v>
      </c>
      <c r="I261" t="n">
        <v>0</v>
      </c>
      <c r="J261" t="n">
        <v>0</v>
      </c>
      <c r="K261" t="n">
        <v>0</v>
      </c>
      <c r="L261" t="n">
        <v>0</v>
      </c>
      <c r="M261" t="n">
        <v>0</v>
      </c>
      <c r="N261" t="n">
        <v>0</v>
      </c>
      <c r="O261" t="n">
        <v>0</v>
      </c>
      <c r="P261" t="n">
        <v>0</v>
      </c>
      <c r="Q261" t="n">
        <v>0</v>
      </c>
      <c r="R261" s="2" t="inlineStr"/>
    </row>
    <row r="262" ht="15" customHeight="1">
      <c r="A262" t="inlineStr">
        <is>
          <t>A 69274-2021</t>
        </is>
      </c>
      <c r="B262" s="1" t="n">
        <v>44530</v>
      </c>
      <c r="C262" s="1" t="n">
        <v>45736</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69266-2021</t>
        </is>
      </c>
      <c r="B263" s="1" t="n">
        <v>44530</v>
      </c>
      <c r="C263" s="1" t="n">
        <v>45736</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69278-2021</t>
        </is>
      </c>
      <c r="B264" s="1" t="n">
        <v>44531</v>
      </c>
      <c r="C264" s="1" t="n">
        <v>45736</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69663-2021</t>
        </is>
      </c>
      <c r="B265" s="1" t="n">
        <v>44531</v>
      </c>
      <c r="C265" s="1" t="n">
        <v>45736</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70507-2021</t>
        </is>
      </c>
      <c r="B266" s="1" t="n">
        <v>44536</v>
      </c>
      <c r="C266" s="1" t="n">
        <v>45736</v>
      </c>
      <c r="D266" t="inlineStr">
        <is>
          <t>VÄSTERNORRLANDS LÄN</t>
        </is>
      </c>
      <c r="E266" t="inlineStr">
        <is>
          <t>TIMRÅ</t>
        </is>
      </c>
      <c r="G266" t="n">
        <v>2.5</v>
      </c>
      <c r="H266" t="n">
        <v>0</v>
      </c>
      <c r="I266" t="n">
        <v>0</v>
      </c>
      <c r="J266" t="n">
        <v>0</v>
      </c>
      <c r="K266" t="n">
        <v>0</v>
      </c>
      <c r="L266" t="n">
        <v>0</v>
      </c>
      <c r="M266" t="n">
        <v>0</v>
      </c>
      <c r="N266" t="n">
        <v>0</v>
      </c>
      <c r="O266" t="n">
        <v>0</v>
      </c>
      <c r="P266" t="n">
        <v>0</v>
      </c>
      <c r="Q266" t="n">
        <v>0</v>
      </c>
      <c r="R266" s="2" t="inlineStr"/>
    </row>
    <row r="267" ht="15" customHeight="1">
      <c r="A267" t="inlineStr">
        <is>
          <t>A 70906-2021</t>
        </is>
      </c>
      <c r="B267" s="1" t="n">
        <v>44537</v>
      </c>
      <c r="C267" s="1" t="n">
        <v>45736</v>
      </c>
      <c r="D267" t="inlineStr">
        <is>
          <t>VÄSTERNORRLANDS LÄN</t>
        </is>
      </c>
      <c r="E267" t="inlineStr">
        <is>
          <t>TIMRÅ</t>
        </is>
      </c>
      <c r="G267" t="n">
        <v>3.9</v>
      </c>
      <c r="H267" t="n">
        <v>0</v>
      </c>
      <c r="I267" t="n">
        <v>0</v>
      </c>
      <c r="J267" t="n">
        <v>0</v>
      </c>
      <c r="K267" t="n">
        <v>0</v>
      </c>
      <c r="L267" t="n">
        <v>0</v>
      </c>
      <c r="M267" t="n">
        <v>0</v>
      </c>
      <c r="N267" t="n">
        <v>0</v>
      </c>
      <c r="O267" t="n">
        <v>0</v>
      </c>
      <c r="P267" t="n">
        <v>0</v>
      </c>
      <c r="Q267" t="n">
        <v>0</v>
      </c>
      <c r="R267" s="2" t="inlineStr"/>
    </row>
    <row r="268" ht="15" customHeight="1">
      <c r="A268" t="inlineStr">
        <is>
          <t>A 71213-2021</t>
        </is>
      </c>
      <c r="B268" s="1" t="n">
        <v>44539</v>
      </c>
      <c r="C268" s="1" t="n">
        <v>45736</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73225-2021</t>
        </is>
      </c>
      <c r="B269" s="1" t="n">
        <v>44550</v>
      </c>
      <c r="C269" s="1" t="n">
        <v>45736</v>
      </c>
      <c r="D269" t="inlineStr">
        <is>
          <t>VÄSTERNORRLANDS LÄN</t>
        </is>
      </c>
      <c r="E269" t="inlineStr">
        <is>
          <t>TIMRÅ</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74020-2021</t>
        </is>
      </c>
      <c r="B270" s="1" t="n">
        <v>44557</v>
      </c>
      <c r="C270" s="1" t="n">
        <v>45736</v>
      </c>
      <c r="D270" t="inlineStr">
        <is>
          <t>VÄSTERNORRLANDS LÄN</t>
        </is>
      </c>
      <c r="E270" t="inlineStr">
        <is>
          <t>TIMRÅ</t>
        </is>
      </c>
      <c r="G270" t="n">
        <v>1.4</v>
      </c>
      <c r="H270" t="n">
        <v>0</v>
      </c>
      <c r="I270" t="n">
        <v>0</v>
      </c>
      <c r="J270" t="n">
        <v>0</v>
      </c>
      <c r="K270" t="n">
        <v>0</v>
      </c>
      <c r="L270" t="n">
        <v>0</v>
      </c>
      <c r="M270" t="n">
        <v>0</v>
      </c>
      <c r="N270" t="n">
        <v>0</v>
      </c>
      <c r="O270" t="n">
        <v>0</v>
      </c>
      <c r="P270" t="n">
        <v>0</v>
      </c>
      <c r="Q270" t="n">
        <v>0</v>
      </c>
      <c r="R270" s="2" t="inlineStr"/>
    </row>
    <row r="271" ht="15" customHeight="1">
      <c r="A271" t="inlineStr">
        <is>
          <t>A 74043-2021</t>
        </is>
      </c>
      <c r="B271" s="1" t="n">
        <v>44557</v>
      </c>
      <c r="C271" s="1" t="n">
        <v>45736</v>
      </c>
      <c r="D271" t="inlineStr">
        <is>
          <t>VÄSTERNORRLANDS LÄN</t>
        </is>
      </c>
      <c r="E271" t="inlineStr">
        <is>
          <t>TIMRÅ</t>
        </is>
      </c>
      <c r="G271" t="n">
        <v>0.1</v>
      </c>
      <c r="H271" t="n">
        <v>0</v>
      </c>
      <c r="I271" t="n">
        <v>0</v>
      </c>
      <c r="J271" t="n">
        <v>0</v>
      </c>
      <c r="K271" t="n">
        <v>0</v>
      </c>
      <c r="L271" t="n">
        <v>0</v>
      </c>
      <c r="M271" t="n">
        <v>0</v>
      </c>
      <c r="N271" t="n">
        <v>0</v>
      </c>
      <c r="O271" t="n">
        <v>0</v>
      </c>
      <c r="P271" t="n">
        <v>0</v>
      </c>
      <c r="Q271" t="n">
        <v>0</v>
      </c>
      <c r="R271" s="2" t="inlineStr"/>
    </row>
    <row r="272" ht="15" customHeight="1">
      <c r="A272" t="inlineStr">
        <is>
          <t>A 74044-2021</t>
        </is>
      </c>
      <c r="B272" s="1" t="n">
        <v>44557</v>
      </c>
      <c r="C272" s="1" t="n">
        <v>45736</v>
      </c>
      <c r="D272" t="inlineStr">
        <is>
          <t>VÄSTERNORRLANDS LÄN</t>
        </is>
      </c>
      <c r="E272" t="inlineStr">
        <is>
          <t>TIMRÅ</t>
        </is>
      </c>
      <c r="G272" t="n">
        <v>0.2</v>
      </c>
      <c r="H272" t="n">
        <v>0</v>
      </c>
      <c r="I272" t="n">
        <v>0</v>
      </c>
      <c r="J272" t="n">
        <v>0</v>
      </c>
      <c r="K272" t="n">
        <v>0</v>
      </c>
      <c r="L272" t="n">
        <v>0</v>
      </c>
      <c r="M272" t="n">
        <v>0</v>
      </c>
      <c r="N272" t="n">
        <v>0</v>
      </c>
      <c r="O272" t="n">
        <v>0</v>
      </c>
      <c r="P272" t="n">
        <v>0</v>
      </c>
      <c r="Q272" t="n">
        <v>0</v>
      </c>
      <c r="R272" s="2" t="inlineStr"/>
    </row>
    <row r="273" ht="15" customHeight="1">
      <c r="A273" t="inlineStr">
        <is>
          <t>A 74148-2021</t>
        </is>
      </c>
      <c r="B273" s="1" t="n">
        <v>44557</v>
      </c>
      <c r="C273" s="1" t="n">
        <v>45736</v>
      </c>
      <c r="D273" t="inlineStr">
        <is>
          <t>VÄSTERNORRLANDS LÄN</t>
        </is>
      </c>
      <c r="E273" t="inlineStr">
        <is>
          <t>TIMRÅ</t>
        </is>
      </c>
      <c r="G273" t="n">
        <v>0.7</v>
      </c>
      <c r="H273" t="n">
        <v>0</v>
      </c>
      <c r="I273" t="n">
        <v>0</v>
      </c>
      <c r="J273" t="n">
        <v>0</v>
      </c>
      <c r="K273" t="n">
        <v>0</v>
      </c>
      <c r="L273" t="n">
        <v>0</v>
      </c>
      <c r="M273" t="n">
        <v>0</v>
      </c>
      <c r="N273" t="n">
        <v>0</v>
      </c>
      <c r="O273" t="n">
        <v>0</v>
      </c>
      <c r="P273" t="n">
        <v>0</v>
      </c>
      <c r="Q273" t="n">
        <v>0</v>
      </c>
      <c r="R273" s="2" t="inlineStr"/>
    </row>
    <row r="274" ht="15" customHeight="1">
      <c r="A274" t="inlineStr">
        <is>
          <t>A 74150-2021</t>
        </is>
      </c>
      <c r="B274" s="1" t="n">
        <v>44557</v>
      </c>
      <c r="C274" s="1" t="n">
        <v>45736</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74177-2021</t>
        </is>
      </c>
      <c r="B275" s="1" t="n">
        <v>44558</v>
      </c>
      <c r="C275" s="1" t="n">
        <v>45736</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580-2022</t>
        </is>
      </c>
      <c r="B276" s="1" t="n">
        <v>44566</v>
      </c>
      <c r="C276" s="1" t="n">
        <v>45736</v>
      </c>
      <c r="D276" t="inlineStr">
        <is>
          <t>VÄSTERNORRLANDS LÄN</t>
        </is>
      </c>
      <c r="E276" t="inlineStr">
        <is>
          <t>TIMRÅ</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1078-2022</t>
        </is>
      </c>
      <c r="B277" s="1" t="n">
        <v>44571</v>
      </c>
      <c r="C277" s="1" t="n">
        <v>45736</v>
      </c>
      <c r="D277" t="inlineStr">
        <is>
          <t>VÄSTERNORRLANDS LÄN</t>
        </is>
      </c>
      <c r="E277" t="inlineStr">
        <is>
          <t>TIMRÅ</t>
        </is>
      </c>
      <c r="G277" t="n">
        <v>1.6</v>
      </c>
      <c r="H277" t="n">
        <v>0</v>
      </c>
      <c r="I277" t="n">
        <v>0</v>
      </c>
      <c r="J277" t="n">
        <v>0</v>
      </c>
      <c r="K277" t="n">
        <v>0</v>
      </c>
      <c r="L277" t="n">
        <v>0</v>
      </c>
      <c r="M277" t="n">
        <v>0</v>
      </c>
      <c r="N277" t="n">
        <v>0</v>
      </c>
      <c r="O277" t="n">
        <v>0</v>
      </c>
      <c r="P277" t="n">
        <v>0</v>
      </c>
      <c r="Q277" t="n">
        <v>0</v>
      </c>
      <c r="R277" s="2" t="inlineStr"/>
    </row>
    <row r="278" ht="15" customHeight="1">
      <c r="A278" t="inlineStr">
        <is>
          <t>A 1855-2022</t>
        </is>
      </c>
      <c r="B278" s="1" t="n">
        <v>44574</v>
      </c>
      <c r="C278" s="1" t="n">
        <v>45736</v>
      </c>
      <c r="D278" t="inlineStr">
        <is>
          <t>VÄSTERNORRLANDS LÄN</t>
        </is>
      </c>
      <c r="E278" t="inlineStr">
        <is>
          <t>TIMRÅ</t>
        </is>
      </c>
      <c r="G278" t="n">
        <v>3.1</v>
      </c>
      <c r="H278" t="n">
        <v>0</v>
      </c>
      <c r="I278" t="n">
        <v>0</v>
      </c>
      <c r="J278" t="n">
        <v>0</v>
      </c>
      <c r="K278" t="n">
        <v>0</v>
      </c>
      <c r="L278" t="n">
        <v>0</v>
      </c>
      <c r="M278" t="n">
        <v>0</v>
      </c>
      <c r="N278" t="n">
        <v>0</v>
      </c>
      <c r="O278" t="n">
        <v>0</v>
      </c>
      <c r="P278" t="n">
        <v>0</v>
      </c>
      <c r="Q278" t="n">
        <v>0</v>
      </c>
      <c r="R278" s="2" t="inlineStr"/>
    </row>
    <row r="279" ht="15" customHeight="1">
      <c r="A279" t="inlineStr">
        <is>
          <t>A 2073-2022</t>
        </is>
      </c>
      <c r="B279" s="1" t="n">
        <v>44575</v>
      </c>
      <c r="C279" s="1" t="n">
        <v>45736</v>
      </c>
      <c r="D279" t="inlineStr">
        <is>
          <t>VÄSTERNORRLANDS LÄN</t>
        </is>
      </c>
      <c r="E279" t="inlineStr">
        <is>
          <t>TIMRÅ</t>
        </is>
      </c>
      <c r="G279" t="n">
        <v>2.5</v>
      </c>
      <c r="H279" t="n">
        <v>0</v>
      </c>
      <c r="I279" t="n">
        <v>0</v>
      </c>
      <c r="J279" t="n">
        <v>0</v>
      </c>
      <c r="K279" t="n">
        <v>0</v>
      </c>
      <c r="L279" t="n">
        <v>0</v>
      </c>
      <c r="M279" t="n">
        <v>0</v>
      </c>
      <c r="N279" t="n">
        <v>0</v>
      </c>
      <c r="O279" t="n">
        <v>0</v>
      </c>
      <c r="P279" t="n">
        <v>0</v>
      </c>
      <c r="Q279" t="n">
        <v>0</v>
      </c>
      <c r="R279" s="2" t="inlineStr"/>
    </row>
    <row r="280" ht="15" customHeight="1">
      <c r="A280" t="inlineStr">
        <is>
          <t>A 2226-2022</t>
        </is>
      </c>
      <c r="B280" s="1" t="n">
        <v>44578</v>
      </c>
      <c r="C280" s="1" t="n">
        <v>45736</v>
      </c>
      <c r="D280" t="inlineStr">
        <is>
          <t>VÄSTERNORRLANDS LÄN</t>
        </is>
      </c>
      <c r="E280" t="inlineStr">
        <is>
          <t>TIMRÅ</t>
        </is>
      </c>
      <c r="G280" t="n">
        <v>2.9</v>
      </c>
      <c r="H280" t="n">
        <v>0</v>
      </c>
      <c r="I280" t="n">
        <v>0</v>
      </c>
      <c r="J280" t="n">
        <v>0</v>
      </c>
      <c r="K280" t="n">
        <v>0</v>
      </c>
      <c r="L280" t="n">
        <v>0</v>
      </c>
      <c r="M280" t="n">
        <v>0</v>
      </c>
      <c r="N280" t="n">
        <v>0</v>
      </c>
      <c r="O280" t="n">
        <v>0</v>
      </c>
      <c r="P280" t="n">
        <v>0</v>
      </c>
      <c r="Q280" t="n">
        <v>0</v>
      </c>
      <c r="R280" s="2" t="inlineStr"/>
    </row>
    <row r="281" ht="15" customHeight="1">
      <c r="A281" t="inlineStr">
        <is>
          <t>A 5649-2022</t>
        </is>
      </c>
      <c r="B281" s="1" t="n">
        <v>44595</v>
      </c>
      <c r="C281" s="1" t="n">
        <v>45736</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7152-2022</t>
        </is>
      </c>
      <c r="B282" s="1" t="n">
        <v>44603</v>
      </c>
      <c r="C282" s="1" t="n">
        <v>45736</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7670-2022</t>
        </is>
      </c>
      <c r="B283" s="1" t="n">
        <v>44607</v>
      </c>
      <c r="C283" s="1" t="n">
        <v>45736</v>
      </c>
      <c r="D283" t="inlineStr">
        <is>
          <t>VÄSTERNORRLANDS LÄN</t>
        </is>
      </c>
      <c r="E283" t="inlineStr">
        <is>
          <t>TIMRÅ</t>
        </is>
      </c>
      <c r="G283" t="n">
        <v>3.6</v>
      </c>
      <c r="H283" t="n">
        <v>0</v>
      </c>
      <c r="I283" t="n">
        <v>0</v>
      </c>
      <c r="J283" t="n">
        <v>0</v>
      </c>
      <c r="K283" t="n">
        <v>0</v>
      </c>
      <c r="L283" t="n">
        <v>0</v>
      </c>
      <c r="M283" t="n">
        <v>0</v>
      </c>
      <c r="N283" t="n">
        <v>0</v>
      </c>
      <c r="O283" t="n">
        <v>0</v>
      </c>
      <c r="P283" t="n">
        <v>0</v>
      </c>
      <c r="Q283" t="n">
        <v>0</v>
      </c>
      <c r="R283" s="2" t="inlineStr"/>
    </row>
    <row r="284" ht="15" customHeight="1">
      <c r="A284" t="inlineStr">
        <is>
          <t>A 7966-2022</t>
        </is>
      </c>
      <c r="B284" s="1" t="n">
        <v>44608</v>
      </c>
      <c r="C284" s="1" t="n">
        <v>45736</v>
      </c>
      <c r="D284" t="inlineStr">
        <is>
          <t>VÄSTERNORRLANDS LÄN</t>
        </is>
      </c>
      <c r="E284" t="inlineStr">
        <is>
          <t>TIMRÅ</t>
        </is>
      </c>
      <c r="F284" t="inlineStr">
        <is>
          <t>SCA</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8336-2022</t>
        </is>
      </c>
      <c r="B285" s="1" t="n">
        <v>44610</v>
      </c>
      <c r="C285" s="1" t="n">
        <v>45736</v>
      </c>
      <c r="D285" t="inlineStr">
        <is>
          <t>VÄSTERNORRLANDS LÄN</t>
        </is>
      </c>
      <c r="E285" t="inlineStr">
        <is>
          <t>TIMRÅ</t>
        </is>
      </c>
      <c r="F285" t="inlineStr">
        <is>
          <t>Kommuner</t>
        </is>
      </c>
      <c r="G285" t="n">
        <v>1.2</v>
      </c>
      <c r="H285" t="n">
        <v>0</v>
      </c>
      <c r="I285" t="n">
        <v>0</v>
      </c>
      <c r="J285" t="n">
        <v>0</v>
      </c>
      <c r="K285" t="n">
        <v>0</v>
      </c>
      <c r="L285" t="n">
        <v>0</v>
      </c>
      <c r="M285" t="n">
        <v>0</v>
      </c>
      <c r="N285" t="n">
        <v>0</v>
      </c>
      <c r="O285" t="n">
        <v>0</v>
      </c>
      <c r="P285" t="n">
        <v>0</v>
      </c>
      <c r="Q285" t="n">
        <v>0</v>
      </c>
      <c r="R285" s="2" t="inlineStr"/>
    </row>
    <row r="286" ht="15" customHeight="1">
      <c r="A286" t="inlineStr">
        <is>
          <t>A 9203-2022</t>
        </is>
      </c>
      <c r="B286" s="1" t="n">
        <v>44615</v>
      </c>
      <c r="C286" s="1" t="n">
        <v>45736</v>
      </c>
      <c r="D286" t="inlineStr">
        <is>
          <t>VÄSTERNORRLANDS LÄN</t>
        </is>
      </c>
      <c r="E286" t="inlineStr">
        <is>
          <t>TIMRÅ</t>
        </is>
      </c>
      <c r="G286" t="n">
        <v>5.5</v>
      </c>
      <c r="H286" t="n">
        <v>0</v>
      </c>
      <c r="I286" t="n">
        <v>0</v>
      </c>
      <c r="J286" t="n">
        <v>0</v>
      </c>
      <c r="K286" t="n">
        <v>0</v>
      </c>
      <c r="L286" t="n">
        <v>0</v>
      </c>
      <c r="M286" t="n">
        <v>0</v>
      </c>
      <c r="N286" t="n">
        <v>0</v>
      </c>
      <c r="O286" t="n">
        <v>0</v>
      </c>
      <c r="P286" t="n">
        <v>0</v>
      </c>
      <c r="Q286" t="n">
        <v>0</v>
      </c>
      <c r="R286" s="2" t="inlineStr"/>
    </row>
    <row r="287" ht="15" customHeight="1">
      <c r="A287" t="inlineStr">
        <is>
          <t>A 9202-2022</t>
        </is>
      </c>
      <c r="B287" s="1" t="n">
        <v>44615</v>
      </c>
      <c r="C287" s="1" t="n">
        <v>45736</v>
      </c>
      <c r="D287" t="inlineStr">
        <is>
          <t>VÄSTERNORRLANDS LÄN</t>
        </is>
      </c>
      <c r="E287" t="inlineStr">
        <is>
          <t>TIMRÅ</t>
        </is>
      </c>
      <c r="G287" t="n">
        <v>2.1</v>
      </c>
      <c r="H287" t="n">
        <v>0</v>
      </c>
      <c r="I287" t="n">
        <v>0</v>
      </c>
      <c r="J287" t="n">
        <v>0</v>
      </c>
      <c r="K287" t="n">
        <v>0</v>
      </c>
      <c r="L287" t="n">
        <v>0</v>
      </c>
      <c r="M287" t="n">
        <v>0</v>
      </c>
      <c r="N287" t="n">
        <v>0</v>
      </c>
      <c r="O287" t="n">
        <v>0</v>
      </c>
      <c r="P287" t="n">
        <v>0</v>
      </c>
      <c r="Q287" t="n">
        <v>0</v>
      </c>
      <c r="R287" s="2" t="inlineStr"/>
    </row>
    <row r="288" ht="15" customHeight="1">
      <c r="A288" t="inlineStr">
        <is>
          <t>A 9256-2022</t>
        </is>
      </c>
      <c r="B288" s="1" t="n">
        <v>44616</v>
      </c>
      <c r="C288" s="1" t="n">
        <v>45736</v>
      </c>
      <c r="D288" t="inlineStr">
        <is>
          <t>VÄSTERNORRLANDS LÄN</t>
        </is>
      </c>
      <c r="E288" t="inlineStr">
        <is>
          <t>TIMRÅ</t>
        </is>
      </c>
      <c r="G288" t="n">
        <v>1.8</v>
      </c>
      <c r="H288" t="n">
        <v>0</v>
      </c>
      <c r="I288" t="n">
        <v>0</v>
      </c>
      <c r="J288" t="n">
        <v>0</v>
      </c>
      <c r="K288" t="n">
        <v>0</v>
      </c>
      <c r="L288" t="n">
        <v>0</v>
      </c>
      <c r="M288" t="n">
        <v>0</v>
      </c>
      <c r="N288" t="n">
        <v>0</v>
      </c>
      <c r="O288" t="n">
        <v>0</v>
      </c>
      <c r="P288" t="n">
        <v>0</v>
      </c>
      <c r="Q288" t="n">
        <v>0</v>
      </c>
      <c r="R288" s="2" t="inlineStr"/>
    </row>
    <row r="289" ht="15" customHeight="1">
      <c r="A289" t="inlineStr">
        <is>
          <t>A 9317-2022</t>
        </is>
      </c>
      <c r="B289" s="1" t="n">
        <v>44616</v>
      </c>
      <c r="C289" s="1" t="n">
        <v>45736</v>
      </c>
      <c r="D289" t="inlineStr">
        <is>
          <t>VÄSTERNORRLANDS LÄN</t>
        </is>
      </c>
      <c r="E289" t="inlineStr">
        <is>
          <t>TIMRÅ</t>
        </is>
      </c>
      <c r="G289" t="n">
        <v>1.1</v>
      </c>
      <c r="H289" t="n">
        <v>0</v>
      </c>
      <c r="I289" t="n">
        <v>0</v>
      </c>
      <c r="J289" t="n">
        <v>0</v>
      </c>
      <c r="K289" t="n">
        <v>0</v>
      </c>
      <c r="L289" t="n">
        <v>0</v>
      </c>
      <c r="M289" t="n">
        <v>0</v>
      </c>
      <c r="N289" t="n">
        <v>0</v>
      </c>
      <c r="O289" t="n">
        <v>0</v>
      </c>
      <c r="P289" t="n">
        <v>0</v>
      </c>
      <c r="Q289" t="n">
        <v>0</v>
      </c>
      <c r="R289" s="2" t="inlineStr"/>
    </row>
    <row r="290" ht="15" customHeight="1">
      <c r="A290" t="inlineStr">
        <is>
          <t>A 11269-2022</t>
        </is>
      </c>
      <c r="B290" s="1" t="n">
        <v>44629</v>
      </c>
      <c r="C290" s="1" t="n">
        <v>45736</v>
      </c>
      <c r="D290" t="inlineStr">
        <is>
          <t>VÄSTERNORRLANDS LÄN</t>
        </is>
      </c>
      <c r="E290" t="inlineStr">
        <is>
          <t>TIMRÅ</t>
        </is>
      </c>
      <c r="G290" t="n">
        <v>16</v>
      </c>
      <c r="H290" t="n">
        <v>0</v>
      </c>
      <c r="I290" t="n">
        <v>0</v>
      </c>
      <c r="J290" t="n">
        <v>0</v>
      </c>
      <c r="K290" t="n">
        <v>0</v>
      </c>
      <c r="L290" t="n">
        <v>0</v>
      </c>
      <c r="M290" t="n">
        <v>0</v>
      </c>
      <c r="N290" t="n">
        <v>0</v>
      </c>
      <c r="O290" t="n">
        <v>0</v>
      </c>
      <c r="P290" t="n">
        <v>0</v>
      </c>
      <c r="Q290" t="n">
        <v>0</v>
      </c>
      <c r="R290" s="2" t="inlineStr"/>
    </row>
    <row r="291" ht="15" customHeight="1">
      <c r="A291" t="inlineStr">
        <is>
          <t>A 11479-2022</t>
        </is>
      </c>
      <c r="B291" s="1" t="n">
        <v>44630</v>
      </c>
      <c r="C291" s="1" t="n">
        <v>45736</v>
      </c>
      <c r="D291" t="inlineStr">
        <is>
          <t>VÄSTERNORRLANDS LÄN</t>
        </is>
      </c>
      <c r="E291" t="inlineStr">
        <is>
          <t>TIMRÅ</t>
        </is>
      </c>
      <c r="G291" t="n">
        <v>2.9</v>
      </c>
      <c r="H291" t="n">
        <v>0</v>
      </c>
      <c r="I291" t="n">
        <v>0</v>
      </c>
      <c r="J291" t="n">
        <v>0</v>
      </c>
      <c r="K291" t="n">
        <v>0</v>
      </c>
      <c r="L291" t="n">
        <v>0</v>
      </c>
      <c r="M291" t="n">
        <v>0</v>
      </c>
      <c r="N291" t="n">
        <v>0</v>
      </c>
      <c r="O291" t="n">
        <v>0</v>
      </c>
      <c r="P291" t="n">
        <v>0</v>
      </c>
      <c r="Q291" t="n">
        <v>0</v>
      </c>
      <c r="R291" s="2" t="inlineStr"/>
    </row>
    <row r="292" ht="15" customHeight="1">
      <c r="A292" t="inlineStr">
        <is>
          <t>A 12205-2022</t>
        </is>
      </c>
      <c r="B292" s="1" t="n">
        <v>44636</v>
      </c>
      <c r="C292" s="1" t="n">
        <v>45736</v>
      </c>
      <c r="D292" t="inlineStr">
        <is>
          <t>VÄSTERNORRLANDS LÄN</t>
        </is>
      </c>
      <c r="E292" t="inlineStr">
        <is>
          <t>TIMRÅ</t>
        </is>
      </c>
      <c r="F292" t="inlineStr">
        <is>
          <t>SCA</t>
        </is>
      </c>
      <c r="G292" t="n">
        <v>4.1</v>
      </c>
      <c r="H292" t="n">
        <v>0</v>
      </c>
      <c r="I292" t="n">
        <v>0</v>
      </c>
      <c r="J292" t="n">
        <v>0</v>
      </c>
      <c r="K292" t="n">
        <v>0</v>
      </c>
      <c r="L292" t="n">
        <v>0</v>
      </c>
      <c r="M292" t="n">
        <v>0</v>
      </c>
      <c r="N292" t="n">
        <v>0</v>
      </c>
      <c r="O292" t="n">
        <v>0</v>
      </c>
      <c r="P292" t="n">
        <v>0</v>
      </c>
      <c r="Q292" t="n">
        <v>0</v>
      </c>
      <c r="R292" s="2" t="inlineStr"/>
    </row>
    <row r="293" ht="15" customHeight="1">
      <c r="A293" t="inlineStr">
        <is>
          <t>A 12782-2022</t>
        </is>
      </c>
      <c r="B293" s="1" t="n">
        <v>44641</v>
      </c>
      <c r="C293" s="1" t="n">
        <v>45736</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12780-2022</t>
        </is>
      </c>
      <c r="B294" s="1" t="n">
        <v>44641</v>
      </c>
      <c r="C294" s="1" t="n">
        <v>45736</v>
      </c>
      <c r="D294" t="inlineStr">
        <is>
          <t>VÄSTERNORRLANDS LÄN</t>
        </is>
      </c>
      <c r="E294" t="inlineStr">
        <is>
          <t>TIMRÅ</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12779-2022</t>
        </is>
      </c>
      <c r="B295" s="1" t="n">
        <v>44641</v>
      </c>
      <c r="C295" s="1" t="n">
        <v>45736</v>
      </c>
      <c r="D295" t="inlineStr">
        <is>
          <t>VÄSTERNORRLANDS LÄN</t>
        </is>
      </c>
      <c r="E295" t="inlineStr">
        <is>
          <t>TIMRÅ</t>
        </is>
      </c>
      <c r="G295" t="n">
        <v>0.9</v>
      </c>
      <c r="H295" t="n">
        <v>0</v>
      </c>
      <c r="I295" t="n">
        <v>0</v>
      </c>
      <c r="J295" t="n">
        <v>0</v>
      </c>
      <c r="K295" t="n">
        <v>0</v>
      </c>
      <c r="L295" t="n">
        <v>0</v>
      </c>
      <c r="M295" t="n">
        <v>0</v>
      </c>
      <c r="N295" t="n">
        <v>0</v>
      </c>
      <c r="O295" t="n">
        <v>0</v>
      </c>
      <c r="P295" t="n">
        <v>0</v>
      </c>
      <c r="Q295" t="n">
        <v>0</v>
      </c>
      <c r="R295" s="2" t="inlineStr"/>
    </row>
    <row r="296" ht="15" customHeight="1">
      <c r="A296" t="inlineStr">
        <is>
          <t>A 12882-2022</t>
        </is>
      </c>
      <c r="B296" s="1" t="n">
        <v>44642</v>
      </c>
      <c r="C296" s="1" t="n">
        <v>45736</v>
      </c>
      <c r="D296" t="inlineStr">
        <is>
          <t>VÄSTERNORRLANDS LÄN</t>
        </is>
      </c>
      <c r="E296" t="inlineStr">
        <is>
          <t>TIMRÅ</t>
        </is>
      </c>
      <c r="G296" t="n">
        <v>0.4</v>
      </c>
      <c r="H296" t="n">
        <v>0</v>
      </c>
      <c r="I296" t="n">
        <v>0</v>
      </c>
      <c r="J296" t="n">
        <v>0</v>
      </c>
      <c r="K296" t="n">
        <v>0</v>
      </c>
      <c r="L296" t="n">
        <v>0</v>
      </c>
      <c r="M296" t="n">
        <v>0</v>
      </c>
      <c r="N296" t="n">
        <v>0</v>
      </c>
      <c r="O296" t="n">
        <v>0</v>
      </c>
      <c r="P296" t="n">
        <v>0</v>
      </c>
      <c r="Q296" t="n">
        <v>0</v>
      </c>
      <c r="R296" s="2" t="inlineStr"/>
    </row>
    <row r="297" ht="15" customHeight="1">
      <c r="A297" t="inlineStr">
        <is>
          <t>A 12880-2022</t>
        </is>
      </c>
      <c r="B297" s="1" t="n">
        <v>44642</v>
      </c>
      <c r="C297" s="1" t="n">
        <v>45736</v>
      </c>
      <c r="D297" t="inlineStr">
        <is>
          <t>VÄSTERNORRLANDS LÄN</t>
        </is>
      </c>
      <c r="E297" t="inlineStr">
        <is>
          <t>TIMRÅ</t>
        </is>
      </c>
      <c r="G297" t="n">
        <v>1.3</v>
      </c>
      <c r="H297" t="n">
        <v>0</v>
      </c>
      <c r="I297" t="n">
        <v>0</v>
      </c>
      <c r="J297" t="n">
        <v>0</v>
      </c>
      <c r="K297" t="n">
        <v>0</v>
      </c>
      <c r="L297" t="n">
        <v>0</v>
      </c>
      <c r="M297" t="n">
        <v>0</v>
      </c>
      <c r="N297" t="n">
        <v>0</v>
      </c>
      <c r="O297" t="n">
        <v>0</v>
      </c>
      <c r="P297" t="n">
        <v>0</v>
      </c>
      <c r="Q297" t="n">
        <v>0</v>
      </c>
      <c r="R297" s="2" t="inlineStr"/>
    </row>
    <row r="298" ht="15" customHeight="1">
      <c r="A298" t="inlineStr">
        <is>
          <t>A 12885-2022</t>
        </is>
      </c>
      <c r="B298" s="1" t="n">
        <v>44642</v>
      </c>
      <c r="C298" s="1" t="n">
        <v>45736</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14680-2022</t>
        </is>
      </c>
      <c r="B299" s="1" t="n">
        <v>44655</v>
      </c>
      <c r="C299" s="1" t="n">
        <v>45736</v>
      </c>
      <c r="D299" t="inlineStr">
        <is>
          <t>VÄSTERNORRLANDS LÄN</t>
        </is>
      </c>
      <c r="E299" t="inlineStr">
        <is>
          <t>TIMRÅ</t>
        </is>
      </c>
      <c r="G299" t="n">
        <v>8.9</v>
      </c>
      <c r="H299" t="n">
        <v>0</v>
      </c>
      <c r="I299" t="n">
        <v>0</v>
      </c>
      <c r="J299" t="n">
        <v>0</v>
      </c>
      <c r="K299" t="n">
        <v>0</v>
      </c>
      <c r="L299" t="n">
        <v>0</v>
      </c>
      <c r="M299" t="n">
        <v>0</v>
      </c>
      <c r="N299" t="n">
        <v>0</v>
      </c>
      <c r="O299" t="n">
        <v>0</v>
      </c>
      <c r="P299" t="n">
        <v>0</v>
      </c>
      <c r="Q299" t="n">
        <v>0</v>
      </c>
      <c r="R299" s="2" t="inlineStr"/>
    </row>
    <row r="300" ht="15" customHeight="1">
      <c r="A300" t="inlineStr">
        <is>
          <t>A 16519-2022</t>
        </is>
      </c>
      <c r="B300" s="1" t="n">
        <v>44672</v>
      </c>
      <c r="C300" s="1" t="n">
        <v>45736</v>
      </c>
      <c r="D300" t="inlineStr">
        <is>
          <t>VÄSTERNORRLANDS LÄN</t>
        </is>
      </c>
      <c r="E300" t="inlineStr">
        <is>
          <t>TIMRÅ</t>
        </is>
      </c>
      <c r="G300" t="n">
        <v>3</v>
      </c>
      <c r="H300" t="n">
        <v>0</v>
      </c>
      <c r="I300" t="n">
        <v>0</v>
      </c>
      <c r="J300" t="n">
        <v>0</v>
      </c>
      <c r="K300" t="n">
        <v>0</v>
      </c>
      <c r="L300" t="n">
        <v>0</v>
      </c>
      <c r="M300" t="n">
        <v>0</v>
      </c>
      <c r="N300" t="n">
        <v>0</v>
      </c>
      <c r="O300" t="n">
        <v>0</v>
      </c>
      <c r="P300" t="n">
        <v>0</v>
      </c>
      <c r="Q300" t="n">
        <v>0</v>
      </c>
      <c r="R300" s="2" t="inlineStr"/>
    </row>
    <row r="301" ht="15" customHeight="1">
      <c r="A301" t="inlineStr">
        <is>
          <t>A 17040-2022</t>
        </is>
      </c>
      <c r="B301" s="1" t="n">
        <v>44676</v>
      </c>
      <c r="C301" s="1" t="n">
        <v>45736</v>
      </c>
      <c r="D301" t="inlineStr">
        <is>
          <t>VÄSTERNORRLANDS LÄN</t>
        </is>
      </c>
      <c r="E301" t="inlineStr">
        <is>
          <t>TIMRÅ</t>
        </is>
      </c>
      <c r="G301" t="n">
        <v>3.5</v>
      </c>
      <c r="H301" t="n">
        <v>0</v>
      </c>
      <c r="I301" t="n">
        <v>0</v>
      </c>
      <c r="J301" t="n">
        <v>0</v>
      </c>
      <c r="K301" t="n">
        <v>0</v>
      </c>
      <c r="L301" t="n">
        <v>0</v>
      </c>
      <c r="M301" t="n">
        <v>0</v>
      </c>
      <c r="N301" t="n">
        <v>0</v>
      </c>
      <c r="O301" t="n">
        <v>0</v>
      </c>
      <c r="P301" t="n">
        <v>0</v>
      </c>
      <c r="Q301" t="n">
        <v>0</v>
      </c>
      <c r="R301" s="2" t="inlineStr"/>
    </row>
    <row r="302" ht="15" customHeight="1">
      <c r="A302" t="inlineStr">
        <is>
          <t>A 22194-2022</t>
        </is>
      </c>
      <c r="B302" s="1" t="n">
        <v>44712</v>
      </c>
      <c r="C302" s="1" t="n">
        <v>45736</v>
      </c>
      <c r="D302" t="inlineStr">
        <is>
          <t>VÄSTERNORRLANDS LÄN</t>
        </is>
      </c>
      <c r="E302" t="inlineStr">
        <is>
          <t>TIMRÅ</t>
        </is>
      </c>
      <c r="G302" t="n">
        <v>0.9</v>
      </c>
      <c r="H302" t="n">
        <v>0</v>
      </c>
      <c r="I302" t="n">
        <v>0</v>
      </c>
      <c r="J302" t="n">
        <v>0</v>
      </c>
      <c r="K302" t="n">
        <v>0</v>
      </c>
      <c r="L302" t="n">
        <v>0</v>
      </c>
      <c r="M302" t="n">
        <v>0</v>
      </c>
      <c r="N302" t="n">
        <v>0</v>
      </c>
      <c r="O302" t="n">
        <v>0</v>
      </c>
      <c r="P302" t="n">
        <v>0</v>
      </c>
      <c r="Q302" t="n">
        <v>0</v>
      </c>
      <c r="R302" s="2" t="inlineStr"/>
    </row>
    <row r="303" ht="15" customHeight="1">
      <c r="A303" t="inlineStr">
        <is>
          <t>A 23670-2022</t>
        </is>
      </c>
      <c r="B303" s="1" t="n">
        <v>44722</v>
      </c>
      <c r="C303" s="1" t="n">
        <v>45736</v>
      </c>
      <c r="D303" t="inlineStr">
        <is>
          <t>VÄSTERNORRLANDS LÄN</t>
        </is>
      </c>
      <c r="E303" t="inlineStr">
        <is>
          <t>TIMRÅ</t>
        </is>
      </c>
      <c r="G303" t="n">
        <v>4.9</v>
      </c>
      <c r="H303" t="n">
        <v>0</v>
      </c>
      <c r="I303" t="n">
        <v>0</v>
      </c>
      <c r="J303" t="n">
        <v>0</v>
      </c>
      <c r="K303" t="n">
        <v>0</v>
      </c>
      <c r="L303" t="n">
        <v>0</v>
      </c>
      <c r="M303" t="n">
        <v>0</v>
      </c>
      <c r="N303" t="n">
        <v>0</v>
      </c>
      <c r="O303" t="n">
        <v>0</v>
      </c>
      <c r="P303" t="n">
        <v>0</v>
      </c>
      <c r="Q303" t="n">
        <v>0</v>
      </c>
      <c r="R303" s="2" t="inlineStr"/>
    </row>
    <row r="304" ht="15" customHeight="1">
      <c r="A304" t="inlineStr">
        <is>
          <t>A 23693-2022</t>
        </is>
      </c>
      <c r="B304" s="1" t="n">
        <v>44721</v>
      </c>
      <c r="C304" s="1" t="n">
        <v>45736</v>
      </c>
      <c r="D304" t="inlineStr">
        <is>
          <t>VÄSTERNORRLANDS LÄN</t>
        </is>
      </c>
      <c r="E304" t="inlineStr">
        <is>
          <t>TIMRÅ</t>
        </is>
      </c>
      <c r="F304" t="inlineStr">
        <is>
          <t>SCA</t>
        </is>
      </c>
      <c r="G304" t="n">
        <v>5</v>
      </c>
      <c r="H304" t="n">
        <v>0</v>
      </c>
      <c r="I304" t="n">
        <v>0</v>
      </c>
      <c r="J304" t="n">
        <v>0</v>
      </c>
      <c r="K304" t="n">
        <v>0</v>
      </c>
      <c r="L304" t="n">
        <v>0</v>
      </c>
      <c r="M304" t="n">
        <v>0</v>
      </c>
      <c r="N304" t="n">
        <v>0</v>
      </c>
      <c r="O304" t="n">
        <v>0</v>
      </c>
      <c r="P304" t="n">
        <v>0</v>
      </c>
      <c r="Q304" t="n">
        <v>0</v>
      </c>
      <c r="R304" s="2" t="inlineStr"/>
    </row>
    <row r="305" ht="15" customHeight="1">
      <c r="A305" t="inlineStr">
        <is>
          <t>A 23676-2022</t>
        </is>
      </c>
      <c r="B305" s="1" t="n">
        <v>44721</v>
      </c>
      <c r="C305" s="1" t="n">
        <v>45736</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24304-2022</t>
        </is>
      </c>
      <c r="B306" s="1" t="n">
        <v>44725</v>
      </c>
      <c r="C306" s="1" t="n">
        <v>45736</v>
      </c>
      <c r="D306" t="inlineStr">
        <is>
          <t>VÄSTERNORRLANDS LÄN</t>
        </is>
      </c>
      <c r="E306" t="inlineStr">
        <is>
          <t>TIMRÅ</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24306-2022</t>
        </is>
      </c>
      <c r="B307" s="1" t="n">
        <v>44726</v>
      </c>
      <c r="C307" s="1" t="n">
        <v>45736</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24305-2022</t>
        </is>
      </c>
      <c r="B308" s="1" t="n">
        <v>44726</v>
      </c>
      <c r="C308" s="1" t="n">
        <v>45736</v>
      </c>
      <c r="D308" t="inlineStr">
        <is>
          <t>VÄSTERNORRLANDS LÄN</t>
        </is>
      </c>
      <c r="E308" t="inlineStr">
        <is>
          <t>TIMRÅ</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24988-2022</t>
        </is>
      </c>
      <c r="B309" s="1" t="n">
        <v>44728</v>
      </c>
      <c r="C309" s="1" t="n">
        <v>45736</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25414-2022</t>
        </is>
      </c>
      <c r="B310" s="1" t="n">
        <v>44732</v>
      </c>
      <c r="C310" s="1" t="n">
        <v>45736</v>
      </c>
      <c r="D310" t="inlineStr">
        <is>
          <t>VÄSTERNORRLANDS LÄN</t>
        </is>
      </c>
      <c r="E310" t="inlineStr">
        <is>
          <t>TIMRÅ</t>
        </is>
      </c>
      <c r="G310" t="n">
        <v>7.7</v>
      </c>
      <c r="H310" t="n">
        <v>0</v>
      </c>
      <c r="I310" t="n">
        <v>0</v>
      </c>
      <c r="J310" t="n">
        <v>0</v>
      </c>
      <c r="K310" t="n">
        <v>0</v>
      </c>
      <c r="L310" t="n">
        <v>0</v>
      </c>
      <c r="M310" t="n">
        <v>0</v>
      </c>
      <c r="N310" t="n">
        <v>0</v>
      </c>
      <c r="O310" t="n">
        <v>0</v>
      </c>
      <c r="P310" t="n">
        <v>0</v>
      </c>
      <c r="Q310" t="n">
        <v>0</v>
      </c>
      <c r="R310" s="2" t="inlineStr"/>
    </row>
    <row r="311" ht="15" customHeight="1">
      <c r="A311" t="inlineStr">
        <is>
          <t>A 25644-2022</t>
        </is>
      </c>
      <c r="B311" s="1" t="n">
        <v>44732</v>
      </c>
      <c r="C311" s="1" t="n">
        <v>45736</v>
      </c>
      <c r="D311" t="inlineStr">
        <is>
          <t>VÄSTERNORRLANDS LÄN</t>
        </is>
      </c>
      <c r="E311" t="inlineStr">
        <is>
          <t>TIMRÅ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29308-2022</t>
        </is>
      </c>
      <c r="B312" s="1" t="n">
        <v>44750</v>
      </c>
      <c r="C312" s="1" t="n">
        <v>45736</v>
      </c>
      <c r="D312" t="inlineStr">
        <is>
          <t>VÄSTERNORRLANDS LÄN</t>
        </is>
      </c>
      <c r="E312" t="inlineStr">
        <is>
          <t>TIMRÅ</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29306-2022</t>
        </is>
      </c>
      <c r="B313" s="1" t="n">
        <v>44751</v>
      </c>
      <c r="C313" s="1" t="n">
        <v>45736</v>
      </c>
      <c r="D313" t="inlineStr">
        <is>
          <t>VÄSTERNORRLANDS LÄN</t>
        </is>
      </c>
      <c r="E313" t="inlineStr">
        <is>
          <t>TIMRÅ</t>
        </is>
      </c>
      <c r="F313" t="inlineStr">
        <is>
          <t>SCA</t>
        </is>
      </c>
      <c r="G313" t="n">
        <v>4.1</v>
      </c>
      <c r="H313" t="n">
        <v>0</v>
      </c>
      <c r="I313" t="n">
        <v>0</v>
      </c>
      <c r="J313" t="n">
        <v>0</v>
      </c>
      <c r="K313" t="n">
        <v>0</v>
      </c>
      <c r="L313" t="n">
        <v>0</v>
      </c>
      <c r="M313" t="n">
        <v>0</v>
      </c>
      <c r="N313" t="n">
        <v>0</v>
      </c>
      <c r="O313" t="n">
        <v>0</v>
      </c>
      <c r="P313" t="n">
        <v>0</v>
      </c>
      <c r="Q313" t="n">
        <v>0</v>
      </c>
      <c r="R313" s="2" t="inlineStr"/>
    </row>
    <row r="314" ht="15" customHeight="1">
      <c r="A314" t="inlineStr">
        <is>
          <t>A 31489-2022</t>
        </is>
      </c>
      <c r="B314" s="1" t="n">
        <v>44774</v>
      </c>
      <c r="C314" s="1" t="n">
        <v>45736</v>
      </c>
      <c r="D314" t="inlineStr">
        <is>
          <t>VÄSTERNORRLANDS LÄN</t>
        </is>
      </c>
      <c r="E314" t="inlineStr">
        <is>
          <t>TIMRÅ</t>
        </is>
      </c>
      <c r="F314" t="inlineStr">
        <is>
          <t>SCA</t>
        </is>
      </c>
      <c r="G314" t="n">
        <v>5.6</v>
      </c>
      <c r="H314" t="n">
        <v>0</v>
      </c>
      <c r="I314" t="n">
        <v>0</v>
      </c>
      <c r="J314" t="n">
        <v>0</v>
      </c>
      <c r="K314" t="n">
        <v>0</v>
      </c>
      <c r="L314" t="n">
        <v>0</v>
      </c>
      <c r="M314" t="n">
        <v>0</v>
      </c>
      <c r="N314" t="n">
        <v>0</v>
      </c>
      <c r="O314" t="n">
        <v>0</v>
      </c>
      <c r="P314" t="n">
        <v>0</v>
      </c>
      <c r="Q314" t="n">
        <v>0</v>
      </c>
      <c r="R314" s="2" t="inlineStr"/>
    </row>
    <row r="315" ht="15" customHeight="1">
      <c r="A315" t="inlineStr">
        <is>
          <t>A 31981-2022</t>
        </is>
      </c>
      <c r="B315" s="1" t="n">
        <v>44778</v>
      </c>
      <c r="C315" s="1" t="n">
        <v>45736</v>
      </c>
      <c r="D315" t="inlineStr">
        <is>
          <t>VÄSTERNORRLANDS LÄN</t>
        </is>
      </c>
      <c r="E315" t="inlineStr">
        <is>
          <t>TIMRÅ</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32519-2022</t>
        </is>
      </c>
      <c r="B316" s="1" t="n">
        <v>44782</v>
      </c>
      <c r="C316" s="1" t="n">
        <v>45736</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33719-2022</t>
        </is>
      </c>
      <c r="B317" s="1" t="n">
        <v>44790</v>
      </c>
      <c r="C317" s="1" t="n">
        <v>45736</v>
      </c>
      <c r="D317" t="inlineStr">
        <is>
          <t>VÄSTERNORRLANDS LÄN</t>
        </is>
      </c>
      <c r="E317" t="inlineStr">
        <is>
          <t>TIMRÅ</t>
        </is>
      </c>
      <c r="G317" t="n">
        <v>2.3</v>
      </c>
      <c r="H317" t="n">
        <v>0</v>
      </c>
      <c r="I317" t="n">
        <v>0</v>
      </c>
      <c r="J317" t="n">
        <v>0</v>
      </c>
      <c r="K317" t="n">
        <v>0</v>
      </c>
      <c r="L317" t="n">
        <v>0</v>
      </c>
      <c r="M317" t="n">
        <v>0</v>
      </c>
      <c r="N317" t="n">
        <v>0</v>
      </c>
      <c r="O317" t="n">
        <v>0</v>
      </c>
      <c r="P317" t="n">
        <v>0</v>
      </c>
      <c r="Q317" t="n">
        <v>0</v>
      </c>
      <c r="R317" s="2" t="inlineStr"/>
    </row>
    <row r="318" ht="15" customHeight="1">
      <c r="A318" t="inlineStr">
        <is>
          <t>A 34041-2022</t>
        </is>
      </c>
      <c r="B318" s="1" t="n">
        <v>44790</v>
      </c>
      <c r="C318" s="1" t="n">
        <v>45736</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34053-2022</t>
        </is>
      </c>
      <c r="B319" s="1" t="n">
        <v>44790</v>
      </c>
      <c r="C319" s="1" t="n">
        <v>45736</v>
      </c>
      <c r="D319" t="inlineStr">
        <is>
          <t>VÄSTERNORRLANDS LÄN</t>
        </is>
      </c>
      <c r="E319" t="inlineStr">
        <is>
          <t>TIMRÅ</t>
        </is>
      </c>
      <c r="G319" t="n">
        <v>1</v>
      </c>
      <c r="H319" t="n">
        <v>0</v>
      </c>
      <c r="I319" t="n">
        <v>0</v>
      </c>
      <c r="J319" t="n">
        <v>0</v>
      </c>
      <c r="K319" t="n">
        <v>0</v>
      </c>
      <c r="L319" t="n">
        <v>0</v>
      </c>
      <c r="M319" t="n">
        <v>0</v>
      </c>
      <c r="N319" t="n">
        <v>0</v>
      </c>
      <c r="O319" t="n">
        <v>0</v>
      </c>
      <c r="P319" t="n">
        <v>0</v>
      </c>
      <c r="Q319" t="n">
        <v>0</v>
      </c>
      <c r="R319" s="2" t="inlineStr"/>
    </row>
    <row r="320" ht="15" customHeight="1">
      <c r="A320" t="inlineStr">
        <is>
          <t>A 34038-2022</t>
        </is>
      </c>
      <c r="B320" s="1" t="n">
        <v>44791</v>
      </c>
      <c r="C320" s="1" t="n">
        <v>45736</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34099-2022</t>
        </is>
      </c>
      <c r="B321" s="1" t="n">
        <v>44791</v>
      </c>
      <c r="C321" s="1" t="n">
        <v>45736</v>
      </c>
      <c r="D321" t="inlineStr">
        <is>
          <t>VÄSTERNORRLANDS LÄN</t>
        </is>
      </c>
      <c r="E321" t="inlineStr">
        <is>
          <t>TIMRÅ</t>
        </is>
      </c>
      <c r="G321" t="n">
        <v>2.7</v>
      </c>
      <c r="H321" t="n">
        <v>0</v>
      </c>
      <c r="I321" t="n">
        <v>0</v>
      </c>
      <c r="J321" t="n">
        <v>0</v>
      </c>
      <c r="K321" t="n">
        <v>0</v>
      </c>
      <c r="L321" t="n">
        <v>0</v>
      </c>
      <c r="M321" t="n">
        <v>0</v>
      </c>
      <c r="N321" t="n">
        <v>0</v>
      </c>
      <c r="O321" t="n">
        <v>0</v>
      </c>
      <c r="P321" t="n">
        <v>0</v>
      </c>
      <c r="Q321" t="n">
        <v>0</v>
      </c>
      <c r="R321" s="2" t="inlineStr"/>
    </row>
    <row r="322" ht="15" customHeight="1">
      <c r="A322" t="inlineStr">
        <is>
          <t>A 34246-2022</t>
        </is>
      </c>
      <c r="B322" s="1" t="n">
        <v>44791</v>
      </c>
      <c r="C322" s="1" t="n">
        <v>45736</v>
      </c>
      <c r="D322" t="inlineStr">
        <is>
          <t>VÄSTERNORRLANDS LÄN</t>
        </is>
      </c>
      <c r="E322" t="inlineStr">
        <is>
          <t>TIMRÅ</t>
        </is>
      </c>
      <c r="G322" t="n">
        <v>7.7</v>
      </c>
      <c r="H322" t="n">
        <v>0</v>
      </c>
      <c r="I322" t="n">
        <v>0</v>
      </c>
      <c r="J322" t="n">
        <v>0</v>
      </c>
      <c r="K322" t="n">
        <v>0</v>
      </c>
      <c r="L322" t="n">
        <v>0</v>
      </c>
      <c r="M322" t="n">
        <v>0</v>
      </c>
      <c r="N322" t="n">
        <v>0</v>
      </c>
      <c r="O322" t="n">
        <v>0</v>
      </c>
      <c r="P322" t="n">
        <v>0</v>
      </c>
      <c r="Q322" t="n">
        <v>0</v>
      </c>
      <c r="R322" s="2" t="inlineStr"/>
    </row>
    <row r="323" ht="15" customHeight="1">
      <c r="A323" t="inlineStr">
        <is>
          <t>A 35477-2022</t>
        </is>
      </c>
      <c r="B323" s="1" t="n">
        <v>44799</v>
      </c>
      <c r="C323" s="1" t="n">
        <v>45736</v>
      </c>
      <c r="D323" t="inlineStr">
        <is>
          <t>VÄSTERNORRLANDS LÄN</t>
        </is>
      </c>
      <c r="E323" t="inlineStr">
        <is>
          <t>TIMRÅ</t>
        </is>
      </c>
      <c r="G323" t="n">
        <v>1</v>
      </c>
      <c r="H323" t="n">
        <v>0</v>
      </c>
      <c r="I323" t="n">
        <v>0</v>
      </c>
      <c r="J323" t="n">
        <v>0</v>
      </c>
      <c r="K323" t="n">
        <v>0</v>
      </c>
      <c r="L323" t="n">
        <v>0</v>
      </c>
      <c r="M323" t="n">
        <v>0</v>
      </c>
      <c r="N323" t="n">
        <v>0</v>
      </c>
      <c r="O323" t="n">
        <v>0</v>
      </c>
      <c r="P323" t="n">
        <v>0</v>
      </c>
      <c r="Q323" t="n">
        <v>0</v>
      </c>
      <c r="R323" s="2" t="inlineStr"/>
    </row>
    <row r="324" ht="15" customHeight="1">
      <c r="A324" t="inlineStr">
        <is>
          <t>A 35448-2022</t>
        </is>
      </c>
      <c r="B324" s="1" t="n">
        <v>44798</v>
      </c>
      <c r="C324" s="1" t="n">
        <v>45736</v>
      </c>
      <c r="D324" t="inlineStr">
        <is>
          <t>VÄSTERNORRLANDS LÄN</t>
        </is>
      </c>
      <c r="E324" t="inlineStr">
        <is>
          <t>TIMRÅ</t>
        </is>
      </c>
      <c r="G324" t="n">
        <v>2.8</v>
      </c>
      <c r="H324" t="n">
        <v>0</v>
      </c>
      <c r="I324" t="n">
        <v>0</v>
      </c>
      <c r="J324" t="n">
        <v>0</v>
      </c>
      <c r="K324" t="n">
        <v>0</v>
      </c>
      <c r="L324" t="n">
        <v>0</v>
      </c>
      <c r="M324" t="n">
        <v>0</v>
      </c>
      <c r="N324" t="n">
        <v>0</v>
      </c>
      <c r="O324" t="n">
        <v>0</v>
      </c>
      <c r="P324" t="n">
        <v>0</v>
      </c>
      <c r="Q324" t="n">
        <v>0</v>
      </c>
      <c r="R324" s="2" t="inlineStr"/>
    </row>
    <row r="325" ht="15" customHeight="1">
      <c r="A325" t="inlineStr">
        <is>
          <t>A 35758-2022</t>
        </is>
      </c>
      <c r="B325" s="1" t="n">
        <v>44799</v>
      </c>
      <c r="C325" s="1" t="n">
        <v>45736</v>
      </c>
      <c r="D325" t="inlineStr">
        <is>
          <t>VÄSTERNORRLANDS LÄN</t>
        </is>
      </c>
      <c r="E325" t="inlineStr">
        <is>
          <t>TIMRÅ</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36564-2022</t>
        </is>
      </c>
      <c r="B326" s="1" t="n">
        <v>44804</v>
      </c>
      <c r="C326" s="1" t="n">
        <v>45736</v>
      </c>
      <c r="D326" t="inlineStr">
        <is>
          <t>VÄSTERNORRLANDS LÄN</t>
        </is>
      </c>
      <c r="E326" t="inlineStr">
        <is>
          <t>TIMRÅ</t>
        </is>
      </c>
      <c r="G326" t="n">
        <v>16.6</v>
      </c>
      <c r="H326" t="n">
        <v>0</v>
      </c>
      <c r="I326" t="n">
        <v>0</v>
      </c>
      <c r="J326" t="n">
        <v>0</v>
      </c>
      <c r="K326" t="n">
        <v>0</v>
      </c>
      <c r="L326" t="n">
        <v>0</v>
      </c>
      <c r="M326" t="n">
        <v>0</v>
      </c>
      <c r="N326" t="n">
        <v>0</v>
      </c>
      <c r="O326" t="n">
        <v>0</v>
      </c>
      <c r="P326" t="n">
        <v>0</v>
      </c>
      <c r="Q326" t="n">
        <v>0</v>
      </c>
      <c r="R326" s="2" t="inlineStr"/>
    </row>
    <row r="327" ht="15" customHeight="1">
      <c r="A327" t="inlineStr">
        <is>
          <t>A 38445-2022</t>
        </is>
      </c>
      <c r="B327" s="1" t="n">
        <v>44813</v>
      </c>
      <c r="C327" s="1" t="n">
        <v>45736</v>
      </c>
      <c r="D327" t="inlineStr">
        <is>
          <t>VÄSTERNORRLANDS LÄN</t>
        </is>
      </c>
      <c r="E327" t="inlineStr">
        <is>
          <t>TIMRÅ</t>
        </is>
      </c>
      <c r="G327" t="n">
        <v>0.7</v>
      </c>
      <c r="H327" t="n">
        <v>0</v>
      </c>
      <c r="I327" t="n">
        <v>0</v>
      </c>
      <c r="J327" t="n">
        <v>0</v>
      </c>
      <c r="K327" t="n">
        <v>0</v>
      </c>
      <c r="L327" t="n">
        <v>0</v>
      </c>
      <c r="M327" t="n">
        <v>0</v>
      </c>
      <c r="N327" t="n">
        <v>0</v>
      </c>
      <c r="O327" t="n">
        <v>0</v>
      </c>
      <c r="P327" t="n">
        <v>0</v>
      </c>
      <c r="Q327" t="n">
        <v>0</v>
      </c>
      <c r="R327" s="2" t="inlineStr"/>
    </row>
    <row r="328" ht="15" customHeight="1">
      <c r="A328" t="inlineStr">
        <is>
          <t>A 39108-2022</t>
        </is>
      </c>
      <c r="B328" s="1" t="n">
        <v>44817</v>
      </c>
      <c r="C328" s="1" t="n">
        <v>45736</v>
      </c>
      <c r="D328" t="inlineStr">
        <is>
          <t>VÄSTERNORRLANDS LÄN</t>
        </is>
      </c>
      <c r="E328" t="inlineStr">
        <is>
          <t>TIMRÅ</t>
        </is>
      </c>
      <c r="G328" t="n">
        <v>2.5</v>
      </c>
      <c r="H328" t="n">
        <v>0</v>
      </c>
      <c r="I328" t="n">
        <v>0</v>
      </c>
      <c r="J328" t="n">
        <v>0</v>
      </c>
      <c r="K328" t="n">
        <v>0</v>
      </c>
      <c r="L328" t="n">
        <v>0</v>
      </c>
      <c r="M328" t="n">
        <v>0</v>
      </c>
      <c r="N328" t="n">
        <v>0</v>
      </c>
      <c r="O328" t="n">
        <v>0</v>
      </c>
      <c r="P328" t="n">
        <v>0</v>
      </c>
      <c r="Q328" t="n">
        <v>0</v>
      </c>
      <c r="R328" s="2" t="inlineStr"/>
    </row>
    <row r="329" ht="15" customHeight="1">
      <c r="A329" t="inlineStr">
        <is>
          <t>A 39691-2022</t>
        </is>
      </c>
      <c r="B329" s="1" t="n">
        <v>44819</v>
      </c>
      <c r="C329" s="1" t="n">
        <v>45736</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40270-2022</t>
        </is>
      </c>
      <c r="B330" s="1" t="n">
        <v>44821</v>
      </c>
      <c r="C330" s="1" t="n">
        <v>45736</v>
      </c>
      <c r="D330" t="inlineStr">
        <is>
          <t>VÄSTERNORRLANDS LÄN</t>
        </is>
      </c>
      <c r="E330" t="inlineStr">
        <is>
          <t>TIMRÅ</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41465-2022</t>
        </is>
      </c>
      <c r="B331" s="1" t="n">
        <v>44827</v>
      </c>
      <c r="C331" s="1" t="n">
        <v>45736</v>
      </c>
      <c r="D331" t="inlineStr">
        <is>
          <t>VÄSTERNORRLANDS LÄN</t>
        </is>
      </c>
      <c r="E331" t="inlineStr">
        <is>
          <t>TIMRÅ</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41457-2022</t>
        </is>
      </c>
      <c r="B332" s="1" t="n">
        <v>44826</v>
      </c>
      <c r="C332" s="1" t="n">
        <v>45736</v>
      </c>
      <c r="D332" t="inlineStr">
        <is>
          <t>VÄSTERNORRLANDS LÄN</t>
        </is>
      </c>
      <c r="E332" t="inlineStr">
        <is>
          <t>TIMRÅ</t>
        </is>
      </c>
      <c r="G332" t="n">
        <v>2.9</v>
      </c>
      <c r="H332" t="n">
        <v>0</v>
      </c>
      <c r="I332" t="n">
        <v>0</v>
      </c>
      <c r="J332" t="n">
        <v>0</v>
      </c>
      <c r="K332" t="n">
        <v>0</v>
      </c>
      <c r="L332" t="n">
        <v>0</v>
      </c>
      <c r="M332" t="n">
        <v>0</v>
      </c>
      <c r="N332" t="n">
        <v>0</v>
      </c>
      <c r="O332" t="n">
        <v>0</v>
      </c>
      <c r="P332" t="n">
        <v>0</v>
      </c>
      <c r="Q332" t="n">
        <v>0</v>
      </c>
      <c r="R332" s="2" t="inlineStr"/>
    </row>
    <row r="333" ht="15" customHeight="1">
      <c r="A333" t="inlineStr">
        <is>
          <t>A 42281-2022</t>
        </is>
      </c>
      <c r="B333" s="1" t="n">
        <v>44830</v>
      </c>
      <c r="C333" s="1" t="n">
        <v>45736</v>
      </c>
      <c r="D333" t="inlineStr">
        <is>
          <t>VÄSTERNORRLANDS LÄN</t>
        </is>
      </c>
      <c r="E333" t="inlineStr">
        <is>
          <t>TIMRÅ</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43233-2022</t>
        </is>
      </c>
      <c r="B334" s="1" t="n">
        <v>44833</v>
      </c>
      <c r="C334" s="1" t="n">
        <v>45736</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43135-2022</t>
        </is>
      </c>
      <c r="B335" s="1" t="n">
        <v>44833</v>
      </c>
      <c r="C335" s="1" t="n">
        <v>45736</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43162-2022</t>
        </is>
      </c>
      <c r="B336" s="1" t="n">
        <v>44834</v>
      </c>
      <c r="C336" s="1" t="n">
        <v>45736</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43237-2022</t>
        </is>
      </c>
      <c r="B337" s="1" t="n">
        <v>44833</v>
      </c>
      <c r="C337" s="1" t="n">
        <v>45736</v>
      </c>
      <c r="D337" t="inlineStr">
        <is>
          <t>VÄSTERNORRLANDS LÄN</t>
        </is>
      </c>
      <c r="E337" t="inlineStr">
        <is>
          <t>TIMRÅ</t>
        </is>
      </c>
      <c r="G337" t="n">
        <v>1.7</v>
      </c>
      <c r="H337" t="n">
        <v>0</v>
      </c>
      <c r="I337" t="n">
        <v>0</v>
      </c>
      <c r="J337" t="n">
        <v>0</v>
      </c>
      <c r="K337" t="n">
        <v>0</v>
      </c>
      <c r="L337" t="n">
        <v>0</v>
      </c>
      <c r="M337" t="n">
        <v>0</v>
      </c>
      <c r="N337" t="n">
        <v>0</v>
      </c>
      <c r="O337" t="n">
        <v>0</v>
      </c>
      <c r="P337" t="n">
        <v>0</v>
      </c>
      <c r="Q337" t="n">
        <v>0</v>
      </c>
      <c r="R337" s="2" t="inlineStr"/>
    </row>
    <row r="338" ht="15" customHeight="1">
      <c r="A338" t="inlineStr">
        <is>
          <t>A 44432-2022</t>
        </is>
      </c>
      <c r="B338" s="1" t="n">
        <v>44839</v>
      </c>
      <c r="C338" s="1" t="n">
        <v>45736</v>
      </c>
      <c r="D338" t="inlineStr">
        <is>
          <t>VÄSTERNORRLANDS LÄN</t>
        </is>
      </c>
      <c r="E338" t="inlineStr">
        <is>
          <t>TIMRÅ</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44759-2022</t>
        </is>
      </c>
      <c r="B339" s="1" t="n">
        <v>44840</v>
      </c>
      <c r="C339" s="1" t="n">
        <v>45736</v>
      </c>
      <c r="D339" t="inlineStr">
        <is>
          <t>VÄSTERNORRLANDS LÄN</t>
        </is>
      </c>
      <c r="E339" t="inlineStr">
        <is>
          <t>TIMRÅ</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45688-2022</t>
        </is>
      </c>
      <c r="B340" s="1" t="n">
        <v>44845</v>
      </c>
      <c r="C340" s="1" t="n">
        <v>45736</v>
      </c>
      <c r="D340" t="inlineStr">
        <is>
          <t>VÄSTERNORRLANDS LÄN</t>
        </is>
      </c>
      <c r="E340" t="inlineStr">
        <is>
          <t>TIMRÅ</t>
        </is>
      </c>
      <c r="G340" t="n">
        <v>1.1</v>
      </c>
      <c r="H340" t="n">
        <v>0</v>
      </c>
      <c r="I340" t="n">
        <v>0</v>
      </c>
      <c r="J340" t="n">
        <v>0</v>
      </c>
      <c r="K340" t="n">
        <v>0</v>
      </c>
      <c r="L340" t="n">
        <v>0</v>
      </c>
      <c r="M340" t="n">
        <v>0</v>
      </c>
      <c r="N340" t="n">
        <v>0</v>
      </c>
      <c r="O340" t="n">
        <v>0</v>
      </c>
      <c r="P340" t="n">
        <v>0</v>
      </c>
      <c r="Q340" t="n">
        <v>0</v>
      </c>
      <c r="R340" s="2" t="inlineStr"/>
    </row>
    <row r="341" ht="15" customHeight="1">
      <c r="A341" t="inlineStr">
        <is>
          <t>A 45695-2022</t>
        </is>
      </c>
      <c r="B341" s="1" t="n">
        <v>44846</v>
      </c>
      <c r="C341" s="1" t="n">
        <v>45736</v>
      </c>
      <c r="D341" t="inlineStr">
        <is>
          <t>VÄSTERNORRLANDS LÄN</t>
        </is>
      </c>
      <c r="E341" t="inlineStr">
        <is>
          <t>TIMRÅ</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46021-2022</t>
        </is>
      </c>
      <c r="B342" s="1" t="n">
        <v>44846</v>
      </c>
      <c r="C342" s="1" t="n">
        <v>45736</v>
      </c>
      <c r="D342" t="inlineStr">
        <is>
          <t>VÄSTERNORRLANDS LÄN</t>
        </is>
      </c>
      <c r="E342" t="inlineStr">
        <is>
          <t>TIMRÅ</t>
        </is>
      </c>
      <c r="F342" t="inlineStr">
        <is>
          <t>Kyrkan</t>
        </is>
      </c>
      <c r="G342" t="n">
        <v>18</v>
      </c>
      <c r="H342" t="n">
        <v>0</v>
      </c>
      <c r="I342" t="n">
        <v>0</v>
      </c>
      <c r="J342" t="n">
        <v>0</v>
      </c>
      <c r="K342" t="n">
        <v>0</v>
      </c>
      <c r="L342" t="n">
        <v>0</v>
      </c>
      <c r="M342" t="n">
        <v>0</v>
      </c>
      <c r="N342" t="n">
        <v>0</v>
      </c>
      <c r="O342" t="n">
        <v>0</v>
      </c>
      <c r="P342" t="n">
        <v>0</v>
      </c>
      <c r="Q342" t="n">
        <v>0</v>
      </c>
      <c r="R342" s="2" t="inlineStr"/>
    </row>
    <row r="343" ht="15" customHeight="1">
      <c r="A343" t="inlineStr">
        <is>
          <t>A 46028-2022</t>
        </is>
      </c>
      <c r="B343" s="1" t="n">
        <v>44846</v>
      </c>
      <c r="C343" s="1" t="n">
        <v>45736</v>
      </c>
      <c r="D343" t="inlineStr">
        <is>
          <t>VÄSTERNORRLANDS LÄN</t>
        </is>
      </c>
      <c r="E343" t="inlineStr">
        <is>
          <t>TIMRÅ</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46650-2022</t>
        </is>
      </c>
      <c r="B344" s="1" t="n">
        <v>44849</v>
      </c>
      <c r="C344" s="1" t="n">
        <v>45736</v>
      </c>
      <c r="D344" t="inlineStr">
        <is>
          <t>VÄSTERNORRLANDS LÄN</t>
        </is>
      </c>
      <c r="E344" t="inlineStr">
        <is>
          <t>TIMRÅ</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46971-2022</t>
        </is>
      </c>
      <c r="B345" s="1" t="n">
        <v>44852</v>
      </c>
      <c r="C345" s="1" t="n">
        <v>45736</v>
      </c>
      <c r="D345" t="inlineStr">
        <is>
          <t>VÄSTERNORRLANDS LÄN</t>
        </is>
      </c>
      <c r="E345" t="inlineStr">
        <is>
          <t>TIMRÅ</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47293-2022</t>
        </is>
      </c>
      <c r="B346" s="1" t="n">
        <v>44853</v>
      </c>
      <c r="C346" s="1" t="n">
        <v>45736</v>
      </c>
      <c r="D346" t="inlineStr">
        <is>
          <t>VÄSTERNORRLANDS LÄN</t>
        </is>
      </c>
      <c r="E346" t="inlineStr">
        <is>
          <t>TIMRÅ</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47347-2022</t>
        </is>
      </c>
      <c r="B347" s="1" t="n">
        <v>44852</v>
      </c>
      <c r="C347" s="1" t="n">
        <v>45736</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47562-2022</t>
        </is>
      </c>
      <c r="B348" s="1" t="n">
        <v>44853</v>
      </c>
      <c r="C348" s="1" t="n">
        <v>45736</v>
      </c>
      <c r="D348" t="inlineStr">
        <is>
          <t>VÄSTERNORRLANDS LÄN</t>
        </is>
      </c>
      <c r="E348" t="inlineStr">
        <is>
          <t>TIMRÅ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47588-2022</t>
        </is>
      </c>
      <c r="B349" s="1" t="n">
        <v>44854</v>
      </c>
      <c r="C349" s="1" t="n">
        <v>45736</v>
      </c>
      <c r="D349" t="inlineStr">
        <is>
          <t>VÄSTERNORRLANDS LÄN</t>
        </is>
      </c>
      <c r="E349" t="inlineStr">
        <is>
          <t>TIMRÅ</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47697-2022</t>
        </is>
      </c>
      <c r="B350" s="1" t="n">
        <v>44854</v>
      </c>
      <c r="C350" s="1" t="n">
        <v>45736</v>
      </c>
      <c r="D350" t="inlineStr">
        <is>
          <t>VÄSTERNORRLANDS LÄN</t>
        </is>
      </c>
      <c r="E350" t="inlineStr">
        <is>
          <t>TIMRÅ</t>
        </is>
      </c>
      <c r="G350" t="n">
        <v>3.4</v>
      </c>
      <c r="H350" t="n">
        <v>0</v>
      </c>
      <c r="I350" t="n">
        <v>0</v>
      </c>
      <c r="J350" t="n">
        <v>0</v>
      </c>
      <c r="K350" t="n">
        <v>0</v>
      </c>
      <c r="L350" t="n">
        <v>0</v>
      </c>
      <c r="M350" t="n">
        <v>0</v>
      </c>
      <c r="N350" t="n">
        <v>0</v>
      </c>
      <c r="O350" t="n">
        <v>0</v>
      </c>
      <c r="P350" t="n">
        <v>0</v>
      </c>
      <c r="Q350" t="n">
        <v>0</v>
      </c>
      <c r="R350" s="2" t="inlineStr"/>
    </row>
    <row r="351" ht="15" customHeight="1">
      <c r="A351" t="inlineStr">
        <is>
          <t>A 47815-2022</t>
        </is>
      </c>
      <c r="B351" s="1" t="n">
        <v>44854</v>
      </c>
      <c r="C351" s="1" t="n">
        <v>45736</v>
      </c>
      <c r="D351" t="inlineStr">
        <is>
          <t>VÄSTERNORRLANDS LÄN</t>
        </is>
      </c>
      <c r="E351" t="inlineStr">
        <is>
          <t>TIMRÅ</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48083-2022</t>
        </is>
      </c>
      <c r="B352" s="1" t="n">
        <v>44855</v>
      </c>
      <c r="C352" s="1" t="n">
        <v>45736</v>
      </c>
      <c r="D352" t="inlineStr">
        <is>
          <t>VÄSTERNORRLANDS LÄN</t>
        </is>
      </c>
      <c r="E352" t="inlineStr">
        <is>
          <t>TIMRÅ</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48916-2022</t>
        </is>
      </c>
      <c r="B353" s="1" t="n">
        <v>44860</v>
      </c>
      <c r="C353" s="1" t="n">
        <v>45736</v>
      </c>
      <c r="D353" t="inlineStr">
        <is>
          <t>VÄSTERNORRLANDS LÄN</t>
        </is>
      </c>
      <c r="E353" t="inlineStr">
        <is>
          <t>TIMRÅ</t>
        </is>
      </c>
      <c r="F353" t="inlineStr">
        <is>
          <t>SCA</t>
        </is>
      </c>
      <c r="G353" t="n">
        <v>4.9</v>
      </c>
      <c r="H353" t="n">
        <v>0</v>
      </c>
      <c r="I353" t="n">
        <v>0</v>
      </c>
      <c r="J353" t="n">
        <v>0</v>
      </c>
      <c r="K353" t="n">
        <v>0</v>
      </c>
      <c r="L353" t="n">
        <v>0</v>
      </c>
      <c r="M353" t="n">
        <v>0</v>
      </c>
      <c r="N353" t="n">
        <v>0</v>
      </c>
      <c r="O353" t="n">
        <v>0</v>
      </c>
      <c r="P353" t="n">
        <v>0</v>
      </c>
      <c r="Q353" t="n">
        <v>0</v>
      </c>
      <c r="R353" s="2" t="inlineStr"/>
    </row>
    <row r="354" ht="15" customHeight="1">
      <c r="A354" t="inlineStr">
        <is>
          <t>A 48918-2022</t>
        </is>
      </c>
      <c r="B354" s="1" t="n">
        <v>44859</v>
      </c>
      <c r="C354" s="1" t="n">
        <v>45736</v>
      </c>
      <c r="D354" t="inlineStr">
        <is>
          <t>VÄSTERNORRLANDS LÄN</t>
        </is>
      </c>
      <c r="E354" t="inlineStr">
        <is>
          <t>TIMRÅ</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49203-2022</t>
        </is>
      </c>
      <c r="B355" s="1" t="n">
        <v>44860</v>
      </c>
      <c r="C355" s="1" t="n">
        <v>45736</v>
      </c>
      <c r="D355" t="inlineStr">
        <is>
          <t>VÄSTERNORRLANDS LÄN</t>
        </is>
      </c>
      <c r="E355" t="inlineStr">
        <is>
          <t>TIMRÅ</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50660-2022</t>
        </is>
      </c>
      <c r="B356" s="1" t="n">
        <v>44866</v>
      </c>
      <c r="C356" s="1" t="n">
        <v>45736</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52096-2022</t>
        </is>
      </c>
      <c r="B357" s="1" t="n">
        <v>44868</v>
      </c>
      <c r="C357" s="1" t="n">
        <v>45736</v>
      </c>
      <c r="D357" t="inlineStr">
        <is>
          <t>VÄSTERNORRLANDS LÄN</t>
        </is>
      </c>
      <c r="E357" t="inlineStr">
        <is>
          <t>TIMRÅ</t>
        </is>
      </c>
      <c r="G357" t="n">
        <v>1.4</v>
      </c>
      <c r="H357" t="n">
        <v>0</v>
      </c>
      <c r="I357" t="n">
        <v>0</v>
      </c>
      <c r="J357" t="n">
        <v>0</v>
      </c>
      <c r="K357" t="n">
        <v>0</v>
      </c>
      <c r="L357" t="n">
        <v>0</v>
      </c>
      <c r="M357" t="n">
        <v>0</v>
      </c>
      <c r="N357" t="n">
        <v>0</v>
      </c>
      <c r="O357" t="n">
        <v>0</v>
      </c>
      <c r="P357" t="n">
        <v>0</v>
      </c>
      <c r="Q357" t="n">
        <v>0</v>
      </c>
      <c r="R357" s="2" t="inlineStr"/>
    </row>
    <row r="358" ht="15" customHeight="1">
      <c r="A358" t="inlineStr">
        <is>
          <t>A 51564-2022</t>
        </is>
      </c>
      <c r="B358" s="1" t="n">
        <v>44869</v>
      </c>
      <c r="C358" s="1" t="n">
        <v>45736</v>
      </c>
      <c r="D358" t="inlineStr">
        <is>
          <t>VÄSTERNORRLANDS LÄN</t>
        </is>
      </c>
      <c r="E358" t="inlineStr">
        <is>
          <t>TIMRÅ</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51546-2022</t>
        </is>
      </c>
      <c r="B359" s="1" t="n">
        <v>44869</v>
      </c>
      <c r="C359" s="1" t="n">
        <v>45736</v>
      </c>
      <c r="D359" t="inlineStr">
        <is>
          <t>VÄSTERNORRLANDS LÄN</t>
        </is>
      </c>
      <c r="E359" t="inlineStr">
        <is>
          <t>TIMRÅ</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52213-2022</t>
        </is>
      </c>
      <c r="B360" s="1" t="n">
        <v>44869</v>
      </c>
      <c r="C360" s="1" t="n">
        <v>45736</v>
      </c>
      <c r="D360" t="inlineStr">
        <is>
          <t>VÄSTERNORRLANDS LÄN</t>
        </is>
      </c>
      <c r="E360" t="inlineStr">
        <is>
          <t>TIMRÅ</t>
        </is>
      </c>
      <c r="G360" t="n">
        <v>11.4</v>
      </c>
      <c r="H360" t="n">
        <v>0</v>
      </c>
      <c r="I360" t="n">
        <v>0</v>
      </c>
      <c r="J360" t="n">
        <v>0</v>
      </c>
      <c r="K360" t="n">
        <v>0</v>
      </c>
      <c r="L360" t="n">
        <v>0</v>
      </c>
      <c r="M360" t="n">
        <v>0</v>
      </c>
      <c r="N360" t="n">
        <v>0</v>
      </c>
      <c r="O360" t="n">
        <v>0</v>
      </c>
      <c r="P360" t="n">
        <v>0</v>
      </c>
      <c r="Q360" t="n">
        <v>0</v>
      </c>
      <c r="R360" s="2" t="inlineStr"/>
    </row>
    <row r="361" ht="15" customHeight="1">
      <c r="A361" t="inlineStr">
        <is>
          <t>A 52232-2022</t>
        </is>
      </c>
      <c r="B361" s="1" t="n">
        <v>44869</v>
      </c>
      <c r="C361" s="1" t="n">
        <v>45736</v>
      </c>
      <c r="D361" t="inlineStr">
        <is>
          <t>VÄSTERNORRLANDS LÄN</t>
        </is>
      </c>
      <c r="E361" t="inlineStr">
        <is>
          <t>TIMRÅ</t>
        </is>
      </c>
      <c r="G361" t="n">
        <v>7.9</v>
      </c>
      <c r="H361" t="n">
        <v>0</v>
      </c>
      <c r="I361" t="n">
        <v>0</v>
      </c>
      <c r="J361" t="n">
        <v>0</v>
      </c>
      <c r="K361" t="n">
        <v>0</v>
      </c>
      <c r="L361" t="n">
        <v>0</v>
      </c>
      <c r="M361" t="n">
        <v>0</v>
      </c>
      <c r="N361" t="n">
        <v>0</v>
      </c>
      <c r="O361" t="n">
        <v>0</v>
      </c>
      <c r="P361" t="n">
        <v>0</v>
      </c>
      <c r="Q361" t="n">
        <v>0</v>
      </c>
      <c r="R361" s="2" t="inlineStr"/>
    </row>
    <row r="362" ht="15" customHeight="1">
      <c r="A362" t="inlineStr">
        <is>
          <t>A 52220-2022</t>
        </is>
      </c>
      <c r="B362" s="1" t="n">
        <v>44869</v>
      </c>
      <c r="C362" s="1" t="n">
        <v>45736</v>
      </c>
      <c r="D362" t="inlineStr">
        <is>
          <t>VÄSTERNORRLANDS LÄN</t>
        </is>
      </c>
      <c r="E362" t="inlineStr">
        <is>
          <t>TIMRÅ</t>
        </is>
      </c>
      <c r="G362" t="n">
        <v>5.5</v>
      </c>
      <c r="H362" t="n">
        <v>0</v>
      </c>
      <c r="I362" t="n">
        <v>0</v>
      </c>
      <c r="J362" t="n">
        <v>0</v>
      </c>
      <c r="K362" t="n">
        <v>0</v>
      </c>
      <c r="L362" t="n">
        <v>0</v>
      </c>
      <c r="M362" t="n">
        <v>0</v>
      </c>
      <c r="N362" t="n">
        <v>0</v>
      </c>
      <c r="O362" t="n">
        <v>0</v>
      </c>
      <c r="P362" t="n">
        <v>0</v>
      </c>
      <c r="Q362" t="n">
        <v>0</v>
      </c>
      <c r="R362" s="2" t="inlineStr"/>
    </row>
    <row r="363" ht="15" customHeight="1">
      <c r="A363" t="inlineStr">
        <is>
          <t>A 51999-2022</t>
        </is>
      </c>
      <c r="B363" s="1" t="n">
        <v>44872</v>
      </c>
      <c r="C363" s="1" t="n">
        <v>45736</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52010-2022</t>
        </is>
      </c>
      <c r="B364" s="1" t="n">
        <v>44872</v>
      </c>
      <c r="C364" s="1" t="n">
        <v>45736</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52474-2022</t>
        </is>
      </c>
      <c r="B365" s="1" t="n">
        <v>44874</v>
      </c>
      <c r="C365" s="1" t="n">
        <v>45736</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52448-2022</t>
        </is>
      </c>
      <c r="B366" s="1" t="n">
        <v>44874</v>
      </c>
      <c r="C366" s="1" t="n">
        <v>45736</v>
      </c>
      <c r="D366" t="inlineStr">
        <is>
          <t>VÄSTERNORRLANDS LÄN</t>
        </is>
      </c>
      <c r="E366" t="inlineStr">
        <is>
          <t>TIMRÅ</t>
        </is>
      </c>
      <c r="G366" t="n">
        <v>2.3</v>
      </c>
      <c r="H366" t="n">
        <v>0</v>
      </c>
      <c r="I366" t="n">
        <v>0</v>
      </c>
      <c r="J366" t="n">
        <v>0</v>
      </c>
      <c r="K366" t="n">
        <v>0</v>
      </c>
      <c r="L366" t="n">
        <v>0</v>
      </c>
      <c r="M366" t="n">
        <v>0</v>
      </c>
      <c r="N366" t="n">
        <v>0</v>
      </c>
      <c r="O366" t="n">
        <v>0</v>
      </c>
      <c r="P366" t="n">
        <v>0</v>
      </c>
      <c r="Q366" t="n">
        <v>0</v>
      </c>
      <c r="R366" s="2" t="inlineStr"/>
    </row>
    <row r="367" ht="15" customHeight="1">
      <c r="A367" t="inlineStr">
        <is>
          <t>A 52705-2022</t>
        </is>
      </c>
      <c r="B367" s="1" t="n">
        <v>44874</v>
      </c>
      <c r="C367" s="1" t="n">
        <v>45736</v>
      </c>
      <c r="D367" t="inlineStr">
        <is>
          <t>VÄSTERNORRLANDS LÄN</t>
        </is>
      </c>
      <c r="E367" t="inlineStr">
        <is>
          <t>TIMRÅ</t>
        </is>
      </c>
      <c r="G367" t="n">
        <v>1.6</v>
      </c>
      <c r="H367" t="n">
        <v>0</v>
      </c>
      <c r="I367" t="n">
        <v>0</v>
      </c>
      <c r="J367" t="n">
        <v>0</v>
      </c>
      <c r="K367" t="n">
        <v>0</v>
      </c>
      <c r="L367" t="n">
        <v>0</v>
      </c>
      <c r="M367" t="n">
        <v>0</v>
      </c>
      <c r="N367" t="n">
        <v>0</v>
      </c>
      <c r="O367" t="n">
        <v>0</v>
      </c>
      <c r="P367" t="n">
        <v>0</v>
      </c>
      <c r="Q367" t="n">
        <v>0</v>
      </c>
      <c r="R367" s="2" t="inlineStr"/>
    </row>
    <row r="368" ht="15" customHeight="1">
      <c r="A368" t="inlineStr">
        <is>
          <t>A 53659-2022</t>
        </is>
      </c>
      <c r="B368" s="1" t="n">
        <v>44879</v>
      </c>
      <c r="C368" s="1" t="n">
        <v>45736</v>
      </c>
      <c r="D368" t="inlineStr">
        <is>
          <t>VÄSTERNORRLANDS LÄN</t>
        </is>
      </c>
      <c r="E368" t="inlineStr">
        <is>
          <t>TIMRÅ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53957-2022</t>
        </is>
      </c>
      <c r="B369" s="1" t="n">
        <v>44880</v>
      </c>
      <c r="C369" s="1" t="n">
        <v>45736</v>
      </c>
      <c r="D369" t="inlineStr">
        <is>
          <t>VÄSTERNORRLANDS LÄN</t>
        </is>
      </c>
      <c r="E369" t="inlineStr">
        <is>
          <t>TIMRÅ</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55357-2022</t>
        </is>
      </c>
      <c r="B370" s="1" t="n">
        <v>44882</v>
      </c>
      <c r="C370" s="1" t="n">
        <v>45736</v>
      </c>
      <c r="D370" t="inlineStr">
        <is>
          <t>VÄSTERNORRLANDS LÄN</t>
        </is>
      </c>
      <c r="E370" t="inlineStr">
        <is>
          <t>TIMRÅ</t>
        </is>
      </c>
      <c r="G370" t="n">
        <v>17.3</v>
      </c>
      <c r="H370" t="n">
        <v>0</v>
      </c>
      <c r="I370" t="n">
        <v>0</v>
      </c>
      <c r="J370" t="n">
        <v>0</v>
      </c>
      <c r="K370" t="n">
        <v>0</v>
      </c>
      <c r="L370" t="n">
        <v>0</v>
      </c>
      <c r="M370" t="n">
        <v>0</v>
      </c>
      <c r="N370" t="n">
        <v>0</v>
      </c>
      <c r="O370" t="n">
        <v>0</v>
      </c>
      <c r="P370" t="n">
        <v>0</v>
      </c>
      <c r="Q370" t="n">
        <v>0</v>
      </c>
      <c r="R370" s="2" t="inlineStr"/>
    </row>
    <row r="371" ht="15" customHeight="1">
      <c r="A371" t="inlineStr">
        <is>
          <t>A 54747-2022</t>
        </is>
      </c>
      <c r="B371" s="1" t="n">
        <v>44883</v>
      </c>
      <c r="C371" s="1" t="n">
        <v>45736</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55179-2022</t>
        </is>
      </c>
      <c r="B372" s="1" t="n">
        <v>44886</v>
      </c>
      <c r="C372" s="1" t="n">
        <v>45736</v>
      </c>
      <c r="D372" t="inlineStr">
        <is>
          <t>VÄSTERNORRLANDS LÄN</t>
        </is>
      </c>
      <c r="E372" t="inlineStr">
        <is>
          <t>TIMRÅ</t>
        </is>
      </c>
      <c r="G372" t="n">
        <v>0.4</v>
      </c>
      <c r="H372" t="n">
        <v>0</v>
      </c>
      <c r="I372" t="n">
        <v>0</v>
      </c>
      <c r="J372" t="n">
        <v>0</v>
      </c>
      <c r="K372" t="n">
        <v>0</v>
      </c>
      <c r="L372" t="n">
        <v>0</v>
      </c>
      <c r="M372" t="n">
        <v>0</v>
      </c>
      <c r="N372" t="n">
        <v>0</v>
      </c>
      <c r="O372" t="n">
        <v>0</v>
      </c>
      <c r="P372" t="n">
        <v>0</v>
      </c>
      <c r="Q372" t="n">
        <v>0</v>
      </c>
      <c r="R372" s="2" t="inlineStr"/>
    </row>
    <row r="373" ht="15" customHeight="1">
      <c r="A373" t="inlineStr">
        <is>
          <t>A 55240-2022</t>
        </is>
      </c>
      <c r="B373" s="1" t="n">
        <v>44887</v>
      </c>
      <c r="C373" s="1" t="n">
        <v>45736</v>
      </c>
      <c r="D373" t="inlineStr">
        <is>
          <t>VÄSTERNORRLANDS LÄN</t>
        </is>
      </c>
      <c r="E373" t="inlineStr">
        <is>
          <t>TIMRÅ</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55521-2022</t>
        </is>
      </c>
      <c r="B374" s="1" t="n">
        <v>44887</v>
      </c>
      <c r="C374" s="1" t="n">
        <v>45736</v>
      </c>
      <c r="D374" t="inlineStr">
        <is>
          <t>VÄSTERNORRLANDS LÄN</t>
        </is>
      </c>
      <c r="E374" t="inlineStr">
        <is>
          <t>TIMRÅ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55511-2022</t>
        </is>
      </c>
      <c r="B375" s="1" t="n">
        <v>44887</v>
      </c>
      <c r="C375" s="1" t="n">
        <v>45736</v>
      </c>
      <c r="D375" t="inlineStr">
        <is>
          <t>VÄSTERNORRLANDS LÄN</t>
        </is>
      </c>
      <c r="E375" t="inlineStr">
        <is>
          <t>TIMRÅ</t>
        </is>
      </c>
      <c r="G375" t="n">
        <v>0.5</v>
      </c>
      <c r="H375" t="n">
        <v>0</v>
      </c>
      <c r="I375" t="n">
        <v>0</v>
      </c>
      <c r="J375" t="n">
        <v>0</v>
      </c>
      <c r="K375" t="n">
        <v>0</v>
      </c>
      <c r="L375" t="n">
        <v>0</v>
      </c>
      <c r="M375" t="n">
        <v>0</v>
      </c>
      <c r="N375" t="n">
        <v>0</v>
      </c>
      <c r="O375" t="n">
        <v>0</v>
      </c>
      <c r="P375" t="n">
        <v>0</v>
      </c>
      <c r="Q375" t="n">
        <v>0</v>
      </c>
      <c r="R375" s="2" t="inlineStr"/>
    </row>
    <row r="376" ht="15" customHeight="1">
      <c r="A376" t="inlineStr">
        <is>
          <t>A 55510-2022</t>
        </is>
      </c>
      <c r="B376" s="1" t="n">
        <v>44887</v>
      </c>
      <c r="C376" s="1" t="n">
        <v>45736</v>
      </c>
      <c r="D376" t="inlineStr">
        <is>
          <t>VÄSTERNORRLANDS LÄN</t>
        </is>
      </c>
      <c r="E376" t="inlineStr">
        <is>
          <t>TIMRÅ</t>
        </is>
      </c>
      <c r="G376" t="n">
        <v>0.8</v>
      </c>
      <c r="H376" t="n">
        <v>0</v>
      </c>
      <c r="I376" t="n">
        <v>0</v>
      </c>
      <c r="J376" t="n">
        <v>0</v>
      </c>
      <c r="K376" t="n">
        <v>0</v>
      </c>
      <c r="L376" t="n">
        <v>0</v>
      </c>
      <c r="M376" t="n">
        <v>0</v>
      </c>
      <c r="N376" t="n">
        <v>0</v>
      </c>
      <c r="O376" t="n">
        <v>0</v>
      </c>
      <c r="P376" t="n">
        <v>0</v>
      </c>
      <c r="Q376" t="n">
        <v>0</v>
      </c>
      <c r="R376" s="2" t="inlineStr"/>
    </row>
    <row r="377" ht="15" customHeight="1">
      <c r="A377" t="inlineStr">
        <is>
          <t>A 55517-2022</t>
        </is>
      </c>
      <c r="B377" s="1" t="n">
        <v>44887</v>
      </c>
      <c r="C377" s="1" t="n">
        <v>45736</v>
      </c>
      <c r="D377" t="inlineStr">
        <is>
          <t>VÄSTERNORRLANDS LÄN</t>
        </is>
      </c>
      <c r="E377" t="inlineStr">
        <is>
          <t>TIMRÅ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55872-2022</t>
        </is>
      </c>
      <c r="B378" s="1" t="n">
        <v>44888</v>
      </c>
      <c r="C378" s="1" t="n">
        <v>45736</v>
      </c>
      <c r="D378" t="inlineStr">
        <is>
          <t>VÄSTERNORRLANDS LÄN</t>
        </is>
      </c>
      <c r="E378" t="inlineStr">
        <is>
          <t>TIMRÅ</t>
        </is>
      </c>
      <c r="G378" t="n">
        <v>4.7</v>
      </c>
      <c r="H378" t="n">
        <v>0</v>
      </c>
      <c r="I378" t="n">
        <v>0</v>
      </c>
      <c r="J378" t="n">
        <v>0</v>
      </c>
      <c r="K378" t="n">
        <v>0</v>
      </c>
      <c r="L378" t="n">
        <v>0</v>
      </c>
      <c r="M378" t="n">
        <v>0</v>
      </c>
      <c r="N378" t="n">
        <v>0</v>
      </c>
      <c r="O378" t="n">
        <v>0</v>
      </c>
      <c r="P378" t="n">
        <v>0</v>
      </c>
      <c r="Q378" t="n">
        <v>0</v>
      </c>
      <c r="R378" s="2" t="inlineStr"/>
    </row>
    <row r="379" ht="15" customHeight="1">
      <c r="A379" t="inlineStr">
        <is>
          <t>A 55886-2022</t>
        </is>
      </c>
      <c r="B379" s="1" t="n">
        <v>44888</v>
      </c>
      <c r="C379" s="1" t="n">
        <v>45736</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56170-2022</t>
        </is>
      </c>
      <c r="B380" s="1" t="n">
        <v>44889</v>
      </c>
      <c r="C380" s="1" t="n">
        <v>45736</v>
      </c>
      <c r="D380" t="inlineStr">
        <is>
          <t>VÄSTERNORRLANDS LÄN</t>
        </is>
      </c>
      <c r="E380" t="inlineStr">
        <is>
          <t>TIMRÅ</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57403-2022</t>
        </is>
      </c>
      <c r="B381" s="1" t="n">
        <v>44889</v>
      </c>
      <c r="C381" s="1" t="n">
        <v>45736</v>
      </c>
      <c r="D381" t="inlineStr">
        <is>
          <t>VÄSTERNORRLANDS LÄN</t>
        </is>
      </c>
      <c r="E381" t="inlineStr">
        <is>
          <t>TIMRÅ</t>
        </is>
      </c>
      <c r="G381" t="n">
        <v>9.6</v>
      </c>
      <c r="H381" t="n">
        <v>0</v>
      </c>
      <c r="I381" t="n">
        <v>0</v>
      </c>
      <c r="J381" t="n">
        <v>0</v>
      </c>
      <c r="K381" t="n">
        <v>0</v>
      </c>
      <c r="L381" t="n">
        <v>0</v>
      </c>
      <c r="M381" t="n">
        <v>0</v>
      </c>
      <c r="N381" t="n">
        <v>0</v>
      </c>
      <c r="O381" t="n">
        <v>0</v>
      </c>
      <c r="P381" t="n">
        <v>0</v>
      </c>
      <c r="Q381" t="n">
        <v>0</v>
      </c>
      <c r="R381" s="2" t="inlineStr"/>
    </row>
    <row r="382" ht="15" customHeight="1">
      <c r="A382" t="inlineStr">
        <is>
          <t>A 57380-2022</t>
        </is>
      </c>
      <c r="B382" s="1" t="n">
        <v>44889</v>
      </c>
      <c r="C382" s="1" t="n">
        <v>45736</v>
      </c>
      <c r="D382" t="inlineStr">
        <is>
          <t>VÄSTERNORRLANDS LÄN</t>
        </is>
      </c>
      <c r="E382" t="inlineStr">
        <is>
          <t>TIMRÅ</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56410-2022</t>
        </is>
      </c>
      <c r="B383" s="1" t="n">
        <v>44890</v>
      </c>
      <c r="C383" s="1" t="n">
        <v>45736</v>
      </c>
      <c r="D383" t="inlineStr">
        <is>
          <t>VÄSTERNORRLANDS LÄN</t>
        </is>
      </c>
      <c r="E383" t="inlineStr">
        <is>
          <t>TIMRÅ</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56723-2022</t>
        </is>
      </c>
      <c r="B384" s="1" t="n">
        <v>44893</v>
      </c>
      <c r="C384" s="1" t="n">
        <v>45736</v>
      </c>
      <c r="D384" t="inlineStr">
        <is>
          <t>VÄSTERNORRLANDS LÄN</t>
        </is>
      </c>
      <c r="E384" t="inlineStr">
        <is>
          <t>TIMRÅ</t>
        </is>
      </c>
      <c r="G384" t="n">
        <v>1.7</v>
      </c>
      <c r="H384" t="n">
        <v>0</v>
      </c>
      <c r="I384" t="n">
        <v>0</v>
      </c>
      <c r="J384" t="n">
        <v>0</v>
      </c>
      <c r="K384" t="n">
        <v>0</v>
      </c>
      <c r="L384" t="n">
        <v>0</v>
      </c>
      <c r="M384" t="n">
        <v>0</v>
      </c>
      <c r="N384" t="n">
        <v>0</v>
      </c>
      <c r="O384" t="n">
        <v>0</v>
      </c>
      <c r="P384" t="n">
        <v>0</v>
      </c>
      <c r="Q384" t="n">
        <v>0</v>
      </c>
      <c r="R384" s="2" t="inlineStr"/>
    </row>
    <row r="385" ht="15" customHeight="1">
      <c r="A385" t="inlineStr">
        <is>
          <t>A 57268-2022</t>
        </is>
      </c>
      <c r="B385" s="1" t="n">
        <v>44895</v>
      </c>
      <c r="C385" s="1" t="n">
        <v>45736</v>
      </c>
      <c r="D385" t="inlineStr">
        <is>
          <t>VÄSTERNORRLANDS LÄN</t>
        </is>
      </c>
      <c r="E385" t="inlineStr">
        <is>
          <t>TIMRÅ</t>
        </is>
      </c>
      <c r="G385" t="n">
        <v>0.6</v>
      </c>
      <c r="H385" t="n">
        <v>0</v>
      </c>
      <c r="I385" t="n">
        <v>0</v>
      </c>
      <c r="J385" t="n">
        <v>0</v>
      </c>
      <c r="K385" t="n">
        <v>0</v>
      </c>
      <c r="L385" t="n">
        <v>0</v>
      </c>
      <c r="M385" t="n">
        <v>0</v>
      </c>
      <c r="N385" t="n">
        <v>0</v>
      </c>
      <c r="O385" t="n">
        <v>0</v>
      </c>
      <c r="P385" t="n">
        <v>0</v>
      </c>
      <c r="Q385" t="n">
        <v>0</v>
      </c>
      <c r="R385" s="2" t="inlineStr"/>
    </row>
    <row r="386" ht="15" customHeight="1">
      <c r="A386" t="inlineStr">
        <is>
          <t>A 57841-2022</t>
        </is>
      </c>
      <c r="B386" s="1" t="n">
        <v>44897</v>
      </c>
      <c r="C386" s="1" t="n">
        <v>45736</v>
      </c>
      <c r="D386" t="inlineStr">
        <is>
          <t>VÄSTERNORRLANDS LÄN</t>
        </is>
      </c>
      <c r="E386" t="inlineStr">
        <is>
          <t>TIMRÅ</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57840-2022</t>
        </is>
      </c>
      <c r="B387" s="1" t="n">
        <v>44897</v>
      </c>
      <c r="C387" s="1" t="n">
        <v>45736</v>
      </c>
      <c r="D387" t="inlineStr">
        <is>
          <t>VÄSTERNORRLANDS LÄN</t>
        </is>
      </c>
      <c r="E387" t="inlineStr">
        <is>
          <t>TIMRÅ</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58188-2022</t>
        </is>
      </c>
      <c r="B388" s="1" t="n">
        <v>44900</v>
      </c>
      <c r="C388" s="1" t="n">
        <v>45736</v>
      </c>
      <c r="D388" t="inlineStr">
        <is>
          <t>VÄSTERNORRLANDS LÄN</t>
        </is>
      </c>
      <c r="E388" t="inlineStr">
        <is>
          <t>TIMRÅ</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59942-2022</t>
        </is>
      </c>
      <c r="B389" s="1" t="n">
        <v>44901</v>
      </c>
      <c r="C389" s="1" t="n">
        <v>45736</v>
      </c>
      <c r="D389" t="inlineStr">
        <is>
          <t>VÄSTERNORRLANDS LÄN</t>
        </is>
      </c>
      <c r="E389" t="inlineStr">
        <is>
          <t>TIMRÅ</t>
        </is>
      </c>
      <c r="G389" t="n">
        <v>0.9</v>
      </c>
      <c r="H389" t="n">
        <v>0</v>
      </c>
      <c r="I389" t="n">
        <v>0</v>
      </c>
      <c r="J389" t="n">
        <v>0</v>
      </c>
      <c r="K389" t="n">
        <v>0</v>
      </c>
      <c r="L389" t="n">
        <v>0</v>
      </c>
      <c r="M389" t="n">
        <v>0</v>
      </c>
      <c r="N389" t="n">
        <v>0</v>
      </c>
      <c r="O389" t="n">
        <v>0</v>
      </c>
      <c r="P389" t="n">
        <v>0</v>
      </c>
      <c r="Q389" t="n">
        <v>0</v>
      </c>
      <c r="R389" s="2" t="inlineStr"/>
    </row>
    <row r="390" ht="15" customHeight="1">
      <c r="A390" t="inlineStr">
        <is>
          <t>A 59128-2022</t>
        </is>
      </c>
      <c r="B390" s="1" t="n">
        <v>44904</v>
      </c>
      <c r="C390" s="1" t="n">
        <v>45736</v>
      </c>
      <c r="D390" t="inlineStr">
        <is>
          <t>VÄSTERNORRLANDS LÄN</t>
        </is>
      </c>
      <c r="E390" t="inlineStr">
        <is>
          <t>TIMRÅ</t>
        </is>
      </c>
      <c r="G390" t="n">
        <v>9</v>
      </c>
      <c r="H390" t="n">
        <v>0</v>
      </c>
      <c r="I390" t="n">
        <v>0</v>
      </c>
      <c r="J390" t="n">
        <v>0</v>
      </c>
      <c r="K390" t="n">
        <v>0</v>
      </c>
      <c r="L390" t="n">
        <v>0</v>
      </c>
      <c r="M390" t="n">
        <v>0</v>
      </c>
      <c r="N390" t="n">
        <v>0</v>
      </c>
      <c r="O390" t="n">
        <v>0</v>
      </c>
      <c r="P390" t="n">
        <v>0</v>
      </c>
      <c r="Q390" t="n">
        <v>0</v>
      </c>
      <c r="R390" s="2" t="inlineStr"/>
    </row>
    <row r="391" ht="15" customHeight="1">
      <c r="A391" t="inlineStr">
        <is>
          <t>A 60166-2022</t>
        </is>
      </c>
      <c r="B391" s="1" t="n">
        <v>44909</v>
      </c>
      <c r="C391" s="1" t="n">
        <v>45736</v>
      </c>
      <c r="D391" t="inlineStr">
        <is>
          <t>VÄSTERNORRLANDS LÄN</t>
        </is>
      </c>
      <c r="E391" t="inlineStr">
        <is>
          <t>TIMRÅ</t>
        </is>
      </c>
      <c r="G391" t="n">
        <v>1.8</v>
      </c>
      <c r="H391" t="n">
        <v>0</v>
      </c>
      <c r="I391" t="n">
        <v>0</v>
      </c>
      <c r="J391" t="n">
        <v>0</v>
      </c>
      <c r="K391" t="n">
        <v>0</v>
      </c>
      <c r="L391" t="n">
        <v>0</v>
      </c>
      <c r="M391" t="n">
        <v>0</v>
      </c>
      <c r="N391" t="n">
        <v>0</v>
      </c>
      <c r="O391" t="n">
        <v>0</v>
      </c>
      <c r="P391" t="n">
        <v>0</v>
      </c>
      <c r="Q391" t="n">
        <v>0</v>
      </c>
      <c r="R391" s="2" t="inlineStr"/>
    </row>
    <row r="392" ht="15" customHeight="1">
      <c r="A392" t="inlineStr">
        <is>
          <t>A 61576-2022</t>
        </is>
      </c>
      <c r="B392" s="1" t="n">
        <v>44910</v>
      </c>
      <c r="C392" s="1" t="n">
        <v>45736</v>
      </c>
      <c r="D392" t="inlineStr">
        <is>
          <t>VÄSTERNORRLANDS LÄN</t>
        </is>
      </c>
      <c r="E392" t="inlineStr">
        <is>
          <t>TIMRÅ</t>
        </is>
      </c>
      <c r="G392" t="n">
        <v>4</v>
      </c>
      <c r="H392" t="n">
        <v>0</v>
      </c>
      <c r="I392" t="n">
        <v>0</v>
      </c>
      <c r="J392" t="n">
        <v>0</v>
      </c>
      <c r="K392" t="n">
        <v>0</v>
      </c>
      <c r="L392" t="n">
        <v>0</v>
      </c>
      <c r="M392" t="n">
        <v>0</v>
      </c>
      <c r="N392" t="n">
        <v>0</v>
      </c>
      <c r="O392" t="n">
        <v>0</v>
      </c>
      <c r="P392" t="n">
        <v>0</v>
      </c>
      <c r="Q392" t="n">
        <v>0</v>
      </c>
      <c r="R392" s="2" t="inlineStr"/>
    </row>
    <row r="393" ht="15" customHeight="1">
      <c r="A393" t="inlineStr">
        <is>
          <t>A 61373-2022</t>
        </is>
      </c>
      <c r="B393" s="1" t="n">
        <v>44915</v>
      </c>
      <c r="C393" s="1" t="n">
        <v>45736</v>
      </c>
      <c r="D393" t="inlineStr">
        <is>
          <t>VÄSTERNORRLANDS LÄN</t>
        </is>
      </c>
      <c r="E393" t="inlineStr">
        <is>
          <t>TIMRÅ</t>
        </is>
      </c>
      <c r="G393" t="n">
        <v>1.7</v>
      </c>
      <c r="H393" t="n">
        <v>0</v>
      </c>
      <c r="I393" t="n">
        <v>0</v>
      </c>
      <c r="J393" t="n">
        <v>0</v>
      </c>
      <c r="K393" t="n">
        <v>0</v>
      </c>
      <c r="L393" t="n">
        <v>0</v>
      </c>
      <c r="M393" t="n">
        <v>0</v>
      </c>
      <c r="N393" t="n">
        <v>0</v>
      </c>
      <c r="O393" t="n">
        <v>0</v>
      </c>
      <c r="P393" t="n">
        <v>0</v>
      </c>
      <c r="Q393" t="n">
        <v>0</v>
      </c>
      <c r="R393" s="2" t="inlineStr"/>
    </row>
    <row r="394" ht="15" customHeight="1">
      <c r="A394" t="inlineStr">
        <is>
          <t>A 62113-2022</t>
        </is>
      </c>
      <c r="B394" s="1" t="n">
        <v>44921</v>
      </c>
      <c r="C394" s="1" t="n">
        <v>45736</v>
      </c>
      <c r="D394" t="inlineStr">
        <is>
          <t>VÄSTERNORRLANDS LÄN</t>
        </is>
      </c>
      <c r="E394" t="inlineStr">
        <is>
          <t>TIMRÅ</t>
        </is>
      </c>
      <c r="G394" t="n">
        <v>1</v>
      </c>
      <c r="H394" t="n">
        <v>0</v>
      </c>
      <c r="I394" t="n">
        <v>0</v>
      </c>
      <c r="J394" t="n">
        <v>0</v>
      </c>
      <c r="K394" t="n">
        <v>0</v>
      </c>
      <c r="L394" t="n">
        <v>0</v>
      </c>
      <c r="M394" t="n">
        <v>0</v>
      </c>
      <c r="N394" t="n">
        <v>0</v>
      </c>
      <c r="O394" t="n">
        <v>0</v>
      </c>
      <c r="P394" t="n">
        <v>0</v>
      </c>
      <c r="Q394" t="n">
        <v>0</v>
      </c>
      <c r="R394" s="2" t="inlineStr"/>
    </row>
    <row r="395" ht="15" customHeight="1">
      <c r="A395" t="inlineStr">
        <is>
          <t>A 528-2023</t>
        </is>
      </c>
      <c r="B395" s="1" t="n">
        <v>44924</v>
      </c>
      <c r="C395" s="1" t="n">
        <v>45736</v>
      </c>
      <c r="D395" t="inlineStr">
        <is>
          <t>VÄSTERNORRLANDS LÄN</t>
        </is>
      </c>
      <c r="E395" t="inlineStr">
        <is>
          <t>TIMRÅ</t>
        </is>
      </c>
      <c r="G395" t="n">
        <v>0.9</v>
      </c>
      <c r="H395" t="n">
        <v>0</v>
      </c>
      <c r="I395" t="n">
        <v>0</v>
      </c>
      <c r="J395" t="n">
        <v>0</v>
      </c>
      <c r="K395" t="n">
        <v>0</v>
      </c>
      <c r="L395" t="n">
        <v>0</v>
      </c>
      <c r="M395" t="n">
        <v>0</v>
      </c>
      <c r="N395" t="n">
        <v>0</v>
      </c>
      <c r="O395" t="n">
        <v>0</v>
      </c>
      <c r="P395" t="n">
        <v>0</v>
      </c>
      <c r="Q395" t="n">
        <v>0</v>
      </c>
      <c r="R395" s="2" t="inlineStr"/>
    </row>
    <row r="396" ht="15" customHeight="1">
      <c r="A396" t="inlineStr">
        <is>
          <t>A 524-2023</t>
        </is>
      </c>
      <c r="B396" s="1" t="n">
        <v>44924</v>
      </c>
      <c r="C396" s="1" t="n">
        <v>45736</v>
      </c>
      <c r="D396" t="inlineStr">
        <is>
          <t>VÄSTERNORRLANDS LÄN</t>
        </is>
      </c>
      <c r="E396" t="inlineStr">
        <is>
          <t>TIMRÅ</t>
        </is>
      </c>
      <c r="G396" t="n">
        <v>3</v>
      </c>
      <c r="H396" t="n">
        <v>0</v>
      </c>
      <c r="I396" t="n">
        <v>0</v>
      </c>
      <c r="J396" t="n">
        <v>0</v>
      </c>
      <c r="K396" t="n">
        <v>0</v>
      </c>
      <c r="L396" t="n">
        <v>0</v>
      </c>
      <c r="M396" t="n">
        <v>0</v>
      </c>
      <c r="N396" t="n">
        <v>0</v>
      </c>
      <c r="O396" t="n">
        <v>0</v>
      </c>
      <c r="P396" t="n">
        <v>0</v>
      </c>
      <c r="Q396" t="n">
        <v>0</v>
      </c>
      <c r="R396" s="2" t="inlineStr"/>
    </row>
    <row r="397" ht="15" customHeight="1">
      <c r="A397" t="inlineStr">
        <is>
          <t>A 704-2023</t>
        </is>
      </c>
      <c r="B397" s="1" t="n">
        <v>44930</v>
      </c>
      <c r="C397" s="1" t="n">
        <v>45736</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1416-2023</t>
        </is>
      </c>
      <c r="B398" s="1" t="n">
        <v>44936</v>
      </c>
      <c r="C398" s="1" t="n">
        <v>45736</v>
      </c>
      <c r="D398" t="inlineStr">
        <is>
          <t>VÄSTERNORRLANDS LÄN</t>
        </is>
      </c>
      <c r="E398" t="inlineStr">
        <is>
          <t>TIMRÅ</t>
        </is>
      </c>
      <c r="G398" t="n">
        <v>0.6</v>
      </c>
      <c r="H398" t="n">
        <v>0</v>
      </c>
      <c r="I398" t="n">
        <v>0</v>
      </c>
      <c r="J398" t="n">
        <v>0</v>
      </c>
      <c r="K398" t="n">
        <v>0</v>
      </c>
      <c r="L398" t="n">
        <v>0</v>
      </c>
      <c r="M398" t="n">
        <v>0</v>
      </c>
      <c r="N398" t="n">
        <v>0</v>
      </c>
      <c r="O398" t="n">
        <v>0</v>
      </c>
      <c r="P398" t="n">
        <v>0</v>
      </c>
      <c r="Q398" t="n">
        <v>0</v>
      </c>
      <c r="R398" s="2" t="inlineStr"/>
    </row>
    <row r="399" ht="15" customHeight="1">
      <c r="A399" t="inlineStr">
        <is>
          <t>A 1415-2023</t>
        </is>
      </c>
      <c r="B399" s="1" t="n">
        <v>44936</v>
      </c>
      <c r="C399" s="1" t="n">
        <v>45736</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1896-2023</t>
        </is>
      </c>
      <c r="B400" s="1" t="n">
        <v>44939</v>
      </c>
      <c r="C400" s="1" t="n">
        <v>45736</v>
      </c>
      <c r="D400" t="inlineStr">
        <is>
          <t>VÄSTERNORRLANDS LÄN</t>
        </is>
      </c>
      <c r="E400" t="inlineStr">
        <is>
          <t>TIMRÅ</t>
        </is>
      </c>
      <c r="G400" t="n">
        <v>7.6</v>
      </c>
      <c r="H400" t="n">
        <v>0</v>
      </c>
      <c r="I400" t="n">
        <v>0</v>
      </c>
      <c r="J400" t="n">
        <v>0</v>
      </c>
      <c r="K400" t="n">
        <v>0</v>
      </c>
      <c r="L400" t="n">
        <v>0</v>
      </c>
      <c r="M400" t="n">
        <v>0</v>
      </c>
      <c r="N400" t="n">
        <v>0</v>
      </c>
      <c r="O400" t="n">
        <v>0</v>
      </c>
      <c r="P400" t="n">
        <v>0</v>
      </c>
      <c r="Q400" t="n">
        <v>0</v>
      </c>
      <c r="R400" s="2" t="inlineStr"/>
    </row>
    <row r="401" ht="15" customHeight="1">
      <c r="A401" t="inlineStr">
        <is>
          <t>A 1935-2023</t>
        </is>
      </c>
      <c r="B401" s="1" t="n">
        <v>44939</v>
      </c>
      <c r="C401" s="1" t="n">
        <v>45736</v>
      </c>
      <c r="D401" t="inlineStr">
        <is>
          <t>VÄSTERNORRLANDS LÄN</t>
        </is>
      </c>
      <c r="E401" t="inlineStr">
        <is>
          <t>TIMRÅ</t>
        </is>
      </c>
      <c r="G401" t="n">
        <v>5</v>
      </c>
      <c r="H401" t="n">
        <v>0</v>
      </c>
      <c r="I401" t="n">
        <v>0</v>
      </c>
      <c r="J401" t="n">
        <v>0</v>
      </c>
      <c r="K401" t="n">
        <v>0</v>
      </c>
      <c r="L401" t="n">
        <v>0</v>
      </c>
      <c r="M401" t="n">
        <v>0</v>
      </c>
      <c r="N401" t="n">
        <v>0</v>
      </c>
      <c r="O401" t="n">
        <v>0</v>
      </c>
      <c r="P401" t="n">
        <v>0</v>
      </c>
      <c r="Q401" t="n">
        <v>0</v>
      </c>
      <c r="R401" s="2" t="inlineStr"/>
    </row>
    <row r="402" ht="15" customHeight="1">
      <c r="A402" t="inlineStr">
        <is>
          <t>A 2434-2023</t>
        </is>
      </c>
      <c r="B402" s="1" t="n">
        <v>44943</v>
      </c>
      <c r="C402" s="1" t="n">
        <v>45736</v>
      </c>
      <c r="D402" t="inlineStr">
        <is>
          <t>VÄSTERNORRLANDS LÄN</t>
        </is>
      </c>
      <c r="E402" t="inlineStr">
        <is>
          <t>TIMRÅ</t>
        </is>
      </c>
      <c r="G402" t="n">
        <v>6.6</v>
      </c>
      <c r="H402" t="n">
        <v>0</v>
      </c>
      <c r="I402" t="n">
        <v>0</v>
      </c>
      <c r="J402" t="n">
        <v>0</v>
      </c>
      <c r="K402" t="n">
        <v>0</v>
      </c>
      <c r="L402" t="n">
        <v>0</v>
      </c>
      <c r="M402" t="n">
        <v>0</v>
      </c>
      <c r="N402" t="n">
        <v>0</v>
      </c>
      <c r="O402" t="n">
        <v>0</v>
      </c>
      <c r="P402" t="n">
        <v>0</v>
      </c>
      <c r="Q402" t="n">
        <v>0</v>
      </c>
      <c r="R402" s="2" t="inlineStr"/>
    </row>
    <row r="403" ht="15" customHeight="1">
      <c r="A403" t="inlineStr">
        <is>
          <t>A 4124-2023</t>
        </is>
      </c>
      <c r="B403" s="1" t="n">
        <v>44952</v>
      </c>
      <c r="C403" s="1" t="n">
        <v>45736</v>
      </c>
      <c r="D403" t="inlineStr">
        <is>
          <t>VÄSTERNORRLANDS LÄN</t>
        </is>
      </c>
      <c r="E403" t="inlineStr">
        <is>
          <t>TIMRÅ</t>
        </is>
      </c>
      <c r="G403" t="n">
        <v>4.4</v>
      </c>
      <c r="H403" t="n">
        <v>0</v>
      </c>
      <c r="I403" t="n">
        <v>0</v>
      </c>
      <c r="J403" t="n">
        <v>0</v>
      </c>
      <c r="K403" t="n">
        <v>0</v>
      </c>
      <c r="L403" t="n">
        <v>0</v>
      </c>
      <c r="M403" t="n">
        <v>0</v>
      </c>
      <c r="N403" t="n">
        <v>0</v>
      </c>
      <c r="O403" t="n">
        <v>0</v>
      </c>
      <c r="P403" t="n">
        <v>0</v>
      </c>
      <c r="Q403" t="n">
        <v>0</v>
      </c>
      <c r="R403" s="2" t="inlineStr"/>
    </row>
    <row r="404" ht="15" customHeight="1">
      <c r="A404" t="inlineStr">
        <is>
          <t>A 4123-2023</t>
        </is>
      </c>
      <c r="B404" s="1" t="n">
        <v>44952</v>
      </c>
      <c r="C404" s="1" t="n">
        <v>45736</v>
      </c>
      <c r="D404" t="inlineStr">
        <is>
          <t>VÄSTERNORRLANDS LÄN</t>
        </is>
      </c>
      <c r="E404" t="inlineStr">
        <is>
          <t>TIMRÅ</t>
        </is>
      </c>
      <c r="G404" t="n">
        <v>9.5</v>
      </c>
      <c r="H404" t="n">
        <v>0</v>
      </c>
      <c r="I404" t="n">
        <v>0</v>
      </c>
      <c r="J404" t="n">
        <v>0</v>
      </c>
      <c r="K404" t="n">
        <v>0</v>
      </c>
      <c r="L404" t="n">
        <v>0</v>
      </c>
      <c r="M404" t="n">
        <v>0</v>
      </c>
      <c r="N404" t="n">
        <v>0</v>
      </c>
      <c r="O404" t="n">
        <v>0</v>
      </c>
      <c r="P404" t="n">
        <v>0</v>
      </c>
      <c r="Q404" t="n">
        <v>0</v>
      </c>
      <c r="R404" s="2" t="inlineStr"/>
    </row>
    <row r="405" ht="15" customHeight="1">
      <c r="A405" t="inlineStr">
        <is>
          <t>A 4126-2023</t>
        </is>
      </c>
      <c r="B405" s="1" t="n">
        <v>44952</v>
      </c>
      <c r="C405" s="1" t="n">
        <v>45736</v>
      </c>
      <c r="D405" t="inlineStr">
        <is>
          <t>VÄSTERNORRLANDS LÄN</t>
        </is>
      </c>
      <c r="E405" t="inlineStr">
        <is>
          <t>TIMRÅ</t>
        </is>
      </c>
      <c r="G405" t="n">
        <v>1.7</v>
      </c>
      <c r="H405" t="n">
        <v>0</v>
      </c>
      <c r="I405" t="n">
        <v>0</v>
      </c>
      <c r="J405" t="n">
        <v>0</v>
      </c>
      <c r="K405" t="n">
        <v>0</v>
      </c>
      <c r="L405" t="n">
        <v>0</v>
      </c>
      <c r="M405" t="n">
        <v>0</v>
      </c>
      <c r="N405" t="n">
        <v>0</v>
      </c>
      <c r="O405" t="n">
        <v>0</v>
      </c>
      <c r="P405" t="n">
        <v>0</v>
      </c>
      <c r="Q405" t="n">
        <v>0</v>
      </c>
      <c r="R405" s="2" t="inlineStr"/>
    </row>
    <row r="406" ht="15" customHeight="1">
      <c r="A406" t="inlineStr">
        <is>
          <t>A 4125-2023</t>
        </is>
      </c>
      <c r="B406" s="1" t="n">
        <v>44952</v>
      </c>
      <c r="C406" s="1" t="n">
        <v>45736</v>
      </c>
      <c r="D406" t="inlineStr">
        <is>
          <t>VÄSTERNORRLANDS LÄN</t>
        </is>
      </c>
      <c r="E406" t="inlineStr">
        <is>
          <t>TIMRÅ</t>
        </is>
      </c>
      <c r="G406" t="n">
        <v>2.3</v>
      </c>
      <c r="H406" t="n">
        <v>0</v>
      </c>
      <c r="I406" t="n">
        <v>0</v>
      </c>
      <c r="J406" t="n">
        <v>0</v>
      </c>
      <c r="K406" t="n">
        <v>0</v>
      </c>
      <c r="L406" t="n">
        <v>0</v>
      </c>
      <c r="M406" t="n">
        <v>0</v>
      </c>
      <c r="N406" t="n">
        <v>0</v>
      </c>
      <c r="O406" t="n">
        <v>0</v>
      </c>
      <c r="P406" t="n">
        <v>0</v>
      </c>
      <c r="Q406" t="n">
        <v>0</v>
      </c>
      <c r="R406" s="2" t="inlineStr"/>
    </row>
    <row r="407" ht="15" customHeight="1">
      <c r="A407" t="inlineStr">
        <is>
          <t>A 4129-2023</t>
        </is>
      </c>
      <c r="B407" s="1" t="n">
        <v>44952</v>
      </c>
      <c r="C407" s="1" t="n">
        <v>45736</v>
      </c>
      <c r="D407" t="inlineStr">
        <is>
          <t>VÄSTERNORRLANDS LÄN</t>
        </is>
      </c>
      <c r="E407" t="inlineStr">
        <is>
          <t>TIMRÅ</t>
        </is>
      </c>
      <c r="G407" t="n">
        <v>13.3</v>
      </c>
      <c r="H407" t="n">
        <v>0</v>
      </c>
      <c r="I407" t="n">
        <v>0</v>
      </c>
      <c r="J407" t="n">
        <v>0</v>
      </c>
      <c r="K407" t="n">
        <v>0</v>
      </c>
      <c r="L407" t="n">
        <v>0</v>
      </c>
      <c r="M407" t="n">
        <v>0</v>
      </c>
      <c r="N407" t="n">
        <v>0</v>
      </c>
      <c r="O407" t="n">
        <v>0</v>
      </c>
      <c r="P407" t="n">
        <v>0</v>
      </c>
      <c r="Q407" t="n">
        <v>0</v>
      </c>
      <c r="R407" s="2" t="inlineStr"/>
    </row>
    <row r="408" ht="15" customHeight="1">
      <c r="A408" t="inlineStr">
        <is>
          <t>A 6772-2023</t>
        </is>
      </c>
      <c r="B408" s="1" t="n">
        <v>44966</v>
      </c>
      <c r="C408" s="1" t="n">
        <v>45736</v>
      </c>
      <c r="D408" t="inlineStr">
        <is>
          <t>VÄSTERNORRLANDS LÄN</t>
        </is>
      </c>
      <c r="E408" t="inlineStr">
        <is>
          <t>TIMRÅ</t>
        </is>
      </c>
      <c r="G408" t="n">
        <v>1.9</v>
      </c>
      <c r="H408" t="n">
        <v>0</v>
      </c>
      <c r="I408" t="n">
        <v>0</v>
      </c>
      <c r="J408" t="n">
        <v>0</v>
      </c>
      <c r="K408" t="n">
        <v>0</v>
      </c>
      <c r="L408" t="n">
        <v>0</v>
      </c>
      <c r="M408" t="n">
        <v>0</v>
      </c>
      <c r="N408" t="n">
        <v>0</v>
      </c>
      <c r="O408" t="n">
        <v>0</v>
      </c>
      <c r="P408" t="n">
        <v>0</v>
      </c>
      <c r="Q408" t="n">
        <v>0</v>
      </c>
      <c r="R408" s="2" t="inlineStr"/>
    </row>
    <row r="409" ht="15" customHeight="1">
      <c r="A409" t="inlineStr">
        <is>
          <t>A 6770-2023</t>
        </is>
      </c>
      <c r="B409" s="1" t="n">
        <v>44966</v>
      </c>
      <c r="C409" s="1" t="n">
        <v>45736</v>
      </c>
      <c r="D409" t="inlineStr">
        <is>
          <t>VÄSTERNORRLANDS LÄN</t>
        </is>
      </c>
      <c r="E409" t="inlineStr">
        <is>
          <t>TIMRÅ</t>
        </is>
      </c>
      <c r="G409" t="n">
        <v>3.3</v>
      </c>
      <c r="H409" t="n">
        <v>0</v>
      </c>
      <c r="I409" t="n">
        <v>0</v>
      </c>
      <c r="J409" t="n">
        <v>0</v>
      </c>
      <c r="K409" t="n">
        <v>0</v>
      </c>
      <c r="L409" t="n">
        <v>0</v>
      </c>
      <c r="M409" t="n">
        <v>0</v>
      </c>
      <c r="N409" t="n">
        <v>0</v>
      </c>
      <c r="O409" t="n">
        <v>0</v>
      </c>
      <c r="P409" t="n">
        <v>0</v>
      </c>
      <c r="Q409" t="n">
        <v>0</v>
      </c>
      <c r="R409" s="2" t="inlineStr"/>
    </row>
    <row r="410" ht="15" customHeight="1">
      <c r="A410" t="inlineStr">
        <is>
          <t>A 6771-2023</t>
        </is>
      </c>
      <c r="B410" s="1" t="n">
        <v>44966</v>
      </c>
      <c r="C410" s="1" t="n">
        <v>45736</v>
      </c>
      <c r="D410" t="inlineStr">
        <is>
          <t>VÄSTERNORRLANDS LÄN</t>
        </is>
      </c>
      <c r="E410" t="inlineStr">
        <is>
          <t>TIMRÅ</t>
        </is>
      </c>
      <c r="G410" t="n">
        <v>3</v>
      </c>
      <c r="H410" t="n">
        <v>0</v>
      </c>
      <c r="I410" t="n">
        <v>0</v>
      </c>
      <c r="J410" t="n">
        <v>0</v>
      </c>
      <c r="K410" t="n">
        <v>0</v>
      </c>
      <c r="L410" t="n">
        <v>0</v>
      </c>
      <c r="M410" t="n">
        <v>0</v>
      </c>
      <c r="N410" t="n">
        <v>0</v>
      </c>
      <c r="O410" t="n">
        <v>0</v>
      </c>
      <c r="P410" t="n">
        <v>0</v>
      </c>
      <c r="Q410" t="n">
        <v>0</v>
      </c>
      <c r="R410" s="2" t="inlineStr"/>
    </row>
    <row r="411" ht="15" customHeight="1">
      <c r="A411" t="inlineStr">
        <is>
          <t>A 8632-2023</t>
        </is>
      </c>
      <c r="B411" s="1" t="n">
        <v>44977</v>
      </c>
      <c r="C411" s="1" t="n">
        <v>45736</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9612-2023</t>
        </is>
      </c>
      <c r="B412" s="1" t="n">
        <v>44983</v>
      </c>
      <c r="C412" s="1" t="n">
        <v>45736</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9880-2023</t>
        </is>
      </c>
      <c r="B413" s="1" t="n">
        <v>44984</v>
      </c>
      <c r="C413" s="1" t="n">
        <v>45736</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10103-2023</t>
        </is>
      </c>
      <c r="B414" s="1" t="n">
        <v>44985</v>
      </c>
      <c r="C414" s="1" t="n">
        <v>45736</v>
      </c>
      <c r="D414" t="inlineStr">
        <is>
          <t>VÄSTERNORRLANDS LÄN</t>
        </is>
      </c>
      <c r="E414" t="inlineStr">
        <is>
          <t>TIMRÅ</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10104-2023</t>
        </is>
      </c>
      <c r="B415" s="1" t="n">
        <v>44985</v>
      </c>
      <c r="C415" s="1" t="n">
        <v>45736</v>
      </c>
      <c r="D415" t="inlineStr">
        <is>
          <t>VÄSTERNORRLANDS LÄN</t>
        </is>
      </c>
      <c r="E415" t="inlineStr">
        <is>
          <t>TIMRÅ</t>
        </is>
      </c>
      <c r="F415" t="inlineStr">
        <is>
          <t>SCA</t>
        </is>
      </c>
      <c r="G415" t="n">
        <v>10.5</v>
      </c>
      <c r="H415" t="n">
        <v>0</v>
      </c>
      <c r="I415" t="n">
        <v>0</v>
      </c>
      <c r="J415" t="n">
        <v>0</v>
      </c>
      <c r="K415" t="n">
        <v>0</v>
      </c>
      <c r="L415" t="n">
        <v>0</v>
      </c>
      <c r="M415" t="n">
        <v>0</v>
      </c>
      <c r="N415" t="n">
        <v>0</v>
      </c>
      <c r="O415" t="n">
        <v>0</v>
      </c>
      <c r="P415" t="n">
        <v>0</v>
      </c>
      <c r="Q415" t="n">
        <v>0</v>
      </c>
      <c r="R415" s="2" t="inlineStr"/>
    </row>
    <row r="416" ht="15" customHeight="1">
      <c r="A416" t="inlineStr">
        <is>
          <t>A 10312-2023</t>
        </is>
      </c>
      <c r="B416" s="1" t="n">
        <v>44986</v>
      </c>
      <c r="C416" s="1" t="n">
        <v>45736</v>
      </c>
      <c r="D416" t="inlineStr">
        <is>
          <t>VÄSTERNORRLANDS LÄN</t>
        </is>
      </c>
      <c r="E416" t="inlineStr">
        <is>
          <t>TIMRÅ</t>
        </is>
      </c>
      <c r="F416" t="inlineStr">
        <is>
          <t>SCA</t>
        </is>
      </c>
      <c r="G416" t="n">
        <v>38.4</v>
      </c>
      <c r="H416" t="n">
        <v>0</v>
      </c>
      <c r="I416" t="n">
        <v>0</v>
      </c>
      <c r="J416" t="n">
        <v>0</v>
      </c>
      <c r="K416" t="n">
        <v>0</v>
      </c>
      <c r="L416" t="n">
        <v>0</v>
      </c>
      <c r="M416" t="n">
        <v>0</v>
      </c>
      <c r="N416" t="n">
        <v>0</v>
      </c>
      <c r="O416" t="n">
        <v>0</v>
      </c>
      <c r="P416" t="n">
        <v>0</v>
      </c>
      <c r="Q416" t="n">
        <v>0</v>
      </c>
      <c r="R416" s="2" t="inlineStr"/>
    </row>
    <row r="417" ht="15" customHeight="1">
      <c r="A417" t="inlineStr">
        <is>
          <t>A 10556-2023</t>
        </is>
      </c>
      <c r="B417" s="1" t="n">
        <v>44987</v>
      </c>
      <c r="C417" s="1" t="n">
        <v>45736</v>
      </c>
      <c r="D417" t="inlineStr">
        <is>
          <t>VÄSTERNORRLANDS LÄN</t>
        </is>
      </c>
      <c r="E417" t="inlineStr">
        <is>
          <t>TIMRÅ</t>
        </is>
      </c>
      <c r="F417" t="inlineStr">
        <is>
          <t>SCA</t>
        </is>
      </c>
      <c r="G417" t="n">
        <v>9.5</v>
      </c>
      <c r="H417" t="n">
        <v>0</v>
      </c>
      <c r="I417" t="n">
        <v>0</v>
      </c>
      <c r="J417" t="n">
        <v>0</v>
      </c>
      <c r="K417" t="n">
        <v>0</v>
      </c>
      <c r="L417" t="n">
        <v>0</v>
      </c>
      <c r="M417" t="n">
        <v>0</v>
      </c>
      <c r="N417" t="n">
        <v>0</v>
      </c>
      <c r="O417" t="n">
        <v>0</v>
      </c>
      <c r="P417" t="n">
        <v>0</v>
      </c>
      <c r="Q417" t="n">
        <v>0</v>
      </c>
      <c r="R417" s="2" t="inlineStr"/>
    </row>
    <row r="418" ht="15" customHeight="1">
      <c r="A418" t="inlineStr">
        <is>
          <t>A 10773-2023</t>
        </is>
      </c>
      <c r="B418" s="1" t="n">
        <v>44988</v>
      </c>
      <c r="C418" s="1" t="n">
        <v>45736</v>
      </c>
      <c r="D418" t="inlineStr">
        <is>
          <t>VÄSTERNORRLANDS LÄN</t>
        </is>
      </c>
      <c r="E418" t="inlineStr">
        <is>
          <t>TIMRÅ</t>
        </is>
      </c>
      <c r="F418" t="inlineStr">
        <is>
          <t>SCA</t>
        </is>
      </c>
      <c r="G418" t="n">
        <v>17.3</v>
      </c>
      <c r="H418" t="n">
        <v>0</v>
      </c>
      <c r="I418" t="n">
        <v>0</v>
      </c>
      <c r="J418" t="n">
        <v>0</v>
      </c>
      <c r="K418" t="n">
        <v>0</v>
      </c>
      <c r="L418" t="n">
        <v>0</v>
      </c>
      <c r="M418" t="n">
        <v>0</v>
      </c>
      <c r="N418" t="n">
        <v>0</v>
      </c>
      <c r="O418" t="n">
        <v>0</v>
      </c>
      <c r="P418" t="n">
        <v>0</v>
      </c>
      <c r="Q418" t="n">
        <v>0</v>
      </c>
      <c r="R418" s="2" t="inlineStr"/>
    </row>
    <row r="419" ht="15" customHeight="1">
      <c r="A419" t="inlineStr">
        <is>
          <t>A 13256-2023</t>
        </is>
      </c>
      <c r="B419" s="1" t="n">
        <v>45002</v>
      </c>
      <c r="C419" s="1" t="n">
        <v>45736</v>
      </c>
      <c r="D419" t="inlineStr">
        <is>
          <t>VÄSTERNORRLANDS LÄN</t>
        </is>
      </c>
      <c r="E419" t="inlineStr">
        <is>
          <t>TIMRÅ</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13254-2023</t>
        </is>
      </c>
      <c r="B420" s="1" t="n">
        <v>45002</v>
      </c>
      <c r="C420" s="1" t="n">
        <v>45736</v>
      </c>
      <c r="D420" t="inlineStr">
        <is>
          <t>VÄSTERNORRLANDS LÄN</t>
        </is>
      </c>
      <c r="E420" t="inlineStr">
        <is>
          <t>TIMRÅ</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13255-2023</t>
        </is>
      </c>
      <c r="B421" s="1" t="n">
        <v>45002</v>
      </c>
      <c r="C421" s="1" t="n">
        <v>45736</v>
      </c>
      <c r="D421" t="inlineStr">
        <is>
          <t>VÄSTERNORRLANDS LÄN</t>
        </is>
      </c>
      <c r="E421" t="inlineStr">
        <is>
          <t>TIMRÅ</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13253-2023</t>
        </is>
      </c>
      <c r="B422" s="1" t="n">
        <v>45002</v>
      </c>
      <c r="C422" s="1" t="n">
        <v>45736</v>
      </c>
      <c r="D422" t="inlineStr">
        <is>
          <t>VÄSTERNORRLANDS LÄN</t>
        </is>
      </c>
      <c r="E422" t="inlineStr">
        <is>
          <t>TIMRÅ</t>
        </is>
      </c>
      <c r="F422" t="inlineStr">
        <is>
          <t>SCA</t>
        </is>
      </c>
      <c r="G422" t="n">
        <v>10.1</v>
      </c>
      <c r="H422" t="n">
        <v>0</v>
      </c>
      <c r="I422" t="n">
        <v>0</v>
      </c>
      <c r="J422" t="n">
        <v>0</v>
      </c>
      <c r="K422" t="n">
        <v>0</v>
      </c>
      <c r="L422" t="n">
        <v>0</v>
      </c>
      <c r="M422" t="n">
        <v>0</v>
      </c>
      <c r="N422" t="n">
        <v>0</v>
      </c>
      <c r="O422" t="n">
        <v>0</v>
      </c>
      <c r="P422" t="n">
        <v>0</v>
      </c>
      <c r="Q422" t="n">
        <v>0</v>
      </c>
      <c r="R422" s="2" t="inlineStr"/>
    </row>
    <row r="423" ht="15" customHeight="1">
      <c r="A423" t="inlineStr">
        <is>
          <t>A 13446-2023</t>
        </is>
      </c>
      <c r="B423" s="1" t="n">
        <v>45005</v>
      </c>
      <c r="C423" s="1" t="n">
        <v>45736</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14865-2023</t>
        </is>
      </c>
      <c r="B424" s="1" t="n">
        <v>45015</v>
      </c>
      <c r="C424" s="1" t="n">
        <v>45736</v>
      </c>
      <c r="D424" t="inlineStr">
        <is>
          <t>VÄSTERNORRLANDS LÄN</t>
        </is>
      </c>
      <c r="E424" t="inlineStr">
        <is>
          <t>TIMRÅ</t>
        </is>
      </c>
      <c r="F424" t="inlineStr">
        <is>
          <t>SCA</t>
        </is>
      </c>
      <c r="G424" t="n">
        <v>20.1</v>
      </c>
      <c r="H424" t="n">
        <v>0</v>
      </c>
      <c r="I424" t="n">
        <v>0</v>
      </c>
      <c r="J424" t="n">
        <v>0</v>
      </c>
      <c r="K424" t="n">
        <v>0</v>
      </c>
      <c r="L424" t="n">
        <v>0</v>
      </c>
      <c r="M424" t="n">
        <v>0</v>
      </c>
      <c r="N424" t="n">
        <v>0</v>
      </c>
      <c r="O424" t="n">
        <v>0</v>
      </c>
      <c r="P424" t="n">
        <v>0</v>
      </c>
      <c r="Q424" t="n">
        <v>0</v>
      </c>
      <c r="R424" s="2" t="inlineStr"/>
    </row>
    <row r="425" ht="15" customHeight="1">
      <c r="A425" t="inlineStr">
        <is>
          <t>A 14863-2023</t>
        </is>
      </c>
      <c r="B425" s="1" t="n">
        <v>45015</v>
      </c>
      <c r="C425" s="1" t="n">
        <v>45736</v>
      </c>
      <c r="D425" t="inlineStr">
        <is>
          <t>VÄSTERNORRLANDS LÄN</t>
        </is>
      </c>
      <c r="E425" t="inlineStr">
        <is>
          <t>TIMRÅ</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14864-2023</t>
        </is>
      </c>
      <c r="B426" s="1" t="n">
        <v>45015</v>
      </c>
      <c r="C426" s="1" t="n">
        <v>45736</v>
      </c>
      <c r="D426" t="inlineStr">
        <is>
          <t>VÄSTERNORRLANDS LÄN</t>
        </is>
      </c>
      <c r="E426" t="inlineStr">
        <is>
          <t>TIMRÅ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15815-2023</t>
        </is>
      </c>
      <c r="B427" s="1" t="n">
        <v>45022</v>
      </c>
      <c r="C427" s="1" t="n">
        <v>45736</v>
      </c>
      <c r="D427" t="inlineStr">
        <is>
          <t>VÄSTERNORRLANDS LÄN</t>
        </is>
      </c>
      <c r="E427" t="inlineStr">
        <is>
          <t>TIMRÅ</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15820-2023</t>
        </is>
      </c>
      <c r="B428" s="1" t="n">
        <v>45022</v>
      </c>
      <c r="C428" s="1" t="n">
        <v>45736</v>
      </c>
      <c r="D428" t="inlineStr">
        <is>
          <t>VÄSTERNORRLANDS LÄN</t>
        </is>
      </c>
      <c r="E428" t="inlineStr">
        <is>
          <t>TIMRÅ</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15816-2023</t>
        </is>
      </c>
      <c r="B429" s="1" t="n">
        <v>45021</v>
      </c>
      <c r="C429" s="1" t="n">
        <v>45736</v>
      </c>
      <c r="D429" t="inlineStr">
        <is>
          <t>VÄSTERNORRLANDS LÄN</t>
        </is>
      </c>
      <c r="E429" t="inlineStr">
        <is>
          <t>TIMRÅ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15821-2023</t>
        </is>
      </c>
      <c r="B430" s="1" t="n">
        <v>45022</v>
      </c>
      <c r="C430" s="1" t="n">
        <v>45736</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15823-2023</t>
        </is>
      </c>
      <c r="B431" s="1" t="n">
        <v>45021</v>
      </c>
      <c r="C431" s="1" t="n">
        <v>45736</v>
      </c>
      <c r="D431" t="inlineStr">
        <is>
          <t>VÄSTERNORRLANDS LÄN</t>
        </is>
      </c>
      <c r="E431" t="inlineStr">
        <is>
          <t>TIMRÅ</t>
        </is>
      </c>
      <c r="F431" t="inlineStr">
        <is>
          <t>SCA</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16554-2023</t>
        </is>
      </c>
      <c r="B432" s="1" t="n">
        <v>45029</v>
      </c>
      <c r="C432" s="1" t="n">
        <v>45736</v>
      </c>
      <c r="D432" t="inlineStr">
        <is>
          <t>VÄSTERNORRLANDS LÄN</t>
        </is>
      </c>
      <c r="E432" t="inlineStr">
        <is>
          <t>TIMRÅ</t>
        </is>
      </c>
      <c r="G432" t="n">
        <v>3.8</v>
      </c>
      <c r="H432" t="n">
        <v>0</v>
      </c>
      <c r="I432" t="n">
        <v>0</v>
      </c>
      <c r="J432" t="n">
        <v>0</v>
      </c>
      <c r="K432" t="n">
        <v>0</v>
      </c>
      <c r="L432" t="n">
        <v>0</v>
      </c>
      <c r="M432" t="n">
        <v>0</v>
      </c>
      <c r="N432" t="n">
        <v>0</v>
      </c>
      <c r="O432" t="n">
        <v>0</v>
      </c>
      <c r="P432" t="n">
        <v>0</v>
      </c>
      <c r="Q432" t="n">
        <v>0</v>
      </c>
      <c r="R432" s="2" t="inlineStr"/>
    </row>
    <row r="433" ht="15" customHeight="1">
      <c r="A433" t="inlineStr">
        <is>
          <t>A 16555-2023</t>
        </is>
      </c>
      <c r="B433" s="1" t="n">
        <v>45029</v>
      </c>
      <c r="C433" s="1" t="n">
        <v>45736</v>
      </c>
      <c r="D433" t="inlineStr">
        <is>
          <t>VÄSTERNORRLANDS LÄN</t>
        </is>
      </c>
      <c r="E433" t="inlineStr">
        <is>
          <t>TIMRÅ</t>
        </is>
      </c>
      <c r="G433" t="n">
        <v>0.7</v>
      </c>
      <c r="H433" t="n">
        <v>0</v>
      </c>
      <c r="I433" t="n">
        <v>0</v>
      </c>
      <c r="J433" t="n">
        <v>0</v>
      </c>
      <c r="K433" t="n">
        <v>0</v>
      </c>
      <c r="L433" t="n">
        <v>0</v>
      </c>
      <c r="M433" t="n">
        <v>0</v>
      </c>
      <c r="N433" t="n">
        <v>0</v>
      </c>
      <c r="O433" t="n">
        <v>0</v>
      </c>
      <c r="P433" t="n">
        <v>0</v>
      </c>
      <c r="Q433" t="n">
        <v>0</v>
      </c>
      <c r="R433" s="2" t="inlineStr"/>
    </row>
    <row r="434" ht="15" customHeight="1">
      <c r="A434" t="inlineStr">
        <is>
          <t>A 16786-2023</t>
        </is>
      </c>
      <c r="B434" s="1" t="n">
        <v>45032</v>
      </c>
      <c r="C434" s="1" t="n">
        <v>45736</v>
      </c>
      <c r="D434" t="inlineStr">
        <is>
          <t>VÄSTERNORRLANDS LÄN</t>
        </is>
      </c>
      <c r="E434" t="inlineStr">
        <is>
          <t>TIMRÅ</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17002-2023</t>
        </is>
      </c>
      <c r="B435" s="1" t="n">
        <v>45033</v>
      </c>
      <c r="C435" s="1" t="n">
        <v>45736</v>
      </c>
      <c r="D435" t="inlineStr">
        <is>
          <t>VÄSTERNORRLANDS LÄN</t>
        </is>
      </c>
      <c r="E435" t="inlineStr">
        <is>
          <t>TIMRÅ</t>
        </is>
      </c>
      <c r="F435" t="inlineStr">
        <is>
          <t>SCA</t>
        </is>
      </c>
      <c r="G435" t="n">
        <v>12.7</v>
      </c>
      <c r="H435" t="n">
        <v>0</v>
      </c>
      <c r="I435" t="n">
        <v>0</v>
      </c>
      <c r="J435" t="n">
        <v>0</v>
      </c>
      <c r="K435" t="n">
        <v>0</v>
      </c>
      <c r="L435" t="n">
        <v>0</v>
      </c>
      <c r="M435" t="n">
        <v>0</v>
      </c>
      <c r="N435" t="n">
        <v>0</v>
      </c>
      <c r="O435" t="n">
        <v>0</v>
      </c>
      <c r="P435" t="n">
        <v>0</v>
      </c>
      <c r="Q435" t="n">
        <v>0</v>
      </c>
      <c r="R435" s="2" t="inlineStr"/>
    </row>
    <row r="436" ht="15" customHeight="1">
      <c r="A436" t="inlineStr">
        <is>
          <t>A 17441-2023</t>
        </is>
      </c>
      <c r="B436" s="1" t="n">
        <v>45036</v>
      </c>
      <c r="C436" s="1" t="n">
        <v>45736</v>
      </c>
      <c r="D436" t="inlineStr">
        <is>
          <t>VÄSTERNORRLANDS LÄN</t>
        </is>
      </c>
      <c r="E436" t="inlineStr">
        <is>
          <t>TIMRÅ</t>
        </is>
      </c>
      <c r="F436" t="inlineStr">
        <is>
          <t>SCA</t>
        </is>
      </c>
      <c r="G436" t="n">
        <v>7.4</v>
      </c>
      <c r="H436" t="n">
        <v>0</v>
      </c>
      <c r="I436" t="n">
        <v>0</v>
      </c>
      <c r="J436" t="n">
        <v>0</v>
      </c>
      <c r="K436" t="n">
        <v>0</v>
      </c>
      <c r="L436" t="n">
        <v>0</v>
      </c>
      <c r="M436" t="n">
        <v>0</v>
      </c>
      <c r="N436" t="n">
        <v>0</v>
      </c>
      <c r="O436" t="n">
        <v>0</v>
      </c>
      <c r="P436" t="n">
        <v>0</v>
      </c>
      <c r="Q436" t="n">
        <v>0</v>
      </c>
      <c r="R436" s="2" t="inlineStr"/>
    </row>
    <row r="437" ht="15" customHeight="1">
      <c r="A437" t="inlineStr">
        <is>
          <t>A 17865-2023</t>
        </is>
      </c>
      <c r="B437" s="1" t="n">
        <v>45038</v>
      </c>
      <c r="C437" s="1" t="n">
        <v>45736</v>
      </c>
      <c r="D437" t="inlineStr">
        <is>
          <t>VÄSTERNORRLANDS LÄN</t>
        </is>
      </c>
      <c r="E437" t="inlineStr">
        <is>
          <t>TIMRÅ</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17936-2023</t>
        </is>
      </c>
      <c r="B438" s="1" t="n">
        <v>45040</v>
      </c>
      <c r="C438" s="1" t="n">
        <v>45736</v>
      </c>
      <c r="D438" t="inlineStr">
        <is>
          <t>VÄSTERNORRLANDS LÄN</t>
        </is>
      </c>
      <c r="E438" t="inlineStr">
        <is>
          <t>TIMRÅ</t>
        </is>
      </c>
      <c r="G438" t="n">
        <v>4.8</v>
      </c>
      <c r="H438" t="n">
        <v>0</v>
      </c>
      <c r="I438" t="n">
        <v>0</v>
      </c>
      <c r="J438" t="n">
        <v>0</v>
      </c>
      <c r="K438" t="n">
        <v>0</v>
      </c>
      <c r="L438" t="n">
        <v>0</v>
      </c>
      <c r="M438" t="n">
        <v>0</v>
      </c>
      <c r="N438" t="n">
        <v>0</v>
      </c>
      <c r="O438" t="n">
        <v>0</v>
      </c>
      <c r="P438" t="n">
        <v>0</v>
      </c>
      <c r="Q438" t="n">
        <v>0</v>
      </c>
      <c r="R438" s="2" t="inlineStr"/>
    </row>
    <row r="439" ht="15" customHeight="1">
      <c r="A439" t="inlineStr">
        <is>
          <t>A 18289-2023</t>
        </is>
      </c>
      <c r="B439" s="1" t="n">
        <v>45040</v>
      </c>
      <c r="C439" s="1" t="n">
        <v>45736</v>
      </c>
      <c r="D439" t="inlineStr">
        <is>
          <t>VÄSTERNORRLANDS LÄN</t>
        </is>
      </c>
      <c r="E439" t="inlineStr">
        <is>
          <t>TIMRÅ</t>
        </is>
      </c>
      <c r="G439" t="n">
        <v>4.5</v>
      </c>
      <c r="H439" t="n">
        <v>0</v>
      </c>
      <c r="I439" t="n">
        <v>0</v>
      </c>
      <c r="J439" t="n">
        <v>0</v>
      </c>
      <c r="K439" t="n">
        <v>0</v>
      </c>
      <c r="L439" t="n">
        <v>0</v>
      </c>
      <c r="M439" t="n">
        <v>0</v>
      </c>
      <c r="N439" t="n">
        <v>0</v>
      </c>
      <c r="O439" t="n">
        <v>0</v>
      </c>
      <c r="P439" t="n">
        <v>0</v>
      </c>
      <c r="Q439" t="n">
        <v>0</v>
      </c>
      <c r="R439" s="2" t="inlineStr"/>
    </row>
    <row r="440" ht="15" customHeight="1">
      <c r="A440" t="inlineStr">
        <is>
          <t>A 18684-2023</t>
        </is>
      </c>
      <c r="B440" s="1" t="n">
        <v>45042</v>
      </c>
      <c r="C440" s="1" t="n">
        <v>45736</v>
      </c>
      <c r="D440" t="inlineStr">
        <is>
          <t>VÄSTERNORRLANDS LÄN</t>
        </is>
      </c>
      <c r="E440" t="inlineStr">
        <is>
          <t>TIMRÅ</t>
        </is>
      </c>
      <c r="G440" t="n">
        <v>5.7</v>
      </c>
      <c r="H440" t="n">
        <v>0</v>
      </c>
      <c r="I440" t="n">
        <v>0</v>
      </c>
      <c r="J440" t="n">
        <v>0</v>
      </c>
      <c r="K440" t="n">
        <v>0</v>
      </c>
      <c r="L440" t="n">
        <v>0</v>
      </c>
      <c r="M440" t="n">
        <v>0</v>
      </c>
      <c r="N440" t="n">
        <v>0</v>
      </c>
      <c r="O440" t="n">
        <v>0</v>
      </c>
      <c r="P440" t="n">
        <v>0</v>
      </c>
      <c r="Q440" t="n">
        <v>0</v>
      </c>
      <c r="R440" s="2" t="inlineStr"/>
    </row>
    <row r="441" ht="15" customHeight="1">
      <c r="A441" t="inlineStr">
        <is>
          <t>A 18778-2023</t>
        </is>
      </c>
      <c r="B441" s="1" t="n">
        <v>45043</v>
      </c>
      <c r="C441" s="1" t="n">
        <v>45736</v>
      </c>
      <c r="D441" t="inlineStr">
        <is>
          <t>VÄSTERNORRLANDS LÄN</t>
        </is>
      </c>
      <c r="E441" t="inlineStr">
        <is>
          <t>TIMRÅ</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19244-2023</t>
        </is>
      </c>
      <c r="B442" s="1" t="n">
        <v>45048</v>
      </c>
      <c r="C442" s="1" t="n">
        <v>45736</v>
      </c>
      <c r="D442" t="inlineStr">
        <is>
          <t>VÄSTERNORRLANDS LÄN</t>
        </is>
      </c>
      <c r="E442" t="inlineStr">
        <is>
          <t>TIMRÅ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19440-2023</t>
        </is>
      </c>
      <c r="B443" s="1" t="n">
        <v>45049</v>
      </c>
      <c r="C443" s="1" t="n">
        <v>45736</v>
      </c>
      <c r="D443" t="inlineStr">
        <is>
          <t>VÄSTERNORRLANDS LÄN</t>
        </is>
      </c>
      <c r="E443" t="inlineStr">
        <is>
          <t>TIMRÅ</t>
        </is>
      </c>
      <c r="F443" t="inlineStr">
        <is>
          <t>SCA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20097-2023</t>
        </is>
      </c>
      <c r="B444" s="1" t="n">
        <v>45055</v>
      </c>
      <c r="C444" s="1" t="n">
        <v>45736</v>
      </c>
      <c r="D444" t="inlineStr">
        <is>
          <t>VÄSTERNORRLANDS LÄN</t>
        </is>
      </c>
      <c r="E444" t="inlineStr">
        <is>
          <t>TIMRÅ</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20835-2023</t>
        </is>
      </c>
      <c r="B445" s="1" t="n">
        <v>45058</v>
      </c>
      <c r="C445" s="1" t="n">
        <v>45736</v>
      </c>
      <c r="D445" t="inlineStr">
        <is>
          <t>VÄSTERNORRLANDS LÄN</t>
        </is>
      </c>
      <c r="E445" t="inlineStr">
        <is>
          <t>TIMRÅ</t>
        </is>
      </c>
      <c r="G445" t="n">
        <v>4.4</v>
      </c>
      <c r="H445" t="n">
        <v>0</v>
      </c>
      <c r="I445" t="n">
        <v>0</v>
      </c>
      <c r="J445" t="n">
        <v>0</v>
      </c>
      <c r="K445" t="n">
        <v>0</v>
      </c>
      <c r="L445" t="n">
        <v>0</v>
      </c>
      <c r="M445" t="n">
        <v>0</v>
      </c>
      <c r="N445" t="n">
        <v>0</v>
      </c>
      <c r="O445" t="n">
        <v>0</v>
      </c>
      <c r="P445" t="n">
        <v>0</v>
      </c>
      <c r="Q445" t="n">
        <v>0</v>
      </c>
      <c r="R445" s="2" t="inlineStr"/>
    </row>
    <row r="446" ht="15" customHeight="1">
      <c r="A446" t="inlineStr">
        <is>
          <t>A 20839-2023</t>
        </is>
      </c>
      <c r="B446" s="1" t="n">
        <v>45058</v>
      </c>
      <c r="C446" s="1" t="n">
        <v>45736</v>
      </c>
      <c r="D446" t="inlineStr">
        <is>
          <t>VÄSTERNORRLANDS LÄN</t>
        </is>
      </c>
      <c r="E446" t="inlineStr">
        <is>
          <t>TIMRÅ</t>
        </is>
      </c>
      <c r="G446" t="n">
        <v>7.2</v>
      </c>
      <c r="H446" t="n">
        <v>0</v>
      </c>
      <c r="I446" t="n">
        <v>0</v>
      </c>
      <c r="J446" t="n">
        <v>0</v>
      </c>
      <c r="K446" t="n">
        <v>0</v>
      </c>
      <c r="L446" t="n">
        <v>0</v>
      </c>
      <c r="M446" t="n">
        <v>0</v>
      </c>
      <c r="N446" t="n">
        <v>0</v>
      </c>
      <c r="O446" t="n">
        <v>0</v>
      </c>
      <c r="P446" t="n">
        <v>0</v>
      </c>
      <c r="Q446" t="n">
        <v>0</v>
      </c>
      <c r="R446" s="2" t="inlineStr"/>
    </row>
    <row r="447" ht="15" customHeight="1">
      <c r="A447" t="inlineStr">
        <is>
          <t>A 20837-2023</t>
        </is>
      </c>
      <c r="B447" s="1" t="n">
        <v>45058</v>
      </c>
      <c r="C447" s="1" t="n">
        <v>45736</v>
      </c>
      <c r="D447" t="inlineStr">
        <is>
          <t>VÄSTERNORRLANDS LÄN</t>
        </is>
      </c>
      <c r="E447" t="inlineStr">
        <is>
          <t>TIMRÅ</t>
        </is>
      </c>
      <c r="G447" t="n">
        <v>1.7</v>
      </c>
      <c r="H447" t="n">
        <v>0</v>
      </c>
      <c r="I447" t="n">
        <v>0</v>
      </c>
      <c r="J447" t="n">
        <v>0</v>
      </c>
      <c r="K447" t="n">
        <v>0</v>
      </c>
      <c r="L447" t="n">
        <v>0</v>
      </c>
      <c r="M447" t="n">
        <v>0</v>
      </c>
      <c r="N447" t="n">
        <v>0</v>
      </c>
      <c r="O447" t="n">
        <v>0</v>
      </c>
      <c r="P447" t="n">
        <v>0</v>
      </c>
      <c r="Q447" t="n">
        <v>0</v>
      </c>
      <c r="R447" s="2" t="inlineStr"/>
    </row>
    <row r="448" ht="15" customHeight="1">
      <c r="A448" t="inlineStr">
        <is>
          <t>A 20841-2023</t>
        </is>
      </c>
      <c r="B448" s="1" t="n">
        <v>45058</v>
      </c>
      <c r="C448" s="1" t="n">
        <v>45736</v>
      </c>
      <c r="D448" t="inlineStr">
        <is>
          <t>VÄSTERNORRLANDS LÄN</t>
        </is>
      </c>
      <c r="E448" t="inlineStr">
        <is>
          <t>TIMRÅ</t>
        </is>
      </c>
      <c r="G448" t="n">
        <v>2.1</v>
      </c>
      <c r="H448" t="n">
        <v>0</v>
      </c>
      <c r="I448" t="n">
        <v>0</v>
      </c>
      <c r="J448" t="n">
        <v>0</v>
      </c>
      <c r="K448" t="n">
        <v>0</v>
      </c>
      <c r="L448" t="n">
        <v>0</v>
      </c>
      <c r="M448" t="n">
        <v>0</v>
      </c>
      <c r="N448" t="n">
        <v>0</v>
      </c>
      <c r="O448" t="n">
        <v>0</v>
      </c>
      <c r="P448" t="n">
        <v>0</v>
      </c>
      <c r="Q448" t="n">
        <v>0</v>
      </c>
      <c r="R448" s="2" t="inlineStr"/>
    </row>
    <row r="449" ht="15" customHeight="1">
      <c r="A449" t="inlineStr">
        <is>
          <t>A 20834-2023</t>
        </is>
      </c>
      <c r="B449" s="1" t="n">
        <v>45058</v>
      </c>
      <c r="C449" s="1" t="n">
        <v>45736</v>
      </c>
      <c r="D449" t="inlineStr">
        <is>
          <t>VÄSTERNORRLANDS LÄN</t>
        </is>
      </c>
      <c r="E449" t="inlineStr">
        <is>
          <t>TIMRÅ</t>
        </is>
      </c>
      <c r="G449" t="n">
        <v>5</v>
      </c>
      <c r="H449" t="n">
        <v>0</v>
      </c>
      <c r="I449" t="n">
        <v>0</v>
      </c>
      <c r="J449" t="n">
        <v>0</v>
      </c>
      <c r="K449" t="n">
        <v>0</v>
      </c>
      <c r="L449" t="n">
        <v>0</v>
      </c>
      <c r="M449" t="n">
        <v>0</v>
      </c>
      <c r="N449" t="n">
        <v>0</v>
      </c>
      <c r="O449" t="n">
        <v>0</v>
      </c>
      <c r="P449" t="n">
        <v>0</v>
      </c>
      <c r="Q449" t="n">
        <v>0</v>
      </c>
      <c r="R449" s="2" t="inlineStr"/>
    </row>
    <row r="450" ht="15" customHeight="1">
      <c r="A450" t="inlineStr">
        <is>
          <t>A 20843-2023</t>
        </is>
      </c>
      <c r="B450" s="1" t="n">
        <v>45058</v>
      </c>
      <c r="C450" s="1" t="n">
        <v>45736</v>
      </c>
      <c r="D450" t="inlineStr">
        <is>
          <t>VÄSTERNORRLANDS LÄN</t>
        </is>
      </c>
      <c r="E450" t="inlineStr">
        <is>
          <t>TIMRÅ</t>
        </is>
      </c>
      <c r="G450" t="n">
        <v>1.6</v>
      </c>
      <c r="H450" t="n">
        <v>0</v>
      </c>
      <c r="I450" t="n">
        <v>0</v>
      </c>
      <c r="J450" t="n">
        <v>0</v>
      </c>
      <c r="K450" t="n">
        <v>0</v>
      </c>
      <c r="L450" t="n">
        <v>0</v>
      </c>
      <c r="M450" t="n">
        <v>0</v>
      </c>
      <c r="N450" t="n">
        <v>0</v>
      </c>
      <c r="O450" t="n">
        <v>0</v>
      </c>
      <c r="P450" t="n">
        <v>0</v>
      </c>
      <c r="Q450" t="n">
        <v>0</v>
      </c>
      <c r="R450" s="2" t="inlineStr"/>
    </row>
    <row r="451" ht="15" customHeight="1">
      <c r="A451" t="inlineStr">
        <is>
          <t>A 20840-2023</t>
        </is>
      </c>
      <c r="B451" s="1" t="n">
        <v>45058</v>
      </c>
      <c r="C451" s="1" t="n">
        <v>45736</v>
      </c>
      <c r="D451" t="inlineStr">
        <is>
          <t>VÄSTERNORRLANDS LÄN</t>
        </is>
      </c>
      <c r="E451" t="inlineStr">
        <is>
          <t>TIMRÅ</t>
        </is>
      </c>
      <c r="G451" t="n">
        <v>3.1</v>
      </c>
      <c r="H451" t="n">
        <v>0</v>
      </c>
      <c r="I451" t="n">
        <v>0</v>
      </c>
      <c r="J451" t="n">
        <v>0</v>
      </c>
      <c r="K451" t="n">
        <v>0</v>
      </c>
      <c r="L451" t="n">
        <v>0</v>
      </c>
      <c r="M451" t="n">
        <v>0</v>
      </c>
      <c r="N451" t="n">
        <v>0</v>
      </c>
      <c r="O451" t="n">
        <v>0</v>
      </c>
      <c r="P451" t="n">
        <v>0</v>
      </c>
      <c r="Q451" t="n">
        <v>0</v>
      </c>
      <c r="R451" s="2" t="inlineStr"/>
    </row>
    <row r="452" ht="15" customHeight="1">
      <c r="A452" t="inlineStr">
        <is>
          <t>A 20844-2023</t>
        </is>
      </c>
      <c r="B452" s="1" t="n">
        <v>45058</v>
      </c>
      <c r="C452" s="1" t="n">
        <v>45736</v>
      </c>
      <c r="D452" t="inlineStr">
        <is>
          <t>VÄSTERNORRLANDS LÄN</t>
        </is>
      </c>
      <c r="E452" t="inlineStr">
        <is>
          <t>TIMRÅ</t>
        </is>
      </c>
      <c r="G452" t="n">
        <v>1.8</v>
      </c>
      <c r="H452" t="n">
        <v>0</v>
      </c>
      <c r="I452" t="n">
        <v>0</v>
      </c>
      <c r="J452" t="n">
        <v>0</v>
      </c>
      <c r="K452" t="n">
        <v>0</v>
      </c>
      <c r="L452" t="n">
        <v>0</v>
      </c>
      <c r="M452" t="n">
        <v>0</v>
      </c>
      <c r="N452" t="n">
        <v>0</v>
      </c>
      <c r="O452" t="n">
        <v>0</v>
      </c>
      <c r="P452" t="n">
        <v>0</v>
      </c>
      <c r="Q452" t="n">
        <v>0</v>
      </c>
      <c r="R452" s="2" t="inlineStr"/>
    </row>
    <row r="453" ht="15" customHeight="1">
      <c r="A453" t="inlineStr">
        <is>
          <t>A 21356-2023</t>
        </is>
      </c>
      <c r="B453" s="1" t="n">
        <v>45063</v>
      </c>
      <c r="C453" s="1" t="n">
        <v>45736</v>
      </c>
      <c r="D453" t="inlineStr">
        <is>
          <t>VÄSTERNORRLANDS LÄN</t>
        </is>
      </c>
      <c r="E453" t="inlineStr">
        <is>
          <t>TIMRÅ</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24305-2023</t>
        </is>
      </c>
      <c r="B454" s="1" t="n">
        <v>45080</v>
      </c>
      <c r="C454" s="1" t="n">
        <v>45736</v>
      </c>
      <c r="D454" t="inlineStr">
        <is>
          <t>VÄSTERNORRLANDS LÄN</t>
        </is>
      </c>
      <c r="E454" t="inlineStr">
        <is>
          <t>TIMRÅ</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24304-2023</t>
        </is>
      </c>
      <c r="B455" s="1" t="n">
        <v>45079</v>
      </c>
      <c r="C455" s="1" t="n">
        <v>45736</v>
      </c>
      <c r="D455" t="inlineStr">
        <is>
          <t>VÄSTERNORRLANDS LÄN</t>
        </is>
      </c>
      <c r="E455" t="inlineStr">
        <is>
          <t>TIMRÅ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25301-2023</t>
        </is>
      </c>
      <c r="B456" s="1" t="n">
        <v>45086</v>
      </c>
      <c r="C456" s="1" t="n">
        <v>45736</v>
      </c>
      <c r="D456" t="inlineStr">
        <is>
          <t>VÄSTERNORRLANDS LÄN</t>
        </is>
      </c>
      <c r="E456" t="inlineStr">
        <is>
          <t>TIMRÅ</t>
        </is>
      </c>
      <c r="G456" t="n">
        <v>1.7</v>
      </c>
      <c r="H456" t="n">
        <v>0</v>
      </c>
      <c r="I456" t="n">
        <v>0</v>
      </c>
      <c r="J456" t="n">
        <v>0</v>
      </c>
      <c r="K456" t="n">
        <v>0</v>
      </c>
      <c r="L456" t="n">
        <v>0</v>
      </c>
      <c r="M456" t="n">
        <v>0</v>
      </c>
      <c r="N456" t="n">
        <v>0</v>
      </c>
      <c r="O456" t="n">
        <v>0</v>
      </c>
      <c r="P456" t="n">
        <v>0</v>
      </c>
      <c r="Q456" t="n">
        <v>0</v>
      </c>
      <c r="R456" s="2" t="inlineStr"/>
    </row>
    <row r="457" ht="15" customHeight="1">
      <c r="A457" t="inlineStr">
        <is>
          <t>A 27495-2023</t>
        </is>
      </c>
      <c r="B457" s="1" t="n">
        <v>45092</v>
      </c>
      <c r="C457" s="1" t="n">
        <v>45736</v>
      </c>
      <c r="D457" t="inlineStr">
        <is>
          <t>VÄSTERNORRLANDS LÄN</t>
        </is>
      </c>
      <c r="E457" t="inlineStr">
        <is>
          <t>TIMRÅ</t>
        </is>
      </c>
      <c r="G457" t="n">
        <v>2.6</v>
      </c>
      <c r="H457" t="n">
        <v>0</v>
      </c>
      <c r="I457" t="n">
        <v>0</v>
      </c>
      <c r="J457" t="n">
        <v>0</v>
      </c>
      <c r="K457" t="n">
        <v>0</v>
      </c>
      <c r="L457" t="n">
        <v>0</v>
      </c>
      <c r="M457" t="n">
        <v>0</v>
      </c>
      <c r="N457" t="n">
        <v>0</v>
      </c>
      <c r="O457" t="n">
        <v>0</v>
      </c>
      <c r="P457" t="n">
        <v>0</v>
      </c>
      <c r="Q457" t="n">
        <v>0</v>
      </c>
      <c r="R457" s="2" t="inlineStr"/>
    </row>
    <row r="458" ht="15" customHeight="1">
      <c r="A458" t="inlineStr">
        <is>
          <t>A 27489-2023</t>
        </is>
      </c>
      <c r="B458" s="1" t="n">
        <v>45092</v>
      </c>
      <c r="C458" s="1" t="n">
        <v>45736</v>
      </c>
      <c r="D458" t="inlineStr">
        <is>
          <t>VÄSTERNORRLANDS LÄN</t>
        </is>
      </c>
      <c r="E458" t="inlineStr">
        <is>
          <t>TIMRÅ</t>
        </is>
      </c>
      <c r="G458" t="n">
        <v>1.1</v>
      </c>
      <c r="H458" t="n">
        <v>0</v>
      </c>
      <c r="I458" t="n">
        <v>0</v>
      </c>
      <c r="J458" t="n">
        <v>0</v>
      </c>
      <c r="K458" t="n">
        <v>0</v>
      </c>
      <c r="L458" t="n">
        <v>0</v>
      </c>
      <c r="M458" t="n">
        <v>0</v>
      </c>
      <c r="N458" t="n">
        <v>0</v>
      </c>
      <c r="O458" t="n">
        <v>0</v>
      </c>
      <c r="P458" t="n">
        <v>0</v>
      </c>
      <c r="Q458" t="n">
        <v>0</v>
      </c>
      <c r="R458" s="2" t="inlineStr"/>
    </row>
    <row r="459" ht="15" customHeight="1">
      <c r="A459" t="inlineStr">
        <is>
          <t>A 26996-2023</t>
        </is>
      </c>
      <c r="B459" s="1" t="n">
        <v>45093</v>
      </c>
      <c r="C459" s="1" t="n">
        <v>45736</v>
      </c>
      <c r="D459" t="inlineStr">
        <is>
          <t>VÄSTERNORRLANDS LÄN</t>
        </is>
      </c>
      <c r="E459" t="inlineStr">
        <is>
          <t>TIMRÅ</t>
        </is>
      </c>
      <c r="G459" t="n">
        <v>8.4</v>
      </c>
      <c r="H459" t="n">
        <v>0</v>
      </c>
      <c r="I459" t="n">
        <v>0</v>
      </c>
      <c r="J459" t="n">
        <v>0</v>
      </c>
      <c r="K459" t="n">
        <v>0</v>
      </c>
      <c r="L459" t="n">
        <v>0</v>
      </c>
      <c r="M459" t="n">
        <v>0</v>
      </c>
      <c r="N459" t="n">
        <v>0</v>
      </c>
      <c r="O459" t="n">
        <v>0</v>
      </c>
      <c r="P459" t="n">
        <v>0</v>
      </c>
      <c r="Q459" t="n">
        <v>0</v>
      </c>
      <c r="R459" s="2" t="inlineStr"/>
    </row>
    <row r="460" ht="15" customHeight="1">
      <c r="A460" t="inlineStr">
        <is>
          <t>A 28007-2023</t>
        </is>
      </c>
      <c r="B460" s="1" t="n">
        <v>45098</v>
      </c>
      <c r="C460" s="1" t="n">
        <v>45736</v>
      </c>
      <c r="D460" t="inlineStr">
        <is>
          <t>VÄSTERNORRLANDS LÄN</t>
        </is>
      </c>
      <c r="E460" t="inlineStr">
        <is>
          <t>TIMRÅ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28373-2023</t>
        </is>
      </c>
      <c r="B461" s="1" t="n">
        <v>45100</v>
      </c>
      <c r="C461" s="1" t="n">
        <v>45736</v>
      </c>
      <c r="D461" t="inlineStr">
        <is>
          <t>VÄSTERNORRLANDS LÄN</t>
        </is>
      </c>
      <c r="E461" t="inlineStr">
        <is>
          <t>TIMRÅ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28372-2023</t>
        </is>
      </c>
      <c r="B462" s="1" t="n">
        <v>45100</v>
      </c>
      <c r="C462" s="1" t="n">
        <v>45736</v>
      </c>
      <c r="D462" t="inlineStr">
        <is>
          <t>VÄSTERNORRLANDS LÄN</t>
        </is>
      </c>
      <c r="E462" t="inlineStr">
        <is>
          <t>TIMRÅ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28370-2023</t>
        </is>
      </c>
      <c r="B463" s="1" t="n">
        <v>45100</v>
      </c>
      <c r="C463" s="1" t="n">
        <v>45736</v>
      </c>
      <c r="D463" t="inlineStr">
        <is>
          <t>VÄSTERNORRLANDS LÄN</t>
        </is>
      </c>
      <c r="E463" t="inlineStr">
        <is>
          <t>TIMRÅ</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28381-2023</t>
        </is>
      </c>
      <c r="B464" s="1" t="n">
        <v>45099</v>
      </c>
      <c r="C464" s="1" t="n">
        <v>45736</v>
      </c>
      <c r="D464" t="inlineStr">
        <is>
          <t>VÄSTERNORRLANDS LÄN</t>
        </is>
      </c>
      <c r="E464" t="inlineStr">
        <is>
          <t>TIMRÅ</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28369-2023</t>
        </is>
      </c>
      <c r="B465" s="1" t="n">
        <v>45099</v>
      </c>
      <c r="C465" s="1" t="n">
        <v>45736</v>
      </c>
      <c r="D465" t="inlineStr">
        <is>
          <t>VÄSTERNORRLANDS LÄN</t>
        </is>
      </c>
      <c r="E465" t="inlineStr">
        <is>
          <t>TIMRÅ</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28371-2023</t>
        </is>
      </c>
      <c r="B466" s="1" t="n">
        <v>45100</v>
      </c>
      <c r="C466" s="1" t="n">
        <v>45736</v>
      </c>
      <c r="D466" t="inlineStr">
        <is>
          <t>VÄSTERNORRLANDS LÄN</t>
        </is>
      </c>
      <c r="E466" t="inlineStr">
        <is>
          <t>TIMRÅ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28734-2023</t>
        </is>
      </c>
      <c r="B467" s="1" t="n">
        <v>45104</v>
      </c>
      <c r="C467" s="1" t="n">
        <v>45736</v>
      </c>
      <c r="D467" t="inlineStr">
        <is>
          <t>VÄSTERNORRLANDS LÄN</t>
        </is>
      </c>
      <c r="E467" t="inlineStr">
        <is>
          <t>TIMRÅ</t>
        </is>
      </c>
      <c r="G467" t="n">
        <v>2.1</v>
      </c>
      <c r="H467" t="n">
        <v>0</v>
      </c>
      <c r="I467" t="n">
        <v>0</v>
      </c>
      <c r="J467" t="n">
        <v>0</v>
      </c>
      <c r="K467" t="n">
        <v>0</v>
      </c>
      <c r="L467" t="n">
        <v>0</v>
      </c>
      <c r="M467" t="n">
        <v>0</v>
      </c>
      <c r="N467" t="n">
        <v>0</v>
      </c>
      <c r="O467" t="n">
        <v>0</v>
      </c>
      <c r="P467" t="n">
        <v>0</v>
      </c>
      <c r="Q467" t="n">
        <v>0</v>
      </c>
      <c r="R467" s="2" t="inlineStr"/>
    </row>
    <row r="468" ht="15" customHeight="1">
      <c r="A468" t="inlineStr">
        <is>
          <t>A 28750-2023</t>
        </is>
      </c>
      <c r="B468" s="1" t="n">
        <v>45104</v>
      </c>
      <c r="C468" s="1" t="n">
        <v>45736</v>
      </c>
      <c r="D468" t="inlineStr">
        <is>
          <t>VÄSTERNORRLANDS LÄN</t>
        </is>
      </c>
      <c r="E468" t="inlineStr">
        <is>
          <t>TIMRÅ</t>
        </is>
      </c>
      <c r="F468" t="inlineStr">
        <is>
          <t>SCA</t>
        </is>
      </c>
      <c r="G468" t="n">
        <v>8.5</v>
      </c>
      <c r="H468" t="n">
        <v>0</v>
      </c>
      <c r="I468" t="n">
        <v>0</v>
      </c>
      <c r="J468" t="n">
        <v>0</v>
      </c>
      <c r="K468" t="n">
        <v>0</v>
      </c>
      <c r="L468" t="n">
        <v>0</v>
      </c>
      <c r="M468" t="n">
        <v>0</v>
      </c>
      <c r="N468" t="n">
        <v>0</v>
      </c>
      <c r="O468" t="n">
        <v>0</v>
      </c>
      <c r="P468" t="n">
        <v>0</v>
      </c>
      <c r="Q468" t="n">
        <v>0</v>
      </c>
      <c r="R468" s="2" t="inlineStr"/>
    </row>
    <row r="469" ht="15" customHeight="1">
      <c r="A469" t="inlineStr">
        <is>
          <t>A 31148-2023</t>
        </is>
      </c>
      <c r="B469" s="1" t="n">
        <v>45103</v>
      </c>
      <c r="C469" s="1" t="n">
        <v>45736</v>
      </c>
      <c r="D469" t="inlineStr">
        <is>
          <t>VÄSTERNORRLANDS LÄN</t>
        </is>
      </c>
      <c r="E469" t="inlineStr">
        <is>
          <t>TIMRÅ</t>
        </is>
      </c>
      <c r="G469" t="n">
        <v>1.5</v>
      </c>
      <c r="H469" t="n">
        <v>0</v>
      </c>
      <c r="I469" t="n">
        <v>0</v>
      </c>
      <c r="J469" t="n">
        <v>0</v>
      </c>
      <c r="K469" t="n">
        <v>0</v>
      </c>
      <c r="L469" t="n">
        <v>0</v>
      </c>
      <c r="M469" t="n">
        <v>0</v>
      </c>
      <c r="N469" t="n">
        <v>0</v>
      </c>
      <c r="O469" t="n">
        <v>0</v>
      </c>
      <c r="P469" t="n">
        <v>0</v>
      </c>
      <c r="Q469" t="n">
        <v>0</v>
      </c>
      <c r="R469" s="2" t="inlineStr"/>
    </row>
    <row r="470" ht="15" customHeight="1">
      <c r="A470" t="inlineStr">
        <is>
          <t>A 31150-2023</t>
        </is>
      </c>
      <c r="B470" s="1" t="n">
        <v>45103</v>
      </c>
      <c r="C470" s="1" t="n">
        <v>45736</v>
      </c>
      <c r="D470" t="inlineStr">
        <is>
          <t>VÄSTERNORRLANDS LÄN</t>
        </is>
      </c>
      <c r="E470" t="inlineStr">
        <is>
          <t>TIMRÅ</t>
        </is>
      </c>
      <c r="G470" t="n">
        <v>0.3</v>
      </c>
      <c r="H470" t="n">
        <v>0</v>
      </c>
      <c r="I470" t="n">
        <v>0</v>
      </c>
      <c r="J470" t="n">
        <v>0</v>
      </c>
      <c r="K470" t="n">
        <v>0</v>
      </c>
      <c r="L470" t="n">
        <v>0</v>
      </c>
      <c r="M470" t="n">
        <v>0</v>
      </c>
      <c r="N470" t="n">
        <v>0</v>
      </c>
      <c r="O470" t="n">
        <v>0</v>
      </c>
      <c r="P470" t="n">
        <v>0</v>
      </c>
      <c r="Q470" t="n">
        <v>0</v>
      </c>
      <c r="R470" s="2" t="inlineStr"/>
    </row>
    <row r="471" ht="15" customHeight="1">
      <c r="A471" t="inlineStr">
        <is>
          <t>A 31154-2023</t>
        </is>
      </c>
      <c r="B471" s="1" t="n">
        <v>45103</v>
      </c>
      <c r="C471" s="1" t="n">
        <v>45736</v>
      </c>
      <c r="D471" t="inlineStr">
        <is>
          <t>VÄSTERNORRLANDS LÄN</t>
        </is>
      </c>
      <c r="E471" t="inlineStr">
        <is>
          <t>TIMRÅ</t>
        </is>
      </c>
      <c r="G471" t="n">
        <v>0.6</v>
      </c>
      <c r="H471" t="n">
        <v>0</v>
      </c>
      <c r="I471" t="n">
        <v>0</v>
      </c>
      <c r="J471" t="n">
        <v>0</v>
      </c>
      <c r="K471" t="n">
        <v>0</v>
      </c>
      <c r="L471" t="n">
        <v>0</v>
      </c>
      <c r="M471" t="n">
        <v>0</v>
      </c>
      <c r="N471" t="n">
        <v>0</v>
      </c>
      <c r="O471" t="n">
        <v>0</v>
      </c>
      <c r="P471" t="n">
        <v>0</v>
      </c>
      <c r="Q471" t="n">
        <v>0</v>
      </c>
      <c r="R471" s="2" t="inlineStr"/>
    </row>
    <row r="472" ht="15" customHeight="1">
      <c r="A472" t="inlineStr">
        <is>
          <t>A 31381-2023</t>
        </is>
      </c>
      <c r="B472" s="1" t="n">
        <v>45104</v>
      </c>
      <c r="C472" s="1" t="n">
        <v>45736</v>
      </c>
      <c r="D472" t="inlineStr">
        <is>
          <t>VÄSTERNORRLANDS LÄN</t>
        </is>
      </c>
      <c r="E472" t="inlineStr">
        <is>
          <t>TIMRÅ</t>
        </is>
      </c>
      <c r="G472" t="n">
        <v>5.6</v>
      </c>
      <c r="H472" t="n">
        <v>0</v>
      </c>
      <c r="I472" t="n">
        <v>0</v>
      </c>
      <c r="J472" t="n">
        <v>0</v>
      </c>
      <c r="K472" t="n">
        <v>0</v>
      </c>
      <c r="L472" t="n">
        <v>0</v>
      </c>
      <c r="M472" t="n">
        <v>0</v>
      </c>
      <c r="N472" t="n">
        <v>0</v>
      </c>
      <c r="O472" t="n">
        <v>0</v>
      </c>
      <c r="P472" t="n">
        <v>0</v>
      </c>
      <c r="Q472" t="n">
        <v>0</v>
      </c>
      <c r="R472" s="2" t="inlineStr"/>
    </row>
    <row r="473" ht="15" customHeight="1">
      <c r="A473" t="inlineStr">
        <is>
          <t>A 31474-2023</t>
        </is>
      </c>
      <c r="B473" s="1" t="n">
        <v>45104</v>
      </c>
      <c r="C473" s="1" t="n">
        <v>45736</v>
      </c>
      <c r="D473" t="inlineStr">
        <is>
          <t>VÄSTERNORRLANDS LÄN</t>
        </is>
      </c>
      <c r="E473" t="inlineStr">
        <is>
          <t>TIMRÅ</t>
        </is>
      </c>
      <c r="G473" t="n">
        <v>1.3</v>
      </c>
      <c r="H473" t="n">
        <v>0</v>
      </c>
      <c r="I473" t="n">
        <v>0</v>
      </c>
      <c r="J473" t="n">
        <v>0</v>
      </c>
      <c r="K473" t="n">
        <v>0</v>
      </c>
      <c r="L473" t="n">
        <v>0</v>
      </c>
      <c r="M473" t="n">
        <v>0</v>
      </c>
      <c r="N473" t="n">
        <v>0</v>
      </c>
      <c r="O473" t="n">
        <v>0</v>
      </c>
      <c r="P473" t="n">
        <v>0</v>
      </c>
      <c r="Q473" t="n">
        <v>0</v>
      </c>
      <c r="R473" s="2" t="inlineStr"/>
    </row>
    <row r="474" ht="15" customHeight="1">
      <c r="A474" t="inlineStr">
        <is>
          <t>A 31378-2023</t>
        </is>
      </c>
      <c r="B474" s="1" t="n">
        <v>45104</v>
      </c>
      <c r="C474" s="1" t="n">
        <v>45736</v>
      </c>
      <c r="D474" t="inlineStr">
        <is>
          <t>VÄSTERNORRLANDS LÄN</t>
        </is>
      </c>
      <c r="E474" t="inlineStr">
        <is>
          <t>TIMRÅ</t>
        </is>
      </c>
      <c r="G474" t="n">
        <v>2.8</v>
      </c>
      <c r="H474" t="n">
        <v>0</v>
      </c>
      <c r="I474" t="n">
        <v>0</v>
      </c>
      <c r="J474" t="n">
        <v>0</v>
      </c>
      <c r="K474" t="n">
        <v>0</v>
      </c>
      <c r="L474" t="n">
        <v>0</v>
      </c>
      <c r="M474" t="n">
        <v>0</v>
      </c>
      <c r="N474" t="n">
        <v>0</v>
      </c>
      <c r="O474" t="n">
        <v>0</v>
      </c>
      <c r="P474" t="n">
        <v>0</v>
      </c>
      <c r="Q474" t="n">
        <v>0</v>
      </c>
      <c r="R474" s="2" t="inlineStr"/>
    </row>
    <row r="475" ht="15" customHeight="1">
      <c r="A475" t="inlineStr">
        <is>
          <t>A 31343-2023</t>
        </is>
      </c>
      <c r="B475" s="1" t="n">
        <v>45104</v>
      </c>
      <c r="C475" s="1" t="n">
        <v>45736</v>
      </c>
      <c r="D475" t="inlineStr">
        <is>
          <t>VÄSTERNORRLANDS LÄN</t>
        </is>
      </c>
      <c r="E475" t="inlineStr">
        <is>
          <t>TIMRÅ</t>
        </is>
      </c>
      <c r="G475" t="n">
        <v>7.1</v>
      </c>
      <c r="H475" t="n">
        <v>0</v>
      </c>
      <c r="I475" t="n">
        <v>0</v>
      </c>
      <c r="J475" t="n">
        <v>0</v>
      </c>
      <c r="K475" t="n">
        <v>0</v>
      </c>
      <c r="L475" t="n">
        <v>0</v>
      </c>
      <c r="M475" t="n">
        <v>0</v>
      </c>
      <c r="N475" t="n">
        <v>0</v>
      </c>
      <c r="O475" t="n">
        <v>0</v>
      </c>
      <c r="P475" t="n">
        <v>0</v>
      </c>
      <c r="Q475" t="n">
        <v>0</v>
      </c>
      <c r="R475" s="2" t="inlineStr"/>
    </row>
    <row r="476" ht="15" customHeight="1">
      <c r="A476" t="inlineStr">
        <is>
          <t>A 31472-2023</t>
        </is>
      </c>
      <c r="B476" s="1" t="n">
        <v>45104</v>
      </c>
      <c r="C476" s="1" t="n">
        <v>45736</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29599-2023</t>
        </is>
      </c>
      <c r="B477" s="1" t="n">
        <v>45106</v>
      </c>
      <c r="C477" s="1" t="n">
        <v>45736</v>
      </c>
      <c r="D477" t="inlineStr">
        <is>
          <t>VÄSTERNORRLANDS LÄN</t>
        </is>
      </c>
      <c r="E477" t="inlineStr">
        <is>
          <t>TIMRÅ</t>
        </is>
      </c>
      <c r="F477" t="inlineStr">
        <is>
          <t>Kyrkan</t>
        </is>
      </c>
      <c r="G477" t="n">
        <v>2.1</v>
      </c>
      <c r="H477" t="n">
        <v>0</v>
      </c>
      <c r="I477" t="n">
        <v>0</v>
      </c>
      <c r="J477" t="n">
        <v>0</v>
      </c>
      <c r="K477" t="n">
        <v>0</v>
      </c>
      <c r="L477" t="n">
        <v>0</v>
      </c>
      <c r="M477" t="n">
        <v>0</v>
      </c>
      <c r="N477" t="n">
        <v>0</v>
      </c>
      <c r="O477" t="n">
        <v>0</v>
      </c>
      <c r="P477" t="n">
        <v>0</v>
      </c>
      <c r="Q477" t="n">
        <v>0</v>
      </c>
      <c r="R477" s="2" t="inlineStr"/>
    </row>
    <row r="478" ht="15" customHeight="1">
      <c r="A478" t="inlineStr">
        <is>
          <t>A 29948-2023</t>
        </is>
      </c>
      <c r="B478" s="1" t="n">
        <v>45107</v>
      </c>
      <c r="C478" s="1" t="n">
        <v>45736</v>
      </c>
      <c r="D478" t="inlineStr">
        <is>
          <t>VÄSTERNORRLANDS LÄN</t>
        </is>
      </c>
      <c r="E478" t="inlineStr">
        <is>
          <t>TIMRÅ</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32070-2023</t>
        </is>
      </c>
      <c r="B479" s="1" t="n">
        <v>45107</v>
      </c>
      <c r="C479" s="1" t="n">
        <v>45736</v>
      </c>
      <c r="D479" t="inlineStr">
        <is>
          <t>VÄSTERNORRLANDS LÄN</t>
        </is>
      </c>
      <c r="E479" t="inlineStr">
        <is>
          <t>TIMRÅ</t>
        </is>
      </c>
      <c r="G479" t="n">
        <v>1.5</v>
      </c>
      <c r="H479" t="n">
        <v>0</v>
      </c>
      <c r="I479" t="n">
        <v>0</v>
      </c>
      <c r="J479" t="n">
        <v>0</v>
      </c>
      <c r="K479" t="n">
        <v>0</v>
      </c>
      <c r="L479" t="n">
        <v>0</v>
      </c>
      <c r="M479" t="n">
        <v>0</v>
      </c>
      <c r="N479" t="n">
        <v>0</v>
      </c>
      <c r="O479" t="n">
        <v>0</v>
      </c>
      <c r="P479" t="n">
        <v>0</v>
      </c>
      <c r="Q479" t="n">
        <v>0</v>
      </c>
      <c r="R479" s="2" t="inlineStr"/>
    </row>
    <row r="480" ht="15" customHeight="1">
      <c r="A480" t="inlineStr">
        <is>
          <t>A 30315-2023</t>
        </is>
      </c>
      <c r="B480" s="1" t="n">
        <v>45110</v>
      </c>
      <c r="C480" s="1" t="n">
        <v>45736</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30298-2023</t>
        </is>
      </c>
      <c r="B481" s="1" t="n">
        <v>45110</v>
      </c>
      <c r="C481" s="1" t="n">
        <v>45736</v>
      </c>
      <c r="D481" t="inlineStr">
        <is>
          <t>VÄSTERNORRLANDS LÄN</t>
        </is>
      </c>
      <c r="E481" t="inlineStr">
        <is>
          <t>TIMRÅ</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45736</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45736</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45736</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45736</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45736</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45736</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45736</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45736</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45736</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45736</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45736</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45736</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45736</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45736</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45736</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45736</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45736</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45736</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45736</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45736</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45736</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45736</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45736</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45736</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45736</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45736</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45736</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45736</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45736</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45736</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45736</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45736</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45736</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45736</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45736</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45736</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45736</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45736</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45736</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45736</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45736</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45736</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45736</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45736</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45736</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45736</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45736</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45736</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45736</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45736</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45736</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45736</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45736</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45736</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45736</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45736</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45736</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45736</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45736</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45736</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45736</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45736</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45736</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45736</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45736</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45736</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45736</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45736</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45736</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45736</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45736</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45736</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45736</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45736</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45736</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45736</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45736</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45736</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45736</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45736</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45736</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45736</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45736</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45736</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45736</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45736</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45736</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45736</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45736</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45736</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45736</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45736</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45736</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45736</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45736</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45736</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45736</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45736</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45736</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45736</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45736</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45736</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45736</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45736</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45736</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45736</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45736</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45736</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45736</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45736</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45736</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45736</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45736</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45736</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45736</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45736</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45736</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45736</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45736</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45736</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45736</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45736</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45736</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45736</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45736</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45736</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45736</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45736</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45736</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45736</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45736</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45736</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45736</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45736</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45736</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45736</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45736</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45736</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45736</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45736</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45736</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45736</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45736</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45736</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45736</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45736</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45736</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45736</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45736</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45736</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45736</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45736</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45736</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45736</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45736</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45736</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45736</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45736</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45736</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45736</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45736</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45736</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45736</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45736</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45736</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45736</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45736</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45736</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45736</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45736</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45736</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45736</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45736</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45736</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45736</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45736</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45736</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45736</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45736</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45736</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45736</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45736</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45736</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45736</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45736</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45736</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45736</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45736</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45736</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45736</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45736</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45736</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45736</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45736</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45736</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45736</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45736</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45736</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45736</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45736</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45736</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45736</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45736</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45736</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45736</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45736</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45736</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45736</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45736</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45736</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45736</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45736</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45736</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45736</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45736</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45736</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45736</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45736</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45736</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45736</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45736</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45736</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45736</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45736</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45736</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45736</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45736</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45736</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45736</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45736</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45736</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45736</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45736</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45736</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45736</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45736</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45736</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45736</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45736</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45736</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45736</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45736</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45736</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45736</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45736</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45736</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45736</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45736</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45736</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45736</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45736</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45736</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45736</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45736</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45736</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45736</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45736</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45736</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45736</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45736</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45736</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45736</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45736</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45736</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45736</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45736</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45736</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45736</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45736</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45736</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45736</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45736</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45736</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45736</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45736</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45736</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45736</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45736</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45736</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45736</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45736</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45736</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45736</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45736</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45736</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45736</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45736</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45736</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45736</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45736</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45736</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45736</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45736</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45736</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45736</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45736</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45736</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45736</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45736</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45736</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45736</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45736</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45736</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45736</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45736</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45736</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45736</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45736</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45736</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45736</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45736</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45736</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45736</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45736</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45736</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45736</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45736</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45736</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45736</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45736</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45736</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45736</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45736</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45736</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45736</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45736</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45736</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45736</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45736</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45736</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45736</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45736</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45736</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45736</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45736</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45736</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45736</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45736</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45736</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45736</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45736</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45736</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45736</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45736</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45736</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45736</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45736</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45736</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45736</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45736</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45736</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45736</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45736</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45736</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45736</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45736</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45736</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45736</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45736</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45736</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45736</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45736</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45736</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45736</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45736</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45736</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45736</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45736</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45736</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45736</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45736</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45736</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45736</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45736</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45736</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45736</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45736</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45736</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45736</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45736</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45736</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45736</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45736</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45736</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45736</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45736</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ht="15" customHeight="1">
      <c r="A868" t="inlineStr">
        <is>
          <t>A 11631-2025</t>
        </is>
      </c>
      <c r="B868" s="1" t="n">
        <v>45727</v>
      </c>
      <c r="C868" s="1" t="n">
        <v>45736</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row r="869" ht="15" customHeight="1">
      <c r="A869" t="inlineStr">
        <is>
          <t>A 12786-2025</t>
        </is>
      </c>
      <c r="B869" s="1" t="n">
        <v>45733</v>
      </c>
      <c r="C869" s="1" t="n">
        <v>45736</v>
      </c>
      <c r="D869" t="inlineStr">
        <is>
          <t>VÄSTERNORRLANDS LÄN</t>
        </is>
      </c>
      <c r="E869" t="inlineStr">
        <is>
          <t>TIMRÅ</t>
        </is>
      </c>
      <c r="G869" t="n">
        <v>1.3</v>
      </c>
      <c r="H869" t="n">
        <v>0</v>
      </c>
      <c r="I869" t="n">
        <v>0</v>
      </c>
      <c r="J869" t="n">
        <v>0</v>
      </c>
      <c r="K869" t="n">
        <v>0</v>
      </c>
      <c r="L869" t="n">
        <v>0</v>
      </c>
      <c r="M869" t="n">
        <v>0</v>
      </c>
      <c r="N869" t="n">
        <v>0</v>
      </c>
      <c r="O869" t="n">
        <v>0</v>
      </c>
      <c r="P869" t="n">
        <v>0</v>
      </c>
      <c r="Q869" t="n">
        <v>0</v>
      </c>
      <c r="R869" s="2" t="inlineStr"/>
    </row>
    <row r="870" ht="15" customHeight="1">
      <c r="A870" t="inlineStr">
        <is>
          <t>A 13218-2025</t>
        </is>
      </c>
      <c r="B870" s="1" t="n">
        <v>45735</v>
      </c>
      <c r="C870" s="1" t="n">
        <v>45736</v>
      </c>
      <c r="D870" t="inlineStr">
        <is>
          <t>VÄSTERNORRLANDS LÄN</t>
        </is>
      </c>
      <c r="E870" t="inlineStr">
        <is>
          <t>TIMRÅ</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13251-2025</t>
        </is>
      </c>
      <c r="B871" s="1" t="n">
        <v>45735</v>
      </c>
      <c r="C871" s="1" t="n">
        <v>45736</v>
      </c>
      <c r="D871" t="inlineStr">
        <is>
          <t>VÄSTERNORRLANDS LÄN</t>
        </is>
      </c>
      <c r="E871" t="inlineStr">
        <is>
          <t>TIMRÅ</t>
        </is>
      </c>
      <c r="F871" t="inlineStr">
        <is>
          <t>SCA</t>
        </is>
      </c>
      <c r="G871" t="n">
        <v>1.4</v>
      </c>
      <c r="H871" t="n">
        <v>0</v>
      </c>
      <c r="I871" t="n">
        <v>0</v>
      </c>
      <c r="J871" t="n">
        <v>0</v>
      </c>
      <c r="K871" t="n">
        <v>0</v>
      </c>
      <c r="L871" t="n">
        <v>0</v>
      </c>
      <c r="M871" t="n">
        <v>0</v>
      </c>
      <c r="N871" t="n">
        <v>0</v>
      </c>
      <c r="O871" t="n">
        <v>0</v>
      </c>
      <c r="P871" t="n">
        <v>0</v>
      </c>
      <c r="Q871" t="n">
        <v>0</v>
      </c>
      <c r="R871" s="2" t="inlineStr"/>
    </row>
    <row r="872">
      <c r="A872" t="inlineStr">
        <is>
          <t>A 13316-2025</t>
        </is>
      </c>
      <c r="B872" s="1" t="n">
        <v>45735</v>
      </c>
      <c r="C872" s="1" t="n">
        <v>45736</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2025-03-20T17:30:42Z</dcterms:created>
  <dcterms:modified xmlns:dcterms="http://purl.org/dc/terms/" xmlns:xsi="http://www.w3.org/2001/XMLSchema-instance" xsi:type="dcterms:W3CDTF">2025-03-20T17:30:43Z</dcterms:modified>
</cp:coreProperties>
</file>