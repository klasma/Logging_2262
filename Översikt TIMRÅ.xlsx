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45831</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45831</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45831</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45831</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45831</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45831</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45831</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45831</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45831</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45831</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45831</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45831</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45831</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45831</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45831</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45831</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45831</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45831</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45831</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45831</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45831</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45831</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45831</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45831</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45831</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45831</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45831</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45831</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45831</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45831</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45831</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45831</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45831</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45831</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45831</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45831</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45831</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45831</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45831</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45831</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45831</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45831</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45831</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45831</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45831</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45831</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45831</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45831</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45831</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45831</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45831</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45831</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45831</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45831</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45831</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45831</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45831</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45831</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45831</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18510-2021</t>
        </is>
      </c>
      <c r="B62" s="1" t="n">
        <v>44306</v>
      </c>
      <c r="C62" s="1" t="n">
        <v>45831</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45831</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45831</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45831</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45831</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45831</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45831</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45831</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45831</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45831</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45831</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45831</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45831</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45831</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45831</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45831</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45831</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45831</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45831</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45831</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45831</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45831</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45831</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45831</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45831</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45831</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45831</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45831</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45831</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45831</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45831</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45831</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45831</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45831</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45831</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45831</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45831</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45831</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45831</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45831</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45831</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45831</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45831</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45831</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45831</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45831</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45831</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45831</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45831</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45831</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1152-2024</t>
        </is>
      </c>
      <c r="B112" s="1" t="n">
        <v>45302</v>
      </c>
      <c r="C112" s="1" t="n">
        <v>45831</v>
      </c>
      <c r="D112" t="inlineStr">
        <is>
          <t>VÄSTERNORRLANDS LÄN</t>
        </is>
      </c>
      <c r="E112" t="inlineStr">
        <is>
          <t>TIMRÅ</t>
        </is>
      </c>
      <c r="G112" t="n">
        <v>5.8</v>
      </c>
      <c r="H112" t="n">
        <v>0</v>
      </c>
      <c r="I112" t="n">
        <v>1</v>
      </c>
      <c r="J112" t="n">
        <v>0</v>
      </c>
      <c r="K112" t="n">
        <v>0</v>
      </c>
      <c r="L112" t="n">
        <v>0</v>
      </c>
      <c r="M112" t="n">
        <v>0</v>
      </c>
      <c r="N112" t="n">
        <v>0</v>
      </c>
      <c r="O112" t="n">
        <v>0</v>
      </c>
      <c r="P112" t="n">
        <v>0</v>
      </c>
      <c r="Q112" t="n">
        <v>1</v>
      </c>
      <c r="R112" s="2" t="inlineStr">
        <is>
          <t>Tibast</t>
        </is>
      </c>
      <c r="S112">
        <f>HYPERLINK("https://klasma.github.io/Logging_2262/artfynd/A 1152-2024 artfynd.xlsx", "A 1152-2024")</f>
        <v/>
      </c>
      <c r="T112">
        <f>HYPERLINK("https://klasma.github.io/Logging_2262/kartor/A 1152-2024 karta.png", "A 1152-2024")</f>
        <v/>
      </c>
      <c r="V112">
        <f>HYPERLINK("https://klasma.github.io/Logging_2262/klagomål/A 1152-2024 FSC-klagomål.docx", "A 1152-2024")</f>
        <v/>
      </c>
      <c r="W112">
        <f>HYPERLINK("https://klasma.github.io/Logging_2262/klagomålsmail/A 1152-2024 FSC-klagomål mail.docx", "A 1152-2024")</f>
        <v/>
      </c>
      <c r="X112">
        <f>HYPERLINK("https://klasma.github.io/Logging_2262/tillsyn/A 1152-2024 tillsynsbegäran.docx", "A 1152-2024")</f>
        <v/>
      </c>
      <c r="Y112">
        <f>HYPERLINK("https://klasma.github.io/Logging_2262/tillsynsmail/A 1152-2024 tillsynsbegäran mail.docx", "A 1152-2024")</f>
        <v/>
      </c>
    </row>
    <row r="113" ht="15" customHeight="1">
      <c r="A113" t="inlineStr">
        <is>
          <t>A 7904-2024</t>
        </is>
      </c>
      <c r="B113" s="1" t="n">
        <v>45349</v>
      </c>
      <c r="C113" s="1" t="n">
        <v>45831</v>
      </c>
      <c r="D113" t="inlineStr">
        <is>
          <t>VÄSTERNORRLANDS LÄN</t>
        </is>
      </c>
      <c r="E113" t="inlineStr">
        <is>
          <t>TIMRÅ</t>
        </is>
      </c>
      <c r="G113" t="n">
        <v>7.3</v>
      </c>
      <c r="H113" t="n">
        <v>1</v>
      </c>
      <c r="I113" t="n">
        <v>0</v>
      </c>
      <c r="J113" t="n">
        <v>0</v>
      </c>
      <c r="K113" t="n">
        <v>1</v>
      </c>
      <c r="L113" t="n">
        <v>0</v>
      </c>
      <c r="M113" t="n">
        <v>0</v>
      </c>
      <c r="N113" t="n">
        <v>0</v>
      </c>
      <c r="O113" t="n">
        <v>1</v>
      </c>
      <c r="P113" t="n">
        <v>1</v>
      </c>
      <c r="Q113" t="n">
        <v>1</v>
      </c>
      <c r="R113" s="2" t="inlineStr">
        <is>
          <t>Bergviol</t>
        </is>
      </c>
      <c r="S113">
        <f>HYPERLINK("https://klasma.github.io/Logging_2262/artfynd/A 7904-2024 artfynd.xlsx", "A 7904-2024")</f>
        <v/>
      </c>
      <c r="T113">
        <f>HYPERLINK("https://klasma.github.io/Logging_2262/kartor/A 7904-2024 karta.png", "A 7904-2024")</f>
        <v/>
      </c>
      <c r="V113">
        <f>HYPERLINK("https://klasma.github.io/Logging_2262/klagomål/A 7904-2024 FSC-klagomål.docx", "A 7904-2024")</f>
        <v/>
      </c>
      <c r="W113">
        <f>HYPERLINK("https://klasma.github.io/Logging_2262/klagomålsmail/A 7904-2024 FSC-klagomål mail.docx", "A 7904-2024")</f>
        <v/>
      </c>
      <c r="X113">
        <f>HYPERLINK("https://klasma.github.io/Logging_2262/tillsyn/A 7904-2024 tillsynsbegäran.docx", "A 7904-2024")</f>
        <v/>
      </c>
      <c r="Y113">
        <f>HYPERLINK("https://klasma.github.io/Logging_2262/tillsynsmail/A 7904-2024 tillsynsbegäran mail.docx", "A 7904-2024")</f>
        <v/>
      </c>
    </row>
    <row r="114" ht="15" customHeight="1">
      <c r="A114" t="inlineStr">
        <is>
          <t>A 8998-2024</t>
        </is>
      </c>
      <c r="B114" s="1" t="n">
        <v>45356</v>
      </c>
      <c r="C114" s="1" t="n">
        <v>45831</v>
      </c>
      <c r="D114" t="inlineStr">
        <is>
          <t>VÄSTERNORRLANDS LÄN</t>
        </is>
      </c>
      <c r="E114" t="inlineStr">
        <is>
          <t>TIMRÅ</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8998-2024 artfynd.xlsx", "A 8998-2024")</f>
        <v/>
      </c>
      <c r="T114">
        <f>HYPERLINK("https://klasma.github.io/Logging_2262/kartor/A 8998-2024 karta.png", "A 8998-2024")</f>
        <v/>
      </c>
      <c r="V114">
        <f>HYPERLINK("https://klasma.github.io/Logging_2262/klagomål/A 8998-2024 FSC-klagomål.docx", "A 8998-2024")</f>
        <v/>
      </c>
      <c r="W114">
        <f>HYPERLINK("https://klasma.github.io/Logging_2262/klagomålsmail/A 8998-2024 FSC-klagomål mail.docx", "A 8998-2024")</f>
        <v/>
      </c>
      <c r="X114">
        <f>HYPERLINK("https://klasma.github.io/Logging_2262/tillsyn/A 8998-2024 tillsynsbegäran.docx", "A 8998-2024")</f>
        <v/>
      </c>
      <c r="Y114">
        <f>HYPERLINK("https://klasma.github.io/Logging_2262/tillsynsmail/A 8998-2024 tillsynsbegäran mail.docx", "A 8998-2024")</f>
        <v/>
      </c>
    </row>
    <row r="115" ht="15" customHeight="1">
      <c r="A115" t="inlineStr">
        <is>
          <t>A 14168-2024</t>
        </is>
      </c>
      <c r="B115" s="1" t="n">
        <v>45392</v>
      </c>
      <c r="C115" s="1" t="n">
        <v>45831</v>
      </c>
      <c r="D115" t="inlineStr">
        <is>
          <t>VÄSTERNORRLANDS LÄN</t>
        </is>
      </c>
      <c r="E115" t="inlineStr">
        <is>
          <t>TIMRÅ</t>
        </is>
      </c>
      <c r="F115" t="inlineStr">
        <is>
          <t>SCA</t>
        </is>
      </c>
      <c r="G115" t="n">
        <v>6.3</v>
      </c>
      <c r="H115" t="n">
        <v>0</v>
      </c>
      <c r="I115" t="n">
        <v>1</v>
      </c>
      <c r="J115" t="n">
        <v>0</v>
      </c>
      <c r="K115" t="n">
        <v>0</v>
      </c>
      <c r="L115" t="n">
        <v>0</v>
      </c>
      <c r="M115" t="n">
        <v>0</v>
      </c>
      <c r="N115" t="n">
        <v>0</v>
      </c>
      <c r="O115" t="n">
        <v>0</v>
      </c>
      <c r="P115" t="n">
        <v>0</v>
      </c>
      <c r="Q115" t="n">
        <v>1</v>
      </c>
      <c r="R115" s="2" t="inlineStr">
        <is>
          <t>Vedticka</t>
        </is>
      </c>
      <c r="S115">
        <f>HYPERLINK("https://klasma.github.io/Logging_2262/artfynd/A 14168-2024 artfynd.xlsx", "A 14168-2024")</f>
        <v/>
      </c>
      <c r="T115">
        <f>HYPERLINK("https://klasma.github.io/Logging_2262/kartor/A 14168-2024 karta.png", "A 14168-2024")</f>
        <v/>
      </c>
      <c r="V115">
        <f>HYPERLINK("https://klasma.github.io/Logging_2262/klagomål/A 14168-2024 FSC-klagomål.docx", "A 14168-2024")</f>
        <v/>
      </c>
      <c r="W115">
        <f>HYPERLINK("https://klasma.github.io/Logging_2262/klagomålsmail/A 14168-2024 FSC-klagomål mail.docx", "A 14168-2024")</f>
        <v/>
      </c>
      <c r="X115">
        <f>HYPERLINK("https://klasma.github.io/Logging_2262/tillsyn/A 14168-2024 tillsynsbegäran.docx", "A 14168-2024")</f>
        <v/>
      </c>
      <c r="Y115">
        <f>HYPERLINK("https://klasma.github.io/Logging_2262/tillsynsmail/A 14168-2024 tillsynsbegäran mail.docx", "A 14168-2024")</f>
        <v/>
      </c>
    </row>
    <row r="116" ht="15" customHeight="1">
      <c r="A116" t="inlineStr">
        <is>
          <t>A 15477-2024</t>
        </is>
      </c>
      <c r="B116" s="1" t="n">
        <v>45401</v>
      </c>
      <c r="C116" s="1" t="n">
        <v>45831</v>
      </c>
      <c r="D116" t="inlineStr">
        <is>
          <t>VÄSTERNORRLANDS LÄN</t>
        </is>
      </c>
      <c r="E116" t="inlineStr">
        <is>
          <t>TIMRÅ</t>
        </is>
      </c>
      <c r="G116" t="n">
        <v>2.1</v>
      </c>
      <c r="H116" t="n">
        <v>0</v>
      </c>
      <c r="I116" t="n">
        <v>0</v>
      </c>
      <c r="J116" t="n">
        <v>1</v>
      </c>
      <c r="K116" t="n">
        <v>0</v>
      </c>
      <c r="L116" t="n">
        <v>0</v>
      </c>
      <c r="M116" t="n">
        <v>0</v>
      </c>
      <c r="N116" t="n">
        <v>0</v>
      </c>
      <c r="O116" t="n">
        <v>1</v>
      </c>
      <c r="P116" t="n">
        <v>0</v>
      </c>
      <c r="Q116" t="n">
        <v>1</v>
      </c>
      <c r="R116" s="2" t="inlineStr">
        <is>
          <t>Tallticka</t>
        </is>
      </c>
      <c r="S116">
        <f>HYPERLINK("https://klasma.github.io/Logging_2262/artfynd/A 15477-2024 artfynd.xlsx", "A 15477-2024")</f>
        <v/>
      </c>
      <c r="T116">
        <f>HYPERLINK("https://klasma.github.io/Logging_2262/kartor/A 15477-2024 karta.png", "A 15477-2024")</f>
        <v/>
      </c>
      <c r="V116">
        <f>HYPERLINK("https://klasma.github.io/Logging_2262/klagomål/A 15477-2024 FSC-klagomål.docx", "A 15477-2024")</f>
        <v/>
      </c>
      <c r="W116">
        <f>HYPERLINK("https://klasma.github.io/Logging_2262/klagomålsmail/A 15477-2024 FSC-klagomål mail.docx", "A 15477-2024")</f>
        <v/>
      </c>
      <c r="X116">
        <f>HYPERLINK("https://klasma.github.io/Logging_2262/tillsyn/A 15477-2024 tillsynsbegäran.docx", "A 15477-2024")</f>
        <v/>
      </c>
      <c r="Y116">
        <f>HYPERLINK("https://klasma.github.io/Logging_2262/tillsynsmail/A 15477-2024 tillsynsbegäran mail.docx", "A 15477-2024")</f>
        <v/>
      </c>
    </row>
    <row r="117" ht="15" customHeight="1">
      <c r="A117" t="inlineStr">
        <is>
          <t>A 20350-2024</t>
        </is>
      </c>
      <c r="B117" s="1" t="n">
        <v>45435</v>
      </c>
      <c r="C117" s="1" t="n">
        <v>45831</v>
      </c>
      <c r="D117" t="inlineStr">
        <is>
          <t>VÄSTERNORRLANDS LÄN</t>
        </is>
      </c>
      <c r="E117" t="inlineStr">
        <is>
          <t>TIMRÅ</t>
        </is>
      </c>
      <c r="F117" t="inlineStr">
        <is>
          <t>SCA</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HYPERLINK("https://klasma.github.io/Logging_2262/artfynd/A 20350-2024 artfynd.xlsx", "A 20350-2024")</f>
        <v/>
      </c>
      <c r="T117">
        <f>HYPERLINK("https://klasma.github.io/Logging_2262/kartor/A 20350-2024 karta.png", "A 20350-2024")</f>
        <v/>
      </c>
      <c r="V117">
        <f>HYPERLINK("https://klasma.github.io/Logging_2262/klagomål/A 20350-2024 FSC-klagomål.docx", "A 20350-2024")</f>
        <v/>
      </c>
      <c r="W117">
        <f>HYPERLINK("https://klasma.github.io/Logging_2262/klagomålsmail/A 20350-2024 FSC-klagomål mail.docx", "A 20350-2024")</f>
        <v/>
      </c>
      <c r="X117">
        <f>HYPERLINK("https://klasma.github.io/Logging_2262/tillsyn/A 20350-2024 tillsynsbegäran.docx", "A 20350-2024")</f>
        <v/>
      </c>
      <c r="Y117">
        <f>HYPERLINK("https://klasma.github.io/Logging_2262/tillsynsmail/A 20350-2024 tillsynsbegäran mail.docx", "A 20350-2024")</f>
        <v/>
      </c>
    </row>
    <row r="118" ht="15" customHeight="1">
      <c r="A118" t="inlineStr">
        <is>
          <t>A 21845-2024</t>
        </is>
      </c>
      <c r="B118" s="1" t="n">
        <v>45442</v>
      </c>
      <c r="C118" s="1" t="n">
        <v>45831</v>
      </c>
      <c r="D118" t="inlineStr">
        <is>
          <t>VÄSTERNORRLANDS LÄN</t>
        </is>
      </c>
      <c r="E118" t="inlineStr">
        <is>
          <t>TIMRÅ</t>
        </is>
      </c>
      <c r="F118" t="inlineStr">
        <is>
          <t>SCA</t>
        </is>
      </c>
      <c r="G118" t="n">
        <v>14.7</v>
      </c>
      <c r="H118" t="n">
        <v>0</v>
      </c>
      <c r="I118" t="n">
        <v>0</v>
      </c>
      <c r="J118" t="n">
        <v>1</v>
      </c>
      <c r="K118" t="n">
        <v>0</v>
      </c>
      <c r="L118" t="n">
        <v>0</v>
      </c>
      <c r="M118" t="n">
        <v>0</v>
      </c>
      <c r="N118" t="n">
        <v>0</v>
      </c>
      <c r="O118" t="n">
        <v>1</v>
      </c>
      <c r="P118" t="n">
        <v>0</v>
      </c>
      <c r="Q118" t="n">
        <v>1</v>
      </c>
      <c r="R118" s="2" t="inlineStr">
        <is>
          <t>Lunglav</t>
        </is>
      </c>
      <c r="S118">
        <f>HYPERLINK("https://klasma.github.io/Logging_2262/artfynd/A 21845-2024 artfynd.xlsx", "A 21845-2024")</f>
        <v/>
      </c>
      <c r="T118">
        <f>HYPERLINK("https://klasma.github.io/Logging_2262/kartor/A 21845-2024 karta.png", "A 21845-2024")</f>
        <v/>
      </c>
      <c r="V118">
        <f>HYPERLINK("https://klasma.github.io/Logging_2262/klagomål/A 21845-2024 FSC-klagomål.docx", "A 21845-2024")</f>
        <v/>
      </c>
      <c r="W118">
        <f>HYPERLINK("https://klasma.github.io/Logging_2262/klagomålsmail/A 21845-2024 FSC-klagomål mail.docx", "A 21845-2024")</f>
        <v/>
      </c>
      <c r="X118">
        <f>HYPERLINK("https://klasma.github.io/Logging_2262/tillsyn/A 21845-2024 tillsynsbegäran.docx", "A 21845-2024")</f>
        <v/>
      </c>
      <c r="Y118">
        <f>HYPERLINK("https://klasma.github.io/Logging_2262/tillsynsmail/A 21845-2024 tillsynsbegäran mail.docx", "A 21845-2024")</f>
        <v/>
      </c>
    </row>
    <row r="119" ht="15" customHeight="1">
      <c r="A119" t="inlineStr">
        <is>
          <t>A 39150-2024</t>
        </is>
      </c>
      <c r="B119" s="1" t="n">
        <v>45548</v>
      </c>
      <c r="C119" s="1" t="n">
        <v>45831</v>
      </c>
      <c r="D119" t="inlineStr">
        <is>
          <t>VÄSTERNORRLANDS LÄN</t>
        </is>
      </c>
      <c r="E119" t="inlineStr">
        <is>
          <t>TIMRÅ</t>
        </is>
      </c>
      <c r="G119" t="n">
        <v>4.4</v>
      </c>
      <c r="H119" t="n">
        <v>0</v>
      </c>
      <c r="I119" t="n">
        <v>1</v>
      </c>
      <c r="J119" t="n">
        <v>0</v>
      </c>
      <c r="K119" t="n">
        <v>0</v>
      </c>
      <c r="L119" t="n">
        <v>0</v>
      </c>
      <c r="M119" t="n">
        <v>0</v>
      </c>
      <c r="N119" t="n">
        <v>0</v>
      </c>
      <c r="O119" t="n">
        <v>0</v>
      </c>
      <c r="P119" t="n">
        <v>0</v>
      </c>
      <c r="Q119" t="n">
        <v>1</v>
      </c>
      <c r="R119" s="2" t="inlineStr">
        <is>
          <t>Ögonpyrola</t>
        </is>
      </c>
      <c r="S119">
        <f>HYPERLINK("https://klasma.github.io/Logging_2262/artfynd/A 39150-2024 artfynd.xlsx", "A 39150-2024")</f>
        <v/>
      </c>
      <c r="T119">
        <f>HYPERLINK("https://klasma.github.io/Logging_2262/kartor/A 39150-2024 karta.png", "A 39150-2024")</f>
        <v/>
      </c>
      <c r="V119">
        <f>HYPERLINK("https://klasma.github.io/Logging_2262/klagomål/A 39150-2024 FSC-klagomål.docx", "A 39150-2024")</f>
        <v/>
      </c>
      <c r="W119">
        <f>HYPERLINK("https://klasma.github.io/Logging_2262/klagomålsmail/A 39150-2024 FSC-klagomål mail.docx", "A 39150-2024")</f>
        <v/>
      </c>
      <c r="X119">
        <f>HYPERLINK("https://klasma.github.io/Logging_2262/tillsyn/A 39150-2024 tillsynsbegäran.docx", "A 39150-2024")</f>
        <v/>
      </c>
      <c r="Y119">
        <f>HYPERLINK("https://klasma.github.io/Logging_2262/tillsynsmail/A 39150-2024 tillsynsbegäran mail.docx", "A 39150-2024")</f>
        <v/>
      </c>
    </row>
    <row r="120" ht="15" customHeight="1">
      <c r="A120" t="inlineStr">
        <is>
          <t>A 40659-2024</t>
        </is>
      </c>
      <c r="B120" s="1" t="n">
        <v>45558</v>
      </c>
      <c r="C120" s="1" t="n">
        <v>45831</v>
      </c>
      <c r="D120" t="inlineStr">
        <is>
          <t>VÄSTERNORRLANDS LÄN</t>
        </is>
      </c>
      <c r="E120" t="inlineStr">
        <is>
          <t>TIMRÅ</t>
        </is>
      </c>
      <c r="F120" t="inlineStr">
        <is>
          <t>SCA</t>
        </is>
      </c>
      <c r="G120" t="n">
        <v>0.7</v>
      </c>
      <c r="H120" t="n">
        <v>0</v>
      </c>
      <c r="I120" t="n">
        <v>0</v>
      </c>
      <c r="J120" t="n">
        <v>1</v>
      </c>
      <c r="K120" t="n">
        <v>0</v>
      </c>
      <c r="L120" t="n">
        <v>0</v>
      </c>
      <c r="M120" t="n">
        <v>0</v>
      </c>
      <c r="N120" t="n">
        <v>0</v>
      </c>
      <c r="O120" t="n">
        <v>1</v>
      </c>
      <c r="P120" t="n">
        <v>0</v>
      </c>
      <c r="Q120" t="n">
        <v>1</v>
      </c>
      <c r="R120" s="2" t="inlineStr">
        <is>
          <t>Rosenticka</t>
        </is>
      </c>
      <c r="S120">
        <f>HYPERLINK("https://klasma.github.io/Logging_2262/artfynd/A 40659-2024 artfynd.xlsx", "A 40659-2024")</f>
        <v/>
      </c>
      <c r="T120">
        <f>HYPERLINK("https://klasma.github.io/Logging_2262/kartor/A 40659-2024 karta.png", "A 40659-2024")</f>
        <v/>
      </c>
      <c r="V120">
        <f>HYPERLINK("https://klasma.github.io/Logging_2262/klagomål/A 40659-2024 FSC-klagomål.docx", "A 40659-2024")</f>
        <v/>
      </c>
      <c r="W120">
        <f>HYPERLINK("https://klasma.github.io/Logging_2262/klagomålsmail/A 40659-2024 FSC-klagomål mail.docx", "A 40659-2024")</f>
        <v/>
      </c>
      <c r="X120">
        <f>HYPERLINK("https://klasma.github.io/Logging_2262/tillsyn/A 40659-2024 tillsynsbegäran.docx", "A 40659-2024")</f>
        <v/>
      </c>
      <c r="Y120">
        <f>HYPERLINK("https://klasma.github.io/Logging_2262/tillsynsmail/A 40659-2024 tillsynsbegäran mail.docx", "A 40659-2024")</f>
        <v/>
      </c>
    </row>
    <row r="121" ht="15" customHeight="1">
      <c r="A121" t="inlineStr">
        <is>
          <t>A 45721-2024</t>
        </is>
      </c>
      <c r="B121" s="1" t="n">
        <v>45579</v>
      </c>
      <c r="C121" s="1" t="n">
        <v>45831</v>
      </c>
      <c r="D121" t="inlineStr">
        <is>
          <t>VÄSTERNORRLANDS LÄN</t>
        </is>
      </c>
      <c r="E121" t="inlineStr">
        <is>
          <t>TIMRÅ</t>
        </is>
      </c>
      <c r="F121" t="inlineStr">
        <is>
          <t>SCA</t>
        </is>
      </c>
      <c r="G121" t="n">
        <v>6</v>
      </c>
      <c r="H121" t="n">
        <v>0</v>
      </c>
      <c r="I121" t="n">
        <v>0</v>
      </c>
      <c r="J121" t="n">
        <v>1</v>
      </c>
      <c r="K121" t="n">
        <v>0</v>
      </c>
      <c r="L121" t="n">
        <v>0</v>
      </c>
      <c r="M121" t="n">
        <v>0</v>
      </c>
      <c r="N121" t="n">
        <v>0</v>
      </c>
      <c r="O121" t="n">
        <v>1</v>
      </c>
      <c r="P121" t="n">
        <v>0</v>
      </c>
      <c r="Q121" t="n">
        <v>1</v>
      </c>
      <c r="R121" s="2" t="inlineStr">
        <is>
          <t>Gammelgransskål</t>
        </is>
      </c>
      <c r="S121">
        <f>HYPERLINK("https://klasma.github.io/Logging_2262/artfynd/A 45721-2024 artfynd.xlsx", "A 45721-2024")</f>
        <v/>
      </c>
      <c r="T121">
        <f>HYPERLINK("https://klasma.github.io/Logging_2262/kartor/A 45721-2024 karta.png", "A 45721-2024")</f>
        <v/>
      </c>
      <c r="V121">
        <f>HYPERLINK("https://klasma.github.io/Logging_2262/klagomål/A 45721-2024 FSC-klagomål.docx", "A 45721-2024")</f>
        <v/>
      </c>
      <c r="W121">
        <f>HYPERLINK("https://klasma.github.io/Logging_2262/klagomålsmail/A 45721-2024 FSC-klagomål mail.docx", "A 45721-2024")</f>
        <v/>
      </c>
      <c r="X121">
        <f>HYPERLINK("https://klasma.github.io/Logging_2262/tillsyn/A 45721-2024 tillsynsbegäran.docx", "A 45721-2024")</f>
        <v/>
      </c>
      <c r="Y121">
        <f>HYPERLINK("https://klasma.github.io/Logging_2262/tillsynsmail/A 45721-2024 tillsynsbegäran mail.docx", "A 45721-2024")</f>
        <v/>
      </c>
    </row>
    <row r="122" ht="15" customHeight="1">
      <c r="A122" t="inlineStr">
        <is>
          <t>A 53295-2024</t>
        </is>
      </c>
      <c r="B122" s="1" t="n">
        <v>45614</v>
      </c>
      <c r="C122" s="1" t="n">
        <v>45831</v>
      </c>
      <c r="D122" t="inlineStr">
        <is>
          <t>VÄSTERNORRLANDS LÄN</t>
        </is>
      </c>
      <c r="E122" t="inlineStr">
        <is>
          <t>TIMRÅ</t>
        </is>
      </c>
      <c r="F122" t="inlineStr">
        <is>
          <t>SCA</t>
        </is>
      </c>
      <c r="G122" t="n">
        <v>1.9</v>
      </c>
      <c r="H122" t="n">
        <v>0</v>
      </c>
      <c r="I122" t="n">
        <v>0</v>
      </c>
      <c r="J122" t="n">
        <v>1</v>
      </c>
      <c r="K122" t="n">
        <v>0</v>
      </c>
      <c r="L122" t="n">
        <v>0</v>
      </c>
      <c r="M122" t="n">
        <v>0</v>
      </c>
      <c r="N122" t="n">
        <v>0</v>
      </c>
      <c r="O122" t="n">
        <v>1</v>
      </c>
      <c r="P122" t="n">
        <v>0</v>
      </c>
      <c r="Q122" t="n">
        <v>1</v>
      </c>
      <c r="R122" s="2" t="inlineStr">
        <is>
          <t>Vedskivlav</t>
        </is>
      </c>
      <c r="S122">
        <f>HYPERLINK("https://klasma.github.io/Logging_2262/artfynd/A 53295-2024 artfynd.xlsx", "A 53295-2024")</f>
        <v/>
      </c>
      <c r="T122">
        <f>HYPERLINK("https://klasma.github.io/Logging_2262/kartor/A 53295-2024 karta.png", "A 53295-2024")</f>
        <v/>
      </c>
      <c r="V122">
        <f>HYPERLINK("https://klasma.github.io/Logging_2262/klagomål/A 53295-2024 FSC-klagomål.docx", "A 53295-2024")</f>
        <v/>
      </c>
      <c r="W122">
        <f>HYPERLINK("https://klasma.github.io/Logging_2262/klagomålsmail/A 53295-2024 FSC-klagomål mail.docx", "A 53295-2024")</f>
        <v/>
      </c>
      <c r="X122">
        <f>HYPERLINK("https://klasma.github.io/Logging_2262/tillsyn/A 53295-2024 tillsynsbegäran.docx", "A 53295-2024")</f>
        <v/>
      </c>
      <c r="Y122">
        <f>HYPERLINK("https://klasma.github.io/Logging_2262/tillsynsmail/A 53295-2024 tillsynsbegäran mail.docx", "A 53295-2024")</f>
        <v/>
      </c>
    </row>
    <row r="123" ht="15" customHeight="1">
      <c r="A123" t="inlineStr">
        <is>
          <t>A 53300-2024</t>
        </is>
      </c>
      <c r="B123" s="1" t="n">
        <v>45614</v>
      </c>
      <c r="C123" s="1" t="n">
        <v>45831</v>
      </c>
      <c r="D123" t="inlineStr">
        <is>
          <t>VÄSTERNORRLANDS LÄN</t>
        </is>
      </c>
      <c r="E123" t="inlineStr">
        <is>
          <t>TIMRÅ</t>
        </is>
      </c>
      <c r="F123" t="inlineStr">
        <is>
          <t>SCA</t>
        </is>
      </c>
      <c r="G123" t="n">
        <v>1</v>
      </c>
      <c r="H123" t="n">
        <v>0</v>
      </c>
      <c r="I123" t="n">
        <v>0</v>
      </c>
      <c r="J123" t="n">
        <v>1</v>
      </c>
      <c r="K123" t="n">
        <v>0</v>
      </c>
      <c r="L123" t="n">
        <v>0</v>
      </c>
      <c r="M123" t="n">
        <v>0</v>
      </c>
      <c r="N123" t="n">
        <v>0</v>
      </c>
      <c r="O123" t="n">
        <v>1</v>
      </c>
      <c r="P123" t="n">
        <v>0</v>
      </c>
      <c r="Q123" t="n">
        <v>1</v>
      </c>
      <c r="R123" s="2" t="inlineStr">
        <is>
          <t>Garnlav</t>
        </is>
      </c>
      <c r="S123">
        <f>HYPERLINK("https://klasma.github.io/Logging_2262/artfynd/A 53300-2024 artfynd.xlsx", "A 53300-2024")</f>
        <v/>
      </c>
      <c r="T123">
        <f>HYPERLINK("https://klasma.github.io/Logging_2262/kartor/A 53300-2024 karta.png", "A 53300-2024")</f>
        <v/>
      </c>
      <c r="V123">
        <f>HYPERLINK("https://klasma.github.io/Logging_2262/klagomål/A 53300-2024 FSC-klagomål.docx", "A 53300-2024")</f>
        <v/>
      </c>
      <c r="W123">
        <f>HYPERLINK("https://klasma.github.io/Logging_2262/klagomålsmail/A 53300-2024 FSC-klagomål mail.docx", "A 53300-2024")</f>
        <v/>
      </c>
      <c r="X123">
        <f>HYPERLINK("https://klasma.github.io/Logging_2262/tillsyn/A 53300-2024 tillsynsbegäran.docx", "A 53300-2024")</f>
        <v/>
      </c>
      <c r="Y123">
        <f>HYPERLINK("https://klasma.github.io/Logging_2262/tillsynsmail/A 53300-2024 tillsynsbegäran mail.docx", "A 53300-2024")</f>
        <v/>
      </c>
    </row>
    <row r="124" ht="15" customHeight="1">
      <c r="A124" t="inlineStr">
        <is>
          <t>A 56287-2024</t>
        </is>
      </c>
      <c r="B124" s="1" t="n">
        <v>45624</v>
      </c>
      <c r="C124" s="1" t="n">
        <v>45831</v>
      </c>
      <c r="D124" t="inlineStr">
        <is>
          <t>VÄSTERNORRLANDS LÄN</t>
        </is>
      </c>
      <c r="E124" t="inlineStr">
        <is>
          <t>TIMRÅ</t>
        </is>
      </c>
      <c r="F124" t="inlineStr">
        <is>
          <t>SCA</t>
        </is>
      </c>
      <c r="G124" t="n">
        <v>10.2</v>
      </c>
      <c r="H124" t="n">
        <v>0</v>
      </c>
      <c r="I124" t="n">
        <v>0</v>
      </c>
      <c r="J124" t="n">
        <v>1</v>
      </c>
      <c r="K124" t="n">
        <v>0</v>
      </c>
      <c r="L124" t="n">
        <v>0</v>
      </c>
      <c r="M124" t="n">
        <v>0</v>
      </c>
      <c r="N124" t="n">
        <v>0</v>
      </c>
      <c r="O124" t="n">
        <v>1</v>
      </c>
      <c r="P124" t="n">
        <v>0</v>
      </c>
      <c r="Q124" t="n">
        <v>1</v>
      </c>
      <c r="R124" s="2" t="inlineStr">
        <is>
          <t>Garnlav</t>
        </is>
      </c>
      <c r="S124">
        <f>HYPERLINK("https://klasma.github.io/Logging_2262/artfynd/A 56287-2024 artfynd.xlsx", "A 56287-2024")</f>
        <v/>
      </c>
      <c r="T124">
        <f>HYPERLINK("https://klasma.github.io/Logging_2262/kartor/A 56287-2024 karta.png", "A 56287-2024")</f>
        <v/>
      </c>
      <c r="V124">
        <f>HYPERLINK("https://klasma.github.io/Logging_2262/klagomål/A 56287-2024 FSC-klagomål.docx", "A 56287-2024")</f>
        <v/>
      </c>
      <c r="W124">
        <f>HYPERLINK("https://klasma.github.io/Logging_2262/klagomålsmail/A 56287-2024 FSC-klagomål mail.docx", "A 56287-2024")</f>
        <v/>
      </c>
      <c r="X124">
        <f>HYPERLINK("https://klasma.github.io/Logging_2262/tillsyn/A 56287-2024 tillsynsbegäran.docx", "A 56287-2024")</f>
        <v/>
      </c>
      <c r="Y124">
        <f>HYPERLINK("https://klasma.github.io/Logging_2262/tillsynsmail/A 56287-2024 tillsynsbegäran mail.docx", "A 56287-2024")</f>
        <v/>
      </c>
    </row>
    <row r="125" ht="15" customHeight="1">
      <c r="A125" t="inlineStr">
        <is>
          <t>A 62081-2024</t>
        </is>
      </c>
      <c r="B125" s="1" t="n">
        <v>45656</v>
      </c>
      <c r="C125" s="1" t="n">
        <v>45831</v>
      </c>
      <c r="D125" t="inlineStr">
        <is>
          <t>VÄSTERNORRLANDS LÄN</t>
        </is>
      </c>
      <c r="E125" t="inlineStr">
        <is>
          <t>TIMRÅ</t>
        </is>
      </c>
      <c r="F125" t="inlineStr">
        <is>
          <t>SCA</t>
        </is>
      </c>
      <c r="G125" t="n">
        <v>6.3</v>
      </c>
      <c r="H125" t="n">
        <v>1</v>
      </c>
      <c r="I125" t="n">
        <v>0</v>
      </c>
      <c r="J125" t="n">
        <v>0</v>
      </c>
      <c r="K125" t="n">
        <v>1</v>
      </c>
      <c r="L125" t="n">
        <v>0</v>
      </c>
      <c r="M125" t="n">
        <v>0</v>
      </c>
      <c r="N125" t="n">
        <v>0</v>
      </c>
      <c r="O125" t="n">
        <v>1</v>
      </c>
      <c r="P125" t="n">
        <v>1</v>
      </c>
      <c r="Q125" t="n">
        <v>1</v>
      </c>
      <c r="R125" s="2" t="inlineStr">
        <is>
          <t>Knärot</t>
        </is>
      </c>
      <c r="S125">
        <f>HYPERLINK("https://klasma.github.io/Logging_2262/artfynd/A 62081-2024 artfynd.xlsx", "A 62081-2024")</f>
        <v/>
      </c>
      <c r="T125">
        <f>HYPERLINK("https://klasma.github.io/Logging_2262/kartor/A 62081-2024 karta.png", "A 62081-2024")</f>
        <v/>
      </c>
      <c r="U125">
        <f>HYPERLINK("https://klasma.github.io/Logging_2262/knärot/A 62081-2024 karta knärot.png", "A 62081-2024")</f>
        <v/>
      </c>
      <c r="V125">
        <f>HYPERLINK("https://klasma.github.io/Logging_2262/klagomål/A 62081-2024 FSC-klagomål.docx", "A 62081-2024")</f>
        <v/>
      </c>
      <c r="W125">
        <f>HYPERLINK("https://klasma.github.io/Logging_2262/klagomålsmail/A 62081-2024 FSC-klagomål mail.docx", "A 62081-2024")</f>
        <v/>
      </c>
      <c r="X125">
        <f>HYPERLINK("https://klasma.github.io/Logging_2262/tillsyn/A 62081-2024 tillsynsbegäran.docx", "A 62081-2024")</f>
        <v/>
      </c>
      <c r="Y125">
        <f>HYPERLINK("https://klasma.github.io/Logging_2262/tillsynsmail/A 62081-2024 tillsynsbegäran mail.docx", "A 62081-2024")</f>
        <v/>
      </c>
    </row>
    <row r="126" ht="15" customHeight="1">
      <c r="A126" t="inlineStr">
        <is>
          <t>A 2295-2025</t>
        </is>
      </c>
      <c r="B126" s="1" t="n">
        <v>45673</v>
      </c>
      <c r="C126" s="1" t="n">
        <v>45831</v>
      </c>
      <c r="D126" t="inlineStr">
        <is>
          <t>VÄSTERNORRLANDS LÄN</t>
        </is>
      </c>
      <c r="E126" t="inlineStr">
        <is>
          <t>TIMRÅ</t>
        </is>
      </c>
      <c r="F126" t="inlineStr">
        <is>
          <t>SCA</t>
        </is>
      </c>
      <c r="G126" t="n">
        <v>5.1</v>
      </c>
      <c r="H126" t="n">
        <v>0</v>
      </c>
      <c r="I126" t="n">
        <v>0</v>
      </c>
      <c r="J126" t="n">
        <v>1</v>
      </c>
      <c r="K126" t="n">
        <v>0</v>
      </c>
      <c r="L126" t="n">
        <v>0</v>
      </c>
      <c r="M126" t="n">
        <v>0</v>
      </c>
      <c r="N126" t="n">
        <v>0</v>
      </c>
      <c r="O126" t="n">
        <v>1</v>
      </c>
      <c r="P126" t="n">
        <v>0</v>
      </c>
      <c r="Q126" t="n">
        <v>1</v>
      </c>
      <c r="R126" s="2" t="inlineStr">
        <is>
          <t>Ullticka</t>
        </is>
      </c>
      <c r="S126">
        <f>HYPERLINK("https://klasma.github.io/Logging_2262/artfynd/A 2295-2025 artfynd.xlsx", "A 2295-2025")</f>
        <v/>
      </c>
      <c r="T126">
        <f>HYPERLINK("https://klasma.github.io/Logging_2262/kartor/A 2295-2025 karta.png", "A 2295-2025")</f>
        <v/>
      </c>
      <c r="V126">
        <f>HYPERLINK("https://klasma.github.io/Logging_2262/klagomål/A 2295-2025 FSC-klagomål.docx", "A 2295-2025")</f>
        <v/>
      </c>
      <c r="W126">
        <f>HYPERLINK("https://klasma.github.io/Logging_2262/klagomålsmail/A 2295-2025 FSC-klagomål mail.docx", "A 2295-2025")</f>
        <v/>
      </c>
      <c r="X126">
        <f>HYPERLINK("https://klasma.github.io/Logging_2262/tillsyn/A 2295-2025 tillsynsbegäran.docx", "A 2295-2025")</f>
        <v/>
      </c>
      <c r="Y126">
        <f>HYPERLINK("https://klasma.github.io/Logging_2262/tillsynsmail/A 2295-2025 tillsynsbegäran mail.docx", "A 2295-2025")</f>
        <v/>
      </c>
    </row>
    <row r="127" ht="15" customHeight="1">
      <c r="A127" t="inlineStr">
        <is>
          <t>A 7272-2025</t>
        </is>
      </c>
      <c r="B127" s="1" t="n">
        <v>45702</v>
      </c>
      <c r="C127" s="1" t="n">
        <v>45831</v>
      </c>
      <c r="D127" t="inlineStr">
        <is>
          <t>VÄSTERNORRLANDS LÄN</t>
        </is>
      </c>
      <c r="E127" t="inlineStr">
        <is>
          <t>TIMRÅ</t>
        </is>
      </c>
      <c r="G127" t="n">
        <v>2.9</v>
      </c>
      <c r="H127" t="n">
        <v>0</v>
      </c>
      <c r="I127" t="n">
        <v>0</v>
      </c>
      <c r="J127" t="n">
        <v>1</v>
      </c>
      <c r="K127" t="n">
        <v>0</v>
      </c>
      <c r="L127" t="n">
        <v>0</v>
      </c>
      <c r="M127" t="n">
        <v>0</v>
      </c>
      <c r="N127" t="n">
        <v>0</v>
      </c>
      <c r="O127" t="n">
        <v>1</v>
      </c>
      <c r="P127" t="n">
        <v>0</v>
      </c>
      <c r="Q127" t="n">
        <v>1</v>
      </c>
      <c r="R127" s="2" t="inlineStr">
        <is>
          <t>Reliktbock</t>
        </is>
      </c>
      <c r="S127">
        <f>HYPERLINK("https://klasma.github.io/Logging_2262/artfynd/A 7272-2025 artfynd.xlsx", "A 7272-2025")</f>
        <v/>
      </c>
      <c r="T127">
        <f>HYPERLINK("https://klasma.github.io/Logging_2262/kartor/A 7272-2025 karta.png", "A 7272-2025")</f>
        <v/>
      </c>
      <c r="V127">
        <f>HYPERLINK("https://klasma.github.io/Logging_2262/klagomål/A 7272-2025 FSC-klagomål.docx", "A 7272-2025")</f>
        <v/>
      </c>
      <c r="W127">
        <f>HYPERLINK("https://klasma.github.io/Logging_2262/klagomålsmail/A 7272-2025 FSC-klagomål mail.docx", "A 7272-2025")</f>
        <v/>
      </c>
      <c r="X127">
        <f>HYPERLINK("https://klasma.github.io/Logging_2262/tillsyn/A 7272-2025 tillsynsbegäran.docx", "A 7272-2025")</f>
        <v/>
      </c>
      <c r="Y127">
        <f>HYPERLINK("https://klasma.github.io/Logging_2262/tillsynsmail/A 7272-2025 tillsynsbegäran mail.docx", "A 7272-2025")</f>
        <v/>
      </c>
    </row>
    <row r="128" ht="15" customHeight="1">
      <c r="A128" t="inlineStr">
        <is>
          <t>A 16301-2025</t>
        </is>
      </c>
      <c r="B128" s="1" t="n">
        <v>45751</v>
      </c>
      <c r="C128" s="1" t="n">
        <v>45831</v>
      </c>
      <c r="D128" t="inlineStr">
        <is>
          <t>VÄSTERNORRLANDS LÄN</t>
        </is>
      </c>
      <c r="E128" t="inlineStr">
        <is>
          <t>TIMRÅ</t>
        </is>
      </c>
      <c r="F128" t="inlineStr">
        <is>
          <t>SCA</t>
        </is>
      </c>
      <c r="G128" t="n">
        <v>1.6</v>
      </c>
      <c r="H128" t="n">
        <v>0</v>
      </c>
      <c r="I128" t="n">
        <v>0</v>
      </c>
      <c r="J128" t="n">
        <v>1</v>
      </c>
      <c r="K128" t="n">
        <v>0</v>
      </c>
      <c r="L128" t="n">
        <v>0</v>
      </c>
      <c r="M128" t="n">
        <v>0</v>
      </c>
      <c r="N128" t="n">
        <v>0</v>
      </c>
      <c r="O128" t="n">
        <v>1</v>
      </c>
      <c r="P128" t="n">
        <v>0</v>
      </c>
      <c r="Q128" t="n">
        <v>1</v>
      </c>
      <c r="R128" s="2" t="inlineStr">
        <is>
          <t>Lunglav</t>
        </is>
      </c>
      <c r="S128">
        <f>HYPERLINK("https://klasma.github.io/Logging_222262/artfynd/A 16301-2025 artfynd.xlsx", "A 16301-2025")</f>
        <v/>
      </c>
      <c r="T128">
        <f>HYPERLINK("https://klasma.github.io/Logging_222262/kartor/A 16301-2025 karta.png", "A 16301-2025")</f>
        <v/>
      </c>
      <c r="U128">
        <f>HYPERLINK("https://klasma.github.io/Logging_222262/knärot/A 16301-2025 karta knärot.png", "A 16301-2025")</f>
        <v/>
      </c>
      <c r="V128">
        <f>HYPERLINK("https://klasma.github.io/Logging_222262/klagomål/A 16301-2025 FSC-klagomål.docx", "A 16301-2025")</f>
        <v/>
      </c>
      <c r="W128">
        <f>HYPERLINK("https://klasma.github.io/Logging_222262/klagomålsmail/A 16301-2025 FSC-klagomål mail.docx", "A 16301-2025")</f>
        <v/>
      </c>
      <c r="X128">
        <f>HYPERLINK("https://klasma.github.io/Logging_222262/tillsyn/A 16301-2025 tillsynsbegäran.docx", "A 16301-2025")</f>
        <v/>
      </c>
      <c r="Y128">
        <f>HYPERLINK("https://klasma.github.io/Logging_222262/tillsynsmail/A 16301-2025 tillsynsbegäran mail.docx", "A 16301-2025")</f>
        <v/>
      </c>
    </row>
    <row r="129" ht="15" customHeight="1">
      <c r="A129" t="inlineStr">
        <is>
          <t>A 22212-2025</t>
        </is>
      </c>
      <c r="B129" s="1" t="n">
        <v>45785</v>
      </c>
      <c r="C129" s="1" t="n">
        <v>45831</v>
      </c>
      <c r="D129" t="inlineStr">
        <is>
          <t>VÄSTERNORRLANDS LÄN</t>
        </is>
      </c>
      <c r="E129" t="inlineStr">
        <is>
          <t>TIMRÅ</t>
        </is>
      </c>
      <c r="F129" t="inlineStr">
        <is>
          <t>SCA</t>
        </is>
      </c>
      <c r="G129" t="n">
        <v>6.9</v>
      </c>
      <c r="H129" t="n">
        <v>0</v>
      </c>
      <c r="I129" t="n">
        <v>0</v>
      </c>
      <c r="J129" t="n">
        <v>1</v>
      </c>
      <c r="K129" t="n">
        <v>0</v>
      </c>
      <c r="L129" t="n">
        <v>0</v>
      </c>
      <c r="M129" t="n">
        <v>0</v>
      </c>
      <c r="N129" t="n">
        <v>0</v>
      </c>
      <c r="O129" t="n">
        <v>1</v>
      </c>
      <c r="P129" t="n">
        <v>0</v>
      </c>
      <c r="Q129" t="n">
        <v>1</v>
      </c>
      <c r="R129" s="2" t="inlineStr">
        <is>
          <t>Ullticka</t>
        </is>
      </c>
      <c r="S129">
        <f>HYPERLINK("https://klasma.github.io/Logging_222262/artfynd/A 22212-2025 artfynd.xlsx", "A 22212-2025")</f>
        <v/>
      </c>
      <c r="T129">
        <f>HYPERLINK("https://klasma.github.io/Logging_222262/kartor/A 22212-2025 karta.png", "A 22212-2025")</f>
        <v/>
      </c>
      <c r="V129">
        <f>HYPERLINK("https://klasma.github.io/Logging_222262/klagomål/A 22212-2025 FSC-klagomål.docx", "A 22212-2025")</f>
        <v/>
      </c>
      <c r="W129">
        <f>HYPERLINK("https://klasma.github.io/Logging_222262/klagomålsmail/A 22212-2025 FSC-klagomål mail.docx", "A 22212-2025")</f>
        <v/>
      </c>
      <c r="X129">
        <f>HYPERLINK("https://klasma.github.io/Logging_222262/tillsyn/A 22212-2025 tillsynsbegäran.docx", "A 22212-2025")</f>
        <v/>
      </c>
      <c r="Y129">
        <f>HYPERLINK("https://klasma.github.io/Logging_222262/tillsynsmail/A 22212-2025 tillsynsbegäran mail.docx", "A 22212-2025")</f>
        <v/>
      </c>
    </row>
    <row r="130" ht="15" customHeight="1">
      <c r="A130" t="inlineStr">
        <is>
          <t>A 22050-2025</t>
        </is>
      </c>
      <c r="B130" s="1" t="n">
        <v>45785</v>
      </c>
      <c r="C130" s="1" t="n">
        <v>45831</v>
      </c>
      <c r="D130" t="inlineStr">
        <is>
          <t>VÄSTERNORRLANDS LÄN</t>
        </is>
      </c>
      <c r="E130" t="inlineStr">
        <is>
          <t>TIMRÅ</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HYPERLINK("https://klasma.github.io/Logging_222262/artfynd/A 22050-2025 artfynd.xlsx", "A 22050-2025")</f>
        <v/>
      </c>
      <c r="T130">
        <f>HYPERLINK("https://klasma.github.io/Logging_222262/kartor/A 22050-2025 karta.png", "A 22050-2025")</f>
        <v/>
      </c>
      <c r="V130">
        <f>HYPERLINK("https://klasma.github.io/Logging_222262/klagomål/A 22050-2025 FSC-klagomål.docx", "A 22050-2025")</f>
        <v/>
      </c>
      <c r="W130">
        <f>HYPERLINK("https://klasma.github.io/Logging_222262/klagomålsmail/A 22050-2025 FSC-klagomål mail.docx", "A 22050-2025")</f>
        <v/>
      </c>
      <c r="X130">
        <f>HYPERLINK("https://klasma.github.io/Logging_222262/tillsyn/A 22050-2025 tillsynsbegäran.docx", "A 22050-2025")</f>
        <v/>
      </c>
      <c r="Y130">
        <f>HYPERLINK("https://klasma.github.io/Logging_222262/tillsynsmail/A 22050-2025 tillsynsbegäran mail.docx", "A 22050-2025")</f>
        <v/>
      </c>
    </row>
    <row r="131" ht="15" customHeight="1">
      <c r="A131" t="inlineStr">
        <is>
          <t>A 22427-2025</t>
        </is>
      </c>
      <c r="B131" s="1" t="n">
        <v>45786</v>
      </c>
      <c r="C131" s="1" t="n">
        <v>45831</v>
      </c>
      <c r="D131" t="inlineStr">
        <is>
          <t>VÄSTERNORRLANDS LÄN</t>
        </is>
      </c>
      <c r="E131" t="inlineStr">
        <is>
          <t>TIMRÅ</t>
        </is>
      </c>
      <c r="F131" t="inlineStr">
        <is>
          <t>SCA</t>
        </is>
      </c>
      <c r="G131" t="n">
        <v>7.1</v>
      </c>
      <c r="H131" t="n">
        <v>0</v>
      </c>
      <c r="I131" t="n">
        <v>0</v>
      </c>
      <c r="J131" t="n">
        <v>1</v>
      </c>
      <c r="K131" t="n">
        <v>0</v>
      </c>
      <c r="L131" t="n">
        <v>0</v>
      </c>
      <c r="M131" t="n">
        <v>0</v>
      </c>
      <c r="N131" t="n">
        <v>0</v>
      </c>
      <c r="O131" t="n">
        <v>1</v>
      </c>
      <c r="P131" t="n">
        <v>0</v>
      </c>
      <c r="Q131" t="n">
        <v>1</v>
      </c>
      <c r="R131" s="2" t="inlineStr">
        <is>
          <t>Lunglav</t>
        </is>
      </c>
      <c r="S131">
        <f>HYPERLINK("https://klasma.github.io/Logging_222262/artfynd/A 22427-2025 artfynd.xlsx", "A 22427-2025")</f>
        <v/>
      </c>
      <c r="T131">
        <f>HYPERLINK("https://klasma.github.io/Logging_222262/kartor/A 22427-2025 karta.png", "A 22427-2025")</f>
        <v/>
      </c>
      <c r="V131">
        <f>HYPERLINK("https://klasma.github.io/Logging_222262/klagomål/A 22427-2025 FSC-klagomål.docx", "A 22427-2025")</f>
        <v/>
      </c>
      <c r="W131">
        <f>HYPERLINK("https://klasma.github.io/Logging_222262/klagomålsmail/A 22427-2025 FSC-klagomål mail.docx", "A 22427-2025")</f>
        <v/>
      </c>
      <c r="X131">
        <f>HYPERLINK("https://klasma.github.io/Logging_222262/tillsyn/A 22427-2025 tillsynsbegäran.docx", "A 22427-2025")</f>
        <v/>
      </c>
      <c r="Y131">
        <f>HYPERLINK("https://klasma.github.io/Logging_222262/tillsynsmail/A 22427-2025 tillsynsbegäran mail.docx", "A 22427-2025")</f>
        <v/>
      </c>
    </row>
    <row r="132" ht="15" customHeight="1">
      <c r="A132" t="inlineStr">
        <is>
          <t>A 22819-2025</t>
        </is>
      </c>
      <c r="B132" s="1" t="n">
        <v>45789</v>
      </c>
      <c r="C132" s="1" t="n">
        <v>45831</v>
      </c>
      <c r="D132" t="inlineStr">
        <is>
          <t>VÄSTERNORRLANDS LÄN</t>
        </is>
      </c>
      <c r="E132" t="inlineStr">
        <is>
          <t>TIMRÅ</t>
        </is>
      </c>
      <c r="G132" t="n">
        <v>1.2</v>
      </c>
      <c r="H132" t="n">
        <v>1</v>
      </c>
      <c r="I132" t="n">
        <v>0</v>
      </c>
      <c r="J132" t="n">
        <v>0</v>
      </c>
      <c r="K132" t="n">
        <v>0</v>
      </c>
      <c r="L132" t="n">
        <v>0</v>
      </c>
      <c r="M132" t="n">
        <v>0</v>
      </c>
      <c r="N132" t="n">
        <v>0</v>
      </c>
      <c r="O132" t="n">
        <v>0</v>
      </c>
      <c r="P132" t="n">
        <v>0</v>
      </c>
      <c r="Q132" t="n">
        <v>1</v>
      </c>
      <c r="R132" s="2" t="inlineStr">
        <is>
          <t>Orre</t>
        </is>
      </c>
      <c r="S132">
        <f>HYPERLINK("https://klasma.github.io/Logging_222262/artfynd/A 22819-2025 artfynd.xlsx", "A 22819-2025")</f>
        <v/>
      </c>
      <c r="T132">
        <f>HYPERLINK("https://klasma.github.io/Logging_222262/kartor/A 22819-2025 karta.png", "A 22819-2025")</f>
        <v/>
      </c>
      <c r="V132">
        <f>HYPERLINK("https://klasma.github.io/Logging_222262/klagomål/A 22819-2025 FSC-klagomål.docx", "A 22819-2025")</f>
        <v/>
      </c>
      <c r="W132">
        <f>HYPERLINK("https://klasma.github.io/Logging_222262/klagomålsmail/A 22819-2025 FSC-klagomål mail.docx", "A 22819-2025")</f>
        <v/>
      </c>
      <c r="X132">
        <f>HYPERLINK("https://klasma.github.io/Logging_222262/tillsyn/A 22819-2025 tillsynsbegäran.docx", "A 22819-2025")</f>
        <v/>
      </c>
      <c r="Y132">
        <f>HYPERLINK("https://klasma.github.io/Logging_222262/tillsynsmail/A 22819-2025 tillsynsbegäran mail.docx", "A 22819-2025")</f>
        <v/>
      </c>
      <c r="Z132">
        <f>HYPERLINK("https://klasma.github.io/Logging_222262/fåglar/A 22819-2025 prioriterade fågelarter.docx", "A 22819-2025")</f>
        <v/>
      </c>
    </row>
    <row r="133" ht="15" customHeight="1">
      <c r="A133" t="inlineStr">
        <is>
          <t>A 22897-2025</t>
        </is>
      </c>
      <c r="B133" s="1" t="n">
        <v>45790</v>
      </c>
      <c r="C133" s="1" t="n">
        <v>45831</v>
      </c>
      <c r="D133" t="inlineStr">
        <is>
          <t>VÄSTERNORRLANDS LÄN</t>
        </is>
      </c>
      <c r="E133" t="inlineStr">
        <is>
          <t>TIMRÅ</t>
        </is>
      </c>
      <c r="F133" t="inlineStr">
        <is>
          <t>SCA</t>
        </is>
      </c>
      <c r="G133" t="n">
        <v>6.2</v>
      </c>
      <c r="H133" t="n">
        <v>0</v>
      </c>
      <c r="I133" t="n">
        <v>0</v>
      </c>
      <c r="J133" t="n">
        <v>1</v>
      </c>
      <c r="K133" t="n">
        <v>0</v>
      </c>
      <c r="L133" t="n">
        <v>0</v>
      </c>
      <c r="M133" t="n">
        <v>0</v>
      </c>
      <c r="N133" t="n">
        <v>0</v>
      </c>
      <c r="O133" t="n">
        <v>1</v>
      </c>
      <c r="P133" t="n">
        <v>0</v>
      </c>
      <c r="Q133" t="n">
        <v>1</v>
      </c>
      <c r="R133" s="2" t="inlineStr">
        <is>
          <t>Garnlav</t>
        </is>
      </c>
      <c r="S133">
        <f>HYPERLINK("https://klasma.github.io/Logging_222262/artfynd/A 22897-2025 artfynd.xlsx", "A 22897-2025")</f>
        <v/>
      </c>
      <c r="T133">
        <f>HYPERLINK("https://klasma.github.io/Logging_222262/kartor/A 22897-2025 karta.png", "A 22897-2025")</f>
        <v/>
      </c>
      <c r="V133">
        <f>HYPERLINK("https://klasma.github.io/Logging_222262/klagomål/A 22897-2025 FSC-klagomål.docx", "A 22897-2025")</f>
        <v/>
      </c>
      <c r="W133">
        <f>HYPERLINK("https://klasma.github.io/Logging_222262/klagomålsmail/A 22897-2025 FSC-klagomål mail.docx", "A 22897-2025")</f>
        <v/>
      </c>
      <c r="X133">
        <f>HYPERLINK("https://klasma.github.io/Logging_222262/tillsyn/A 22897-2025 tillsynsbegäran.docx", "A 22897-2025")</f>
        <v/>
      </c>
      <c r="Y133">
        <f>HYPERLINK("https://klasma.github.io/Logging_222262/tillsynsmail/A 22897-2025 tillsynsbegäran mail.docx", "A 22897-2025")</f>
        <v/>
      </c>
    </row>
    <row r="134" ht="15" customHeight="1">
      <c r="A134" t="inlineStr">
        <is>
          <t>A 23171-2025</t>
        </is>
      </c>
      <c r="B134" s="1" t="n">
        <v>45791</v>
      </c>
      <c r="C134" s="1" t="n">
        <v>45831</v>
      </c>
      <c r="D134" t="inlineStr">
        <is>
          <t>VÄSTERNORRLANDS LÄN</t>
        </is>
      </c>
      <c r="E134" t="inlineStr">
        <is>
          <t>TIMRÅ</t>
        </is>
      </c>
      <c r="F134" t="inlineStr">
        <is>
          <t>SCA</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HYPERLINK("https://klasma.github.io/Logging_222262/artfynd/A 23171-2025 artfynd.xlsx", "A 23171-2025")</f>
        <v/>
      </c>
      <c r="T134">
        <f>HYPERLINK("https://klasma.github.io/Logging_222262/kartor/A 23171-2025 karta.png", "A 23171-2025")</f>
        <v/>
      </c>
      <c r="V134">
        <f>HYPERLINK("https://klasma.github.io/Logging_222262/klagomål/A 23171-2025 FSC-klagomål.docx", "A 23171-2025")</f>
        <v/>
      </c>
      <c r="W134">
        <f>HYPERLINK("https://klasma.github.io/Logging_222262/klagomålsmail/A 23171-2025 FSC-klagomål mail.docx", "A 23171-2025")</f>
        <v/>
      </c>
      <c r="X134">
        <f>HYPERLINK("https://klasma.github.io/Logging_222262/tillsyn/A 23171-2025 tillsynsbegäran.docx", "A 23171-2025")</f>
        <v/>
      </c>
      <c r="Y134">
        <f>HYPERLINK("https://klasma.github.io/Logging_222262/tillsynsmail/A 23171-2025 tillsynsbegäran mail.docx", "A 23171-2025")</f>
        <v/>
      </c>
    </row>
    <row r="135" ht="15" customHeight="1">
      <c r="A135" t="inlineStr">
        <is>
          <t>A 23159-2025</t>
        </is>
      </c>
      <c r="B135" s="1" t="n">
        <v>45791</v>
      </c>
      <c r="C135" s="1" t="n">
        <v>45831</v>
      </c>
      <c r="D135" t="inlineStr">
        <is>
          <t>VÄSTERNORRLANDS LÄN</t>
        </is>
      </c>
      <c r="E135" t="inlineStr">
        <is>
          <t>TIMRÅ</t>
        </is>
      </c>
      <c r="F135" t="inlineStr">
        <is>
          <t>SCA</t>
        </is>
      </c>
      <c r="G135" t="n">
        <v>1.1</v>
      </c>
      <c r="H135" t="n">
        <v>1</v>
      </c>
      <c r="I135" t="n">
        <v>0</v>
      </c>
      <c r="J135" t="n">
        <v>0</v>
      </c>
      <c r="K135" t="n">
        <v>0</v>
      </c>
      <c r="L135" t="n">
        <v>0</v>
      </c>
      <c r="M135" t="n">
        <v>0</v>
      </c>
      <c r="N135" t="n">
        <v>0</v>
      </c>
      <c r="O135" t="n">
        <v>0</v>
      </c>
      <c r="P135" t="n">
        <v>0</v>
      </c>
      <c r="Q135" t="n">
        <v>1</v>
      </c>
      <c r="R135" s="2" t="inlineStr">
        <is>
          <t>Revlummer</t>
        </is>
      </c>
      <c r="S135">
        <f>HYPERLINK("https://klasma.github.io/Logging_222262/artfynd/A 23159-2025 artfynd.xlsx", "A 23159-2025")</f>
        <v/>
      </c>
      <c r="T135">
        <f>HYPERLINK("https://klasma.github.io/Logging_222262/kartor/A 23159-2025 karta.png", "A 23159-2025")</f>
        <v/>
      </c>
      <c r="V135">
        <f>HYPERLINK("https://klasma.github.io/Logging_222262/klagomål/A 23159-2025 FSC-klagomål.docx", "A 23159-2025")</f>
        <v/>
      </c>
      <c r="W135">
        <f>HYPERLINK("https://klasma.github.io/Logging_222262/klagomålsmail/A 23159-2025 FSC-klagomål mail.docx", "A 23159-2025")</f>
        <v/>
      </c>
      <c r="X135">
        <f>HYPERLINK("https://klasma.github.io/Logging_222262/tillsyn/A 23159-2025 tillsynsbegäran.docx", "A 23159-2025")</f>
        <v/>
      </c>
      <c r="Y135">
        <f>HYPERLINK("https://klasma.github.io/Logging_222262/tillsynsmail/A 23159-2025 tillsynsbegäran mail.docx", "A 23159-2025")</f>
        <v/>
      </c>
    </row>
    <row r="136" ht="15" customHeight="1">
      <c r="A136" t="inlineStr">
        <is>
          <t>A 23283-2025</t>
        </is>
      </c>
      <c r="B136" s="1" t="n">
        <v>45791</v>
      </c>
      <c r="C136" s="1" t="n">
        <v>45831</v>
      </c>
      <c r="D136" t="inlineStr">
        <is>
          <t>VÄSTERNORRLANDS LÄN</t>
        </is>
      </c>
      <c r="E136" t="inlineStr">
        <is>
          <t>TIMRÅ</t>
        </is>
      </c>
      <c r="F136" t="inlineStr">
        <is>
          <t>SCA</t>
        </is>
      </c>
      <c r="G136" t="n">
        <v>1.3</v>
      </c>
      <c r="H136" t="n">
        <v>0</v>
      </c>
      <c r="I136" t="n">
        <v>0</v>
      </c>
      <c r="J136" t="n">
        <v>1</v>
      </c>
      <c r="K136" t="n">
        <v>0</v>
      </c>
      <c r="L136" t="n">
        <v>0</v>
      </c>
      <c r="M136" t="n">
        <v>0</v>
      </c>
      <c r="N136" t="n">
        <v>0</v>
      </c>
      <c r="O136" t="n">
        <v>1</v>
      </c>
      <c r="P136" t="n">
        <v>0</v>
      </c>
      <c r="Q136" t="n">
        <v>1</v>
      </c>
      <c r="R136" s="2" t="inlineStr">
        <is>
          <t>Lunglav</t>
        </is>
      </c>
      <c r="S136">
        <f>HYPERLINK("https://klasma.github.io/Logging_222262/artfynd/A 23283-2025 artfynd.xlsx", "A 23283-2025")</f>
        <v/>
      </c>
      <c r="T136">
        <f>HYPERLINK("https://klasma.github.io/Logging_222262/kartor/A 23283-2025 karta.png", "A 23283-2025")</f>
        <v/>
      </c>
      <c r="V136">
        <f>HYPERLINK("https://klasma.github.io/Logging_222262/klagomål/A 23283-2025 FSC-klagomål.docx", "A 23283-2025")</f>
        <v/>
      </c>
      <c r="W136">
        <f>HYPERLINK("https://klasma.github.io/Logging_222262/klagomålsmail/A 23283-2025 FSC-klagomål mail.docx", "A 23283-2025")</f>
        <v/>
      </c>
      <c r="X136">
        <f>HYPERLINK("https://klasma.github.io/Logging_222262/tillsyn/A 23283-2025 tillsynsbegäran.docx", "A 23283-2025")</f>
        <v/>
      </c>
      <c r="Y136">
        <f>HYPERLINK("https://klasma.github.io/Logging_222262/tillsynsmail/A 23283-2025 tillsynsbegäran mail.docx", "A 23283-2025")</f>
        <v/>
      </c>
    </row>
    <row r="137" ht="15" customHeight="1">
      <c r="A137" t="inlineStr">
        <is>
          <t>A 24423-2025</t>
        </is>
      </c>
      <c r="B137" s="1" t="n">
        <v>45797</v>
      </c>
      <c r="C137" s="1" t="n">
        <v>45831</v>
      </c>
      <c r="D137" t="inlineStr">
        <is>
          <t>VÄSTERNORRLANDS LÄN</t>
        </is>
      </c>
      <c r="E137" t="inlineStr">
        <is>
          <t>TIMRÅ</t>
        </is>
      </c>
      <c r="F137" t="inlineStr">
        <is>
          <t>SCA</t>
        </is>
      </c>
      <c r="G137" t="n">
        <v>2.4</v>
      </c>
      <c r="H137" t="n">
        <v>0</v>
      </c>
      <c r="I137" t="n">
        <v>0</v>
      </c>
      <c r="J137" t="n">
        <v>1</v>
      </c>
      <c r="K137" t="n">
        <v>0</v>
      </c>
      <c r="L137" t="n">
        <v>0</v>
      </c>
      <c r="M137" t="n">
        <v>0</v>
      </c>
      <c r="N137" t="n">
        <v>0</v>
      </c>
      <c r="O137" t="n">
        <v>1</v>
      </c>
      <c r="P137" t="n">
        <v>0</v>
      </c>
      <c r="Q137" t="n">
        <v>1</v>
      </c>
      <c r="R137" s="2" t="inlineStr">
        <is>
          <t>Gammelgransskål</t>
        </is>
      </c>
      <c r="S137">
        <f>HYPERLINK("https://klasma.github.io/Logging_222262/artfynd/A 24423-2025 artfynd.xlsx", "A 24423-2025")</f>
        <v/>
      </c>
      <c r="T137">
        <f>HYPERLINK("https://klasma.github.io/Logging_222262/kartor/A 24423-2025 karta.png", "A 24423-2025")</f>
        <v/>
      </c>
      <c r="V137">
        <f>HYPERLINK("https://klasma.github.io/Logging_222262/klagomål/A 24423-2025 FSC-klagomål.docx", "A 24423-2025")</f>
        <v/>
      </c>
      <c r="W137">
        <f>HYPERLINK("https://klasma.github.io/Logging_222262/klagomålsmail/A 24423-2025 FSC-klagomål mail.docx", "A 24423-2025")</f>
        <v/>
      </c>
      <c r="X137">
        <f>HYPERLINK("https://klasma.github.io/Logging_222262/tillsyn/A 24423-2025 tillsynsbegäran.docx", "A 24423-2025")</f>
        <v/>
      </c>
      <c r="Y137">
        <f>HYPERLINK("https://klasma.github.io/Logging_222262/tillsynsmail/A 24423-2025 tillsynsbegäran mail.docx", "A 24423-2025")</f>
        <v/>
      </c>
    </row>
    <row r="138" ht="15" customHeight="1">
      <c r="A138" t="inlineStr">
        <is>
          <t>A 30072-2025</t>
        </is>
      </c>
      <c r="B138" s="1" t="n">
        <v>45826</v>
      </c>
      <c r="C138" s="1" t="n">
        <v>45831</v>
      </c>
      <c r="D138" t="inlineStr">
        <is>
          <t>VÄSTERNORRLANDS LÄN</t>
        </is>
      </c>
      <c r="E138" t="inlineStr">
        <is>
          <t>TIMRÅ</t>
        </is>
      </c>
      <c r="F138" t="inlineStr">
        <is>
          <t>SCA</t>
        </is>
      </c>
      <c r="G138" t="n">
        <v>1.9</v>
      </c>
      <c r="H138" t="n">
        <v>1</v>
      </c>
      <c r="I138" t="n">
        <v>0</v>
      </c>
      <c r="J138" t="n">
        <v>0</v>
      </c>
      <c r="K138" t="n">
        <v>1</v>
      </c>
      <c r="L138" t="n">
        <v>0</v>
      </c>
      <c r="M138" t="n">
        <v>0</v>
      </c>
      <c r="N138" t="n">
        <v>0</v>
      </c>
      <c r="O138" t="n">
        <v>1</v>
      </c>
      <c r="P138" t="n">
        <v>1</v>
      </c>
      <c r="Q138" t="n">
        <v>1</v>
      </c>
      <c r="R138" s="2" t="inlineStr">
        <is>
          <t>Knärot</t>
        </is>
      </c>
      <c r="S138">
        <f>HYPERLINK("https://klasma.github.io/Logging_222262/artfynd/A 30072-2025 artfynd.xlsx", "A 30072-2025")</f>
        <v/>
      </c>
      <c r="T138">
        <f>HYPERLINK("https://klasma.github.io/Logging_222262/kartor/A 30072-2025 karta.png", "A 30072-2025")</f>
        <v/>
      </c>
      <c r="U138">
        <f>HYPERLINK("https://klasma.github.io/Logging_222262/knärot/A 30072-2025 karta knärot.png", "A 30072-2025")</f>
        <v/>
      </c>
      <c r="V138">
        <f>HYPERLINK("https://klasma.github.io/Logging_222262/klagomål/A 30072-2025 FSC-klagomål.docx", "A 30072-2025")</f>
        <v/>
      </c>
      <c r="W138">
        <f>HYPERLINK("https://klasma.github.io/Logging_222262/klagomålsmail/A 30072-2025 FSC-klagomål mail.docx", "A 30072-2025")</f>
        <v/>
      </c>
      <c r="X138">
        <f>HYPERLINK("https://klasma.github.io/Logging_222262/tillsyn/A 30072-2025 tillsynsbegäran.docx", "A 30072-2025")</f>
        <v/>
      </c>
      <c r="Y138">
        <f>HYPERLINK("https://klasma.github.io/Logging_222262/tillsynsmail/A 30072-2025 tillsynsbegäran mail.docx", "A 30072-2025")</f>
        <v/>
      </c>
    </row>
    <row r="139" ht="15" customHeight="1">
      <c r="A139" t="inlineStr">
        <is>
          <t>A 17858-2019</t>
        </is>
      </c>
      <c r="B139" s="1" t="n">
        <v>43556</v>
      </c>
      <c r="C139" s="1" t="n">
        <v>45831</v>
      </c>
      <c r="D139" t="inlineStr">
        <is>
          <t>VÄSTERNORRLANDS LÄN</t>
        </is>
      </c>
      <c r="E139" t="inlineStr">
        <is>
          <t>TIMRÅ</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18703-2019</t>
        </is>
      </c>
      <c r="B140" s="1" t="n">
        <v>43559</v>
      </c>
      <c r="C140" s="1" t="n">
        <v>45831</v>
      </c>
      <c r="D140" t="inlineStr">
        <is>
          <t>VÄSTERNORRLANDS LÄN</t>
        </is>
      </c>
      <c r="E140" t="inlineStr">
        <is>
          <t>TIMRÅ</t>
        </is>
      </c>
      <c r="G140" t="n">
        <v>5</v>
      </c>
      <c r="H140" t="n">
        <v>0</v>
      </c>
      <c r="I140" t="n">
        <v>0</v>
      </c>
      <c r="J140" t="n">
        <v>0</v>
      </c>
      <c r="K140" t="n">
        <v>0</v>
      </c>
      <c r="L140" t="n">
        <v>0</v>
      </c>
      <c r="M140" t="n">
        <v>0</v>
      </c>
      <c r="N140" t="n">
        <v>0</v>
      </c>
      <c r="O140" t="n">
        <v>0</v>
      </c>
      <c r="P140" t="n">
        <v>0</v>
      </c>
      <c r="Q140" t="n">
        <v>0</v>
      </c>
      <c r="R140" s="2" t="inlineStr"/>
    </row>
    <row r="141" ht="15" customHeight="1">
      <c r="A141" t="inlineStr">
        <is>
          <t>A 20205-2019</t>
        </is>
      </c>
      <c r="B141" s="1" t="n">
        <v>43570</v>
      </c>
      <c r="C141" s="1" t="n">
        <v>45831</v>
      </c>
      <c r="D141" t="inlineStr">
        <is>
          <t>VÄSTERNORRLANDS LÄN</t>
        </is>
      </c>
      <c r="E141" t="inlineStr">
        <is>
          <t>TIMRÅ</t>
        </is>
      </c>
      <c r="F141" t="inlineStr">
        <is>
          <t>SCA</t>
        </is>
      </c>
      <c r="G141" t="n">
        <v>29.1</v>
      </c>
      <c r="H141" t="n">
        <v>0</v>
      </c>
      <c r="I141" t="n">
        <v>0</v>
      </c>
      <c r="J141" t="n">
        <v>0</v>
      </c>
      <c r="K141" t="n">
        <v>0</v>
      </c>
      <c r="L141" t="n">
        <v>0</v>
      </c>
      <c r="M141" t="n">
        <v>0</v>
      </c>
      <c r="N141" t="n">
        <v>0</v>
      </c>
      <c r="O141" t="n">
        <v>0</v>
      </c>
      <c r="P141" t="n">
        <v>0</v>
      </c>
      <c r="Q141" t="n">
        <v>0</v>
      </c>
      <c r="R141" s="2" t="inlineStr"/>
    </row>
    <row r="142" ht="15" customHeight="1">
      <c r="A142" t="inlineStr">
        <is>
          <t>A 20591-2019</t>
        </is>
      </c>
      <c r="B142" s="1" t="n">
        <v>43572</v>
      </c>
      <c r="C142" s="1" t="n">
        <v>45831</v>
      </c>
      <c r="D142" t="inlineStr">
        <is>
          <t>VÄSTERNORRLANDS LÄN</t>
        </is>
      </c>
      <c r="E142" t="inlineStr">
        <is>
          <t>TIMRÅ</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22036-2019</t>
        </is>
      </c>
      <c r="B143" s="1" t="n">
        <v>43584</v>
      </c>
      <c r="C143" s="1" t="n">
        <v>45831</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22345-2019</t>
        </is>
      </c>
      <c r="B144" s="1" t="n">
        <v>43587</v>
      </c>
      <c r="C144" s="1" t="n">
        <v>45831</v>
      </c>
      <c r="D144" t="inlineStr">
        <is>
          <t>VÄSTERNORRLANDS LÄN</t>
        </is>
      </c>
      <c r="E144" t="inlineStr">
        <is>
          <t>TIMRÅ</t>
        </is>
      </c>
      <c r="G144" t="n">
        <v>0.3</v>
      </c>
      <c r="H144" t="n">
        <v>0</v>
      </c>
      <c r="I144" t="n">
        <v>0</v>
      </c>
      <c r="J144" t="n">
        <v>0</v>
      </c>
      <c r="K144" t="n">
        <v>0</v>
      </c>
      <c r="L144" t="n">
        <v>0</v>
      </c>
      <c r="M144" t="n">
        <v>0</v>
      </c>
      <c r="N144" t="n">
        <v>0</v>
      </c>
      <c r="O144" t="n">
        <v>0</v>
      </c>
      <c r="P144" t="n">
        <v>0</v>
      </c>
      <c r="Q144" t="n">
        <v>0</v>
      </c>
      <c r="R144" s="2" t="inlineStr"/>
    </row>
    <row r="145" ht="15" customHeight="1">
      <c r="A145" t="inlineStr">
        <is>
          <t>A 23074-2019</t>
        </is>
      </c>
      <c r="B145" s="1" t="n">
        <v>43591</v>
      </c>
      <c r="C145" s="1" t="n">
        <v>45831</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24767-2019</t>
        </is>
      </c>
      <c r="B146" s="1" t="n">
        <v>43601</v>
      </c>
      <c r="C146" s="1" t="n">
        <v>45831</v>
      </c>
      <c r="D146" t="inlineStr">
        <is>
          <t>VÄSTERNORRLANDS LÄN</t>
        </is>
      </c>
      <c r="E146" t="inlineStr">
        <is>
          <t>TIMRÅ</t>
        </is>
      </c>
      <c r="G146" t="n">
        <v>6.1</v>
      </c>
      <c r="H146" t="n">
        <v>0</v>
      </c>
      <c r="I146" t="n">
        <v>0</v>
      </c>
      <c r="J146" t="n">
        <v>0</v>
      </c>
      <c r="K146" t="n">
        <v>0</v>
      </c>
      <c r="L146" t="n">
        <v>0</v>
      </c>
      <c r="M146" t="n">
        <v>0</v>
      </c>
      <c r="N146" t="n">
        <v>0</v>
      </c>
      <c r="O146" t="n">
        <v>0</v>
      </c>
      <c r="P146" t="n">
        <v>0</v>
      </c>
      <c r="Q146" t="n">
        <v>0</v>
      </c>
      <c r="R146" s="2" t="inlineStr"/>
    </row>
    <row r="147" ht="15" customHeight="1">
      <c r="A147" t="inlineStr">
        <is>
          <t>A 29163-2019</t>
        </is>
      </c>
      <c r="B147" s="1" t="n">
        <v>43628</v>
      </c>
      <c r="C147" s="1" t="n">
        <v>45831</v>
      </c>
      <c r="D147" t="inlineStr">
        <is>
          <t>VÄSTERNORRLANDS LÄN</t>
        </is>
      </c>
      <c r="E147" t="inlineStr">
        <is>
          <t>TIMRÅ</t>
        </is>
      </c>
      <c r="G147" t="n">
        <v>4.6</v>
      </c>
      <c r="H147" t="n">
        <v>0</v>
      </c>
      <c r="I147" t="n">
        <v>0</v>
      </c>
      <c r="J147" t="n">
        <v>0</v>
      </c>
      <c r="K147" t="n">
        <v>0</v>
      </c>
      <c r="L147" t="n">
        <v>0</v>
      </c>
      <c r="M147" t="n">
        <v>0</v>
      </c>
      <c r="N147" t="n">
        <v>0</v>
      </c>
      <c r="O147" t="n">
        <v>0</v>
      </c>
      <c r="P147" t="n">
        <v>0</v>
      </c>
      <c r="Q147" t="n">
        <v>0</v>
      </c>
      <c r="R147" s="2" t="inlineStr"/>
    </row>
    <row r="148" ht="15" customHeight="1">
      <c r="A148" t="inlineStr">
        <is>
          <t>A 29485-2019</t>
        </is>
      </c>
      <c r="B148" s="1" t="n">
        <v>43629</v>
      </c>
      <c r="C148" s="1" t="n">
        <v>45831</v>
      </c>
      <c r="D148" t="inlineStr">
        <is>
          <t>VÄSTERNORRLANDS LÄN</t>
        </is>
      </c>
      <c r="E148" t="inlineStr">
        <is>
          <t>TIMRÅ</t>
        </is>
      </c>
      <c r="G148" t="n">
        <v>3.4</v>
      </c>
      <c r="H148" t="n">
        <v>0</v>
      </c>
      <c r="I148" t="n">
        <v>0</v>
      </c>
      <c r="J148" t="n">
        <v>0</v>
      </c>
      <c r="K148" t="n">
        <v>0</v>
      </c>
      <c r="L148" t="n">
        <v>0</v>
      </c>
      <c r="M148" t="n">
        <v>0</v>
      </c>
      <c r="N148" t="n">
        <v>0</v>
      </c>
      <c r="O148" t="n">
        <v>0</v>
      </c>
      <c r="P148" t="n">
        <v>0</v>
      </c>
      <c r="Q148" t="n">
        <v>0</v>
      </c>
      <c r="R148" s="2" t="inlineStr"/>
    </row>
    <row r="149" ht="15" customHeight="1">
      <c r="A149" t="inlineStr">
        <is>
          <t>A 29751-2019</t>
        </is>
      </c>
      <c r="B149" s="1" t="n">
        <v>43630</v>
      </c>
      <c r="C149" s="1" t="n">
        <v>45831</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32982-2019</t>
        </is>
      </c>
      <c r="B150" s="1" t="n">
        <v>43648</v>
      </c>
      <c r="C150" s="1" t="n">
        <v>45831</v>
      </c>
      <c r="D150" t="inlineStr">
        <is>
          <t>VÄSTERNORRLANDS LÄN</t>
        </is>
      </c>
      <c r="E150" t="inlineStr">
        <is>
          <t>TIMRÅ</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33835-2019</t>
        </is>
      </c>
      <c r="B151" s="1" t="n">
        <v>43651</v>
      </c>
      <c r="C151" s="1" t="n">
        <v>45831</v>
      </c>
      <c r="D151" t="inlineStr">
        <is>
          <t>VÄSTERNORRLANDS LÄN</t>
        </is>
      </c>
      <c r="E151" t="inlineStr">
        <is>
          <t>TIMRÅ</t>
        </is>
      </c>
      <c r="G151" t="n">
        <v>6.2</v>
      </c>
      <c r="H151" t="n">
        <v>0</v>
      </c>
      <c r="I151" t="n">
        <v>0</v>
      </c>
      <c r="J151" t="n">
        <v>0</v>
      </c>
      <c r="K151" t="n">
        <v>0</v>
      </c>
      <c r="L151" t="n">
        <v>0</v>
      </c>
      <c r="M151" t="n">
        <v>0</v>
      </c>
      <c r="N151" t="n">
        <v>0</v>
      </c>
      <c r="O151" t="n">
        <v>0</v>
      </c>
      <c r="P151" t="n">
        <v>0</v>
      </c>
      <c r="Q151" t="n">
        <v>0</v>
      </c>
      <c r="R151" s="2" t="inlineStr"/>
    </row>
    <row r="152" ht="15" customHeight="1">
      <c r="A152" t="inlineStr">
        <is>
          <t>A 33834-2019</t>
        </is>
      </c>
      <c r="B152" s="1" t="n">
        <v>43651</v>
      </c>
      <c r="C152" s="1" t="n">
        <v>45831</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34106-2019</t>
        </is>
      </c>
      <c r="B153" s="1" t="n">
        <v>43654</v>
      </c>
      <c r="C153" s="1" t="n">
        <v>45831</v>
      </c>
      <c r="D153" t="inlineStr">
        <is>
          <t>VÄSTERNORRLANDS LÄN</t>
        </is>
      </c>
      <c r="E153" t="inlineStr">
        <is>
          <t>TIMRÅ</t>
        </is>
      </c>
      <c r="G153" t="n">
        <v>1</v>
      </c>
      <c r="H153" t="n">
        <v>0</v>
      </c>
      <c r="I153" t="n">
        <v>0</v>
      </c>
      <c r="J153" t="n">
        <v>0</v>
      </c>
      <c r="K153" t="n">
        <v>0</v>
      </c>
      <c r="L153" t="n">
        <v>0</v>
      </c>
      <c r="M153" t="n">
        <v>0</v>
      </c>
      <c r="N153" t="n">
        <v>0</v>
      </c>
      <c r="O153" t="n">
        <v>0</v>
      </c>
      <c r="P153" t="n">
        <v>0</v>
      </c>
      <c r="Q153" t="n">
        <v>0</v>
      </c>
      <c r="R153" s="2" t="inlineStr"/>
    </row>
    <row r="154" ht="15" customHeight="1">
      <c r="A154" t="inlineStr">
        <is>
          <t>A 35877-2019</t>
        </is>
      </c>
      <c r="B154" s="1" t="n">
        <v>43665</v>
      </c>
      <c r="C154" s="1" t="n">
        <v>45831</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36176-2019</t>
        </is>
      </c>
      <c r="B155" s="1" t="n">
        <v>43668</v>
      </c>
      <c r="C155" s="1" t="n">
        <v>45831</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36806-2019</t>
        </is>
      </c>
      <c r="B156" s="1" t="n">
        <v>43672</v>
      </c>
      <c r="C156" s="1" t="n">
        <v>45831</v>
      </c>
      <c r="D156" t="inlineStr">
        <is>
          <t>VÄSTERNORRLANDS LÄN</t>
        </is>
      </c>
      <c r="E156" t="inlineStr">
        <is>
          <t>TIMRÅ</t>
        </is>
      </c>
      <c r="G156" t="n">
        <v>3.8</v>
      </c>
      <c r="H156" t="n">
        <v>0</v>
      </c>
      <c r="I156" t="n">
        <v>0</v>
      </c>
      <c r="J156" t="n">
        <v>0</v>
      </c>
      <c r="K156" t="n">
        <v>0</v>
      </c>
      <c r="L156" t="n">
        <v>0</v>
      </c>
      <c r="M156" t="n">
        <v>0</v>
      </c>
      <c r="N156" t="n">
        <v>0</v>
      </c>
      <c r="O156" t="n">
        <v>0</v>
      </c>
      <c r="P156" t="n">
        <v>0</v>
      </c>
      <c r="Q156" t="n">
        <v>0</v>
      </c>
      <c r="R156" s="2" t="inlineStr"/>
    </row>
    <row r="157" ht="15" customHeight="1">
      <c r="A157" t="inlineStr">
        <is>
          <t>A 40956-2019</t>
        </is>
      </c>
      <c r="B157" s="1" t="n">
        <v>43697</v>
      </c>
      <c r="C157" s="1" t="n">
        <v>45831</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43975-2019</t>
        </is>
      </c>
      <c r="B158" s="1" t="n">
        <v>43708</v>
      </c>
      <c r="C158" s="1" t="n">
        <v>45831</v>
      </c>
      <c r="D158" t="inlineStr">
        <is>
          <t>VÄSTERNORRLANDS LÄN</t>
        </is>
      </c>
      <c r="E158" t="inlineStr">
        <is>
          <t>TIMRÅ</t>
        </is>
      </c>
      <c r="G158" t="n">
        <v>1.4</v>
      </c>
      <c r="H158" t="n">
        <v>0</v>
      </c>
      <c r="I158" t="n">
        <v>0</v>
      </c>
      <c r="J158" t="n">
        <v>0</v>
      </c>
      <c r="K158" t="n">
        <v>0</v>
      </c>
      <c r="L158" t="n">
        <v>0</v>
      </c>
      <c r="M158" t="n">
        <v>0</v>
      </c>
      <c r="N158" t="n">
        <v>0</v>
      </c>
      <c r="O158" t="n">
        <v>0</v>
      </c>
      <c r="P158" t="n">
        <v>0</v>
      </c>
      <c r="Q158" t="n">
        <v>0</v>
      </c>
      <c r="R158" s="2" t="inlineStr"/>
    </row>
    <row r="159" ht="15" customHeight="1">
      <c r="A159" t="inlineStr">
        <is>
          <t>A 44673-2019</t>
        </is>
      </c>
      <c r="B159" s="1" t="n">
        <v>43712</v>
      </c>
      <c r="C159" s="1" t="n">
        <v>45831</v>
      </c>
      <c r="D159" t="inlineStr">
        <is>
          <t>VÄSTERNORRLANDS LÄN</t>
        </is>
      </c>
      <c r="E159" t="inlineStr">
        <is>
          <t>TIMRÅ</t>
        </is>
      </c>
      <c r="G159" t="n">
        <v>1.8</v>
      </c>
      <c r="H159" t="n">
        <v>0</v>
      </c>
      <c r="I159" t="n">
        <v>0</v>
      </c>
      <c r="J159" t="n">
        <v>0</v>
      </c>
      <c r="K159" t="n">
        <v>0</v>
      </c>
      <c r="L159" t="n">
        <v>0</v>
      </c>
      <c r="M159" t="n">
        <v>0</v>
      </c>
      <c r="N159" t="n">
        <v>0</v>
      </c>
      <c r="O159" t="n">
        <v>0</v>
      </c>
      <c r="P159" t="n">
        <v>0</v>
      </c>
      <c r="Q159" t="n">
        <v>0</v>
      </c>
      <c r="R159" s="2" t="inlineStr"/>
    </row>
    <row r="160" ht="15" customHeight="1">
      <c r="A160" t="inlineStr">
        <is>
          <t>A 47656-2019</t>
        </is>
      </c>
      <c r="B160" s="1" t="n">
        <v>43724</v>
      </c>
      <c r="C160" s="1" t="n">
        <v>45831</v>
      </c>
      <c r="D160" t="inlineStr">
        <is>
          <t>VÄSTERNORRLANDS LÄN</t>
        </is>
      </c>
      <c r="E160" t="inlineStr">
        <is>
          <t>TIMRÅ</t>
        </is>
      </c>
      <c r="G160" t="n">
        <v>8</v>
      </c>
      <c r="H160" t="n">
        <v>0</v>
      </c>
      <c r="I160" t="n">
        <v>0</v>
      </c>
      <c r="J160" t="n">
        <v>0</v>
      </c>
      <c r="K160" t="n">
        <v>0</v>
      </c>
      <c r="L160" t="n">
        <v>0</v>
      </c>
      <c r="M160" t="n">
        <v>0</v>
      </c>
      <c r="N160" t="n">
        <v>0</v>
      </c>
      <c r="O160" t="n">
        <v>0</v>
      </c>
      <c r="P160" t="n">
        <v>0</v>
      </c>
      <c r="Q160" t="n">
        <v>0</v>
      </c>
      <c r="R160" s="2" t="inlineStr"/>
    </row>
    <row r="161" ht="15" customHeight="1">
      <c r="A161" t="inlineStr">
        <is>
          <t>A 48964-2019</t>
        </is>
      </c>
      <c r="B161" s="1" t="n">
        <v>43728</v>
      </c>
      <c r="C161" s="1" t="n">
        <v>45831</v>
      </c>
      <c r="D161" t="inlineStr">
        <is>
          <t>VÄSTERNORRLANDS LÄN</t>
        </is>
      </c>
      <c r="E161" t="inlineStr">
        <is>
          <t>TIMRÅ</t>
        </is>
      </c>
      <c r="G161" t="n">
        <v>7.8</v>
      </c>
      <c r="H161" t="n">
        <v>0</v>
      </c>
      <c r="I161" t="n">
        <v>0</v>
      </c>
      <c r="J161" t="n">
        <v>0</v>
      </c>
      <c r="K161" t="n">
        <v>0</v>
      </c>
      <c r="L161" t="n">
        <v>0</v>
      </c>
      <c r="M161" t="n">
        <v>0</v>
      </c>
      <c r="N161" t="n">
        <v>0</v>
      </c>
      <c r="O161" t="n">
        <v>0</v>
      </c>
      <c r="P161" t="n">
        <v>0</v>
      </c>
      <c r="Q161" t="n">
        <v>0</v>
      </c>
      <c r="R161" s="2" t="inlineStr"/>
    </row>
    <row r="162" ht="15" customHeight="1">
      <c r="A162" t="inlineStr">
        <is>
          <t>A 50604-2019</t>
        </is>
      </c>
      <c r="B162" s="1" t="n">
        <v>43735</v>
      </c>
      <c r="C162" s="1" t="n">
        <v>45831</v>
      </c>
      <c r="D162" t="inlineStr">
        <is>
          <t>VÄSTERNORRLANDS LÄN</t>
        </is>
      </c>
      <c r="E162" t="inlineStr">
        <is>
          <t>TIMRÅ</t>
        </is>
      </c>
      <c r="G162" t="n">
        <v>7.7</v>
      </c>
      <c r="H162" t="n">
        <v>0</v>
      </c>
      <c r="I162" t="n">
        <v>0</v>
      </c>
      <c r="J162" t="n">
        <v>0</v>
      </c>
      <c r="K162" t="n">
        <v>0</v>
      </c>
      <c r="L162" t="n">
        <v>0</v>
      </c>
      <c r="M162" t="n">
        <v>0</v>
      </c>
      <c r="N162" t="n">
        <v>0</v>
      </c>
      <c r="O162" t="n">
        <v>0</v>
      </c>
      <c r="P162" t="n">
        <v>0</v>
      </c>
      <c r="Q162" t="n">
        <v>0</v>
      </c>
      <c r="R162" s="2" t="inlineStr"/>
    </row>
    <row r="163" ht="15" customHeight="1">
      <c r="A163" t="inlineStr">
        <is>
          <t>A 51297-2019</t>
        </is>
      </c>
      <c r="B163" s="1" t="n">
        <v>43739</v>
      </c>
      <c r="C163" s="1" t="n">
        <v>45831</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52869-2019</t>
        </is>
      </c>
      <c r="B164" s="1" t="n">
        <v>43739</v>
      </c>
      <c r="C164" s="1" t="n">
        <v>45831</v>
      </c>
      <c r="D164" t="inlineStr">
        <is>
          <t>VÄSTERNORRLANDS LÄN</t>
        </is>
      </c>
      <c r="E164" t="inlineStr">
        <is>
          <t>TIMRÅ</t>
        </is>
      </c>
      <c r="G164" t="n">
        <v>4</v>
      </c>
      <c r="H164" t="n">
        <v>0</v>
      </c>
      <c r="I164" t="n">
        <v>0</v>
      </c>
      <c r="J164" t="n">
        <v>0</v>
      </c>
      <c r="K164" t="n">
        <v>0</v>
      </c>
      <c r="L164" t="n">
        <v>0</v>
      </c>
      <c r="M164" t="n">
        <v>0</v>
      </c>
      <c r="N164" t="n">
        <v>0</v>
      </c>
      <c r="O164" t="n">
        <v>0</v>
      </c>
      <c r="P164" t="n">
        <v>0</v>
      </c>
      <c r="Q164" t="n">
        <v>0</v>
      </c>
      <c r="R164" s="2" t="inlineStr"/>
    </row>
    <row r="165" ht="15" customHeight="1">
      <c r="A165" t="inlineStr">
        <is>
          <t>A 51907-2019</t>
        </is>
      </c>
      <c r="B165" s="1" t="n">
        <v>43741</v>
      </c>
      <c r="C165" s="1" t="n">
        <v>45831</v>
      </c>
      <c r="D165" t="inlineStr">
        <is>
          <t>VÄSTERNORRLANDS LÄN</t>
        </is>
      </c>
      <c r="E165" t="inlineStr">
        <is>
          <t>TIMRÅ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53162-2019</t>
        </is>
      </c>
      <c r="B166" s="1" t="n">
        <v>43747</v>
      </c>
      <c r="C166" s="1" t="n">
        <v>45831</v>
      </c>
      <c r="D166" t="inlineStr">
        <is>
          <t>VÄSTERNORRLANDS LÄN</t>
        </is>
      </c>
      <c r="E166" t="inlineStr">
        <is>
          <t>TIMRÅ</t>
        </is>
      </c>
      <c r="G166" t="n">
        <v>3.4</v>
      </c>
      <c r="H166" t="n">
        <v>0</v>
      </c>
      <c r="I166" t="n">
        <v>0</v>
      </c>
      <c r="J166" t="n">
        <v>0</v>
      </c>
      <c r="K166" t="n">
        <v>0</v>
      </c>
      <c r="L166" t="n">
        <v>0</v>
      </c>
      <c r="M166" t="n">
        <v>0</v>
      </c>
      <c r="N166" t="n">
        <v>0</v>
      </c>
      <c r="O166" t="n">
        <v>0</v>
      </c>
      <c r="P166" t="n">
        <v>0</v>
      </c>
      <c r="Q166" t="n">
        <v>0</v>
      </c>
      <c r="R166" s="2" t="inlineStr"/>
    </row>
    <row r="167" ht="15" customHeight="1">
      <c r="A167" t="inlineStr">
        <is>
          <t>A 54072-2019</t>
        </is>
      </c>
      <c r="B167" s="1" t="n">
        <v>43752</v>
      </c>
      <c r="C167" s="1" t="n">
        <v>45831</v>
      </c>
      <c r="D167" t="inlineStr">
        <is>
          <t>VÄSTERNORRLANDS LÄN</t>
        </is>
      </c>
      <c r="E167" t="inlineStr">
        <is>
          <t>TIMRÅ</t>
        </is>
      </c>
      <c r="G167" t="n">
        <v>12.8</v>
      </c>
      <c r="H167" t="n">
        <v>0</v>
      </c>
      <c r="I167" t="n">
        <v>0</v>
      </c>
      <c r="J167" t="n">
        <v>0</v>
      </c>
      <c r="K167" t="n">
        <v>0</v>
      </c>
      <c r="L167" t="n">
        <v>0</v>
      </c>
      <c r="M167" t="n">
        <v>0</v>
      </c>
      <c r="N167" t="n">
        <v>0</v>
      </c>
      <c r="O167" t="n">
        <v>0</v>
      </c>
      <c r="P167" t="n">
        <v>0</v>
      </c>
      <c r="Q167" t="n">
        <v>0</v>
      </c>
      <c r="R167" s="2" t="inlineStr"/>
    </row>
    <row r="168" ht="15" customHeight="1">
      <c r="A168" t="inlineStr">
        <is>
          <t>A 54365-2019</t>
        </is>
      </c>
      <c r="B168" s="1" t="n">
        <v>43753</v>
      </c>
      <c r="C168" s="1" t="n">
        <v>45831</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56316-2019</t>
        </is>
      </c>
      <c r="B169" s="1" t="n">
        <v>43756</v>
      </c>
      <c r="C169" s="1" t="n">
        <v>45831</v>
      </c>
      <c r="D169" t="inlineStr">
        <is>
          <t>VÄSTERNORRLANDS LÄN</t>
        </is>
      </c>
      <c r="E169" t="inlineStr">
        <is>
          <t>TIMRÅ</t>
        </is>
      </c>
      <c r="G169" t="n">
        <v>2.6</v>
      </c>
      <c r="H169" t="n">
        <v>0</v>
      </c>
      <c r="I169" t="n">
        <v>0</v>
      </c>
      <c r="J169" t="n">
        <v>0</v>
      </c>
      <c r="K169" t="n">
        <v>0</v>
      </c>
      <c r="L169" t="n">
        <v>0</v>
      </c>
      <c r="M169" t="n">
        <v>0</v>
      </c>
      <c r="N169" t="n">
        <v>0</v>
      </c>
      <c r="O169" t="n">
        <v>0</v>
      </c>
      <c r="P169" t="n">
        <v>0</v>
      </c>
      <c r="Q169" t="n">
        <v>0</v>
      </c>
      <c r="R169" s="2" t="inlineStr"/>
    </row>
    <row r="170" ht="15" customHeight="1">
      <c r="A170" t="inlineStr">
        <is>
          <t>A 55809-2019</t>
        </is>
      </c>
      <c r="B170" s="1" t="n">
        <v>43759</v>
      </c>
      <c r="C170" s="1" t="n">
        <v>45831</v>
      </c>
      <c r="D170" t="inlineStr">
        <is>
          <t>VÄSTERNORRLANDS LÄN</t>
        </is>
      </c>
      <c r="E170" t="inlineStr">
        <is>
          <t>TIMRÅ</t>
        </is>
      </c>
      <c r="G170" t="n">
        <v>5.9</v>
      </c>
      <c r="H170" t="n">
        <v>0</v>
      </c>
      <c r="I170" t="n">
        <v>0</v>
      </c>
      <c r="J170" t="n">
        <v>0</v>
      </c>
      <c r="K170" t="n">
        <v>0</v>
      </c>
      <c r="L170" t="n">
        <v>0</v>
      </c>
      <c r="M170" t="n">
        <v>0</v>
      </c>
      <c r="N170" t="n">
        <v>0</v>
      </c>
      <c r="O170" t="n">
        <v>0</v>
      </c>
      <c r="P170" t="n">
        <v>0</v>
      </c>
      <c r="Q170" t="n">
        <v>0</v>
      </c>
      <c r="R170" s="2" t="inlineStr"/>
    </row>
    <row r="171" ht="15" customHeight="1">
      <c r="A171" t="inlineStr">
        <is>
          <t>A 56065-2019</t>
        </is>
      </c>
      <c r="B171" s="1" t="n">
        <v>43759</v>
      </c>
      <c r="C171" s="1" t="n">
        <v>45831</v>
      </c>
      <c r="D171" t="inlineStr">
        <is>
          <t>VÄSTERNORRLANDS LÄN</t>
        </is>
      </c>
      <c r="E171" t="inlineStr">
        <is>
          <t>TIMRÅ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56178-2019</t>
        </is>
      </c>
      <c r="B172" s="1" t="n">
        <v>43761</v>
      </c>
      <c r="C172" s="1" t="n">
        <v>45831</v>
      </c>
      <c r="D172" t="inlineStr">
        <is>
          <t>VÄSTERNORRLANDS LÄN</t>
        </is>
      </c>
      <c r="E172" t="inlineStr">
        <is>
          <t>TIMRÅ</t>
        </is>
      </c>
      <c r="G172" t="n">
        <v>0.8</v>
      </c>
      <c r="H172" t="n">
        <v>0</v>
      </c>
      <c r="I172" t="n">
        <v>0</v>
      </c>
      <c r="J172" t="n">
        <v>0</v>
      </c>
      <c r="K172" t="n">
        <v>0</v>
      </c>
      <c r="L172" t="n">
        <v>0</v>
      </c>
      <c r="M172" t="n">
        <v>0</v>
      </c>
      <c r="N172" t="n">
        <v>0</v>
      </c>
      <c r="O172" t="n">
        <v>0</v>
      </c>
      <c r="P172" t="n">
        <v>0</v>
      </c>
      <c r="Q172" t="n">
        <v>0</v>
      </c>
      <c r="R172" s="2" t="inlineStr"/>
    </row>
    <row r="173" ht="15" customHeight="1">
      <c r="A173" t="inlineStr">
        <is>
          <t>A 58711-2019</t>
        </is>
      </c>
      <c r="B173" s="1" t="n">
        <v>43768</v>
      </c>
      <c r="C173" s="1" t="n">
        <v>45831</v>
      </c>
      <c r="D173" t="inlineStr">
        <is>
          <t>VÄSTERNORRLANDS LÄN</t>
        </is>
      </c>
      <c r="E173" t="inlineStr">
        <is>
          <t>TIMRÅ</t>
        </is>
      </c>
      <c r="G173" t="n">
        <v>3.6</v>
      </c>
      <c r="H173" t="n">
        <v>0</v>
      </c>
      <c r="I173" t="n">
        <v>0</v>
      </c>
      <c r="J173" t="n">
        <v>0</v>
      </c>
      <c r="K173" t="n">
        <v>0</v>
      </c>
      <c r="L173" t="n">
        <v>0</v>
      </c>
      <c r="M173" t="n">
        <v>0</v>
      </c>
      <c r="N173" t="n">
        <v>0</v>
      </c>
      <c r="O173" t="n">
        <v>0</v>
      </c>
      <c r="P173" t="n">
        <v>0</v>
      </c>
      <c r="Q173" t="n">
        <v>0</v>
      </c>
      <c r="R173" s="2" t="inlineStr"/>
    </row>
    <row r="174" ht="15" customHeight="1">
      <c r="A174" t="inlineStr">
        <is>
          <t>A 58867-2019</t>
        </is>
      </c>
      <c r="B174" s="1" t="n">
        <v>43774</v>
      </c>
      <c r="C174" s="1" t="n">
        <v>45831</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60849-2019</t>
        </is>
      </c>
      <c r="B175" s="1" t="n">
        <v>43781</v>
      </c>
      <c r="C175" s="1" t="n">
        <v>45831</v>
      </c>
      <c r="D175" t="inlineStr">
        <is>
          <t>VÄSTERNORRLANDS LÄN</t>
        </is>
      </c>
      <c r="E175" t="inlineStr">
        <is>
          <t>TIMRÅ</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62282-2019</t>
        </is>
      </c>
      <c r="B176" s="1" t="n">
        <v>43782</v>
      </c>
      <c r="C176" s="1" t="n">
        <v>45831</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63685-2019</t>
        </is>
      </c>
      <c r="B177" s="1" t="n">
        <v>43788</v>
      </c>
      <c r="C177" s="1" t="n">
        <v>45831</v>
      </c>
      <c r="D177" t="inlineStr">
        <is>
          <t>VÄSTERNORRLANDS LÄN</t>
        </is>
      </c>
      <c r="E177" t="inlineStr">
        <is>
          <t>TIMRÅ</t>
        </is>
      </c>
      <c r="G177" t="n">
        <v>1.9</v>
      </c>
      <c r="H177" t="n">
        <v>0</v>
      </c>
      <c r="I177" t="n">
        <v>0</v>
      </c>
      <c r="J177" t="n">
        <v>0</v>
      </c>
      <c r="K177" t="n">
        <v>0</v>
      </c>
      <c r="L177" t="n">
        <v>0</v>
      </c>
      <c r="M177" t="n">
        <v>0</v>
      </c>
      <c r="N177" t="n">
        <v>0</v>
      </c>
      <c r="O177" t="n">
        <v>0</v>
      </c>
      <c r="P177" t="n">
        <v>0</v>
      </c>
      <c r="Q177" t="n">
        <v>0</v>
      </c>
      <c r="R177" s="2" t="inlineStr"/>
    </row>
    <row r="178" ht="15" customHeight="1">
      <c r="A178" t="inlineStr">
        <is>
          <t>A 63836-2019</t>
        </is>
      </c>
      <c r="B178" s="1" t="n">
        <v>43795</v>
      </c>
      <c r="C178" s="1" t="n">
        <v>45831</v>
      </c>
      <c r="D178" t="inlineStr">
        <is>
          <t>VÄSTERNORRLANDS LÄN</t>
        </is>
      </c>
      <c r="E178" t="inlineStr">
        <is>
          <t>TIMRÅ</t>
        </is>
      </c>
      <c r="F178" t="inlineStr">
        <is>
          <t>Kyrkan</t>
        </is>
      </c>
      <c r="G178" t="n">
        <v>4.9</v>
      </c>
      <c r="H178" t="n">
        <v>0</v>
      </c>
      <c r="I178" t="n">
        <v>0</v>
      </c>
      <c r="J178" t="n">
        <v>0</v>
      </c>
      <c r="K178" t="n">
        <v>0</v>
      </c>
      <c r="L178" t="n">
        <v>0</v>
      </c>
      <c r="M178" t="n">
        <v>0</v>
      </c>
      <c r="N178" t="n">
        <v>0</v>
      </c>
      <c r="O178" t="n">
        <v>0</v>
      </c>
      <c r="P178" t="n">
        <v>0</v>
      </c>
      <c r="Q178" t="n">
        <v>0</v>
      </c>
      <c r="R178" s="2" t="inlineStr"/>
    </row>
    <row r="179" ht="15" customHeight="1">
      <c r="A179" t="inlineStr">
        <is>
          <t>A 65954-2019</t>
        </is>
      </c>
      <c r="B179" s="1" t="n">
        <v>43801</v>
      </c>
      <c r="C179" s="1" t="n">
        <v>45831</v>
      </c>
      <c r="D179" t="inlineStr">
        <is>
          <t>VÄSTERNORRLANDS LÄN</t>
        </is>
      </c>
      <c r="E179" t="inlineStr">
        <is>
          <t>TIMRÅ</t>
        </is>
      </c>
      <c r="G179" t="n">
        <v>9.1</v>
      </c>
      <c r="H179" t="n">
        <v>0</v>
      </c>
      <c r="I179" t="n">
        <v>0</v>
      </c>
      <c r="J179" t="n">
        <v>0</v>
      </c>
      <c r="K179" t="n">
        <v>0</v>
      </c>
      <c r="L179" t="n">
        <v>0</v>
      </c>
      <c r="M179" t="n">
        <v>0</v>
      </c>
      <c r="N179" t="n">
        <v>0</v>
      </c>
      <c r="O179" t="n">
        <v>0</v>
      </c>
      <c r="P179" t="n">
        <v>0</v>
      </c>
      <c r="Q179" t="n">
        <v>0</v>
      </c>
      <c r="R179" s="2" t="inlineStr"/>
    </row>
    <row r="180" ht="15" customHeight="1">
      <c r="A180" t="inlineStr">
        <is>
          <t>A 65367-2019</t>
        </is>
      </c>
      <c r="B180" s="1" t="n">
        <v>43803</v>
      </c>
      <c r="C180" s="1" t="n">
        <v>45831</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66385-2019</t>
        </is>
      </c>
      <c r="B181" s="1" t="n">
        <v>43808</v>
      </c>
      <c r="C181" s="1" t="n">
        <v>45831</v>
      </c>
      <c r="D181" t="inlineStr">
        <is>
          <t>VÄSTERNORRLANDS LÄN</t>
        </is>
      </c>
      <c r="E181" t="inlineStr">
        <is>
          <t>TIMRÅ</t>
        </is>
      </c>
      <c r="G181" t="n">
        <v>1.5</v>
      </c>
      <c r="H181" t="n">
        <v>0</v>
      </c>
      <c r="I181" t="n">
        <v>0</v>
      </c>
      <c r="J181" t="n">
        <v>0</v>
      </c>
      <c r="K181" t="n">
        <v>0</v>
      </c>
      <c r="L181" t="n">
        <v>0</v>
      </c>
      <c r="M181" t="n">
        <v>0</v>
      </c>
      <c r="N181" t="n">
        <v>0</v>
      </c>
      <c r="O181" t="n">
        <v>0</v>
      </c>
      <c r="P181" t="n">
        <v>0</v>
      </c>
      <c r="Q181" t="n">
        <v>0</v>
      </c>
      <c r="R181" s="2" t="inlineStr"/>
    </row>
    <row r="182" ht="15" customHeight="1">
      <c r="A182" t="inlineStr">
        <is>
          <t>A 66415-2019</t>
        </is>
      </c>
      <c r="B182" s="1" t="n">
        <v>43808</v>
      </c>
      <c r="C182" s="1" t="n">
        <v>45831</v>
      </c>
      <c r="D182" t="inlineStr">
        <is>
          <t>VÄSTERNORRLANDS LÄN</t>
        </is>
      </c>
      <c r="E182" t="inlineStr">
        <is>
          <t>TIMRÅ</t>
        </is>
      </c>
      <c r="G182" t="n">
        <v>2.8</v>
      </c>
      <c r="H182" t="n">
        <v>0</v>
      </c>
      <c r="I182" t="n">
        <v>0</v>
      </c>
      <c r="J182" t="n">
        <v>0</v>
      </c>
      <c r="K182" t="n">
        <v>0</v>
      </c>
      <c r="L182" t="n">
        <v>0</v>
      </c>
      <c r="M182" t="n">
        <v>0</v>
      </c>
      <c r="N182" t="n">
        <v>0</v>
      </c>
      <c r="O182" t="n">
        <v>0</v>
      </c>
      <c r="P182" t="n">
        <v>0</v>
      </c>
      <c r="Q182" t="n">
        <v>0</v>
      </c>
      <c r="R182" s="2" t="inlineStr"/>
    </row>
    <row r="183" ht="15" customHeight="1">
      <c r="A183" t="inlineStr">
        <is>
          <t>A 66387-2019</t>
        </is>
      </c>
      <c r="B183" s="1" t="n">
        <v>43808</v>
      </c>
      <c r="C183" s="1" t="n">
        <v>45831</v>
      </c>
      <c r="D183" t="inlineStr">
        <is>
          <t>VÄSTERNORRLANDS LÄN</t>
        </is>
      </c>
      <c r="E183" t="inlineStr">
        <is>
          <t>TIMRÅ</t>
        </is>
      </c>
      <c r="G183" t="n">
        <v>0.5</v>
      </c>
      <c r="H183" t="n">
        <v>0</v>
      </c>
      <c r="I183" t="n">
        <v>0</v>
      </c>
      <c r="J183" t="n">
        <v>0</v>
      </c>
      <c r="K183" t="n">
        <v>0</v>
      </c>
      <c r="L183" t="n">
        <v>0</v>
      </c>
      <c r="M183" t="n">
        <v>0</v>
      </c>
      <c r="N183" t="n">
        <v>0</v>
      </c>
      <c r="O183" t="n">
        <v>0</v>
      </c>
      <c r="P183" t="n">
        <v>0</v>
      </c>
      <c r="Q183" t="n">
        <v>0</v>
      </c>
      <c r="R183" s="2" t="inlineStr"/>
    </row>
    <row r="184" ht="15" customHeight="1">
      <c r="A184" t="inlineStr">
        <is>
          <t>A 67825-2019</t>
        </is>
      </c>
      <c r="B184" s="1" t="n">
        <v>43815</v>
      </c>
      <c r="C184" s="1" t="n">
        <v>45831</v>
      </c>
      <c r="D184" t="inlineStr">
        <is>
          <t>VÄSTERNORRLANDS LÄN</t>
        </is>
      </c>
      <c r="E184" t="inlineStr">
        <is>
          <t>TIMRÅ</t>
        </is>
      </c>
      <c r="G184" t="n">
        <v>2.6</v>
      </c>
      <c r="H184" t="n">
        <v>0</v>
      </c>
      <c r="I184" t="n">
        <v>0</v>
      </c>
      <c r="J184" t="n">
        <v>0</v>
      </c>
      <c r="K184" t="n">
        <v>0</v>
      </c>
      <c r="L184" t="n">
        <v>0</v>
      </c>
      <c r="M184" t="n">
        <v>0</v>
      </c>
      <c r="N184" t="n">
        <v>0</v>
      </c>
      <c r="O184" t="n">
        <v>0</v>
      </c>
      <c r="P184" t="n">
        <v>0</v>
      </c>
      <c r="Q184" t="n">
        <v>0</v>
      </c>
      <c r="R184" s="2" t="inlineStr"/>
    </row>
    <row r="185" ht="15" customHeight="1">
      <c r="A185" t="inlineStr">
        <is>
          <t>A 1298-2020</t>
        </is>
      </c>
      <c r="B185" s="1" t="n">
        <v>43842</v>
      </c>
      <c r="C185" s="1" t="n">
        <v>45831</v>
      </c>
      <c r="D185" t="inlineStr">
        <is>
          <t>VÄSTERNORRLANDS LÄN</t>
        </is>
      </c>
      <c r="E185" t="inlineStr">
        <is>
          <t>TIMRÅ</t>
        </is>
      </c>
      <c r="G185" t="n">
        <v>10.8</v>
      </c>
      <c r="H185" t="n">
        <v>0</v>
      </c>
      <c r="I185" t="n">
        <v>0</v>
      </c>
      <c r="J185" t="n">
        <v>0</v>
      </c>
      <c r="K185" t="n">
        <v>0</v>
      </c>
      <c r="L185" t="n">
        <v>0</v>
      </c>
      <c r="M185" t="n">
        <v>0</v>
      </c>
      <c r="N185" t="n">
        <v>0</v>
      </c>
      <c r="O185" t="n">
        <v>0</v>
      </c>
      <c r="P185" t="n">
        <v>0</v>
      </c>
      <c r="Q185" t="n">
        <v>0</v>
      </c>
      <c r="R185" s="2" t="inlineStr"/>
    </row>
    <row r="186" ht="15" customHeight="1">
      <c r="A186" t="inlineStr">
        <is>
          <t>A 3007-2020</t>
        </is>
      </c>
      <c r="B186" s="1" t="n">
        <v>43850</v>
      </c>
      <c r="C186" s="1" t="n">
        <v>45831</v>
      </c>
      <c r="D186" t="inlineStr">
        <is>
          <t>VÄSTERNORRLANDS LÄN</t>
        </is>
      </c>
      <c r="E186" t="inlineStr">
        <is>
          <t>TIMRÅ</t>
        </is>
      </c>
      <c r="G186" t="n">
        <v>1</v>
      </c>
      <c r="H186" t="n">
        <v>0</v>
      </c>
      <c r="I186" t="n">
        <v>0</v>
      </c>
      <c r="J186" t="n">
        <v>0</v>
      </c>
      <c r="K186" t="n">
        <v>0</v>
      </c>
      <c r="L186" t="n">
        <v>0</v>
      </c>
      <c r="M186" t="n">
        <v>0</v>
      </c>
      <c r="N186" t="n">
        <v>0</v>
      </c>
      <c r="O186" t="n">
        <v>0</v>
      </c>
      <c r="P186" t="n">
        <v>0</v>
      </c>
      <c r="Q186" t="n">
        <v>0</v>
      </c>
      <c r="R186" s="2" t="inlineStr"/>
    </row>
    <row r="187" ht="15" customHeight="1">
      <c r="A187" t="inlineStr">
        <is>
          <t>A 3006-2020</t>
        </is>
      </c>
      <c r="B187" s="1" t="n">
        <v>43850</v>
      </c>
      <c r="C187" s="1" t="n">
        <v>45831</v>
      </c>
      <c r="D187" t="inlineStr">
        <is>
          <t>VÄSTERNORRLANDS LÄN</t>
        </is>
      </c>
      <c r="E187" t="inlineStr">
        <is>
          <t>TIMRÅ</t>
        </is>
      </c>
      <c r="G187" t="n">
        <v>1.3</v>
      </c>
      <c r="H187" t="n">
        <v>0</v>
      </c>
      <c r="I187" t="n">
        <v>0</v>
      </c>
      <c r="J187" t="n">
        <v>0</v>
      </c>
      <c r="K187" t="n">
        <v>0</v>
      </c>
      <c r="L187" t="n">
        <v>0</v>
      </c>
      <c r="M187" t="n">
        <v>0</v>
      </c>
      <c r="N187" t="n">
        <v>0</v>
      </c>
      <c r="O187" t="n">
        <v>0</v>
      </c>
      <c r="P187" t="n">
        <v>0</v>
      </c>
      <c r="Q187" t="n">
        <v>0</v>
      </c>
      <c r="R187" s="2" t="inlineStr"/>
    </row>
    <row r="188" ht="15" customHeight="1">
      <c r="A188" t="inlineStr">
        <is>
          <t>A 3010-2020</t>
        </is>
      </c>
      <c r="B188" s="1" t="n">
        <v>43850</v>
      </c>
      <c r="C188" s="1" t="n">
        <v>45831</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3030-2020</t>
        </is>
      </c>
      <c r="B189" s="1" t="n">
        <v>43851</v>
      </c>
      <c r="C189" s="1" t="n">
        <v>45831</v>
      </c>
      <c r="D189" t="inlineStr">
        <is>
          <t>VÄSTERNORRLANDS LÄN</t>
        </is>
      </c>
      <c r="E189" t="inlineStr">
        <is>
          <t>TIMRÅ</t>
        </is>
      </c>
      <c r="F189" t="inlineStr">
        <is>
          <t>Kyrkan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3285-2020</t>
        </is>
      </c>
      <c r="B190" s="1" t="n">
        <v>43852</v>
      </c>
      <c r="C190" s="1" t="n">
        <v>45831</v>
      </c>
      <c r="D190" t="inlineStr">
        <is>
          <t>VÄSTERNORRLANDS LÄN</t>
        </is>
      </c>
      <c r="E190" t="inlineStr">
        <is>
          <t>TIMRÅ</t>
        </is>
      </c>
      <c r="G190" t="n">
        <v>0.6</v>
      </c>
      <c r="H190" t="n">
        <v>0</v>
      </c>
      <c r="I190" t="n">
        <v>0</v>
      </c>
      <c r="J190" t="n">
        <v>0</v>
      </c>
      <c r="K190" t="n">
        <v>0</v>
      </c>
      <c r="L190" t="n">
        <v>0</v>
      </c>
      <c r="M190" t="n">
        <v>0</v>
      </c>
      <c r="N190" t="n">
        <v>0</v>
      </c>
      <c r="O190" t="n">
        <v>0</v>
      </c>
      <c r="P190" t="n">
        <v>0</v>
      </c>
      <c r="Q190" t="n">
        <v>0</v>
      </c>
      <c r="R190" s="2" t="inlineStr"/>
    </row>
    <row r="191" ht="15" customHeight="1">
      <c r="A191" t="inlineStr">
        <is>
          <t>A 3283-2020</t>
        </is>
      </c>
      <c r="B191" s="1" t="n">
        <v>43852</v>
      </c>
      <c r="C191" s="1" t="n">
        <v>45831</v>
      </c>
      <c r="D191" t="inlineStr">
        <is>
          <t>VÄSTERNORRLANDS LÄN</t>
        </is>
      </c>
      <c r="E191" t="inlineStr">
        <is>
          <t>TIMRÅ</t>
        </is>
      </c>
      <c r="G191" t="n">
        <v>3</v>
      </c>
      <c r="H191" t="n">
        <v>0</v>
      </c>
      <c r="I191" t="n">
        <v>0</v>
      </c>
      <c r="J191" t="n">
        <v>0</v>
      </c>
      <c r="K191" t="n">
        <v>0</v>
      </c>
      <c r="L191" t="n">
        <v>0</v>
      </c>
      <c r="M191" t="n">
        <v>0</v>
      </c>
      <c r="N191" t="n">
        <v>0</v>
      </c>
      <c r="O191" t="n">
        <v>0</v>
      </c>
      <c r="P191" t="n">
        <v>0</v>
      </c>
      <c r="Q191" t="n">
        <v>0</v>
      </c>
      <c r="R191" s="2" t="inlineStr"/>
    </row>
    <row r="192" ht="15" customHeight="1">
      <c r="A192" t="inlineStr">
        <is>
          <t>A 7134-2020</t>
        </is>
      </c>
      <c r="B192" s="1" t="n">
        <v>43868</v>
      </c>
      <c r="C192" s="1" t="n">
        <v>45831</v>
      </c>
      <c r="D192" t="inlineStr">
        <is>
          <t>VÄSTERNORRLANDS LÄN</t>
        </is>
      </c>
      <c r="E192" t="inlineStr">
        <is>
          <t>TIMRÅ</t>
        </is>
      </c>
      <c r="F192" t="inlineStr">
        <is>
          <t>SCA</t>
        </is>
      </c>
      <c r="G192" t="n">
        <v>25.8</v>
      </c>
      <c r="H192" t="n">
        <v>0</v>
      </c>
      <c r="I192" t="n">
        <v>0</v>
      </c>
      <c r="J192" t="n">
        <v>0</v>
      </c>
      <c r="K192" t="n">
        <v>0</v>
      </c>
      <c r="L192" t="n">
        <v>0</v>
      </c>
      <c r="M192" t="n">
        <v>0</v>
      </c>
      <c r="N192" t="n">
        <v>0</v>
      </c>
      <c r="O192" t="n">
        <v>0</v>
      </c>
      <c r="P192" t="n">
        <v>0</v>
      </c>
      <c r="Q192" t="n">
        <v>0</v>
      </c>
      <c r="R192" s="2" t="inlineStr"/>
    </row>
    <row r="193" ht="15" customHeight="1">
      <c r="A193" t="inlineStr">
        <is>
          <t>A 8279-2020</t>
        </is>
      </c>
      <c r="B193" s="1" t="n">
        <v>43874</v>
      </c>
      <c r="C193" s="1" t="n">
        <v>45831</v>
      </c>
      <c r="D193" t="inlineStr">
        <is>
          <t>VÄSTERNORRLANDS LÄN</t>
        </is>
      </c>
      <c r="E193" t="inlineStr">
        <is>
          <t>TIMRÅ</t>
        </is>
      </c>
      <c r="G193" t="n">
        <v>10.9</v>
      </c>
      <c r="H193" t="n">
        <v>0</v>
      </c>
      <c r="I193" t="n">
        <v>0</v>
      </c>
      <c r="J193" t="n">
        <v>0</v>
      </c>
      <c r="K193" t="n">
        <v>0</v>
      </c>
      <c r="L193" t="n">
        <v>0</v>
      </c>
      <c r="M193" t="n">
        <v>0</v>
      </c>
      <c r="N193" t="n">
        <v>0</v>
      </c>
      <c r="O193" t="n">
        <v>0</v>
      </c>
      <c r="P193" t="n">
        <v>0</v>
      </c>
      <c r="Q193" t="n">
        <v>0</v>
      </c>
      <c r="R193" s="2" t="inlineStr"/>
    </row>
    <row r="194" ht="15" customHeight="1">
      <c r="A194" t="inlineStr">
        <is>
          <t>A 9029-2020</t>
        </is>
      </c>
      <c r="B194" s="1" t="n">
        <v>43879</v>
      </c>
      <c r="C194" s="1" t="n">
        <v>45831</v>
      </c>
      <c r="D194" t="inlineStr">
        <is>
          <t>VÄSTERNORRLANDS LÄN</t>
        </is>
      </c>
      <c r="E194" t="inlineStr">
        <is>
          <t>TIMRÅ</t>
        </is>
      </c>
      <c r="G194" t="n">
        <v>6.3</v>
      </c>
      <c r="H194" t="n">
        <v>0</v>
      </c>
      <c r="I194" t="n">
        <v>0</v>
      </c>
      <c r="J194" t="n">
        <v>0</v>
      </c>
      <c r="K194" t="n">
        <v>0</v>
      </c>
      <c r="L194" t="n">
        <v>0</v>
      </c>
      <c r="M194" t="n">
        <v>0</v>
      </c>
      <c r="N194" t="n">
        <v>0</v>
      </c>
      <c r="O194" t="n">
        <v>0</v>
      </c>
      <c r="P194" t="n">
        <v>0</v>
      </c>
      <c r="Q194" t="n">
        <v>0</v>
      </c>
      <c r="R194" s="2" t="inlineStr"/>
    </row>
    <row r="195" ht="15" customHeight="1">
      <c r="A195" t="inlineStr">
        <is>
          <t>A 9097-2020</t>
        </is>
      </c>
      <c r="B195" s="1" t="n">
        <v>43879</v>
      </c>
      <c r="C195" s="1" t="n">
        <v>45831</v>
      </c>
      <c r="D195" t="inlineStr">
        <is>
          <t>VÄSTERNORRLANDS LÄN</t>
        </is>
      </c>
      <c r="E195" t="inlineStr">
        <is>
          <t>TIMRÅ</t>
        </is>
      </c>
      <c r="G195" t="n">
        <v>7.4</v>
      </c>
      <c r="H195" t="n">
        <v>0</v>
      </c>
      <c r="I195" t="n">
        <v>0</v>
      </c>
      <c r="J195" t="n">
        <v>0</v>
      </c>
      <c r="K195" t="n">
        <v>0</v>
      </c>
      <c r="L195" t="n">
        <v>0</v>
      </c>
      <c r="M195" t="n">
        <v>0</v>
      </c>
      <c r="N195" t="n">
        <v>0</v>
      </c>
      <c r="O195" t="n">
        <v>0</v>
      </c>
      <c r="P195" t="n">
        <v>0</v>
      </c>
      <c r="Q195" t="n">
        <v>0</v>
      </c>
      <c r="R195" s="2" t="inlineStr"/>
    </row>
    <row r="196" ht="15" customHeight="1">
      <c r="A196" t="inlineStr">
        <is>
          <t>A 10377-2020</t>
        </is>
      </c>
      <c r="B196" s="1" t="n">
        <v>43885</v>
      </c>
      <c r="C196" s="1" t="n">
        <v>45831</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13782-2020</t>
        </is>
      </c>
      <c r="B197" s="1" t="n">
        <v>43903</v>
      </c>
      <c r="C197" s="1" t="n">
        <v>45831</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15631-2020</t>
        </is>
      </c>
      <c r="B198" s="1" t="n">
        <v>43914</v>
      </c>
      <c r="C198" s="1" t="n">
        <v>45831</v>
      </c>
      <c r="D198" t="inlineStr">
        <is>
          <t>VÄSTERNORRLANDS LÄN</t>
        </is>
      </c>
      <c r="E198" t="inlineStr">
        <is>
          <t>TIMRÅ</t>
        </is>
      </c>
      <c r="G198" t="n">
        <v>1.1</v>
      </c>
      <c r="H198" t="n">
        <v>0</v>
      </c>
      <c r="I198" t="n">
        <v>0</v>
      </c>
      <c r="J198" t="n">
        <v>0</v>
      </c>
      <c r="K198" t="n">
        <v>0</v>
      </c>
      <c r="L198" t="n">
        <v>0</v>
      </c>
      <c r="M198" t="n">
        <v>0</v>
      </c>
      <c r="N198" t="n">
        <v>0</v>
      </c>
      <c r="O198" t="n">
        <v>0</v>
      </c>
      <c r="P198" t="n">
        <v>0</v>
      </c>
      <c r="Q198" t="n">
        <v>0</v>
      </c>
      <c r="R198" s="2" t="inlineStr"/>
    </row>
    <row r="199" ht="15" customHeight="1">
      <c r="A199" t="inlineStr">
        <is>
          <t>A 17822-2020</t>
        </is>
      </c>
      <c r="B199" s="1" t="n">
        <v>43924</v>
      </c>
      <c r="C199" s="1" t="n">
        <v>45831</v>
      </c>
      <c r="D199" t="inlineStr">
        <is>
          <t>VÄSTERNORRLANDS LÄN</t>
        </is>
      </c>
      <c r="E199" t="inlineStr">
        <is>
          <t>TIMRÅ</t>
        </is>
      </c>
      <c r="G199" t="n">
        <v>0.2</v>
      </c>
      <c r="H199" t="n">
        <v>0</v>
      </c>
      <c r="I199" t="n">
        <v>0</v>
      </c>
      <c r="J199" t="n">
        <v>0</v>
      </c>
      <c r="K199" t="n">
        <v>0</v>
      </c>
      <c r="L199" t="n">
        <v>0</v>
      </c>
      <c r="M199" t="n">
        <v>0</v>
      </c>
      <c r="N199" t="n">
        <v>0</v>
      </c>
      <c r="O199" t="n">
        <v>0</v>
      </c>
      <c r="P199" t="n">
        <v>0</v>
      </c>
      <c r="Q199" t="n">
        <v>0</v>
      </c>
      <c r="R199" s="2" t="inlineStr"/>
    </row>
    <row r="200" ht="15" customHeight="1">
      <c r="A200" t="inlineStr">
        <is>
          <t>A 18107-2020</t>
        </is>
      </c>
      <c r="B200" s="1" t="n">
        <v>43927</v>
      </c>
      <c r="C200" s="1" t="n">
        <v>45831</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18211-2020</t>
        </is>
      </c>
      <c r="B201" s="1" t="n">
        <v>43927</v>
      </c>
      <c r="C201" s="1" t="n">
        <v>45831</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18208-2020</t>
        </is>
      </c>
      <c r="B202" s="1" t="n">
        <v>43927</v>
      </c>
      <c r="C202" s="1" t="n">
        <v>45831</v>
      </c>
      <c r="D202" t="inlineStr">
        <is>
          <t>VÄSTERNORRLANDS LÄN</t>
        </is>
      </c>
      <c r="E202" t="inlineStr">
        <is>
          <t>TIMRÅ</t>
        </is>
      </c>
      <c r="G202" t="n">
        <v>8.9</v>
      </c>
      <c r="H202" t="n">
        <v>0</v>
      </c>
      <c r="I202" t="n">
        <v>0</v>
      </c>
      <c r="J202" t="n">
        <v>0</v>
      </c>
      <c r="K202" t="n">
        <v>0</v>
      </c>
      <c r="L202" t="n">
        <v>0</v>
      </c>
      <c r="M202" t="n">
        <v>0</v>
      </c>
      <c r="N202" t="n">
        <v>0</v>
      </c>
      <c r="O202" t="n">
        <v>0</v>
      </c>
      <c r="P202" t="n">
        <v>0</v>
      </c>
      <c r="Q202" t="n">
        <v>0</v>
      </c>
      <c r="R202" s="2" t="inlineStr"/>
    </row>
    <row r="203" ht="15" customHeight="1">
      <c r="A203" t="inlineStr">
        <is>
          <t>A 19769-2020</t>
        </is>
      </c>
      <c r="B203" s="1" t="n">
        <v>43937</v>
      </c>
      <c r="C203" s="1" t="n">
        <v>45831</v>
      </c>
      <c r="D203" t="inlineStr">
        <is>
          <t>VÄSTERNORRLANDS LÄN</t>
        </is>
      </c>
      <c r="E203" t="inlineStr">
        <is>
          <t>TIMRÅ</t>
        </is>
      </c>
      <c r="G203" t="n">
        <v>2.1</v>
      </c>
      <c r="H203" t="n">
        <v>0</v>
      </c>
      <c r="I203" t="n">
        <v>0</v>
      </c>
      <c r="J203" t="n">
        <v>0</v>
      </c>
      <c r="K203" t="n">
        <v>0</v>
      </c>
      <c r="L203" t="n">
        <v>0</v>
      </c>
      <c r="M203" t="n">
        <v>0</v>
      </c>
      <c r="N203" t="n">
        <v>0</v>
      </c>
      <c r="O203" t="n">
        <v>0</v>
      </c>
      <c r="P203" t="n">
        <v>0</v>
      </c>
      <c r="Q203" t="n">
        <v>0</v>
      </c>
      <c r="R203" s="2" t="inlineStr"/>
    </row>
    <row r="204" ht="15" customHeight="1">
      <c r="A204" t="inlineStr">
        <is>
          <t>A 19792-2020</t>
        </is>
      </c>
      <c r="B204" s="1" t="n">
        <v>43937</v>
      </c>
      <c r="C204" s="1" t="n">
        <v>45831</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19311-2020</t>
        </is>
      </c>
      <c r="B205" s="1" t="n">
        <v>43937</v>
      </c>
      <c r="C205" s="1" t="n">
        <v>45831</v>
      </c>
      <c r="D205" t="inlineStr">
        <is>
          <t>VÄSTERNORRLANDS LÄN</t>
        </is>
      </c>
      <c r="E205" t="inlineStr">
        <is>
          <t>TIMRÅ</t>
        </is>
      </c>
      <c r="G205" t="n">
        <v>1.5</v>
      </c>
      <c r="H205" t="n">
        <v>0</v>
      </c>
      <c r="I205" t="n">
        <v>0</v>
      </c>
      <c r="J205" t="n">
        <v>0</v>
      </c>
      <c r="K205" t="n">
        <v>0</v>
      </c>
      <c r="L205" t="n">
        <v>0</v>
      </c>
      <c r="M205" t="n">
        <v>0</v>
      </c>
      <c r="N205" t="n">
        <v>0</v>
      </c>
      <c r="O205" t="n">
        <v>0</v>
      </c>
      <c r="P205" t="n">
        <v>0</v>
      </c>
      <c r="Q205" t="n">
        <v>0</v>
      </c>
      <c r="R205" s="2" t="inlineStr"/>
    </row>
    <row r="206" ht="15" customHeight="1">
      <c r="A206" t="inlineStr">
        <is>
          <t>A 19764-2020</t>
        </is>
      </c>
      <c r="B206" s="1" t="n">
        <v>43937</v>
      </c>
      <c r="C206" s="1" t="n">
        <v>45831</v>
      </c>
      <c r="D206" t="inlineStr">
        <is>
          <t>VÄSTERNORRLANDS LÄN</t>
        </is>
      </c>
      <c r="E206" t="inlineStr">
        <is>
          <t>TIMRÅ</t>
        </is>
      </c>
      <c r="G206" t="n">
        <v>3.1</v>
      </c>
      <c r="H206" t="n">
        <v>0</v>
      </c>
      <c r="I206" t="n">
        <v>0</v>
      </c>
      <c r="J206" t="n">
        <v>0</v>
      </c>
      <c r="K206" t="n">
        <v>0</v>
      </c>
      <c r="L206" t="n">
        <v>0</v>
      </c>
      <c r="M206" t="n">
        <v>0</v>
      </c>
      <c r="N206" t="n">
        <v>0</v>
      </c>
      <c r="O206" t="n">
        <v>0</v>
      </c>
      <c r="P206" t="n">
        <v>0</v>
      </c>
      <c r="Q206" t="n">
        <v>0</v>
      </c>
      <c r="R206" s="2" t="inlineStr"/>
    </row>
    <row r="207" ht="15" customHeight="1">
      <c r="A207" t="inlineStr">
        <is>
          <t>A 19785-2020</t>
        </is>
      </c>
      <c r="B207" s="1" t="n">
        <v>43937</v>
      </c>
      <c r="C207" s="1" t="n">
        <v>45831</v>
      </c>
      <c r="D207" t="inlineStr">
        <is>
          <t>VÄSTERNORRLANDS LÄN</t>
        </is>
      </c>
      <c r="E207" t="inlineStr">
        <is>
          <t>TIMRÅ</t>
        </is>
      </c>
      <c r="G207" t="n">
        <v>2</v>
      </c>
      <c r="H207" t="n">
        <v>0</v>
      </c>
      <c r="I207" t="n">
        <v>0</v>
      </c>
      <c r="J207" t="n">
        <v>0</v>
      </c>
      <c r="K207" t="n">
        <v>0</v>
      </c>
      <c r="L207" t="n">
        <v>0</v>
      </c>
      <c r="M207" t="n">
        <v>0</v>
      </c>
      <c r="N207" t="n">
        <v>0</v>
      </c>
      <c r="O207" t="n">
        <v>0</v>
      </c>
      <c r="P207" t="n">
        <v>0</v>
      </c>
      <c r="Q207" t="n">
        <v>0</v>
      </c>
      <c r="R207" s="2" t="inlineStr"/>
    </row>
    <row r="208" ht="15" customHeight="1">
      <c r="A208" t="inlineStr">
        <is>
          <t>A 19796-2020</t>
        </is>
      </c>
      <c r="B208" s="1" t="n">
        <v>43937</v>
      </c>
      <c r="C208" s="1" t="n">
        <v>45831</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19809-2020</t>
        </is>
      </c>
      <c r="B209" s="1" t="n">
        <v>43937</v>
      </c>
      <c r="C209" s="1" t="n">
        <v>45831</v>
      </c>
      <c r="D209" t="inlineStr">
        <is>
          <t>VÄSTERNORRLANDS LÄN</t>
        </is>
      </c>
      <c r="E209" t="inlineStr">
        <is>
          <t>TIMRÅ</t>
        </is>
      </c>
      <c r="G209" t="n">
        <v>4.5</v>
      </c>
      <c r="H209" t="n">
        <v>0</v>
      </c>
      <c r="I209" t="n">
        <v>0</v>
      </c>
      <c r="J209" t="n">
        <v>0</v>
      </c>
      <c r="K209" t="n">
        <v>0</v>
      </c>
      <c r="L209" t="n">
        <v>0</v>
      </c>
      <c r="M209" t="n">
        <v>0</v>
      </c>
      <c r="N209" t="n">
        <v>0</v>
      </c>
      <c r="O209" t="n">
        <v>0</v>
      </c>
      <c r="P209" t="n">
        <v>0</v>
      </c>
      <c r="Q209" t="n">
        <v>0</v>
      </c>
      <c r="R209" s="2" t="inlineStr"/>
    </row>
    <row r="210" ht="15" customHeight="1">
      <c r="A210" t="inlineStr">
        <is>
          <t>A 19761-2020</t>
        </is>
      </c>
      <c r="B210" s="1" t="n">
        <v>43937</v>
      </c>
      <c r="C210" s="1" t="n">
        <v>45831</v>
      </c>
      <c r="D210" t="inlineStr">
        <is>
          <t>VÄSTERNORRLANDS LÄN</t>
        </is>
      </c>
      <c r="E210" t="inlineStr">
        <is>
          <t>TIMRÅ</t>
        </is>
      </c>
      <c r="G210" t="n">
        <v>0.4</v>
      </c>
      <c r="H210" t="n">
        <v>0</v>
      </c>
      <c r="I210" t="n">
        <v>0</v>
      </c>
      <c r="J210" t="n">
        <v>0</v>
      </c>
      <c r="K210" t="n">
        <v>0</v>
      </c>
      <c r="L210" t="n">
        <v>0</v>
      </c>
      <c r="M210" t="n">
        <v>0</v>
      </c>
      <c r="N210" t="n">
        <v>0</v>
      </c>
      <c r="O210" t="n">
        <v>0</v>
      </c>
      <c r="P210" t="n">
        <v>0</v>
      </c>
      <c r="Q210" t="n">
        <v>0</v>
      </c>
      <c r="R210" s="2" t="inlineStr"/>
    </row>
    <row r="211" ht="15" customHeight="1">
      <c r="A211" t="inlineStr">
        <is>
          <t>A 19774-2020</t>
        </is>
      </c>
      <c r="B211" s="1" t="n">
        <v>43937</v>
      </c>
      <c r="C211" s="1" t="n">
        <v>45831</v>
      </c>
      <c r="D211" t="inlineStr">
        <is>
          <t>VÄSTERNORRLANDS LÄN</t>
        </is>
      </c>
      <c r="E211" t="inlineStr">
        <is>
          <t>TIMRÅ</t>
        </is>
      </c>
      <c r="G211" t="n">
        <v>6.1</v>
      </c>
      <c r="H211" t="n">
        <v>0</v>
      </c>
      <c r="I211" t="n">
        <v>0</v>
      </c>
      <c r="J211" t="n">
        <v>0</v>
      </c>
      <c r="K211" t="n">
        <v>0</v>
      </c>
      <c r="L211" t="n">
        <v>0</v>
      </c>
      <c r="M211" t="n">
        <v>0</v>
      </c>
      <c r="N211" t="n">
        <v>0</v>
      </c>
      <c r="O211" t="n">
        <v>0</v>
      </c>
      <c r="P211" t="n">
        <v>0</v>
      </c>
      <c r="Q211" t="n">
        <v>0</v>
      </c>
      <c r="R211" s="2" t="inlineStr"/>
    </row>
    <row r="212" ht="15" customHeight="1">
      <c r="A212" t="inlineStr">
        <is>
          <t>A 19794-2020</t>
        </is>
      </c>
      <c r="B212" s="1" t="n">
        <v>43937</v>
      </c>
      <c r="C212" s="1" t="n">
        <v>45831</v>
      </c>
      <c r="D212" t="inlineStr">
        <is>
          <t>VÄSTERNORRLANDS LÄN</t>
        </is>
      </c>
      <c r="E212" t="inlineStr">
        <is>
          <t>TIMRÅ</t>
        </is>
      </c>
      <c r="G212" t="n">
        <v>3</v>
      </c>
      <c r="H212" t="n">
        <v>0</v>
      </c>
      <c r="I212" t="n">
        <v>0</v>
      </c>
      <c r="J212" t="n">
        <v>0</v>
      </c>
      <c r="K212" t="n">
        <v>0</v>
      </c>
      <c r="L212" t="n">
        <v>0</v>
      </c>
      <c r="M212" t="n">
        <v>0</v>
      </c>
      <c r="N212" t="n">
        <v>0</v>
      </c>
      <c r="O212" t="n">
        <v>0</v>
      </c>
      <c r="P212" t="n">
        <v>0</v>
      </c>
      <c r="Q212" t="n">
        <v>0</v>
      </c>
      <c r="R212" s="2" t="inlineStr"/>
    </row>
    <row r="213" ht="15" customHeight="1">
      <c r="A213" t="inlineStr">
        <is>
          <t>A 19807-2020</t>
        </is>
      </c>
      <c r="B213" s="1" t="n">
        <v>43937</v>
      </c>
      <c r="C213" s="1" t="n">
        <v>45831</v>
      </c>
      <c r="D213" t="inlineStr">
        <is>
          <t>VÄSTERNORRLANDS LÄN</t>
        </is>
      </c>
      <c r="E213" t="inlineStr">
        <is>
          <t>TIMRÅ</t>
        </is>
      </c>
      <c r="G213" t="n">
        <v>3.4</v>
      </c>
      <c r="H213" t="n">
        <v>0</v>
      </c>
      <c r="I213" t="n">
        <v>0</v>
      </c>
      <c r="J213" t="n">
        <v>0</v>
      </c>
      <c r="K213" t="n">
        <v>0</v>
      </c>
      <c r="L213" t="n">
        <v>0</v>
      </c>
      <c r="M213" t="n">
        <v>0</v>
      </c>
      <c r="N213" t="n">
        <v>0</v>
      </c>
      <c r="O213" t="n">
        <v>0</v>
      </c>
      <c r="P213" t="n">
        <v>0</v>
      </c>
      <c r="Q213" t="n">
        <v>0</v>
      </c>
      <c r="R213" s="2" t="inlineStr"/>
    </row>
    <row r="214" ht="15" customHeight="1">
      <c r="A214" t="inlineStr">
        <is>
          <t>A 19765-2020</t>
        </is>
      </c>
      <c r="B214" s="1" t="n">
        <v>43937</v>
      </c>
      <c r="C214" s="1" t="n">
        <v>45831</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19789-2020</t>
        </is>
      </c>
      <c r="B215" s="1" t="n">
        <v>43937</v>
      </c>
      <c r="C215" s="1" t="n">
        <v>45831</v>
      </c>
      <c r="D215" t="inlineStr">
        <is>
          <t>VÄSTERNORRLANDS LÄN</t>
        </is>
      </c>
      <c r="E215" t="inlineStr">
        <is>
          <t>TIMRÅ</t>
        </is>
      </c>
      <c r="G215" t="n">
        <v>0.3</v>
      </c>
      <c r="H215" t="n">
        <v>0</v>
      </c>
      <c r="I215" t="n">
        <v>0</v>
      </c>
      <c r="J215" t="n">
        <v>0</v>
      </c>
      <c r="K215" t="n">
        <v>0</v>
      </c>
      <c r="L215" t="n">
        <v>0</v>
      </c>
      <c r="M215" t="n">
        <v>0</v>
      </c>
      <c r="N215" t="n">
        <v>0</v>
      </c>
      <c r="O215" t="n">
        <v>0</v>
      </c>
      <c r="P215" t="n">
        <v>0</v>
      </c>
      <c r="Q215" t="n">
        <v>0</v>
      </c>
      <c r="R215" s="2" t="inlineStr"/>
    </row>
    <row r="216" ht="15" customHeight="1">
      <c r="A216" t="inlineStr">
        <is>
          <t>A 21210-2020</t>
        </is>
      </c>
      <c r="B216" s="1" t="n">
        <v>43951</v>
      </c>
      <c r="C216" s="1" t="n">
        <v>45831</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21874-2020</t>
        </is>
      </c>
      <c r="B217" s="1" t="n">
        <v>43955</v>
      </c>
      <c r="C217" s="1" t="n">
        <v>45831</v>
      </c>
      <c r="D217" t="inlineStr">
        <is>
          <t>VÄSTERNORRLANDS LÄN</t>
        </is>
      </c>
      <c r="E217" t="inlineStr">
        <is>
          <t>TIMRÅ</t>
        </is>
      </c>
      <c r="G217" t="n">
        <v>7.5</v>
      </c>
      <c r="H217" t="n">
        <v>0</v>
      </c>
      <c r="I217" t="n">
        <v>0</v>
      </c>
      <c r="J217" t="n">
        <v>0</v>
      </c>
      <c r="K217" t="n">
        <v>0</v>
      </c>
      <c r="L217" t="n">
        <v>0</v>
      </c>
      <c r="M217" t="n">
        <v>0</v>
      </c>
      <c r="N217" t="n">
        <v>0</v>
      </c>
      <c r="O217" t="n">
        <v>0</v>
      </c>
      <c r="P217" t="n">
        <v>0</v>
      </c>
      <c r="Q217" t="n">
        <v>0</v>
      </c>
      <c r="R217" s="2" t="inlineStr"/>
    </row>
    <row r="218" ht="15" customHeight="1">
      <c r="A218" t="inlineStr">
        <is>
          <t>A 21598-2020</t>
        </is>
      </c>
      <c r="B218" s="1" t="n">
        <v>43956</v>
      </c>
      <c r="C218" s="1" t="n">
        <v>45831</v>
      </c>
      <c r="D218" t="inlineStr">
        <is>
          <t>VÄSTERNORRLANDS LÄN</t>
        </is>
      </c>
      <c r="E218" t="inlineStr">
        <is>
          <t>TIMRÅ</t>
        </is>
      </c>
      <c r="G218" t="n">
        <v>5</v>
      </c>
      <c r="H218" t="n">
        <v>0</v>
      </c>
      <c r="I218" t="n">
        <v>0</v>
      </c>
      <c r="J218" t="n">
        <v>0</v>
      </c>
      <c r="K218" t="n">
        <v>0</v>
      </c>
      <c r="L218" t="n">
        <v>0</v>
      </c>
      <c r="M218" t="n">
        <v>0</v>
      </c>
      <c r="N218" t="n">
        <v>0</v>
      </c>
      <c r="O218" t="n">
        <v>0</v>
      </c>
      <c r="P218" t="n">
        <v>0</v>
      </c>
      <c r="Q218" t="n">
        <v>0</v>
      </c>
      <c r="R218" s="2" t="inlineStr"/>
    </row>
    <row r="219" ht="15" customHeight="1">
      <c r="A219" t="inlineStr">
        <is>
          <t>A 24263-2020</t>
        </is>
      </c>
      <c r="B219" s="1" t="n">
        <v>43971</v>
      </c>
      <c r="C219" s="1" t="n">
        <v>45831</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29475-2020</t>
        </is>
      </c>
      <c r="B220" s="1" t="n">
        <v>44004</v>
      </c>
      <c r="C220" s="1" t="n">
        <v>45831</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33966-2020</t>
        </is>
      </c>
      <c r="B221" s="1" t="n">
        <v>44028</v>
      </c>
      <c r="C221" s="1" t="n">
        <v>45831</v>
      </c>
      <c r="D221" t="inlineStr">
        <is>
          <t>VÄSTERNORRLANDS LÄN</t>
        </is>
      </c>
      <c r="E221" t="inlineStr">
        <is>
          <t>TIMRÅ</t>
        </is>
      </c>
      <c r="G221" t="n">
        <v>4.9</v>
      </c>
      <c r="H221" t="n">
        <v>0</v>
      </c>
      <c r="I221" t="n">
        <v>0</v>
      </c>
      <c r="J221" t="n">
        <v>0</v>
      </c>
      <c r="K221" t="n">
        <v>0</v>
      </c>
      <c r="L221" t="n">
        <v>0</v>
      </c>
      <c r="M221" t="n">
        <v>0</v>
      </c>
      <c r="N221" t="n">
        <v>0</v>
      </c>
      <c r="O221" t="n">
        <v>0</v>
      </c>
      <c r="P221" t="n">
        <v>0</v>
      </c>
      <c r="Q221" t="n">
        <v>0</v>
      </c>
      <c r="R221" s="2" t="inlineStr"/>
    </row>
    <row r="222" ht="15" customHeight="1">
      <c r="A222" t="inlineStr">
        <is>
          <t>A 35531-2020</t>
        </is>
      </c>
      <c r="B222" s="1" t="n">
        <v>44043</v>
      </c>
      <c r="C222" s="1" t="n">
        <v>45831</v>
      </c>
      <c r="D222" t="inlineStr">
        <is>
          <t>VÄSTERNORRLANDS LÄN</t>
        </is>
      </c>
      <c r="E222" t="inlineStr">
        <is>
          <t>TIMRÅ</t>
        </is>
      </c>
      <c r="G222" t="n">
        <v>0.9</v>
      </c>
      <c r="H222" t="n">
        <v>0</v>
      </c>
      <c r="I222" t="n">
        <v>0</v>
      </c>
      <c r="J222" t="n">
        <v>0</v>
      </c>
      <c r="K222" t="n">
        <v>0</v>
      </c>
      <c r="L222" t="n">
        <v>0</v>
      </c>
      <c r="M222" t="n">
        <v>0</v>
      </c>
      <c r="N222" t="n">
        <v>0</v>
      </c>
      <c r="O222" t="n">
        <v>0</v>
      </c>
      <c r="P222" t="n">
        <v>0</v>
      </c>
      <c r="Q222" t="n">
        <v>0</v>
      </c>
      <c r="R222" s="2" t="inlineStr"/>
    </row>
    <row r="223" ht="15" customHeight="1">
      <c r="A223" t="inlineStr">
        <is>
          <t>A 40413-2020</t>
        </is>
      </c>
      <c r="B223" s="1" t="n">
        <v>44068</v>
      </c>
      <c r="C223" s="1" t="n">
        <v>45831</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40410-2020</t>
        </is>
      </c>
      <c r="B224" s="1" t="n">
        <v>44068</v>
      </c>
      <c r="C224" s="1" t="n">
        <v>45831</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40737-2020</t>
        </is>
      </c>
      <c r="B225" s="1" t="n">
        <v>44069</v>
      </c>
      <c r="C225" s="1" t="n">
        <v>45831</v>
      </c>
      <c r="D225" t="inlineStr">
        <is>
          <t>VÄSTERNORRLANDS LÄN</t>
        </is>
      </c>
      <c r="E225" t="inlineStr">
        <is>
          <t>TIMRÅ</t>
        </is>
      </c>
      <c r="G225" t="n">
        <v>3.1</v>
      </c>
      <c r="H225" t="n">
        <v>0</v>
      </c>
      <c r="I225" t="n">
        <v>0</v>
      </c>
      <c r="J225" t="n">
        <v>0</v>
      </c>
      <c r="K225" t="n">
        <v>0</v>
      </c>
      <c r="L225" t="n">
        <v>0</v>
      </c>
      <c r="M225" t="n">
        <v>0</v>
      </c>
      <c r="N225" t="n">
        <v>0</v>
      </c>
      <c r="O225" t="n">
        <v>0</v>
      </c>
      <c r="P225" t="n">
        <v>0</v>
      </c>
      <c r="Q225" t="n">
        <v>0</v>
      </c>
      <c r="R225" s="2" t="inlineStr"/>
    </row>
    <row r="226" ht="15" customHeight="1">
      <c r="A226" t="inlineStr">
        <is>
          <t>A 42443-2020</t>
        </is>
      </c>
      <c r="B226" s="1" t="n">
        <v>44074</v>
      </c>
      <c r="C226" s="1" t="n">
        <v>45831</v>
      </c>
      <c r="D226" t="inlineStr">
        <is>
          <t>VÄSTERNORRLANDS LÄN</t>
        </is>
      </c>
      <c r="E226" t="inlineStr">
        <is>
          <t>TIMRÅ</t>
        </is>
      </c>
      <c r="G226" t="n">
        <v>1.5</v>
      </c>
      <c r="H226" t="n">
        <v>0</v>
      </c>
      <c r="I226" t="n">
        <v>0</v>
      </c>
      <c r="J226" t="n">
        <v>0</v>
      </c>
      <c r="K226" t="n">
        <v>0</v>
      </c>
      <c r="L226" t="n">
        <v>0</v>
      </c>
      <c r="M226" t="n">
        <v>0</v>
      </c>
      <c r="N226" t="n">
        <v>0</v>
      </c>
      <c r="O226" t="n">
        <v>0</v>
      </c>
      <c r="P226" t="n">
        <v>0</v>
      </c>
      <c r="Q226" t="n">
        <v>0</v>
      </c>
      <c r="R226" s="2" t="inlineStr"/>
    </row>
    <row r="227" ht="15" customHeight="1">
      <c r="A227" t="inlineStr">
        <is>
          <t>A 44503-2020</t>
        </is>
      </c>
      <c r="B227" s="1" t="n">
        <v>44084</v>
      </c>
      <c r="C227" s="1" t="n">
        <v>45831</v>
      </c>
      <c r="D227" t="inlineStr">
        <is>
          <t>VÄSTERNORRLANDS LÄN</t>
        </is>
      </c>
      <c r="E227" t="inlineStr">
        <is>
          <t>TIMRÅ</t>
        </is>
      </c>
      <c r="F227" t="inlineStr">
        <is>
          <t>SCA</t>
        </is>
      </c>
      <c r="G227" t="n">
        <v>7.4</v>
      </c>
      <c r="H227" t="n">
        <v>0</v>
      </c>
      <c r="I227" t="n">
        <v>0</v>
      </c>
      <c r="J227" t="n">
        <v>0</v>
      </c>
      <c r="K227" t="n">
        <v>0</v>
      </c>
      <c r="L227" t="n">
        <v>0</v>
      </c>
      <c r="M227" t="n">
        <v>0</v>
      </c>
      <c r="N227" t="n">
        <v>0</v>
      </c>
      <c r="O227" t="n">
        <v>0</v>
      </c>
      <c r="P227" t="n">
        <v>0</v>
      </c>
      <c r="Q227" t="n">
        <v>0</v>
      </c>
      <c r="R227" s="2" t="inlineStr"/>
    </row>
    <row r="228" ht="15" customHeight="1">
      <c r="A228" t="inlineStr">
        <is>
          <t>A 48574-2020</t>
        </is>
      </c>
      <c r="B228" s="1" t="n">
        <v>44103</v>
      </c>
      <c r="C228" s="1" t="n">
        <v>45831</v>
      </c>
      <c r="D228" t="inlineStr">
        <is>
          <t>VÄSTERNORRLANDS LÄN</t>
        </is>
      </c>
      <c r="E228" t="inlineStr">
        <is>
          <t>TIMRÅ</t>
        </is>
      </c>
      <c r="G228" t="n">
        <v>1.1</v>
      </c>
      <c r="H228" t="n">
        <v>0</v>
      </c>
      <c r="I228" t="n">
        <v>0</v>
      </c>
      <c r="J228" t="n">
        <v>0</v>
      </c>
      <c r="K228" t="n">
        <v>0</v>
      </c>
      <c r="L228" t="n">
        <v>0</v>
      </c>
      <c r="M228" t="n">
        <v>0</v>
      </c>
      <c r="N228" t="n">
        <v>0</v>
      </c>
      <c r="O228" t="n">
        <v>0</v>
      </c>
      <c r="P228" t="n">
        <v>0</v>
      </c>
      <c r="Q228" t="n">
        <v>0</v>
      </c>
      <c r="R228" s="2" t="inlineStr"/>
    </row>
    <row r="229" ht="15" customHeight="1">
      <c r="A229" t="inlineStr">
        <is>
          <t>A 50162-2020</t>
        </is>
      </c>
      <c r="B229" s="1" t="n">
        <v>44104</v>
      </c>
      <c r="C229" s="1" t="n">
        <v>45831</v>
      </c>
      <c r="D229" t="inlineStr">
        <is>
          <t>VÄSTERNORRLANDS LÄN</t>
        </is>
      </c>
      <c r="E229" t="inlineStr">
        <is>
          <t>TIMRÅ</t>
        </is>
      </c>
      <c r="G229" t="n">
        <v>6</v>
      </c>
      <c r="H229" t="n">
        <v>0</v>
      </c>
      <c r="I229" t="n">
        <v>0</v>
      </c>
      <c r="J229" t="n">
        <v>0</v>
      </c>
      <c r="K229" t="n">
        <v>0</v>
      </c>
      <c r="L229" t="n">
        <v>0</v>
      </c>
      <c r="M229" t="n">
        <v>0</v>
      </c>
      <c r="N229" t="n">
        <v>0</v>
      </c>
      <c r="O229" t="n">
        <v>0</v>
      </c>
      <c r="P229" t="n">
        <v>0</v>
      </c>
      <c r="Q229" t="n">
        <v>0</v>
      </c>
      <c r="R229" s="2" t="inlineStr"/>
    </row>
    <row r="230" ht="15" customHeight="1">
      <c r="A230" t="inlineStr">
        <is>
          <t>A 51330-2020</t>
        </is>
      </c>
      <c r="B230" s="1" t="n">
        <v>44112</v>
      </c>
      <c r="C230" s="1" t="n">
        <v>45831</v>
      </c>
      <c r="D230" t="inlineStr">
        <is>
          <t>VÄSTERNORRLANDS LÄN</t>
        </is>
      </c>
      <c r="E230" t="inlineStr">
        <is>
          <t>TIMRÅ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53254-2020</t>
        </is>
      </c>
      <c r="B231" s="1" t="n">
        <v>44123</v>
      </c>
      <c r="C231" s="1" t="n">
        <v>45831</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54946-2020</t>
        </is>
      </c>
      <c r="B232" s="1" t="n">
        <v>44129</v>
      </c>
      <c r="C232" s="1" t="n">
        <v>45831</v>
      </c>
      <c r="D232" t="inlineStr">
        <is>
          <t>VÄSTERNORRLANDS LÄN</t>
        </is>
      </c>
      <c r="E232" t="inlineStr">
        <is>
          <t>TIMRÅ</t>
        </is>
      </c>
      <c r="G232" t="n">
        <v>0.5</v>
      </c>
      <c r="H232" t="n">
        <v>0</v>
      </c>
      <c r="I232" t="n">
        <v>0</v>
      </c>
      <c r="J232" t="n">
        <v>0</v>
      </c>
      <c r="K232" t="n">
        <v>0</v>
      </c>
      <c r="L232" t="n">
        <v>0</v>
      </c>
      <c r="M232" t="n">
        <v>0</v>
      </c>
      <c r="N232" t="n">
        <v>0</v>
      </c>
      <c r="O232" t="n">
        <v>0</v>
      </c>
      <c r="P232" t="n">
        <v>0</v>
      </c>
      <c r="Q232" t="n">
        <v>0</v>
      </c>
      <c r="R232" s="2" t="inlineStr"/>
    </row>
    <row r="233" ht="15" customHeight="1">
      <c r="A233" t="inlineStr">
        <is>
          <t>A 57007-2020</t>
        </is>
      </c>
      <c r="B233" s="1" t="n">
        <v>44137</v>
      </c>
      <c r="C233" s="1" t="n">
        <v>45831</v>
      </c>
      <c r="D233" t="inlineStr">
        <is>
          <t>VÄSTERNORRLANDS LÄN</t>
        </is>
      </c>
      <c r="E233" t="inlineStr">
        <is>
          <t>TIMRÅ</t>
        </is>
      </c>
      <c r="G233" t="n">
        <v>4.1</v>
      </c>
      <c r="H233" t="n">
        <v>0</v>
      </c>
      <c r="I233" t="n">
        <v>0</v>
      </c>
      <c r="J233" t="n">
        <v>0</v>
      </c>
      <c r="K233" t="n">
        <v>0</v>
      </c>
      <c r="L233" t="n">
        <v>0</v>
      </c>
      <c r="M233" t="n">
        <v>0</v>
      </c>
      <c r="N233" t="n">
        <v>0</v>
      </c>
      <c r="O233" t="n">
        <v>0</v>
      </c>
      <c r="P233" t="n">
        <v>0</v>
      </c>
      <c r="Q233" t="n">
        <v>0</v>
      </c>
      <c r="R233" s="2" t="inlineStr"/>
    </row>
    <row r="234" ht="15" customHeight="1">
      <c r="A234" t="inlineStr">
        <is>
          <t>A 61730-2020</t>
        </is>
      </c>
      <c r="B234" s="1" t="n">
        <v>44158</v>
      </c>
      <c r="C234" s="1" t="n">
        <v>45831</v>
      </c>
      <c r="D234" t="inlineStr">
        <is>
          <t>VÄSTERNORRLANDS LÄN</t>
        </is>
      </c>
      <c r="E234" t="inlineStr">
        <is>
          <t>TIMRÅ</t>
        </is>
      </c>
      <c r="G234" t="n">
        <v>2.8</v>
      </c>
      <c r="H234" t="n">
        <v>0</v>
      </c>
      <c r="I234" t="n">
        <v>0</v>
      </c>
      <c r="J234" t="n">
        <v>0</v>
      </c>
      <c r="K234" t="n">
        <v>0</v>
      </c>
      <c r="L234" t="n">
        <v>0</v>
      </c>
      <c r="M234" t="n">
        <v>0</v>
      </c>
      <c r="N234" t="n">
        <v>0</v>
      </c>
      <c r="O234" t="n">
        <v>0</v>
      </c>
      <c r="P234" t="n">
        <v>0</v>
      </c>
      <c r="Q234" t="n">
        <v>0</v>
      </c>
      <c r="R234" s="2" t="inlineStr"/>
    </row>
    <row r="235" ht="15" customHeight="1">
      <c r="A235" t="inlineStr">
        <is>
          <t>A 63960-2020</t>
        </is>
      </c>
      <c r="B235" s="1" t="n">
        <v>44165</v>
      </c>
      <c r="C235" s="1" t="n">
        <v>45831</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63927-2020</t>
        </is>
      </c>
      <c r="B236" s="1" t="n">
        <v>44166</v>
      </c>
      <c r="C236" s="1" t="n">
        <v>45831</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64571-2020</t>
        </is>
      </c>
      <c r="B237" s="1" t="n">
        <v>44166</v>
      </c>
      <c r="C237" s="1" t="n">
        <v>45831</v>
      </c>
      <c r="D237" t="inlineStr">
        <is>
          <t>VÄSTERNORRLANDS LÄN</t>
        </is>
      </c>
      <c r="E237" t="inlineStr">
        <is>
          <t>TIMRÅ</t>
        </is>
      </c>
      <c r="G237" t="n">
        <v>0.8</v>
      </c>
      <c r="H237" t="n">
        <v>0</v>
      </c>
      <c r="I237" t="n">
        <v>0</v>
      </c>
      <c r="J237" t="n">
        <v>0</v>
      </c>
      <c r="K237" t="n">
        <v>0</v>
      </c>
      <c r="L237" t="n">
        <v>0</v>
      </c>
      <c r="M237" t="n">
        <v>0</v>
      </c>
      <c r="N237" t="n">
        <v>0</v>
      </c>
      <c r="O237" t="n">
        <v>0</v>
      </c>
      <c r="P237" t="n">
        <v>0</v>
      </c>
      <c r="Q237" t="n">
        <v>0</v>
      </c>
      <c r="R237" s="2" t="inlineStr"/>
    </row>
    <row r="238" ht="15" customHeight="1">
      <c r="A238" t="inlineStr">
        <is>
          <t>A 65001-2020</t>
        </is>
      </c>
      <c r="B238" s="1" t="n">
        <v>44167</v>
      </c>
      <c r="C238" s="1" t="n">
        <v>45831</v>
      </c>
      <c r="D238" t="inlineStr">
        <is>
          <t>VÄSTERNORRLANDS LÄN</t>
        </is>
      </c>
      <c r="E238" t="inlineStr">
        <is>
          <t>TIMRÅ</t>
        </is>
      </c>
      <c r="G238" t="n">
        <v>3.3</v>
      </c>
      <c r="H238" t="n">
        <v>0</v>
      </c>
      <c r="I238" t="n">
        <v>0</v>
      </c>
      <c r="J238" t="n">
        <v>0</v>
      </c>
      <c r="K238" t="n">
        <v>0</v>
      </c>
      <c r="L238" t="n">
        <v>0</v>
      </c>
      <c r="M238" t="n">
        <v>0</v>
      </c>
      <c r="N238" t="n">
        <v>0</v>
      </c>
      <c r="O238" t="n">
        <v>0</v>
      </c>
      <c r="P238" t="n">
        <v>0</v>
      </c>
      <c r="Q238" t="n">
        <v>0</v>
      </c>
      <c r="R238" s="2" t="inlineStr"/>
    </row>
    <row r="239" ht="15" customHeight="1">
      <c r="A239" t="inlineStr">
        <is>
          <t>A 66837-2020</t>
        </is>
      </c>
      <c r="B239" s="1" t="n">
        <v>44179</v>
      </c>
      <c r="C239" s="1" t="n">
        <v>45831</v>
      </c>
      <c r="D239" t="inlineStr">
        <is>
          <t>VÄSTERNORRLANDS LÄN</t>
        </is>
      </c>
      <c r="E239" t="inlineStr">
        <is>
          <t>TIMRÅ</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67610-2020</t>
        </is>
      </c>
      <c r="B240" s="1" t="n">
        <v>44181</v>
      </c>
      <c r="C240" s="1" t="n">
        <v>45831</v>
      </c>
      <c r="D240" t="inlineStr">
        <is>
          <t>VÄSTERNORRLANDS LÄN</t>
        </is>
      </c>
      <c r="E240" t="inlineStr">
        <is>
          <t>TIMRÅ</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69203-2020</t>
        </is>
      </c>
      <c r="B241" s="1" t="n">
        <v>44191</v>
      </c>
      <c r="C241" s="1" t="n">
        <v>45831</v>
      </c>
      <c r="D241" t="inlineStr">
        <is>
          <t>VÄSTERNORRLANDS LÄN</t>
        </is>
      </c>
      <c r="E241" t="inlineStr">
        <is>
          <t>TIMRÅ</t>
        </is>
      </c>
      <c r="F241" t="inlineStr">
        <is>
          <t>SCA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731-2021</t>
        </is>
      </c>
      <c r="B242" s="1" t="n">
        <v>44203</v>
      </c>
      <c r="C242" s="1" t="n">
        <v>45831</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1555-2021</t>
        </is>
      </c>
      <c r="B243" s="1" t="n">
        <v>44209</v>
      </c>
      <c r="C243" s="1" t="n">
        <v>45831</v>
      </c>
      <c r="D243" t="inlineStr">
        <is>
          <t>VÄSTERNORRLANDS LÄN</t>
        </is>
      </c>
      <c r="E243" t="inlineStr">
        <is>
          <t>TIMRÅ</t>
        </is>
      </c>
      <c r="G243" t="n">
        <v>2.9</v>
      </c>
      <c r="H243" t="n">
        <v>0</v>
      </c>
      <c r="I243" t="n">
        <v>0</v>
      </c>
      <c r="J243" t="n">
        <v>0</v>
      </c>
      <c r="K243" t="n">
        <v>0</v>
      </c>
      <c r="L243" t="n">
        <v>0</v>
      </c>
      <c r="M243" t="n">
        <v>0</v>
      </c>
      <c r="N243" t="n">
        <v>0</v>
      </c>
      <c r="O243" t="n">
        <v>0</v>
      </c>
      <c r="P243" t="n">
        <v>0</v>
      </c>
      <c r="Q243" t="n">
        <v>0</v>
      </c>
      <c r="R243" s="2" t="inlineStr"/>
    </row>
    <row r="244" ht="15" customHeight="1">
      <c r="A244" t="inlineStr">
        <is>
          <t>A 1559-2021</t>
        </is>
      </c>
      <c r="B244" s="1" t="n">
        <v>44209</v>
      </c>
      <c r="C244" s="1" t="n">
        <v>45831</v>
      </c>
      <c r="D244" t="inlineStr">
        <is>
          <t>VÄSTERNORRLANDS LÄN</t>
        </is>
      </c>
      <c r="E244" t="inlineStr">
        <is>
          <t>TIMRÅ</t>
        </is>
      </c>
      <c r="G244" t="n">
        <v>6.7</v>
      </c>
      <c r="H244" t="n">
        <v>0</v>
      </c>
      <c r="I244" t="n">
        <v>0</v>
      </c>
      <c r="J244" t="n">
        <v>0</v>
      </c>
      <c r="K244" t="n">
        <v>0</v>
      </c>
      <c r="L244" t="n">
        <v>0</v>
      </c>
      <c r="M244" t="n">
        <v>0</v>
      </c>
      <c r="N244" t="n">
        <v>0</v>
      </c>
      <c r="O244" t="n">
        <v>0</v>
      </c>
      <c r="P244" t="n">
        <v>0</v>
      </c>
      <c r="Q244" t="n">
        <v>0</v>
      </c>
      <c r="R244" s="2" t="inlineStr"/>
    </row>
    <row r="245" ht="15" customHeight="1">
      <c r="A245" t="inlineStr">
        <is>
          <t>A 2284-2021</t>
        </is>
      </c>
      <c r="B245" s="1" t="n">
        <v>44211</v>
      </c>
      <c r="C245" s="1" t="n">
        <v>45831</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7367-2021</t>
        </is>
      </c>
      <c r="B246" s="1" t="n">
        <v>44237</v>
      </c>
      <c r="C246" s="1" t="n">
        <v>45831</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9472-2021</t>
        </is>
      </c>
      <c r="B247" s="1" t="n">
        <v>44250</v>
      </c>
      <c r="C247" s="1" t="n">
        <v>45831</v>
      </c>
      <c r="D247" t="inlineStr">
        <is>
          <t>VÄSTERNORRLANDS LÄN</t>
        </is>
      </c>
      <c r="E247" t="inlineStr">
        <is>
          <t>TIMRÅ</t>
        </is>
      </c>
      <c r="G247" t="n">
        <v>4</v>
      </c>
      <c r="H247" t="n">
        <v>0</v>
      </c>
      <c r="I247" t="n">
        <v>0</v>
      </c>
      <c r="J247" t="n">
        <v>0</v>
      </c>
      <c r="K247" t="n">
        <v>0</v>
      </c>
      <c r="L247" t="n">
        <v>0</v>
      </c>
      <c r="M247" t="n">
        <v>0</v>
      </c>
      <c r="N247" t="n">
        <v>0</v>
      </c>
      <c r="O247" t="n">
        <v>0</v>
      </c>
      <c r="P247" t="n">
        <v>0</v>
      </c>
      <c r="Q247" t="n">
        <v>0</v>
      </c>
      <c r="R247" s="2" t="inlineStr"/>
    </row>
    <row r="248" ht="15" customHeight="1">
      <c r="A248" t="inlineStr">
        <is>
          <t>A 9503-2021</t>
        </is>
      </c>
      <c r="B248" s="1" t="n">
        <v>44250</v>
      </c>
      <c r="C248" s="1" t="n">
        <v>45831</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9480-2021</t>
        </is>
      </c>
      <c r="B249" s="1" t="n">
        <v>44250</v>
      </c>
      <c r="C249" s="1" t="n">
        <v>45831</v>
      </c>
      <c r="D249" t="inlineStr">
        <is>
          <t>VÄSTERNORRLANDS LÄN</t>
        </is>
      </c>
      <c r="E249" t="inlineStr">
        <is>
          <t>TIMRÅ</t>
        </is>
      </c>
      <c r="G249" t="n">
        <v>2.7</v>
      </c>
      <c r="H249" t="n">
        <v>0</v>
      </c>
      <c r="I249" t="n">
        <v>0</v>
      </c>
      <c r="J249" t="n">
        <v>0</v>
      </c>
      <c r="K249" t="n">
        <v>0</v>
      </c>
      <c r="L249" t="n">
        <v>0</v>
      </c>
      <c r="M249" t="n">
        <v>0</v>
      </c>
      <c r="N249" t="n">
        <v>0</v>
      </c>
      <c r="O249" t="n">
        <v>0</v>
      </c>
      <c r="P249" t="n">
        <v>0</v>
      </c>
      <c r="Q249" t="n">
        <v>0</v>
      </c>
      <c r="R249" s="2" t="inlineStr"/>
    </row>
    <row r="250" ht="15" customHeight="1">
      <c r="A250" t="inlineStr">
        <is>
          <t>A 20487-2021</t>
        </is>
      </c>
      <c r="B250" s="1" t="n">
        <v>44315</v>
      </c>
      <c r="C250" s="1" t="n">
        <v>45831</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20732-2021</t>
        </is>
      </c>
      <c r="B251" s="1" t="n">
        <v>44316</v>
      </c>
      <c r="C251" s="1" t="n">
        <v>45831</v>
      </c>
      <c r="D251" t="inlineStr">
        <is>
          <t>VÄSTERNORRLANDS LÄN</t>
        </is>
      </c>
      <c r="E251" t="inlineStr">
        <is>
          <t>TIMRÅ</t>
        </is>
      </c>
      <c r="G251" t="n">
        <v>3.8</v>
      </c>
      <c r="H251" t="n">
        <v>0</v>
      </c>
      <c r="I251" t="n">
        <v>0</v>
      </c>
      <c r="J251" t="n">
        <v>0</v>
      </c>
      <c r="K251" t="n">
        <v>0</v>
      </c>
      <c r="L251" t="n">
        <v>0</v>
      </c>
      <c r="M251" t="n">
        <v>0</v>
      </c>
      <c r="N251" t="n">
        <v>0</v>
      </c>
      <c r="O251" t="n">
        <v>0</v>
      </c>
      <c r="P251" t="n">
        <v>0</v>
      </c>
      <c r="Q251" t="n">
        <v>0</v>
      </c>
      <c r="R251" s="2" t="inlineStr"/>
    </row>
    <row r="252" ht="15" customHeight="1">
      <c r="A252" t="inlineStr">
        <is>
          <t>A 23611-2021</t>
        </is>
      </c>
      <c r="B252" s="1" t="n">
        <v>44334</v>
      </c>
      <c r="C252" s="1" t="n">
        <v>45831</v>
      </c>
      <c r="D252" t="inlineStr">
        <is>
          <t>VÄSTERNORRLANDS LÄN</t>
        </is>
      </c>
      <c r="E252" t="inlineStr">
        <is>
          <t>TIMRÅ</t>
        </is>
      </c>
      <c r="G252" t="n">
        <v>13.7</v>
      </c>
      <c r="H252" t="n">
        <v>0</v>
      </c>
      <c r="I252" t="n">
        <v>0</v>
      </c>
      <c r="J252" t="n">
        <v>0</v>
      </c>
      <c r="K252" t="n">
        <v>0</v>
      </c>
      <c r="L252" t="n">
        <v>0</v>
      </c>
      <c r="M252" t="n">
        <v>0</v>
      </c>
      <c r="N252" t="n">
        <v>0</v>
      </c>
      <c r="O252" t="n">
        <v>0</v>
      </c>
      <c r="P252" t="n">
        <v>0</v>
      </c>
      <c r="Q252" t="n">
        <v>0</v>
      </c>
      <c r="R252" s="2" t="inlineStr"/>
    </row>
    <row r="253" ht="15" customHeight="1">
      <c r="A253" t="inlineStr">
        <is>
          <t>A 24513-2021</t>
        </is>
      </c>
      <c r="B253" s="1" t="n">
        <v>44338</v>
      </c>
      <c r="C253" s="1" t="n">
        <v>45831</v>
      </c>
      <c r="D253" t="inlineStr">
        <is>
          <t>VÄSTERNORRLANDS LÄN</t>
        </is>
      </c>
      <c r="E253" t="inlineStr">
        <is>
          <t>TIMRÅ</t>
        </is>
      </c>
      <c r="G253" t="n">
        <v>2.6</v>
      </c>
      <c r="H253" t="n">
        <v>0</v>
      </c>
      <c r="I253" t="n">
        <v>0</v>
      </c>
      <c r="J253" t="n">
        <v>0</v>
      </c>
      <c r="K253" t="n">
        <v>0</v>
      </c>
      <c r="L253" t="n">
        <v>0</v>
      </c>
      <c r="M253" t="n">
        <v>0</v>
      </c>
      <c r="N253" t="n">
        <v>0</v>
      </c>
      <c r="O253" t="n">
        <v>0</v>
      </c>
      <c r="P253" t="n">
        <v>0</v>
      </c>
      <c r="Q253" t="n">
        <v>0</v>
      </c>
      <c r="R253" s="2" t="inlineStr"/>
    </row>
    <row r="254" ht="15" customHeight="1">
      <c r="A254" t="inlineStr">
        <is>
          <t>A 26588-2021</t>
        </is>
      </c>
      <c r="B254" s="1" t="n">
        <v>44348</v>
      </c>
      <c r="C254" s="1" t="n">
        <v>45831</v>
      </c>
      <c r="D254" t="inlineStr">
        <is>
          <t>VÄSTERNORRLANDS LÄN</t>
        </is>
      </c>
      <c r="E254" t="inlineStr">
        <is>
          <t>TIMRÅ</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26921-2021</t>
        </is>
      </c>
      <c r="B255" s="1" t="n">
        <v>44349</v>
      </c>
      <c r="C255" s="1" t="n">
        <v>45831</v>
      </c>
      <c r="D255" t="inlineStr">
        <is>
          <t>VÄSTERNORRLANDS LÄN</t>
        </is>
      </c>
      <c r="E255" t="inlineStr">
        <is>
          <t>TIMRÅ</t>
        </is>
      </c>
      <c r="G255" t="n">
        <v>6.6</v>
      </c>
      <c r="H255" t="n">
        <v>0</v>
      </c>
      <c r="I255" t="n">
        <v>0</v>
      </c>
      <c r="J255" t="n">
        <v>0</v>
      </c>
      <c r="K255" t="n">
        <v>0</v>
      </c>
      <c r="L255" t="n">
        <v>0</v>
      </c>
      <c r="M255" t="n">
        <v>0</v>
      </c>
      <c r="N255" t="n">
        <v>0</v>
      </c>
      <c r="O255" t="n">
        <v>0</v>
      </c>
      <c r="P255" t="n">
        <v>0</v>
      </c>
      <c r="Q255" t="n">
        <v>0</v>
      </c>
      <c r="R255" s="2" t="inlineStr"/>
    </row>
    <row r="256" ht="15" customHeight="1">
      <c r="A256" t="inlineStr">
        <is>
          <t>A 26936-2021</t>
        </is>
      </c>
      <c r="B256" s="1" t="n">
        <v>44349</v>
      </c>
      <c r="C256" s="1" t="n">
        <v>45831</v>
      </c>
      <c r="D256" t="inlineStr">
        <is>
          <t>VÄSTERNORRLANDS LÄN</t>
        </is>
      </c>
      <c r="E256" t="inlineStr">
        <is>
          <t>TIMRÅ</t>
        </is>
      </c>
      <c r="G256" t="n">
        <v>4.1</v>
      </c>
      <c r="H256" t="n">
        <v>0</v>
      </c>
      <c r="I256" t="n">
        <v>0</v>
      </c>
      <c r="J256" t="n">
        <v>0</v>
      </c>
      <c r="K256" t="n">
        <v>0</v>
      </c>
      <c r="L256" t="n">
        <v>0</v>
      </c>
      <c r="M256" t="n">
        <v>0</v>
      </c>
      <c r="N256" t="n">
        <v>0</v>
      </c>
      <c r="O256" t="n">
        <v>0</v>
      </c>
      <c r="P256" t="n">
        <v>0</v>
      </c>
      <c r="Q256" t="n">
        <v>0</v>
      </c>
      <c r="R256" s="2" t="inlineStr"/>
    </row>
    <row r="257" ht="15" customHeight="1">
      <c r="A257" t="inlineStr">
        <is>
          <t>A 27243-2021</t>
        </is>
      </c>
      <c r="B257" s="1" t="n">
        <v>44350</v>
      </c>
      <c r="C257" s="1" t="n">
        <v>45831</v>
      </c>
      <c r="D257" t="inlineStr">
        <is>
          <t>VÄSTERNORRLANDS LÄN</t>
        </is>
      </c>
      <c r="E257" t="inlineStr">
        <is>
          <t>TIMRÅ</t>
        </is>
      </c>
      <c r="G257" t="n">
        <v>1.4</v>
      </c>
      <c r="H257" t="n">
        <v>0</v>
      </c>
      <c r="I257" t="n">
        <v>0</v>
      </c>
      <c r="J257" t="n">
        <v>0</v>
      </c>
      <c r="K257" t="n">
        <v>0</v>
      </c>
      <c r="L257" t="n">
        <v>0</v>
      </c>
      <c r="M257" t="n">
        <v>0</v>
      </c>
      <c r="N257" t="n">
        <v>0</v>
      </c>
      <c r="O257" t="n">
        <v>0</v>
      </c>
      <c r="P257" t="n">
        <v>0</v>
      </c>
      <c r="Q257" t="n">
        <v>0</v>
      </c>
      <c r="R257" s="2" t="inlineStr"/>
    </row>
    <row r="258" ht="15" customHeight="1">
      <c r="A258" t="inlineStr">
        <is>
          <t>A 28695-2021</t>
        </is>
      </c>
      <c r="B258" s="1" t="n">
        <v>44357</v>
      </c>
      <c r="C258" s="1" t="n">
        <v>45831</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28706-2021</t>
        </is>
      </c>
      <c r="B259" s="1" t="n">
        <v>44357</v>
      </c>
      <c r="C259" s="1" t="n">
        <v>45831</v>
      </c>
      <c r="D259" t="inlineStr">
        <is>
          <t>VÄSTERNORRLANDS LÄN</t>
        </is>
      </c>
      <c r="E259" t="inlineStr">
        <is>
          <t>TIMRÅ</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28650-2021</t>
        </is>
      </c>
      <c r="B260" s="1" t="n">
        <v>44357</v>
      </c>
      <c r="C260" s="1" t="n">
        <v>45831</v>
      </c>
      <c r="D260" t="inlineStr">
        <is>
          <t>VÄSTERNORRLANDS LÄN</t>
        </is>
      </c>
      <c r="E260" t="inlineStr">
        <is>
          <t>TIMRÅ</t>
        </is>
      </c>
      <c r="G260" t="n">
        <v>1.7</v>
      </c>
      <c r="H260" t="n">
        <v>0</v>
      </c>
      <c r="I260" t="n">
        <v>0</v>
      </c>
      <c r="J260" t="n">
        <v>0</v>
      </c>
      <c r="K260" t="n">
        <v>0</v>
      </c>
      <c r="L260" t="n">
        <v>0</v>
      </c>
      <c r="M260" t="n">
        <v>0</v>
      </c>
      <c r="N260" t="n">
        <v>0</v>
      </c>
      <c r="O260" t="n">
        <v>0</v>
      </c>
      <c r="P260" t="n">
        <v>0</v>
      </c>
      <c r="Q260" t="n">
        <v>0</v>
      </c>
      <c r="R260" s="2" t="inlineStr"/>
    </row>
    <row r="261" ht="15" customHeight="1">
      <c r="A261" t="inlineStr">
        <is>
          <t>A 28702-2021</t>
        </is>
      </c>
      <c r="B261" s="1" t="n">
        <v>44357</v>
      </c>
      <c r="C261" s="1" t="n">
        <v>45831</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30098-2021</t>
        </is>
      </c>
      <c r="B262" s="1" t="n">
        <v>44363</v>
      </c>
      <c r="C262" s="1" t="n">
        <v>45831</v>
      </c>
      <c r="D262" t="inlineStr">
        <is>
          <t>VÄSTERNORRLANDS LÄN</t>
        </is>
      </c>
      <c r="E262" t="inlineStr">
        <is>
          <t>TIMRÅ</t>
        </is>
      </c>
      <c r="G262" t="n">
        <v>6.1</v>
      </c>
      <c r="H262" t="n">
        <v>0</v>
      </c>
      <c r="I262" t="n">
        <v>0</v>
      </c>
      <c r="J262" t="n">
        <v>0</v>
      </c>
      <c r="K262" t="n">
        <v>0</v>
      </c>
      <c r="L262" t="n">
        <v>0</v>
      </c>
      <c r="M262" t="n">
        <v>0</v>
      </c>
      <c r="N262" t="n">
        <v>0</v>
      </c>
      <c r="O262" t="n">
        <v>0</v>
      </c>
      <c r="P262" t="n">
        <v>0</v>
      </c>
      <c r="Q262" t="n">
        <v>0</v>
      </c>
      <c r="R262" s="2" t="inlineStr"/>
    </row>
    <row r="263" ht="15" customHeight="1">
      <c r="A263" t="inlineStr">
        <is>
          <t>A 30091-2021</t>
        </is>
      </c>
      <c r="B263" s="1" t="n">
        <v>44363</v>
      </c>
      <c r="C263" s="1" t="n">
        <v>45831</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30591-2021</t>
        </is>
      </c>
      <c r="B264" s="1" t="n">
        <v>44364</v>
      </c>
      <c r="C264" s="1" t="n">
        <v>45831</v>
      </c>
      <c r="D264" t="inlineStr">
        <is>
          <t>VÄSTERNORRLANDS LÄN</t>
        </is>
      </c>
      <c r="E264" t="inlineStr">
        <is>
          <t>TIMRÅ</t>
        </is>
      </c>
      <c r="G264" t="n">
        <v>0.8</v>
      </c>
      <c r="H264" t="n">
        <v>0</v>
      </c>
      <c r="I264" t="n">
        <v>0</v>
      </c>
      <c r="J264" t="n">
        <v>0</v>
      </c>
      <c r="K264" t="n">
        <v>0</v>
      </c>
      <c r="L264" t="n">
        <v>0</v>
      </c>
      <c r="M264" t="n">
        <v>0</v>
      </c>
      <c r="N264" t="n">
        <v>0</v>
      </c>
      <c r="O264" t="n">
        <v>0</v>
      </c>
      <c r="P264" t="n">
        <v>0</v>
      </c>
      <c r="Q264" t="n">
        <v>0</v>
      </c>
      <c r="R264" s="2" t="inlineStr"/>
    </row>
    <row r="265" ht="15" customHeight="1">
      <c r="A265" t="inlineStr">
        <is>
          <t>A 32287-2021</t>
        </is>
      </c>
      <c r="B265" s="1" t="n">
        <v>44371</v>
      </c>
      <c r="C265" s="1" t="n">
        <v>45831</v>
      </c>
      <c r="D265" t="inlineStr">
        <is>
          <t>VÄSTERNORRLANDS LÄN</t>
        </is>
      </c>
      <c r="E265" t="inlineStr">
        <is>
          <t>TIMRÅ</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32210-2021</t>
        </is>
      </c>
      <c r="B266" s="1" t="n">
        <v>44371</v>
      </c>
      <c r="C266" s="1" t="n">
        <v>45831</v>
      </c>
      <c r="D266" t="inlineStr">
        <is>
          <t>VÄSTERNORRLANDS LÄN</t>
        </is>
      </c>
      <c r="E266" t="inlineStr">
        <is>
          <t>TIMRÅ</t>
        </is>
      </c>
      <c r="G266" t="n">
        <v>4.9</v>
      </c>
      <c r="H266" t="n">
        <v>0</v>
      </c>
      <c r="I266" t="n">
        <v>0</v>
      </c>
      <c r="J266" t="n">
        <v>0</v>
      </c>
      <c r="K266" t="n">
        <v>0</v>
      </c>
      <c r="L266" t="n">
        <v>0</v>
      </c>
      <c r="M266" t="n">
        <v>0</v>
      </c>
      <c r="N266" t="n">
        <v>0</v>
      </c>
      <c r="O266" t="n">
        <v>0</v>
      </c>
      <c r="P266" t="n">
        <v>0</v>
      </c>
      <c r="Q266" t="n">
        <v>0</v>
      </c>
      <c r="R266" s="2" t="inlineStr"/>
    </row>
    <row r="267" ht="15" customHeight="1">
      <c r="A267" t="inlineStr">
        <is>
          <t>A 32484-2021</t>
        </is>
      </c>
      <c r="B267" s="1" t="n">
        <v>44371</v>
      </c>
      <c r="C267" s="1" t="n">
        <v>45831</v>
      </c>
      <c r="D267" t="inlineStr">
        <is>
          <t>VÄSTERNORRLANDS LÄN</t>
        </is>
      </c>
      <c r="E267" t="inlineStr">
        <is>
          <t>TIMRÅ</t>
        </is>
      </c>
      <c r="F267" t="inlineStr">
        <is>
          <t>SCA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32487-2021</t>
        </is>
      </c>
      <c r="B268" s="1" t="n">
        <v>44371</v>
      </c>
      <c r="C268" s="1" t="n">
        <v>45831</v>
      </c>
      <c r="D268" t="inlineStr">
        <is>
          <t>VÄSTERNORRLANDS LÄN</t>
        </is>
      </c>
      <c r="E268" t="inlineStr">
        <is>
          <t>TIMRÅ</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32483-2021</t>
        </is>
      </c>
      <c r="B269" s="1" t="n">
        <v>44371</v>
      </c>
      <c r="C269" s="1" t="n">
        <v>45831</v>
      </c>
      <c r="D269" t="inlineStr">
        <is>
          <t>VÄSTERNORRLANDS LÄN</t>
        </is>
      </c>
      <c r="E269" t="inlineStr">
        <is>
          <t>TIMRÅ</t>
        </is>
      </c>
      <c r="F269" t="inlineStr">
        <is>
          <t>Kyrkan</t>
        </is>
      </c>
      <c r="G269" t="n">
        <v>6.3</v>
      </c>
      <c r="H269" t="n">
        <v>0</v>
      </c>
      <c r="I269" t="n">
        <v>0</v>
      </c>
      <c r="J269" t="n">
        <v>0</v>
      </c>
      <c r="K269" t="n">
        <v>0</v>
      </c>
      <c r="L269" t="n">
        <v>0</v>
      </c>
      <c r="M269" t="n">
        <v>0</v>
      </c>
      <c r="N269" t="n">
        <v>0</v>
      </c>
      <c r="O269" t="n">
        <v>0</v>
      </c>
      <c r="P269" t="n">
        <v>0</v>
      </c>
      <c r="Q269" t="n">
        <v>0</v>
      </c>
      <c r="R269" s="2" t="inlineStr"/>
    </row>
    <row r="270" ht="15" customHeight="1">
      <c r="A270" t="inlineStr">
        <is>
          <t>A 34035-2021</t>
        </is>
      </c>
      <c r="B270" s="1" t="n">
        <v>44378</v>
      </c>
      <c r="C270" s="1" t="n">
        <v>45831</v>
      </c>
      <c r="D270" t="inlineStr">
        <is>
          <t>VÄSTERNORRLANDS LÄN</t>
        </is>
      </c>
      <c r="E270" t="inlineStr">
        <is>
          <t>TIMRÅ</t>
        </is>
      </c>
      <c r="G270" t="n">
        <v>4</v>
      </c>
      <c r="H270" t="n">
        <v>0</v>
      </c>
      <c r="I270" t="n">
        <v>0</v>
      </c>
      <c r="J270" t="n">
        <v>0</v>
      </c>
      <c r="K270" t="n">
        <v>0</v>
      </c>
      <c r="L270" t="n">
        <v>0</v>
      </c>
      <c r="M270" t="n">
        <v>0</v>
      </c>
      <c r="N270" t="n">
        <v>0</v>
      </c>
      <c r="O270" t="n">
        <v>0</v>
      </c>
      <c r="P270" t="n">
        <v>0</v>
      </c>
      <c r="Q270" t="n">
        <v>0</v>
      </c>
      <c r="R270" s="2" t="inlineStr"/>
    </row>
    <row r="271" ht="15" customHeight="1">
      <c r="A271" t="inlineStr">
        <is>
          <t>A 34767-2021</t>
        </is>
      </c>
      <c r="B271" s="1" t="n">
        <v>44382</v>
      </c>
      <c r="C271" s="1" t="n">
        <v>45831</v>
      </c>
      <c r="D271" t="inlineStr">
        <is>
          <t>VÄSTERNORRLANDS LÄN</t>
        </is>
      </c>
      <c r="E271" t="inlineStr">
        <is>
          <t>TIMRÅ</t>
        </is>
      </c>
      <c r="G271" t="n">
        <v>2.4</v>
      </c>
      <c r="H271" t="n">
        <v>0</v>
      </c>
      <c r="I271" t="n">
        <v>0</v>
      </c>
      <c r="J271" t="n">
        <v>0</v>
      </c>
      <c r="K271" t="n">
        <v>0</v>
      </c>
      <c r="L271" t="n">
        <v>0</v>
      </c>
      <c r="M271" t="n">
        <v>0</v>
      </c>
      <c r="N271" t="n">
        <v>0</v>
      </c>
      <c r="O271" t="n">
        <v>0</v>
      </c>
      <c r="P271" t="n">
        <v>0</v>
      </c>
      <c r="Q271" t="n">
        <v>0</v>
      </c>
      <c r="R271" s="2" t="inlineStr"/>
    </row>
    <row r="272" ht="15" customHeight="1">
      <c r="A272" t="inlineStr">
        <is>
          <t>A 35262-2021</t>
        </is>
      </c>
      <c r="B272" s="1" t="n">
        <v>44384</v>
      </c>
      <c r="C272" s="1" t="n">
        <v>45831</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35413-2021</t>
        </is>
      </c>
      <c r="B273" s="1" t="n">
        <v>44385</v>
      </c>
      <c r="C273" s="1" t="n">
        <v>45831</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35417-2021</t>
        </is>
      </c>
      <c r="B274" s="1" t="n">
        <v>44385</v>
      </c>
      <c r="C274" s="1" t="n">
        <v>45831</v>
      </c>
      <c r="D274" t="inlineStr">
        <is>
          <t>VÄSTERNORRLANDS LÄN</t>
        </is>
      </c>
      <c r="E274" t="inlineStr">
        <is>
          <t>TIMRÅ</t>
        </is>
      </c>
      <c r="G274" t="n">
        <v>4.9</v>
      </c>
      <c r="H274" t="n">
        <v>0</v>
      </c>
      <c r="I274" t="n">
        <v>0</v>
      </c>
      <c r="J274" t="n">
        <v>0</v>
      </c>
      <c r="K274" t="n">
        <v>0</v>
      </c>
      <c r="L274" t="n">
        <v>0</v>
      </c>
      <c r="M274" t="n">
        <v>0</v>
      </c>
      <c r="N274" t="n">
        <v>0</v>
      </c>
      <c r="O274" t="n">
        <v>0</v>
      </c>
      <c r="P274" t="n">
        <v>0</v>
      </c>
      <c r="Q274" t="n">
        <v>0</v>
      </c>
      <c r="R274" s="2" t="inlineStr"/>
    </row>
    <row r="275" ht="15" customHeight="1">
      <c r="A275" t="inlineStr">
        <is>
          <t>A 36987-2021</t>
        </is>
      </c>
      <c r="B275" s="1" t="n">
        <v>44393</v>
      </c>
      <c r="C275" s="1" t="n">
        <v>45831</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37165-2021</t>
        </is>
      </c>
      <c r="B276" s="1" t="n">
        <v>44396</v>
      </c>
      <c r="C276" s="1" t="n">
        <v>45831</v>
      </c>
      <c r="D276" t="inlineStr">
        <is>
          <t>VÄSTERNORRLANDS LÄN</t>
        </is>
      </c>
      <c r="E276" t="inlineStr">
        <is>
          <t>TIMRÅ</t>
        </is>
      </c>
      <c r="G276" t="n">
        <v>6.8</v>
      </c>
      <c r="H276" t="n">
        <v>0</v>
      </c>
      <c r="I276" t="n">
        <v>0</v>
      </c>
      <c r="J276" t="n">
        <v>0</v>
      </c>
      <c r="K276" t="n">
        <v>0</v>
      </c>
      <c r="L276" t="n">
        <v>0</v>
      </c>
      <c r="M276" t="n">
        <v>0</v>
      </c>
      <c r="N276" t="n">
        <v>0</v>
      </c>
      <c r="O276" t="n">
        <v>0</v>
      </c>
      <c r="P276" t="n">
        <v>0</v>
      </c>
      <c r="Q276" t="n">
        <v>0</v>
      </c>
      <c r="R276" s="2" t="inlineStr"/>
    </row>
    <row r="277" ht="15" customHeight="1">
      <c r="A277" t="inlineStr">
        <is>
          <t>A 39534-2021</t>
        </is>
      </c>
      <c r="B277" s="1" t="n">
        <v>44416</v>
      </c>
      <c r="C277" s="1" t="n">
        <v>45831</v>
      </c>
      <c r="D277" t="inlineStr">
        <is>
          <t>VÄSTERNORRLANDS LÄN</t>
        </is>
      </c>
      <c r="E277" t="inlineStr">
        <is>
          <t>TIMRÅ</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39821-2021</t>
        </is>
      </c>
      <c r="B278" s="1" t="n">
        <v>44417</v>
      </c>
      <c r="C278" s="1" t="n">
        <v>45831</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40519-2021</t>
        </is>
      </c>
      <c r="B279" s="1" t="n">
        <v>44420</v>
      </c>
      <c r="C279" s="1" t="n">
        <v>45831</v>
      </c>
      <c r="D279" t="inlineStr">
        <is>
          <t>VÄSTERNORRLANDS LÄN</t>
        </is>
      </c>
      <c r="E279" t="inlineStr">
        <is>
          <t>TIMRÅ</t>
        </is>
      </c>
      <c r="G279" t="n">
        <v>1.7</v>
      </c>
      <c r="H279" t="n">
        <v>0</v>
      </c>
      <c r="I279" t="n">
        <v>0</v>
      </c>
      <c r="J279" t="n">
        <v>0</v>
      </c>
      <c r="K279" t="n">
        <v>0</v>
      </c>
      <c r="L279" t="n">
        <v>0</v>
      </c>
      <c r="M279" t="n">
        <v>0</v>
      </c>
      <c r="N279" t="n">
        <v>0</v>
      </c>
      <c r="O279" t="n">
        <v>0</v>
      </c>
      <c r="P279" t="n">
        <v>0</v>
      </c>
      <c r="Q279" t="n">
        <v>0</v>
      </c>
      <c r="R279" s="2" t="inlineStr"/>
    </row>
    <row r="280" ht="15" customHeight="1">
      <c r="A280" t="inlineStr">
        <is>
          <t>A 43848-2021</t>
        </is>
      </c>
      <c r="B280" s="1" t="n">
        <v>44434</v>
      </c>
      <c r="C280" s="1" t="n">
        <v>45831</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45441-2021</t>
        </is>
      </c>
      <c r="B281" s="1" t="n">
        <v>44440</v>
      </c>
      <c r="C281" s="1" t="n">
        <v>45831</v>
      </c>
      <c r="D281" t="inlineStr">
        <is>
          <t>VÄSTERNORRLANDS LÄN</t>
        </is>
      </c>
      <c r="E281" t="inlineStr">
        <is>
          <t>TIMRÅ</t>
        </is>
      </c>
      <c r="G281" t="n">
        <v>2</v>
      </c>
      <c r="H281" t="n">
        <v>0</v>
      </c>
      <c r="I281" t="n">
        <v>0</v>
      </c>
      <c r="J281" t="n">
        <v>0</v>
      </c>
      <c r="K281" t="n">
        <v>0</v>
      </c>
      <c r="L281" t="n">
        <v>0</v>
      </c>
      <c r="M281" t="n">
        <v>0</v>
      </c>
      <c r="N281" t="n">
        <v>0</v>
      </c>
      <c r="O281" t="n">
        <v>0</v>
      </c>
      <c r="P281" t="n">
        <v>0</v>
      </c>
      <c r="Q281" t="n">
        <v>0</v>
      </c>
      <c r="R281" s="2" t="inlineStr"/>
    </row>
    <row r="282" ht="15" customHeight="1">
      <c r="A282" t="inlineStr">
        <is>
          <t>A 47203-2021</t>
        </is>
      </c>
      <c r="B282" s="1" t="n">
        <v>44447</v>
      </c>
      <c r="C282" s="1" t="n">
        <v>45831</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47569-2021</t>
        </is>
      </c>
      <c r="B283" s="1" t="n">
        <v>44447</v>
      </c>
      <c r="C283" s="1" t="n">
        <v>45831</v>
      </c>
      <c r="D283" t="inlineStr">
        <is>
          <t>VÄSTERNORRLANDS LÄN</t>
        </is>
      </c>
      <c r="E283" t="inlineStr">
        <is>
          <t>TIMRÅ</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47570-2021</t>
        </is>
      </c>
      <c r="B284" s="1" t="n">
        <v>44448</v>
      </c>
      <c r="C284" s="1" t="n">
        <v>45831</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49056-2021</t>
        </is>
      </c>
      <c r="B285" s="1" t="n">
        <v>44453</v>
      </c>
      <c r="C285" s="1" t="n">
        <v>45831</v>
      </c>
      <c r="D285" t="inlineStr">
        <is>
          <t>VÄSTERNORRLANDS LÄN</t>
        </is>
      </c>
      <c r="E285" t="inlineStr">
        <is>
          <t>TIMRÅ</t>
        </is>
      </c>
      <c r="G285" t="n">
        <v>3.4</v>
      </c>
      <c r="H285" t="n">
        <v>0</v>
      </c>
      <c r="I285" t="n">
        <v>0</v>
      </c>
      <c r="J285" t="n">
        <v>0</v>
      </c>
      <c r="K285" t="n">
        <v>0</v>
      </c>
      <c r="L285" t="n">
        <v>0</v>
      </c>
      <c r="M285" t="n">
        <v>0</v>
      </c>
      <c r="N285" t="n">
        <v>0</v>
      </c>
      <c r="O285" t="n">
        <v>0</v>
      </c>
      <c r="P285" t="n">
        <v>0</v>
      </c>
      <c r="Q285" t="n">
        <v>0</v>
      </c>
      <c r="R285" s="2" t="inlineStr"/>
    </row>
    <row r="286" ht="15" customHeight="1">
      <c r="A286" t="inlineStr">
        <is>
          <t>A 49486-2021</t>
        </is>
      </c>
      <c r="B286" s="1" t="n">
        <v>44455</v>
      </c>
      <c r="C286" s="1" t="n">
        <v>45831</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53305-2021</t>
        </is>
      </c>
      <c r="B287" s="1" t="n">
        <v>44467</v>
      </c>
      <c r="C287" s="1" t="n">
        <v>45831</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53699-2021</t>
        </is>
      </c>
      <c r="B288" s="1" t="n">
        <v>44469</v>
      </c>
      <c r="C288" s="1" t="n">
        <v>45831</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53703-2021</t>
        </is>
      </c>
      <c r="B289" s="1" t="n">
        <v>44469</v>
      </c>
      <c r="C289" s="1" t="n">
        <v>45831</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59570-2021</t>
        </is>
      </c>
      <c r="B290" s="1" t="n">
        <v>44491</v>
      </c>
      <c r="C290" s="1" t="n">
        <v>45831</v>
      </c>
      <c r="D290" t="inlineStr">
        <is>
          <t>VÄSTERNORRLANDS LÄN</t>
        </is>
      </c>
      <c r="E290" t="inlineStr">
        <is>
          <t>TIMRÅ</t>
        </is>
      </c>
      <c r="G290" t="n">
        <v>1.3</v>
      </c>
      <c r="H290" t="n">
        <v>0</v>
      </c>
      <c r="I290" t="n">
        <v>0</v>
      </c>
      <c r="J290" t="n">
        <v>0</v>
      </c>
      <c r="K290" t="n">
        <v>0</v>
      </c>
      <c r="L290" t="n">
        <v>0</v>
      </c>
      <c r="M290" t="n">
        <v>0</v>
      </c>
      <c r="N290" t="n">
        <v>0</v>
      </c>
      <c r="O290" t="n">
        <v>0</v>
      </c>
      <c r="P290" t="n">
        <v>0</v>
      </c>
      <c r="Q290" t="n">
        <v>0</v>
      </c>
      <c r="R290" s="2" t="inlineStr"/>
    </row>
    <row r="291" ht="15" customHeight="1">
      <c r="A291" t="inlineStr">
        <is>
          <t>A 59964-2021</t>
        </is>
      </c>
      <c r="B291" s="1" t="n">
        <v>44494</v>
      </c>
      <c r="C291" s="1" t="n">
        <v>45831</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64433-2021</t>
        </is>
      </c>
      <c r="B292" s="1" t="n">
        <v>44511</v>
      </c>
      <c r="C292" s="1" t="n">
        <v>45831</v>
      </c>
      <c r="D292" t="inlineStr">
        <is>
          <t>VÄSTERNORRLANDS LÄN</t>
        </is>
      </c>
      <c r="E292" t="inlineStr">
        <is>
          <t>TIMRÅ</t>
        </is>
      </c>
      <c r="G292" t="n">
        <v>0.6</v>
      </c>
      <c r="H292" t="n">
        <v>0</v>
      </c>
      <c r="I292" t="n">
        <v>0</v>
      </c>
      <c r="J292" t="n">
        <v>0</v>
      </c>
      <c r="K292" t="n">
        <v>0</v>
      </c>
      <c r="L292" t="n">
        <v>0</v>
      </c>
      <c r="M292" t="n">
        <v>0</v>
      </c>
      <c r="N292" t="n">
        <v>0</v>
      </c>
      <c r="O292" t="n">
        <v>0</v>
      </c>
      <c r="P292" t="n">
        <v>0</v>
      </c>
      <c r="Q292" t="n">
        <v>0</v>
      </c>
      <c r="R292" s="2" t="inlineStr"/>
    </row>
    <row r="293" ht="15" customHeight="1">
      <c r="A293" t="inlineStr">
        <is>
          <t>A 66154-2021</t>
        </is>
      </c>
      <c r="B293" s="1" t="n">
        <v>44517</v>
      </c>
      <c r="C293" s="1" t="n">
        <v>45831</v>
      </c>
      <c r="D293" t="inlineStr">
        <is>
          <t>VÄSTERNORRLANDS LÄN</t>
        </is>
      </c>
      <c r="E293" t="inlineStr">
        <is>
          <t>TIMRÅ</t>
        </is>
      </c>
      <c r="G293" t="n">
        <v>5.6</v>
      </c>
      <c r="H293" t="n">
        <v>0</v>
      </c>
      <c r="I293" t="n">
        <v>0</v>
      </c>
      <c r="J293" t="n">
        <v>0</v>
      </c>
      <c r="K293" t="n">
        <v>0</v>
      </c>
      <c r="L293" t="n">
        <v>0</v>
      </c>
      <c r="M293" t="n">
        <v>0</v>
      </c>
      <c r="N293" t="n">
        <v>0</v>
      </c>
      <c r="O293" t="n">
        <v>0</v>
      </c>
      <c r="P293" t="n">
        <v>0</v>
      </c>
      <c r="Q293" t="n">
        <v>0</v>
      </c>
      <c r="R293" s="2" t="inlineStr"/>
    </row>
    <row r="294" ht="15" customHeight="1">
      <c r="A294" t="inlineStr">
        <is>
          <t>A 66409-2021</t>
        </is>
      </c>
      <c r="B294" s="1" t="n">
        <v>44518</v>
      </c>
      <c r="C294" s="1" t="n">
        <v>45831</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67065-2021</t>
        </is>
      </c>
      <c r="B295" s="1" t="n">
        <v>44522</v>
      </c>
      <c r="C295" s="1" t="n">
        <v>45831</v>
      </c>
      <c r="D295" t="inlineStr">
        <is>
          <t>VÄSTERNORRLANDS LÄN</t>
        </is>
      </c>
      <c r="E295" t="inlineStr">
        <is>
          <t>TIMRÅ</t>
        </is>
      </c>
      <c r="G295" t="n">
        <v>2.6</v>
      </c>
      <c r="H295" t="n">
        <v>0</v>
      </c>
      <c r="I295" t="n">
        <v>0</v>
      </c>
      <c r="J295" t="n">
        <v>0</v>
      </c>
      <c r="K295" t="n">
        <v>0</v>
      </c>
      <c r="L295" t="n">
        <v>0</v>
      </c>
      <c r="M295" t="n">
        <v>0</v>
      </c>
      <c r="N295" t="n">
        <v>0</v>
      </c>
      <c r="O295" t="n">
        <v>0</v>
      </c>
      <c r="P295" t="n">
        <v>0</v>
      </c>
      <c r="Q295" t="n">
        <v>0</v>
      </c>
      <c r="R295" s="2" t="inlineStr"/>
    </row>
    <row r="296" ht="15" customHeight="1">
      <c r="A296" t="inlineStr">
        <is>
          <t>A 67063-2021</t>
        </is>
      </c>
      <c r="B296" s="1" t="n">
        <v>44522</v>
      </c>
      <c r="C296" s="1" t="n">
        <v>45831</v>
      </c>
      <c r="D296" t="inlineStr">
        <is>
          <t>VÄSTERNORRLANDS LÄN</t>
        </is>
      </c>
      <c r="E296" t="inlineStr">
        <is>
          <t>TIMRÅ</t>
        </is>
      </c>
      <c r="G296" t="n">
        <v>1.9</v>
      </c>
      <c r="H296" t="n">
        <v>0</v>
      </c>
      <c r="I296" t="n">
        <v>0</v>
      </c>
      <c r="J296" t="n">
        <v>0</v>
      </c>
      <c r="K296" t="n">
        <v>0</v>
      </c>
      <c r="L296" t="n">
        <v>0</v>
      </c>
      <c r="M296" t="n">
        <v>0</v>
      </c>
      <c r="N296" t="n">
        <v>0</v>
      </c>
      <c r="O296" t="n">
        <v>0</v>
      </c>
      <c r="P296" t="n">
        <v>0</v>
      </c>
      <c r="Q296" t="n">
        <v>0</v>
      </c>
      <c r="R296" s="2" t="inlineStr"/>
    </row>
    <row r="297" ht="15" customHeight="1">
      <c r="A297" t="inlineStr">
        <is>
          <t>A 67673-2021</t>
        </is>
      </c>
      <c r="B297" s="1" t="n">
        <v>44524</v>
      </c>
      <c r="C297" s="1" t="n">
        <v>45831</v>
      </c>
      <c r="D297" t="inlineStr">
        <is>
          <t>VÄSTERNORRLANDS LÄN</t>
        </is>
      </c>
      <c r="E297" t="inlineStr">
        <is>
          <t>TIMRÅ</t>
        </is>
      </c>
      <c r="G297" t="n">
        <v>6.8</v>
      </c>
      <c r="H297" t="n">
        <v>0</v>
      </c>
      <c r="I297" t="n">
        <v>0</v>
      </c>
      <c r="J297" t="n">
        <v>0</v>
      </c>
      <c r="K297" t="n">
        <v>0</v>
      </c>
      <c r="L297" t="n">
        <v>0</v>
      </c>
      <c r="M297" t="n">
        <v>0</v>
      </c>
      <c r="N297" t="n">
        <v>0</v>
      </c>
      <c r="O297" t="n">
        <v>0</v>
      </c>
      <c r="P297" t="n">
        <v>0</v>
      </c>
      <c r="Q297" t="n">
        <v>0</v>
      </c>
      <c r="R297" s="2" t="inlineStr"/>
    </row>
    <row r="298" ht="15" customHeight="1">
      <c r="A298" t="inlineStr">
        <is>
          <t>A 68391-2021</t>
        </is>
      </c>
      <c r="B298" s="1" t="n">
        <v>44526</v>
      </c>
      <c r="C298" s="1" t="n">
        <v>45831</v>
      </c>
      <c r="D298" t="inlineStr">
        <is>
          <t>VÄSTERNORRLANDS LÄN</t>
        </is>
      </c>
      <c r="E298" t="inlineStr">
        <is>
          <t>TIMRÅ</t>
        </is>
      </c>
      <c r="G298" t="n">
        <v>2.2</v>
      </c>
      <c r="H298" t="n">
        <v>0</v>
      </c>
      <c r="I298" t="n">
        <v>0</v>
      </c>
      <c r="J298" t="n">
        <v>0</v>
      </c>
      <c r="K298" t="n">
        <v>0</v>
      </c>
      <c r="L298" t="n">
        <v>0</v>
      </c>
      <c r="M298" t="n">
        <v>0</v>
      </c>
      <c r="N298" t="n">
        <v>0</v>
      </c>
      <c r="O298" t="n">
        <v>0</v>
      </c>
      <c r="P298" t="n">
        <v>0</v>
      </c>
      <c r="Q298" t="n">
        <v>0</v>
      </c>
      <c r="R298" s="2" t="inlineStr"/>
    </row>
    <row r="299" ht="15" customHeight="1">
      <c r="A299" t="inlineStr">
        <is>
          <t>A 68774-2021</t>
        </is>
      </c>
      <c r="B299" s="1" t="n">
        <v>44529</v>
      </c>
      <c r="C299" s="1" t="n">
        <v>45831</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69274-2021</t>
        </is>
      </c>
      <c r="B300" s="1" t="n">
        <v>44530</v>
      </c>
      <c r="C300" s="1" t="n">
        <v>45831</v>
      </c>
      <c r="D300" t="inlineStr">
        <is>
          <t>VÄSTERNORRLANDS LÄN</t>
        </is>
      </c>
      <c r="E300" t="inlineStr">
        <is>
          <t>TIMRÅ</t>
        </is>
      </c>
      <c r="G300" t="n">
        <v>0.3</v>
      </c>
      <c r="H300" t="n">
        <v>0</v>
      </c>
      <c r="I300" t="n">
        <v>0</v>
      </c>
      <c r="J300" t="n">
        <v>0</v>
      </c>
      <c r="K300" t="n">
        <v>0</v>
      </c>
      <c r="L300" t="n">
        <v>0</v>
      </c>
      <c r="M300" t="n">
        <v>0</v>
      </c>
      <c r="N300" t="n">
        <v>0</v>
      </c>
      <c r="O300" t="n">
        <v>0</v>
      </c>
      <c r="P300" t="n">
        <v>0</v>
      </c>
      <c r="Q300" t="n">
        <v>0</v>
      </c>
      <c r="R300" s="2" t="inlineStr"/>
    </row>
    <row r="301" ht="15" customHeight="1">
      <c r="A301" t="inlineStr">
        <is>
          <t>A 69266-2021</t>
        </is>
      </c>
      <c r="B301" s="1" t="n">
        <v>44530</v>
      </c>
      <c r="C301" s="1" t="n">
        <v>45831</v>
      </c>
      <c r="D301" t="inlineStr">
        <is>
          <t>VÄSTERNORRLANDS LÄN</t>
        </is>
      </c>
      <c r="E301" t="inlineStr">
        <is>
          <t>TIMRÅ</t>
        </is>
      </c>
      <c r="G301" t="n">
        <v>0.3</v>
      </c>
      <c r="H301" t="n">
        <v>0</v>
      </c>
      <c r="I301" t="n">
        <v>0</v>
      </c>
      <c r="J301" t="n">
        <v>0</v>
      </c>
      <c r="K301" t="n">
        <v>0</v>
      </c>
      <c r="L301" t="n">
        <v>0</v>
      </c>
      <c r="M301" t="n">
        <v>0</v>
      </c>
      <c r="N301" t="n">
        <v>0</v>
      </c>
      <c r="O301" t="n">
        <v>0</v>
      </c>
      <c r="P301" t="n">
        <v>0</v>
      </c>
      <c r="Q301" t="n">
        <v>0</v>
      </c>
      <c r="R301" s="2" t="inlineStr"/>
    </row>
    <row r="302" ht="15" customHeight="1">
      <c r="A302" t="inlineStr">
        <is>
          <t>A 69278-2021</t>
        </is>
      </c>
      <c r="B302" s="1" t="n">
        <v>44531</v>
      </c>
      <c r="C302" s="1" t="n">
        <v>45831</v>
      </c>
      <c r="D302" t="inlineStr">
        <is>
          <t>VÄSTERNORRLANDS LÄN</t>
        </is>
      </c>
      <c r="E302" t="inlineStr">
        <is>
          <t>TIMRÅ</t>
        </is>
      </c>
      <c r="G302" t="n">
        <v>1.2</v>
      </c>
      <c r="H302" t="n">
        <v>0</v>
      </c>
      <c r="I302" t="n">
        <v>0</v>
      </c>
      <c r="J302" t="n">
        <v>0</v>
      </c>
      <c r="K302" t="n">
        <v>0</v>
      </c>
      <c r="L302" t="n">
        <v>0</v>
      </c>
      <c r="M302" t="n">
        <v>0</v>
      </c>
      <c r="N302" t="n">
        <v>0</v>
      </c>
      <c r="O302" t="n">
        <v>0</v>
      </c>
      <c r="P302" t="n">
        <v>0</v>
      </c>
      <c r="Q302" t="n">
        <v>0</v>
      </c>
      <c r="R302" s="2" t="inlineStr"/>
    </row>
    <row r="303" ht="15" customHeight="1">
      <c r="A303" t="inlineStr">
        <is>
          <t>A 69663-2021</t>
        </is>
      </c>
      <c r="B303" s="1" t="n">
        <v>44531</v>
      </c>
      <c r="C303" s="1" t="n">
        <v>45831</v>
      </c>
      <c r="D303" t="inlineStr">
        <is>
          <t>VÄSTERNORRLANDS LÄN</t>
        </is>
      </c>
      <c r="E303" t="inlineStr">
        <is>
          <t>TIMRÅ</t>
        </is>
      </c>
      <c r="G303" t="n">
        <v>1.2</v>
      </c>
      <c r="H303" t="n">
        <v>0</v>
      </c>
      <c r="I303" t="n">
        <v>0</v>
      </c>
      <c r="J303" t="n">
        <v>0</v>
      </c>
      <c r="K303" t="n">
        <v>0</v>
      </c>
      <c r="L303" t="n">
        <v>0</v>
      </c>
      <c r="M303" t="n">
        <v>0</v>
      </c>
      <c r="N303" t="n">
        <v>0</v>
      </c>
      <c r="O303" t="n">
        <v>0</v>
      </c>
      <c r="P303" t="n">
        <v>0</v>
      </c>
      <c r="Q303" t="n">
        <v>0</v>
      </c>
      <c r="R303" s="2" t="inlineStr"/>
    </row>
    <row r="304" ht="15" customHeight="1">
      <c r="A304" t="inlineStr">
        <is>
          <t>A 70507-2021</t>
        </is>
      </c>
      <c r="B304" s="1" t="n">
        <v>44536</v>
      </c>
      <c r="C304" s="1" t="n">
        <v>45831</v>
      </c>
      <c r="D304" t="inlineStr">
        <is>
          <t>VÄSTERNORRLANDS LÄN</t>
        </is>
      </c>
      <c r="E304" t="inlineStr">
        <is>
          <t>TIMRÅ</t>
        </is>
      </c>
      <c r="G304" t="n">
        <v>2.5</v>
      </c>
      <c r="H304" t="n">
        <v>0</v>
      </c>
      <c r="I304" t="n">
        <v>0</v>
      </c>
      <c r="J304" t="n">
        <v>0</v>
      </c>
      <c r="K304" t="n">
        <v>0</v>
      </c>
      <c r="L304" t="n">
        <v>0</v>
      </c>
      <c r="M304" t="n">
        <v>0</v>
      </c>
      <c r="N304" t="n">
        <v>0</v>
      </c>
      <c r="O304" t="n">
        <v>0</v>
      </c>
      <c r="P304" t="n">
        <v>0</v>
      </c>
      <c r="Q304" t="n">
        <v>0</v>
      </c>
      <c r="R304" s="2" t="inlineStr"/>
    </row>
    <row r="305" ht="15" customHeight="1">
      <c r="A305" t="inlineStr">
        <is>
          <t>A 70906-2021</t>
        </is>
      </c>
      <c r="B305" s="1" t="n">
        <v>44537</v>
      </c>
      <c r="C305" s="1" t="n">
        <v>45831</v>
      </c>
      <c r="D305" t="inlineStr">
        <is>
          <t>VÄSTERNORRLANDS LÄN</t>
        </is>
      </c>
      <c r="E305" t="inlineStr">
        <is>
          <t>TIMRÅ</t>
        </is>
      </c>
      <c r="G305" t="n">
        <v>3.9</v>
      </c>
      <c r="H305" t="n">
        <v>0</v>
      </c>
      <c r="I305" t="n">
        <v>0</v>
      </c>
      <c r="J305" t="n">
        <v>0</v>
      </c>
      <c r="K305" t="n">
        <v>0</v>
      </c>
      <c r="L305" t="n">
        <v>0</v>
      </c>
      <c r="M305" t="n">
        <v>0</v>
      </c>
      <c r="N305" t="n">
        <v>0</v>
      </c>
      <c r="O305" t="n">
        <v>0</v>
      </c>
      <c r="P305" t="n">
        <v>0</v>
      </c>
      <c r="Q305" t="n">
        <v>0</v>
      </c>
      <c r="R305" s="2" t="inlineStr"/>
    </row>
    <row r="306" ht="15" customHeight="1">
      <c r="A306" t="inlineStr">
        <is>
          <t>A 71213-2021</t>
        </is>
      </c>
      <c r="B306" s="1" t="n">
        <v>44539</v>
      </c>
      <c r="C306" s="1" t="n">
        <v>45831</v>
      </c>
      <c r="D306" t="inlineStr">
        <is>
          <t>VÄSTERNORRLANDS LÄN</t>
        </is>
      </c>
      <c r="E306" t="inlineStr">
        <is>
          <t>TIMRÅ</t>
        </is>
      </c>
      <c r="G306" t="n">
        <v>0.8</v>
      </c>
      <c r="H306" t="n">
        <v>0</v>
      </c>
      <c r="I306" t="n">
        <v>0</v>
      </c>
      <c r="J306" t="n">
        <v>0</v>
      </c>
      <c r="K306" t="n">
        <v>0</v>
      </c>
      <c r="L306" t="n">
        <v>0</v>
      </c>
      <c r="M306" t="n">
        <v>0</v>
      </c>
      <c r="N306" t="n">
        <v>0</v>
      </c>
      <c r="O306" t="n">
        <v>0</v>
      </c>
      <c r="P306" t="n">
        <v>0</v>
      </c>
      <c r="Q306" t="n">
        <v>0</v>
      </c>
      <c r="R306" s="2" t="inlineStr"/>
    </row>
    <row r="307" ht="15" customHeight="1">
      <c r="A307" t="inlineStr">
        <is>
          <t>A 73225-2021</t>
        </is>
      </c>
      <c r="B307" s="1" t="n">
        <v>44550</v>
      </c>
      <c r="C307" s="1" t="n">
        <v>45831</v>
      </c>
      <c r="D307" t="inlineStr">
        <is>
          <t>VÄSTERNORRLANDS LÄN</t>
        </is>
      </c>
      <c r="E307" t="inlineStr">
        <is>
          <t>TIMRÅ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74020-2021</t>
        </is>
      </c>
      <c r="B308" s="1" t="n">
        <v>44557</v>
      </c>
      <c r="C308" s="1" t="n">
        <v>45831</v>
      </c>
      <c r="D308" t="inlineStr">
        <is>
          <t>VÄSTERNORRLANDS LÄN</t>
        </is>
      </c>
      <c r="E308" t="inlineStr">
        <is>
          <t>TIMRÅ</t>
        </is>
      </c>
      <c r="G308" t="n">
        <v>1.4</v>
      </c>
      <c r="H308" t="n">
        <v>0</v>
      </c>
      <c r="I308" t="n">
        <v>0</v>
      </c>
      <c r="J308" t="n">
        <v>0</v>
      </c>
      <c r="K308" t="n">
        <v>0</v>
      </c>
      <c r="L308" t="n">
        <v>0</v>
      </c>
      <c r="M308" t="n">
        <v>0</v>
      </c>
      <c r="N308" t="n">
        <v>0</v>
      </c>
      <c r="O308" t="n">
        <v>0</v>
      </c>
      <c r="P308" t="n">
        <v>0</v>
      </c>
      <c r="Q308" t="n">
        <v>0</v>
      </c>
      <c r="R308" s="2" t="inlineStr"/>
    </row>
    <row r="309" ht="15" customHeight="1">
      <c r="A309" t="inlineStr">
        <is>
          <t>A 74043-2021</t>
        </is>
      </c>
      <c r="B309" s="1" t="n">
        <v>44557</v>
      </c>
      <c r="C309" s="1" t="n">
        <v>45831</v>
      </c>
      <c r="D309" t="inlineStr">
        <is>
          <t>VÄSTERNORRLANDS LÄN</t>
        </is>
      </c>
      <c r="E309" t="inlineStr">
        <is>
          <t>TIMRÅ</t>
        </is>
      </c>
      <c r="G309" t="n">
        <v>0.1</v>
      </c>
      <c r="H309" t="n">
        <v>0</v>
      </c>
      <c r="I309" t="n">
        <v>0</v>
      </c>
      <c r="J309" t="n">
        <v>0</v>
      </c>
      <c r="K309" t="n">
        <v>0</v>
      </c>
      <c r="L309" t="n">
        <v>0</v>
      </c>
      <c r="M309" t="n">
        <v>0</v>
      </c>
      <c r="N309" t="n">
        <v>0</v>
      </c>
      <c r="O309" t="n">
        <v>0</v>
      </c>
      <c r="P309" t="n">
        <v>0</v>
      </c>
      <c r="Q309" t="n">
        <v>0</v>
      </c>
      <c r="R309" s="2" t="inlineStr"/>
    </row>
    <row r="310" ht="15" customHeight="1">
      <c r="A310" t="inlineStr">
        <is>
          <t>A 74044-2021</t>
        </is>
      </c>
      <c r="B310" s="1" t="n">
        <v>44557</v>
      </c>
      <c r="C310" s="1" t="n">
        <v>45831</v>
      </c>
      <c r="D310" t="inlineStr">
        <is>
          <t>VÄSTERNORRLANDS LÄN</t>
        </is>
      </c>
      <c r="E310" t="inlineStr">
        <is>
          <t>TIMRÅ</t>
        </is>
      </c>
      <c r="G310" t="n">
        <v>0.2</v>
      </c>
      <c r="H310" t="n">
        <v>0</v>
      </c>
      <c r="I310" t="n">
        <v>0</v>
      </c>
      <c r="J310" t="n">
        <v>0</v>
      </c>
      <c r="K310" t="n">
        <v>0</v>
      </c>
      <c r="L310" t="n">
        <v>0</v>
      </c>
      <c r="M310" t="n">
        <v>0</v>
      </c>
      <c r="N310" t="n">
        <v>0</v>
      </c>
      <c r="O310" t="n">
        <v>0</v>
      </c>
      <c r="P310" t="n">
        <v>0</v>
      </c>
      <c r="Q310" t="n">
        <v>0</v>
      </c>
      <c r="R310" s="2" t="inlineStr"/>
    </row>
    <row r="311" ht="15" customHeight="1">
      <c r="A311" t="inlineStr">
        <is>
          <t>A 74148-2021</t>
        </is>
      </c>
      <c r="B311" s="1" t="n">
        <v>44557</v>
      </c>
      <c r="C311" s="1" t="n">
        <v>45831</v>
      </c>
      <c r="D311" t="inlineStr">
        <is>
          <t>VÄSTERNORRLANDS LÄN</t>
        </is>
      </c>
      <c r="E311" t="inlineStr">
        <is>
          <t>TIMRÅ</t>
        </is>
      </c>
      <c r="G311" t="n">
        <v>0.7</v>
      </c>
      <c r="H311" t="n">
        <v>0</v>
      </c>
      <c r="I311" t="n">
        <v>0</v>
      </c>
      <c r="J311" t="n">
        <v>0</v>
      </c>
      <c r="K311" t="n">
        <v>0</v>
      </c>
      <c r="L311" t="n">
        <v>0</v>
      </c>
      <c r="M311" t="n">
        <v>0</v>
      </c>
      <c r="N311" t="n">
        <v>0</v>
      </c>
      <c r="O311" t="n">
        <v>0</v>
      </c>
      <c r="P311" t="n">
        <v>0</v>
      </c>
      <c r="Q311" t="n">
        <v>0</v>
      </c>
      <c r="R311" s="2" t="inlineStr"/>
    </row>
    <row r="312" ht="15" customHeight="1">
      <c r="A312" t="inlineStr">
        <is>
          <t>A 74150-2021</t>
        </is>
      </c>
      <c r="B312" s="1" t="n">
        <v>44557</v>
      </c>
      <c r="C312" s="1" t="n">
        <v>45831</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74177-2021</t>
        </is>
      </c>
      <c r="B313" s="1" t="n">
        <v>44558</v>
      </c>
      <c r="C313" s="1" t="n">
        <v>45831</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580-2022</t>
        </is>
      </c>
      <c r="B314" s="1" t="n">
        <v>44566</v>
      </c>
      <c r="C314" s="1" t="n">
        <v>45831</v>
      </c>
      <c r="D314" t="inlineStr">
        <is>
          <t>VÄSTERNORRLANDS LÄN</t>
        </is>
      </c>
      <c r="E314" t="inlineStr">
        <is>
          <t>TIMRÅ</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1078-2022</t>
        </is>
      </c>
      <c r="B315" s="1" t="n">
        <v>44571</v>
      </c>
      <c r="C315" s="1" t="n">
        <v>45831</v>
      </c>
      <c r="D315" t="inlineStr">
        <is>
          <t>VÄSTERNORRLANDS LÄN</t>
        </is>
      </c>
      <c r="E315" t="inlineStr">
        <is>
          <t>TIMRÅ</t>
        </is>
      </c>
      <c r="G315" t="n">
        <v>1.6</v>
      </c>
      <c r="H315" t="n">
        <v>0</v>
      </c>
      <c r="I315" t="n">
        <v>0</v>
      </c>
      <c r="J315" t="n">
        <v>0</v>
      </c>
      <c r="K315" t="n">
        <v>0</v>
      </c>
      <c r="L315" t="n">
        <v>0</v>
      </c>
      <c r="M315" t="n">
        <v>0</v>
      </c>
      <c r="N315" t="n">
        <v>0</v>
      </c>
      <c r="O315" t="n">
        <v>0</v>
      </c>
      <c r="P315" t="n">
        <v>0</v>
      </c>
      <c r="Q315" t="n">
        <v>0</v>
      </c>
      <c r="R315" s="2" t="inlineStr"/>
    </row>
    <row r="316" ht="15" customHeight="1">
      <c r="A316" t="inlineStr">
        <is>
          <t>A 1855-2022</t>
        </is>
      </c>
      <c r="B316" s="1" t="n">
        <v>44574</v>
      </c>
      <c r="C316" s="1" t="n">
        <v>45831</v>
      </c>
      <c r="D316" t="inlineStr">
        <is>
          <t>VÄSTERNORRLANDS LÄN</t>
        </is>
      </c>
      <c r="E316" t="inlineStr">
        <is>
          <t>TIMRÅ</t>
        </is>
      </c>
      <c r="G316" t="n">
        <v>3.1</v>
      </c>
      <c r="H316" t="n">
        <v>0</v>
      </c>
      <c r="I316" t="n">
        <v>0</v>
      </c>
      <c r="J316" t="n">
        <v>0</v>
      </c>
      <c r="K316" t="n">
        <v>0</v>
      </c>
      <c r="L316" t="n">
        <v>0</v>
      </c>
      <c r="M316" t="n">
        <v>0</v>
      </c>
      <c r="N316" t="n">
        <v>0</v>
      </c>
      <c r="O316" t="n">
        <v>0</v>
      </c>
      <c r="P316" t="n">
        <v>0</v>
      </c>
      <c r="Q316" t="n">
        <v>0</v>
      </c>
      <c r="R316" s="2" t="inlineStr"/>
    </row>
    <row r="317" ht="15" customHeight="1">
      <c r="A317" t="inlineStr">
        <is>
          <t>A 2073-2022</t>
        </is>
      </c>
      <c r="B317" s="1" t="n">
        <v>44575</v>
      </c>
      <c r="C317" s="1" t="n">
        <v>45831</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2226-2022</t>
        </is>
      </c>
      <c r="B318" s="1" t="n">
        <v>44578</v>
      </c>
      <c r="C318" s="1" t="n">
        <v>45831</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5649-2022</t>
        </is>
      </c>
      <c r="B319" s="1" t="n">
        <v>44595</v>
      </c>
      <c r="C319" s="1" t="n">
        <v>45831</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7152-2022</t>
        </is>
      </c>
      <c r="B320" s="1" t="n">
        <v>44603</v>
      </c>
      <c r="C320" s="1" t="n">
        <v>45831</v>
      </c>
      <c r="D320" t="inlineStr">
        <is>
          <t>VÄSTERNORRLANDS LÄN</t>
        </is>
      </c>
      <c r="E320" t="inlineStr">
        <is>
          <t>TIMRÅ</t>
        </is>
      </c>
      <c r="G320" t="n">
        <v>2.4</v>
      </c>
      <c r="H320" t="n">
        <v>0</v>
      </c>
      <c r="I320" t="n">
        <v>0</v>
      </c>
      <c r="J320" t="n">
        <v>0</v>
      </c>
      <c r="K320" t="n">
        <v>0</v>
      </c>
      <c r="L320" t="n">
        <v>0</v>
      </c>
      <c r="M320" t="n">
        <v>0</v>
      </c>
      <c r="N320" t="n">
        <v>0</v>
      </c>
      <c r="O320" t="n">
        <v>0</v>
      </c>
      <c r="P320" t="n">
        <v>0</v>
      </c>
      <c r="Q320" t="n">
        <v>0</v>
      </c>
      <c r="R320" s="2" t="inlineStr"/>
    </row>
    <row r="321" ht="15" customHeight="1">
      <c r="A321" t="inlineStr">
        <is>
          <t>A 7670-2022</t>
        </is>
      </c>
      <c r="B321" s="1" t="n">
        <v>44607</v>
      </c>
      <c r="C321" s="1" t="n">
        <v>45831</v>
      </c>
      <c r="D321" t="inlineStr">
        <is>
          <t>VÄSTERNORRLANDS LÄN</t>
        </is>
      </c>
      <c r="E321" t="inlineStr">
        <is>
          <t>TIMRÅ</t>
        </is>
      </c>
      <c r="G321" t="n">
        <v>3.6</v>
      </c>
      <c r="H321" t="n">
        <v>0</v>
      </c>
      <c r="I321" t="n">
        <v>0</v>
      </c>
      <c r="J321" t="n">
        <v>0</v>
      </c>
      <c r="K321" t="n">
        <v>0</v>
      </c>
      <c r="L321" t="n">
        <v>0</v>
      </c>
      <c r="M321" t="n">
        <v>0</v>
      </c>
      <c r="N321" t="n">
        <v>0</v>
      </c>
      <c r="O321" t="n">
        <v>0</v>
      </c>
      <c r="P321" t="n">
        <v>0</v>
      </c>
      <c r="Q321" t="n">
        <v>0</v>
      </c>
      <c r="R321" s="2" t="inlineStr"/>
    </row>
    <row r="322" ht="15" customHeight="1">
      <c r="A322" t="inlineStr">
        <is>
          <t>A 7966-2022</t>
        </is>
      </c>
      <c r="B322" s="1" t="n">
        <v>44608</v>
      </c>
      <c r="C322" s="1" t="n">
        <v>45831</v>
      </c>
      <c r="D322" t="inlineStr">
        <is>
          <t>VÄSTERNORRLANDS LÄN</t>
        </is>
      </c>
      <c r="E322" t="inlineStr">
        <is>
          <t>TIMRÅ</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8336-2022</t>
        </is>
      </c>
      <c r="B323" s="1" t="n">
        <v>44610</v>
      </c>
      <c r="C323" s="1" t="n">
        <v>45831</v>
      </c>
      <c r="D323" t="inlineStr">
        <is>
          <t>VÄSTERNORRLANDS LÄN</t>
        </is>
      </c>
      <c r="E323" t="inlineStr">
        <is>
          <t>TIMRÅ</t>
        </is>
      </c>
      <c r="F323" t="inlineStr">
        <is>
          <t>Kommuner</t>
        </is>
      </c>
      <c r="G323" t="n">
        <v>1.2</v>
      </c>
      <c r="H323" t="n">
        <v>0</v>
      </c>
      <c r="I323" t="n">
        <v>0</v>
      </c>
      <c r="J323" t="n">
        <v>0</v>
      </c>
      <c r="K323" t="n">
        <v>0</v>
      </c>
      <c r="L323" t="n">
        <v>0</v>
      </c>
      <c r="M323" t="n">
        <v>0</v>
      </c>
      <c r="N323" t="n">
        <v>0</v>
      </c>
      <c r="O323" t="n">
        <v>0</v>
      </c>
      <c r="P323" t="n">
        <v>0</v>
      </c>
      <c r="Q323" t="n">
        <v>0</v>
      </c>
      <c r="R323" s="2" t="inlineStr"/>
    </row>
    <row r="324" ht="15" customHeight="1">
      <c r="A324" t="inlineStr">
        <is>
          <t>A 9203-2022</t>
        </is>
      </c>
      <c r="B324" s="1" t="n">
        <v>44615</v>
      </c>
      <c r="C324" s="1" t="n">
        <v>45831</v>
      </c>
      <c r="D324" t="inlineStr">
        <is>
          <t>VÄSTERNORRLANDS LÄN</t>
        </is>
      </c>
      <c r="E324" t="inlineStr">
        <is>
          <t>TIMRÅ</t>
        </is>
      </c>
      <c r="G324" t="n">
        <v>5.5</v>
      </c>
      <c r="H324" t="n">
        <v>0</v>
      </c>
      <c r="I324" t="n">
        <v>0</v>
      </c>
      <c r="J324" t="n">
        <v>0</v>
      </c>
      <c r="K324" t="n">
        <v>0</v>
      </c>
      <c r="L324" t="n">
        <v>0</v>
      </c>
      <c r="M324" t="n">
        <v>0</v>
      </c>
      <c r="N324" t="n">
        <v>0</v>
      </c>
      <c r="O324" t="n">
        <v>0</v>
      </c>
      <c r="P324" t="n">
        <v>0</v>
      </c>
      <c r="Q324" t="n">
        <v>0</v>
      </c>
      <c r="R324" s="2" t="inlineStr"/>
    </row>
    <row r="325" ht="15" customHeight="1">
      <c r="A325" t="inlineStr">
        <is>
          <t>A 9202-2022</t>
        </is>
      </c>
      <c r="B325" s="1" t="n">
        <v>44615</v>
      </c>
      <c r="C325" s="1" t="n">
        <v>45831</v>
      </c>
      <c r="D325" t="inlineStr">
        <is>
          <t>VÄSTERNORRLANDS LÄN</t>
        </is>
      </c>
      <c r="E325" t="inlineStr">
        <is>
          <t>TIMRÅ</t>
        </is>
      </c>
      <c r="G325" t="n">
        <v>2.1</v>
      </c>
      <c r="H325" t="n">
        <v>0</v>
      </c>
      <c r="I325" t="n">
        <v>0</v>
      </c>
      <c r="J325" t="n">
        <v>0</v>
      </c>
      <c r="K325" t="n">
        <v>0</v>
      </c>
      <c r="L325" t="n">
        <v>0</v>
      </c>
      <c r="M325" t="n">
        <v>0</v>
      </c>
      <c r="N325" t="n">
        <v>0</v>
      </c>
      <c r="O325" t="n">
        <v>0</v>
      </c>
      <c r="P325" t="n">
        <v>0</v>
      </c>
      <c r="Q325" t="n">
        <v>0</v>
      </c>
      <c r="R325" s="2" t="inlineStr"/>
    </row>
    <row r="326" ht="15" customHeight="1">
      <c r="A326" t="inlineStr">
        <is>
          <t>A 9256-2022</t>
        </is>
      </c>
      <c r="B326" s="1" t="n">
        <v>44616</v>
      </c>
      <c r="C326" s="1" t="n">
        <v>45831</v>
      </c>
      <c r="D326" t="inlineStr">
        <is>
          <t>VÄSTERNORRLANDS LÄN</t>
        </is>
      </c>
      <c r="E326" t="inlineStr">
        <is>
          <t>TIMRÅ</t>
        </is>
      </c>
      <c r="G326" t="n">
        <v>1.8</v>
      </c>
      <c r="H326" t="n">
        <v>0</v>
      </c>
      <c r="I326" t="n">
        <v>0</v>
      </c>
      <c r="J326" t="n">
        <v>0</v>
      </c>
      <c r="K326" t="n">
        <v>0</v>
      </c>
      <c r="L326" t="n">
        <v>0</v>
      </c>
      <c r="M326" t="n">
        <v>0</v>
      </c>
      <c r="N326" t="n">
        <v>0</v>
      </c>
      <c r="O326" t="n">
        <v>0</v>
      </c>
      <c r="P326" t="n">
        <v>0</v>
      </c>
      <c r="Q326" t="n">
        <v>0</v>
      </c>
      <c r="R326" s="2" t="inlineStr"/>
    </row>
    <row r="327" ht="15" customHeight="1">
      <c r="A327" t="inlineStr">
        <is>
          <t>A 9317-2022</t>
        </is>
      </c>
      <c r="B327" s="1" t="n">
        <v>44616</v>
      </c>
      <c r="C327" s="1" t="n">
        <v>45831</v>
      </c>
      <c r="D327" t="inlineStr">
        <is>
          <t>VÄSTERNORRLANDS LÄN</t>
        </is>
      </c>
      <c r="E327" t="inlineStr">
        <is>
          <t>TIMRÅ</t>
        </is>
      </c>
      <c r="G327" t="n">
        <v>1.1</v>
      </c>
      <c r="H327" t="n">
        <v>0</v>
      </c>
      <c r="I327" t="n">
        <v>0</v>
      </c>
      <c r="J327" t="n">
        <v>0</v>
      </c>
      <c r="K327" t="n">
        <v>0</v>
      </c>
      <c r="L327" t="n">
        <v>0</v>
      </c>
      <c r="M327" t="n">
        <v>0</v>
      </c>
      <c r="N327" t="n">
        <v>0</v>
      </c>
      <c r="O327" t="n">
        <v>0</v>
      </c>
      <c r="P327" t="n">
        <v>0</v>
      </c>
      <c r="Q327" t="n">
        <v>0</v>
      </c>
      <c r="R327" s="2" t="inlineStr"/>
    </row>
    <row r="328" ht="15" customHeight="1">
      <c r="A328" t="inlineStr">
        <is>
          <t>A 11269-2022</t>
        </is>
      </c>
      <c r="B328" s="1" t="n">
        <v>44629</v>
      </c>
      <c r="C328" s="1" t="n">
        <v>45831</v>
      </c>
      <c r="D328" t="inlineStr">
        <is>
          <t>VÄSTERNORRLANDS LÄN</t>
        </is>
      </c>
      <c r="E328" t="inlineStr">
        <is>
          <t>TIMRÅ</t>
        </is>
      </c>
      <c r="G328" t="n">
        <v>16</v>
      </c>
      <c r="H328" t="n">
        <v>0</v>
      </c>
      <c r="I328" t="n">
        <v>0</v>
      </c>
      <c r="J328" t="n">
        <v>0</v>
      </c>
      <c r="K328" t="n">
        <v>0</v>
      </c>
      <c r="L328" t="n">
        <v>0</v>
      </c>
      <c r="M328" t="n">
        <v>0</v>
      </c>
      <c r="N328" t="n">
        <v>0</v>
      </c>
      <c r="O328" t="n">
        <v>0</v>
      </c>
      <c r="P328" t="n">
        <v>0</v>
      </c>
      <c r="Q328" t="n">
        <v>0</v>
      </c>
      <c r="R328" s="2" t="inlineStr"/>
    </row>
    <row r="329" ht="15" customHeight="1">
      <c r="A329" t="inlineStr">
        <is>
          <t>A 11479-2022</t>
        </is>
      </c>
      <c r="B329" s="1" t="n">
        <v>44630</v>
      </c>
      <c r="C329" s="1" t="n">
        <v>45831</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12205-2022</t>
        </is>
      </c>
      <c r="B330" s="1" t="n">
        <v>44636</v>
      </c>
      <c r="C330" s="1" t="n">
        <v>45831</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12782-2022</t>
        </is>
      </c>
      <c r="B331" s="1" t="n">
        <v>44641</v>
      </c>
      <c r="C331" s="1" t="n">
        <v>45831</v>
      </c>
      <c r="D331" t="inlineStr">
        <is>
          <t>VÄSTERNORRLANDS LÄN</t>
        </is>
      </c>
      <c r="E331" t="inlineStr">
        <is>
          <t>TIMRÅ</t>
        </is>
      </c>
      <c r="G331" t="n">
        <v>1</v>
      </c>
      <c r="H331" t="n">
        <v>0</v>
      </c>
      <c r="I331" t="n">
        <v>0</v>
      </c>
      <c r="J331" t="n">
        <v>0</v>
      </c>
      <c r="K331" t="n">
        <v>0</v>
      </c>
      <c r="L331" t="n">
        <v>0</v>
      </c>
      <c r="M331" t="n">
        <v>0</v>
      </c>
      <c r="N331" t="n">
        <v>0</v>
      </c>
      <c r="O331" t="n">
        <v>0</v>
      </c>
      <c r="P331" t="n">
        <v>0</v>
      </c>
      <c r="Q331" t="n">
        <v>0</v>
      </c>
      <c r="R331" s="2" t="inlineStr"/>
    </row>
    <row r="332" ht="15" customHeight="1">
      <c r="A332" t="inlineStr">
        <is>
          <t>A 12780-2022</t>
        </is>
      </c>
      <c r="B332" s="1" t="n">
        <v>44641</v>
      </c>
      <c r="C332" s="1" t="n">
        <v>45831</v>
      </c>
      <c r="D332" t="inlineStr">
        <is>
          <t>VÄSTERNORRLANDS LÄN</t>
        </is>
      </c>
      <c r="E332" t="inlineStr">
        <is>
          <t>TIMRÅ</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12779-2022</t>
        </is>
      </c>
      <c r="B333" s="1" t="n">
        <v>44641</v>
      </c>
      <c r="C333" s="1" t="n">
        <v>45831</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12882-2022</t>
        </is>
      </c>
      <c r="B334" s="1" t="n">
        <v>44642</v>
      </c>
      <c r="C334" s="1" t="n">
        <v>45831</v>
      </c>
      <c r="D334" t="inlineStr">
        <is>
          <t>VÄSTERNORRLANDS LÄN</t>
        </is>
      </c>
      <c r="E334" t="inlineStr">
        <is>
          <t>TIMRÅ</t>
        </is>
      </c>
      <c r="G334" t="n">
        <v>0.4</v>
      </c>
      <c r="H334" t="n">
        <v>0</v>
      </c>
      <c r="I334" t="n">
        <v>0</v>
      </c>
      <c r="J334" t="n">
        <v>0</v>
      </c>
      <c r="K334" t="n">
        <v>0</v>
      </c>
      <c r="L334" t="n">
        <v>0</v>
      </c>
      <c r="M334" t="n">
        <v>0</v>
      </c>
      <c r="N334" t="n">
        <v>0</v>
      </c>
      <c r="O334" t="n">
        <v>0</v>
      </c>
      <c r="P334" t="n">
        <v>0</v>
      </c>
      <c r="Q334" t="n">
        <v>0</v>
      </c>
      <c r="R334" s="2" t="inlineStr"/>
    </row>
    <row r="335" ht="15" customHeight="1">
      <c r="A335" t="inlineStr">
        <is>
          <t>A 12880-2022</t>
        </is>
      </c>
      <c r="B335" s="1" t="n">
        <v>44642</v>
      </c>
      <c r="C335" s="1" t="n">
        <v>45831</v>
      </c>
      <c r="D335" t="inlineStr">
        <is>
          <t>VÄSTERNORRLANDS LÄN</t>
        </is>
      </c>
      <c r="E335" t="inlineStr">
        <is>
          <t>TIMRÅ</t>
        </is>
      </c>
      <c r="G335" t="n">
        <v>1.3</v>
      </c>
      <c r="H335" t="n">
        <v>0</v>
      </c>
      <c r="I335" t="n">
        <v>0</v>
      </c>
      <c r="J335" t="n">
        <v>0</v>
      </c>
      <c r="K335" t="n">
        <v>0</v>
      </c>
      <c r="L335" t="n">
        <v>0</v>
      </c>
      <c r="M335" t="n">
        <v>0</v>
      </c>
      <c r="N335" t="n">
        <v>0</v>
      </c>
      <c r="O335" t="n">
        <v>0</v>
      </c>
      <c r="P335" t="n">
        <v>0</v>
      </c>
      <c r="Q335" t="n">
        <v>0</v>
      </c>
      <c r="R335" s="2" t="inlineStr"/>
    </row>
    <row r="336" ht="15" customHeight="1">
      <c r="A336" t="inlineStr">
        <is>
          <t>A 12885-2022</t>
        </is>
      </c>
      <c r="B336" s="1" t="n">
        <v>44642</v>
      </c>
      <c r="C336" s="1" t="n">
        <v>45831</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14680-2022</t>
        </is>
      </c>
      <c r="B337" s="1" t="n">
        <v>44655</v>
      </c>
      <c r="C337" s="1" t="n">
        <v>45831</v>
      </c>
      <c r="D337" t="inlineStr">
        <is>
          <t>VÄSTERNORRLANDS LÄN</t>
        </is>
      </c>
      <c r="E337" t="inlineStr">
        <is>
          <t>TIMRÅ</t>
        </is>
      </c>
      <c r="G337" t="n">
        <v>8.9</v>
      </c>
      <c r="H337" t="n">
        <v>0</v>
      </c>
      <c r="I337" t="n">
        <v>0</v>
      </c>
      <c r="J337" t="n">
        <v>0</v>
      </c>
      <c r="K337" t="n">
        <v>0</v>
      </c>
      <c r="L337" t="n">
        <v>0</v>
      </c>
      <c r="M337" t="n">
        <v>0</v>
      </c>
      <c r="N337" t="n">
        <v>0</v>
      </c>
      <c r="O337" t="n">
        <v>0</v>
      </c>
      <c r="P337" t="n">
        <v>0</v>
      </c>
      <c r="Q337" t="n">
        <v>0</v>
      </c>
      <c r="R337" s="2" t="inlineStr"/>
    </row>
    <row r="338" ht="15" customHeight="1">
      <c r="A338" t="inlineStr">
        <is>
          <t>A 16519-2022</t>
        </is>
      </c>
      <c r="B338" s="1" t="n">
        <v>44672</v>
      </c>
      <c r="C338" s="1" t="n">
        <v>45831</v>
      </c>
      <c r="D338" t="inlineStr">
        <is>
          <t>VÄSTERNORRLANDS LÄN</t>
        </is>
      </c>
      <c r="E338" t="inlineStr">
        <is>
          <t>TIMRÅ</t>
        </is>
      </c>
      <c r="G338" t="n">
        <v>3</v>
      </c>
      <c r="H338" t="n">
        <v>0</v>
      </c>
      <c r="I338" t="n">
        <v>0</v>
      </c>
      <c r="J338" t="n">
        <v>0</v>
      </c>
      <c r="K338" t="n">
        <v>0</v>
      </c>
      <c r="L338" t="n">
        <v>0</v>
      </c>
      <c r="M338" t="n">
        <v>0</v>
      </c>
      <c r="N338" t="n">
        <v>0</v>
      </c>
      <c r="O338" t="n">
        <v>0</v>
      </c>
      <c r="P338" t="n">
        <v>0</v>
      </c>
      <c r="Q338" t="n">
        <v>0</v>
      </c>
      <c r="R338" s="2" t="inlineStr"/>
    </row>
    <row r="339" ht="15" customHeight="1">
      <c r="A339" t="inlineStr">
        <is>
          <t>A 17040-2022</t>
        </is>
      </c>
      <c r="B339" s="1" t="n">
        <v>44676</v>
      </c>
      <c r="C339" s="1" t="n">
        <v>45831</v>
      </c>
      <c r="D339" t="inlineStr">
        <is>
          <t>VÄSTERNORRLANDS LÄN</t>
        </is>
      </c>
      <c r="E339" t="inlineStr">
        <is>
          <t>TIMRÅ</t>
        </is>
      </c>
      <c r="G339" t="n">
        <v>3.5</v>
      </c>
      <c r="H339" t="n">
        <v>0</v>
      </c>
      <c r="I339" t="n">
        <v>0</v>
      </c>
      <c r="J339" t="n">
        <v>0</v>
      </c>
      <c r="K339" t="n">
        <v>0</v>
      </c>
      <c r="L339" t="n">
        <v>0</v>
      </c>
      <c r="M339" t="n">
        <v>0</v>
      </c>
      <c r="N339" t="n">
        <v>0</v>
      </c>
      <c r="O339" t="n">
        <v>0</v>
      </c>
      <c r="P339" t="n">
        <v>0</v>
      </c>
      <c r="Q339" t="n">
        <v>0</v>
      </c>
      <c r="R339" s="2" t="inlineStr"/>
    </row>
    <row r="340" ht="15" customHeight="1">
      <c r="A340" t="inlineStr">
        <is>
          <t>A 22194-2022</t>
        </is>
      </c>
      <c r="B340" s="1" t="n">
        <v>44712</v>
      </c>
      <c r="C340" s="1" t="n">
        <v>45831</v>
      </c>
      <c r="D340" t="inlineStr">
        <is>
          <t>VÄSTERNORRLANDS LÄN</t>
        </is>
      </c>
      <c r="E340" t="inlineStr">
        <is>
          <t>TIMRÅ</t>
        </is>
      </c>
      <c r="G340" t="n">
        <v>0.9</v>
      </c>
      <c r="H340" t="n">
        <v>0</v>
      </c>
      <c r="I340" t="n">
        <v>0</v>
      </c>
      <c r="J340" t="n">
        <v>0</v>
      </c>
      <c r="K340" t="n">
        <v>0</v>
      </c>
      <c r="L340" t="n">
        <v>0</v>
      </c>
      <c r="M340" t="n">
        <v>0</v>
      </c>
      <c r="N340" t="n">
        <v>0</v>
      </c>
      <c r="O340" t="n">
        <v>0</v>
      </c>
      <c r="P340" t="n">
        <v>0</v>
      </c>
      <c r="Q340" t="n">
        <v>0</v>
      </c>
      <c r="R340" s="2" t="inlineStr"/>
    </row>
    <row r="341" ht="15" customHeight="1">
      <c r="A341" t="inlineStr">
        <is>
          <t>A 23670-2022</t>
        </is>
      </c>
      <c r="B341" s="1" t="n">
        <v>44722</v>
      </c>
      <c r="C341" s="1" t="n">
        <v>45831</v>
      </c>
      <c r="D341" t="inlineStr">
        <is>
          <t>VÄSTERNORRLANDS LÄN</t>
        </is>
      </c>
      <c r="E341" t="inlineStr">
        <is>
          <t>TIMRÅ</t>
        </is>
      </c>
      <c r="G341" t="n">
        <v>4.9</v>
      </c>
      <c r="H341" t="n">
        <v>0</v>
      </c>
      <c r="I341" t="n">
        <v>0</v>
      </c>
      <c r="J341" t="n">
        <v>0</v>
      </c>
      <c r="K341" t="n">
        <v>0</v>
      </c>
      <c r="L341" t="n">
        <v>0</v>
      </c>
      <c r="M341" t="n">
        <v>0</v>
      </c>
      <c r="N341" t="n">
        <v>0</v>
      </c>
      <c r="O341" t="n">
        <v>0</v>
      </c>
      <c r="P341" t="n">
        <v>0</v>
      </c>
      <c r="Q341" t="n">
        <v>0</v>
      </c>
      <c r="R341" s="2" t="inlineStr"/>
    </row>
    <row r="342" ht="15" customHeight="1">
      <c r="A342" t="inlineStr">
        <is>
          <t>A 23693-2022</t>
        </is>
      </c>
      <c r="B342" s="1" t="n">
        <v>44721</v>
      </c>
      <c r="C342" s="1" t="n">
        <v>45831</v>
      </c>
      <c r="D342" t="inlineStr">
        <is>
          <t>VÄSTERNORRLANDS LÄN</t>
        </is>
      </c>
      <c r="E342" t="inlineStr">
        <is>
          <t>TIMRÅ</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23676-2022</t>
        </is>
      </c>
      <c r="B343" s="1" t="n">
        <v>44721</v>
      </c>
      <c r="C343" s="1" t="n">
        <v>45831</v>
      </c>
      <c r="D343" t="inlineStr">
        <is>
          <t>VÄSTERNORRLANDS LÄN</t>
        </is>
      </c>
      <c r="E343" t="inlineStr">
        <is>
          <t>TIMRÅ</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24304-2022</t>
        </is>
      </c>
      <c r="B344" s="1" t="n">
        <v>44725</v>
      </c>
      <c r="C344" s="1" t="n">
        <v>45831</v>
      </c>
      <c r="D344" t="inlineStr">
        <is>
          <t>VÄSTERNORRLANDS LÄN</t>
        </is>
      </c>
      <c r="E344" t="inlineStr">
        <is>
          <t>TIMRÅ</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24306-2022</t>
        </is>
      </c>
      <c r="B345" s="1" t="n">
        <v>44726</v>
      </c>
      <c r="C345" s="1" t="n">
        <v>45831</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24305-2022</t>
        </is>
      </c>
      <c r="B346" s="1" t="n">
        <v>44726</v>
      </c>
      <c r="C346" s="1" t="n">
        <v>45831</v>
      </c>
      <c r="D346" t="inlineStr">
        <is>
          <t>VÄSTERNORRLANDS LÄN</t>
        </is>
      </c>
      <c r="E346" t="inlineStr">
        <is>
          <t>TIMRÅ</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24988-2022</t>
        </is>
      </c>
      <c r="B347" s="1" t="n">
        <v>44728</v>
      </c>
      <c r="C347" s="1" t="n">
        <v>45831</v>
      </c>
      <c r="D347" t="inlineStr">
        <is>
          <t>VÄSTERNORRLANDS LÄN</t>
        </is>
      </c>
      <c r="E347" t="inlineStr">
        <is>
          <t>TIMRÅ</t>
        </is>
      </c>
      <c r="G347" t="n">
        <v>1.7</v>
      </c>
      <c r="H347" t="n">
        <v>0</v>
      </c>
      <c r="I347" t="n">
        <v>0</v>
      </c>
      <c r="J347" t="n">
        <v>0</v>
      </c>
      <c r="K347" t="n">
        <v>0</v>
      </c>
      <c r="L347" t="n">
        <v>0</v>
      </c>
      <c r="M347" t="n">
        <v>0</v>
      </c>
      <c r="N347" t="n">
        <v>0</v>
      </c>
      <c r="O347" t="n">
        <v>0</v>
      </c>
      <c r="P347" t="n">
        <v>0</v>
      </c>
      <c r="Q347" t="n">
        <v>0</v>
      </c>
      <c r="R347" s="2" t="inlineStr"/>
    </row>
    <row r="348" ht="15" customHeight="1">
      <c r="A348" t="inlineStr">
        <is>
          <t>A 25414-2022</t>
        </is>
      </c>
      <c r="B348" s="1" t="n">
        <v>44732</v>
      </c>
      <c r="C348" s="1" t="n">
        <v>45831</v>
      </c>
      <c r="D348" t="inlineStr">
        <is>
          <t>VÄSTERNORRLANDS LÄN</t>
        </is>
      </c>
      <c r="E348" t="inlineStr">
        <is>
          <t>TIMRÅ</t>
        </is>
      </c>
      <c r="G348" t="n">
        <v>7.7</v>
      </c>
      <c r="H348" t="n">
        <v>0</v>
      </c>
      <c r="I348" t="n">
        <v>0</v>
      </c>
      <c r="J348" t="n">
        <v>0</v>
      </c>
      <c r="K348" t="n">
        <v>0</v>
      </c>
      <c r="L348" t="n">
        <v>0</v>
      </c>
      <c r="M348" t="n">
        <v>0</v>
      </c>
      <c r="N348" t="n">
        <v>0</v>
      </c>
      <c r="O348" t="n">
        <v>0</v>
      </c>
      <c r="P348" t="n">
        <v>0</v>
      </c>
      <c r="Q348" t="n">
        <v>0</v>
      </c>
      <c r="R348" s="2" t="inlineStr"/>
    </row>
    <row r="349" ht="15" customHeight="1">
      <c r="A349" t="inlineStr">
        <is>
          <t>A 25644-2022</t>
        </is>
      </c>
      <c r="B349" s="1" t="n">
        <v>44732</v>
      </c>
      <c r="C349" s="1" t="n">
        <v>45831</v>
      </c>
      <c r="D349" t="inlineStr">
        <is>
          <t>VÄSTERNORRLANDS LÄN</t>
        </is>
      </c>
      <c r="E349" t="inlineStr">
        <is>
          <t>TIMRÅ</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29308-2022</t>
        </is>
      </c>
      <c r="B350" s="1" t="n">
        <v>44750</v>
      </c>
      <c r="C350" s="1" t="n">
        <v>45831</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29306-2022</t>
        </is>
      </c>
      <c r="B351" s="1" t="n">
        <v>44751</v>
      </c>
      <c r="C351" s="1" t="n">
        <v>45831</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31489-2022</t>
        </is>
      </c>
      <c r="B352" s="1" t="n">
        <v>44774</v>
      </c>
      <c r="C352" s="1" t="n">
        <v>45831</v>
      </c>
      <c r="D352" t="inlineStr">
        <is>
          <t>VÄSTERNORRLANDS LÄN</t>
        </is>
      </c>
      <c r="E352" t="inlineStr">
        <is>
          <t>TIMRÅ</t>
        </is>
      </c>
      <c r="F352" t="inlineStr">
        <is>
          <t>SCA</t>
        </is>
      </c>
      <c r="G352" t="n">
        <v>5.6</v>
      </c>
      <c r="H352" t="n">
        <v>0</v>
      </c>
      <c r="I352" t="n">
        <v>0</v>
      </c>
      <c r="J352" t="n">
        <v>0</v>
      </c>
      <c r="K352" t="n">
        <v>0</v>
      </c>
      <c r="L352" t="n">
        <v>0</v>
      </c>
      <c r="M352" t="n">
        <v>0</v>
      </c>
      <c r="N352" t="n">
        <v>0</v>
      </c>
      <c r="O352" t="n">
        <v>0</v>
      </c>
      <c r="P352" t="n">
        <v>0</v>
      </c>
      <c r="Q352" t="n">
        <v>0</v>
      </c>
      <c r="R352" s="2" t="inlineStr"/>
    </row>
    <row r="353" ht="15" customHeight="1">
      <c r="A353" t="inlineStr">
        <is>
          <t>A 31981-2022</t>
        </is>
      </c>
      <c r="B353" s="1" t="n">
        <v>44778</v>
      </c>
      <c r="C353" s="1" t="n">
        <v>45831</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32519-2022</t>
        </is>
      </c>
      <c r="B354" s="1" t="n">
        <v>44782</v>
      </c>
      <c r="C354" s="1" t="n">
        <v>45831</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33719-2022</t>
        </is>
      </c>
      <c r="B355" s="1" t="n">
        <v>44790</v>
      </c>
      <c r="C355" s="1" t="n">
        <v>45831</v>
      </c>
      <c r="D355" t="inlineStr">
        <is>
          <t>VÄSTERNORRLANDS LÄN</t>
        </is>
      </c>
      <c r="E355" t="inlineStr">
        <is>
          <t>TIMRÅ</t>
        </is>
      </c>
      <c r="G355" t="n">
        <v>2.3</v>
      </c>
      <c r="H355" t="n">
        <v>0</v>
      </c>
      <c r="I355" t="n">
        <v>0</v>
      </c>
      <c r="J355" t="n">
        <v>0</v>
      </c>
      <c r="K355" t="n">
        <v>0</v>
      </c>
      <c r="L355" t="n">
        <v>0</v>
      </c>
      <c r="M355" t="n">
        <v>0</v>
      </c>
      <c r="N355" t="n">
        <v>0</v>
      </c>
      <c r="O355" t="n">
        <v>0</v>
      </c>
      <c r="P355" t="n">
        <v>0</v>
      </c>
      <c r="Q355" t="n">
        <v>0</v>
      </c>
      <c r="R355" s="2" t="inlineStr"/>
    </row>
    <row r="356" ht="15" customHeight="1">
      <c r="A356" t="inlineStr">
        <is>
          <t>A 34041-2022</t>
        </is>
      </c>
      <c r="B356" s="1" t="n">
        <v>44790</v>
      </c>
      <c r="C356" s="1" t="n">
        <v>45831</v>
      </c>
      <c r="D356" t="inlineStr">
        <is>
          <t>VÄSTERNORRLANDS LÄN</t>
        </is>
      </c>
      <c r="E356" t="inlineStr">
        <is>
          <t>TIMRÅ</t>
        </is>
      </c>
      <c r="G356" t="n">
        <v>1.8</v>
      </c>
      <c r="H356" t="n">
        <v>0</v>
      </c>
      <c r="I356" t="n">
        <v>0</v>
      </c>
      <c r="J356" t="n">
        <v>0</v>
      </c>
      <c r="K356" t="n">
        <v>0</v>
      </c>
      <c r="L356" t="n">
        <v>0</v>
      </c>
      <c r="M356" t="n">
        <v>0</v>
      </c>
      <c r="N356" t="n">
        <v>0</v>
      </c>
      <c r="O356" t="n">
        <v>0</v>
      </c>
      <c r="P356" t="n">
        <v>0</v>
      </c>
      <c r="Q356" t="n">
        <v>0</v>
      </c>
      <c r="R356" s="2" t="inlineStr"/>
    </row>
    <row r="357" ht="15" customHeight="1">
      <c r="A357" t="inlineStr">
        <is>
          <t>A 34053-2022</t>
        </is>
      </c>
      <c r="B357" s="1" t="n">
        <v>44790</v>
      </c>
      <c r="C357" s="1" t="n">
        <v>45831</v>
      </c>
      <c r="D357" t="inlineStr">
        <is>
          <t>VÄSTERNORRLANDS LÄN</t>
        </is>
      </c>
      <c r="E357" t="inlineStr">
        <is>
          <t>TIMRÅ</t>
        </is>
      </c>
      <c r="G357" t="n">
        <v>1</v>
      </c>
      <c r="H357" t="n">
        <v>0</v>
      </c>
      <c r="I357" t="n">
        <v>0</v>
      </c>
      <c r="J357" t="n">
        <v>0</v>
      </c>
      <c r="K357" t="n">
        <v>0</v>
      </c>
      <c r="L357" t="n">
        <v>0</v>
      </c>
      <c r="M357" t="n">
        <v>0</v>
      </c>
      <c r="N357" t="n">
        <v>0</v>
      </c>
      <c r="O357" t="n">
        <v>0</v>
      </c>
      <c r="P357" t="n">
        <v>0</v>
      </c>
      <c r="Q357" t="n">
        <v>0</v>
      </c>
      <c r="R357" s="2" t="inlineStr"/>
    </row>
    <row r="358" ht="15" customHeight="1">
      <c r="A358" t="inlineStr">
        <is>
          <t>A 34038-2022</t>
        </is>
      </c>
      <c r="B358" s="1" t="n">
        <v>44791</v>
      </c>
      <c r="C358" s="1" t="n">
        <v>45831</v>
      </c>
      <c r="D358" t="inlineStr">
        <is>
          <t>VÄSTERNORRLANDS LÄN</t>
        </is>
      </c>
      <c r="E358" t="inlineStr">
        <is>
          <t>TIMRÅ</t>
        </is>
      </c>
      <c r="G358" t="n">
        <v>2.5</v>
      </c>
      <c r="H358" t="n">
        <v>0</v>
      </c>
      <c r="I358" t="n">
        <v>0</v>
      </c>
      <c r="J358" t="n">
        <v>0</v>
      </c>
      <c r="K358" t="n">
        <v>0</v>
      </c>
      <c r="L358" t="n">
        <v>0</v>
      </c>
      <c r="M358" t="n">
        <v>0</v>
      </c>
      <c r="N358" t="n">
        <v>0</v>
      </c>
      <c r="O358" t="n">
        <v>0</v>
      </c>
      <c r="P358" t="n">
        <v>0</v>
      </c>
      <c r="Q358" t="n">
        <v>0</v>
      </c>
      <c r="R358" s="2" t="inlineStr"/>
    </row>
    <row r="359" ht="15" customHeight="1">
      <c r="A359" t="inlineStr">
        <is>
          <t>A 34099-2022</t>
        </is>
      </c>
      <c r="B359" s="1" t="n">
        <v>44791</v>
      </c>
      <c r="C359" s="1" t="n">
        <v>45831</v>
      </c>
      <c r="D359" t="inlineStr">
        <is>
          <t>VÄSTERNORRLANDS LÄN</t>
        </is>
      </c>
      <c r="E359" t="inlineStr">
        <is>
          <t>TIMRÅ</t>
        </is>
      </c>
      <c r="G359" t="n">
        <v>2.7</v>
      </c>
      <c r="H359" t="n">
        <v>0</v>
      </c>
      <c r="I359" t="n">
        <v>0</v>
      </c>
      <c r="J359" t="n">
        <v>0</v>
      </c>
      <c r="K359" t="n">
        <v>0</v>
      </c>
      <c r="L359" t="n">
        <v>0</v>
      </c>
      <c r="M359" t="n">
        <v>0</v>
      </c>
      <c r="N359" t="n">
        <v>0</v>
      </c>
      <c r="O359" t="n">
        <v>0</v>
      </c>
      <c r="P359" t="n">
        <v>0</v>
      </c>
      <c r="Q359" t="n">
        <v>0</v>
      </c>
      <c r="R359" s="2" t="inlineStr"/>
    </row>
    <row r="360" ht="15" customHeight="1">
      <c r="A360" t="inlineStr">
        <is>
          <t>A 34246-2022</t>
        </is>
      </c>
      <c r="B360" s="1" t="n">
        <v>44791</v>
      </c>
      <c r="C360" s="1" t="n">
        <v>45831</v>
      </c>
      <c r="D360" t="inlineStr">
        <is>
          <t>VÄSTERNORRLANDS LÄN</t>
        </is>
      </c>
      <c r="E360" t="inlineStr">
        <is>
          <t>TIMRÅ</t>
        </is>
      </c>
      <c r="G360" t="n">
        <v>7.7</v>
      </c>
      <c r="H360" t="n">
        <v>0</v>
      </c>
      <c r="I360" t="n">
        <v>0</v>
      </c>
      <c r="J360" t="n">
        <v>0</v>
      </c>
      <c r="K360" t="n">
        <v>0</v>
      </c>
      <c r="L360" t="n">
        <v>0</v>
      </c>
      <c r="M360" t="n">
        <v>0</v>
      </c>
      <c r="N360" t="n">
        <v>0</v>
      </c>
      <c r="O360" t="n">
        <v>0</v>
      </c>
      <c r="P360" t="n">
        <v>0</v>
      </c>
      <c r="Q360" t="n">
        <v>0</v>
      </c>
      <c r="R360" s="2" t="inlineStr"/>
    </row>
    <row r="361" ht="15" customHeight="1">
      <c r="A361" t="inlineStr">
        <is>
          <t>A 35477-2022</t>
        </is>
      </c>
      <c r="B361" s="1" t="n">
        <v>44799</v>
      </c>
      <c r="C361" s="1" t="n">
        <v>45831</v>
      </c>
      <c r="D361" t="inlineStr">
        <is>
          <t>VÄSTERNORRLANDS LÄN</t>
        </is>
      </c>
      <c r="E361" t="inlineStr">
        <is>
          <t>TIMRÅ</t>
        </is>
      </c>
      <c r="G361" t="n">
        <v>1</v>
      </c>
      <c r="H361" t="n">
        <v>0</v>
      </c>
      <c r="I361" t="n">
        <v>0</v>
      </c>
      <c r="J361" t="n">
        <v>0</v>
      </c>
      <c r="K361" t="n">
        <v>0</v>
      </c>
      <c r="L361" t="n">
        <v>0</v>
      </c>
      <c r="M361" t="n">
        <v>0</v>
      </c>
      <c r="N361" t="n">
        <v>0</v>
      </c>
      <c r="O361" t="n">
        <v>0</v>
      </c>
      <c r="P361" t="n">
        <v>0</v>
      </c>
      <c r="Q361" t="n">
        <v>0</v>
      </c>
      <c r="R361" s="2" t="inlineStr"/>
    </row>
    <row r="362" ht="15" customHeight="1">
      <c r="A362" t="inlineStr">
        <is>
          <t>A 35448-2022</t>
        </is>
      </c>
      <c r="B362" s="1" t="n">
        <v>44798</v>
      </c>
      <c r="C362" s="1" t="n">
        <v>45831</v>
      </c>
      <c r="D362" t="inlineStr">
        <is>
          <t>VÄSTERNORRLANDS LÄN</t>
        </is>
      </c>
      <c r="E362" t="inlineStr">
        <is>
          <t>TIMRÅ</t>
        </is>
      </c>
      <c r="G362" t="n">
        <v>2.8</v>
      </c>
      <c r="H362" t="n">
        <v>0</v>
      </c>
      <c r="I362" t="n">
        <v>0</v>
      </c>
      <c r="J362" t="n">
        <v>0</v>
      </c>
      <c r="K362" t="n">
        <v>0</v>
      </c>
      <c r="L362" t="n">
        <v>0</v>
      </c>
      <c r="M362" t="n">
        <v>0</v>
      </c>
      <c r="N362" t="n">
        <v>0</v>
      </c>
      <c r="O362" t="n">
        <v>0</v>
      </c>
      <c r="P362" t="n">
        <v>0</v>
      </c>
      <c r="Q362" t="n">
        <v>0</v>
      </c>
      <c r="R362" s="2" t="inlineStr"/>
    </row>
    <row r="363" ht="15" customHeight="1">
      <c r="A363" t="inlineStr">
        <is>
          <t>A 35758-2022</t>
        </is>
      </c>
      <c r="B363" s="1" t="n">
        <v>44799</v>
      </c>
      <c r="C363" s="1" t="n">
        <v>45831</v>
      </c>
      <c r="D363" t="inlineStr">
        <is>
          <t>VÄSTERNORRLANDS LÄN</t>
        </is>
      </c>
      <c r="E363" t="inlineStr">
        <is>
          <t>TIMRÅ</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36564-2022</t>
        </is>
      </c>
      <c r="B364" s="1" t="n">
        <v>44804</v>
      </c>
      <c r="C364" s="1" t="n">
        <v>45831</v>
      </c>
      <c r="D364" t="inlineStr">
        <is>
          <t>VÄSTERNORRLANDS LÄN</t>
        </is>
      </c>
      <c r="E364" t="inlineStr">
        <is>
          <t>TIMRÅ</t>
        </is>
      </c>
      <c r="G364" t="n">
        <v>16.6</v>
      </c>
      <c r="H364" t="n">
        <v>0</v>
      </c>
      <c r="I364" t="n">
        <v>0</v>
      </c>
      <c r="J364" t="n">
        <v>0</v>
      </c>
      <c r="K364" t="n">
        <v>0</v>
      </c>
      <c r="L364" t="n">
        <v>0</v>
      </c>
      <c r="M364" t="n">
        <v>0</v>
      </c>
      <c r="N364" t="n">
        <v>0</v>
      </c>
      <c r="O364" t="n">
        <v>0</v>
      </c>
      <c r="P364" t="n">
        <v>0</v>
      </c>
      <c r="Q364" t="n">
        <v>0</v>
      </c>
      <c r="R364" s="2" t="inlineStr"/>
    </row>
    <row r="365" ht="15" customHeight="1">
      <c r="A365" t="inlineStr">
        <is>
          <t>A 38445-2022</t>
        </is>
      </c>
      <c r="B365" s="1" t="n">
        <v>44813</v>
      </c>
      <c r="C365" s="1" t="n">
        <v>45831</v>
      </c>
      <c r="D365" t="inlineStr">
        <is>
          <t>VÄSTERNORRLANDS LÄN</t>
        </is>
      </c>
      <c r="E365" t="inlineStr">
        <is>
          <t>TIMRÅ</t>
        </is>
      </c>
      <c r="G365" t="n">
        <v>0.7</v>
      </c>
      <c r="H365" t="n">
        <v>0</v>
      </c>
      <c r="I365" t="n">
        <v>0</v>
      </c>
      <c r="J365" t="n">
        <v>0</v>
      </c>
      <c r="K365" t="n">
        <v>0</v>
      </c>
      <c r="L365" t="n">
        <v>0</v>
      </c>
      <c r="M365" t="n">
        <v>0</v>
      </c>
      <c r="N365" t="n">
        <v>0</v>
      </c>
      <c r="O365" t="n">
        <v>0</v>
      </c>
      <c r="P365" t="n">
        <v>0</v>
      </c>
      <c r="Q365" t="n">
        <v>0</v>
      </c>
      <c r="R365" s="2" t="inlineStr"/>
    </row>
    <row r="366" ht="15" customHeight="1">
      <c r="A366" t="inlineStr">
        <is>
          <t>A 39108-2022</t>
        </is>
      </c>
      <c r="B366" s="1" t="n">
        <v>44817</v>
      </c>
      <c r="C366" s="1" t="n">
        <v>45831</v>
      </c>
      <c r="D366" t="inlineStr">
        <is>
          <t>VÄSTERNORRLANDS LÄN</t>
        </is>
      </c>
      <c r="E366" t="inlineStr">
        <is>
          <t>TIMRÅ</t>
        </is>
      </c>
      <c r="G366" t="n">
        <v>2.5</v>
      </c>
      <c r="H366" t="n">
        <v>0</v>
      </c>
      <c r="I366" t="n">
        <v>0</v>
      </c>
      <c r="J366" t="n">
        <v>0</v>
      </c>
      <c r="K366" t="n">
        <v>0</v>
      </c>
      <c r="L366" t="n">
        <v>0</v>
      </c>
      <c r="M366" t="n">
        <v>0</v>
      </c>
      <c r="N366" t="n">
        <v>0</v>
      </c>
      <c r="O366" t="n">
        <v>0</v>
      </c>
      <c r="P366" t="n">
        <v>0</v>
      </c>
      <c r="Q366" t="n">
        <v>0</v>
      </c>
      <c r="R366" s="2" t="inlineStr"/>
    </row>
    <row r="367" ht="15" customHeight="1">
      <c r="A367" t="inlineStr">
        <is>
          <t>A 39691-2022</t>
        </is>
      </c>
      <c r="B367" s="1" t="n">
        <v>44819</v>
      </c>
      <c r="C367" s="1" t="n">
        <v>45831</v>
      </c>
      <c r="D367" t="inlineStr">
        <is>
          <t>VÄSTERNORRLANDS LÄN</t>
        </is>
      </c>
      <c r="E367" t="inlineStr">
        <is>
          <t>TIMRÅ</t>
        </is>
      </c>
      <c r="G367" t="n">
        <v>1.4</v>
      </c>
      <c r="H367" t="n">
        <v>0</v>
      </c>
      <c r="I367" t="n">
        <v>0</v>
      </c>
      <c r="J367" t="n">
        <v>0</v>
      </c>
      <c r="K367" t="n">
        <v>0</v>
      </c>
      <c r="L367" t="n">
        <v>0</v>
      </c>
      <c r="M367" t="n">
        <v>0</v>
      </c>
      <c r="N367" t="n">
        <v>0</v>
      </c>
      <c r="O367" t="n">
        <v>0</v>
      </c>
      <c r="P367" t="n">
        <v>0</v>
      </c>
      <c r="Q367" t="n">
        <v>0</v>
      </c>
      <c r="R367" s="2" t="inlineStr"/>
    </row>
    <row r="368" ht="15" customHeight="1">
      <c r="A368" t="inlineStr">
        <is>
          <t>A 40270-2022</t>
        </is>
      </c>
      <c r="B368" s="1" t="n">
        <v>44821</v>
      </c>
      <c r="C368" s="1" t="n">
        <v>45831</v>
      </c>
      <c r="D368" t="inlineStr">
        <is>
          <t>VÄSTERNORRLANDS LÄN</t>
        </is>
      </c>
      <c r="E368" t="inlineStr">
        <is>
          <t>TIMRÅ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41465-2022</t>
        </is>
      </c>
      <c r="B369" s="1" t="n">
        <v>44827</v>
      </c>
      <c r="C369" s="1" t="n">
        <v>45831</v>
      </c>
      <c r="D369" t="inlineStr">
        <is>
          <t>VÄSTERNORRLANDS LÄN</t>
        </is>
      </c>
      <c r="E369" t="inlineStr">
        <is>
          <t>TIMRÅ</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41457-2022</t>
        </is>
      </c>
      <c r="B370" s="1" t="n">
        <v>44826</v>
      </c>
      <c r="C370" s="1" t="n">
        <v>45831</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42281-2022</t>
        </is>
      </c>
      <c r="B371" s="1" t="n">
        <v>44830</v>
      </c>
      <c r="C371" s="1" t="n">
        <v>45831</v>
      </c>
      <c r="D371" t="inlineStr">
        <is>
          <t>VÄSTERNORRLANDS LÄN</t>
        </is>
      </c>
      <c r="E371" t="inlineStr">
        <is>
          <t>TIMRÅ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43233-2022</t>
        </is>
      </c>
      <c r="B372" s="1" t="n">
        <v>44833</v>
      </c>
      <c r="C372" s="1" t="n">
        <v>45831</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43135-2022</t>
        </is>
      </c>
      <c r="B373" s="1" t="n">
        <v>44833</v>
      </c>
      <c r="C373" s="1" t="n">
        <v>45831</v>
      </c>
      <c r="D373" t="inlineStr">
        <is>
          <t>VÄSTERNORRLANDS LÄN</t>
        </is>
      </c>
      <c r="E373" t="inlineStr">
        <is>
          <t>TIMRÅ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43162-2022</t>
        </is>
      </c>
      <c r="B374" s="1" t="n">
        <v>44834</v>
      </c>
      <c r="C374" s="1" t="n">
        <v>45831</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43237-2022</t>
        </is>
      </c>
      <c r="B375" s="1" t="n">
        <v>44833</v>
      </c>
      <c r="C375" s="1" t="n">
        <v>45831</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44432-2022</t>
        </is>
      </c>
      <c r="B376" s="1" t="n">
        <v>44839</v>
      </c>
      <c r="C376" s="1" t="n">
        <v>45831</v>
      </c>
      <c r="D376" t="inlineStr">
        <is>
          <t>VÄSTERNORRLANDS LÄN</t>
        </is>
      </c>
      <c r="E376" t="inlineStr">
        <is>
          <t>TIMRÅ</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44759-2022</t>
        </is>
      </c>
      <c r="B377" s="1" t="n">
        <v>44840</v>
      </c>
      <c r="C377" s="1" t="n">
        <v>45831</v>
      </c>
      <c r="D377" t="inlineStr">
        <is>
          <t>VÄSTERNORRLANDS LÄN</t>
        </is>
      </c>
      <c r="E377" t="inlineStr">
        <is>
          <t>TIMRÅ</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45688-2022</t>
        </is>
      </c>
      <c r="B378" s="1" t="n">
        <v>44845</v>
      </c>
      <c r="C378" s="1" t="n">
        <v>45831</v>
      </c>
      <c r="D378" t="inlineStr">
        <is>
          <t>VÄSTERNORRLANDS LÄN</t>
        </is>
      </c>
      <c r="E378" t="inlineStr">
        <is>
          <t>TIMRÅ</t>
        </is>
      </c>
      <c r="G378" t="n">
        <v>1.1</v>
      </c>
      <c r="H378" t="n">
        <v>0</v>
      </c>
      <c r="I378" t="n">
        <v>0</v>
      </c>
      <c r="J378" t="n">
        <v>0</v>
      </c>
      <c r="K378" t="n">
        <v>0</v>
      </c>
      <c r="L378" t="n">
        <v>0</v>
      </c>
      <c r="M378" t="n">
        <v>0</v>
      </c>
      <c r="N378" t="n">
        <v>0</v>
      </c>
      <c r="O378" t="n">
        <v>0</v>
      </c>
      <c r="P378" t="n">
        <v>0</v>
      </c>
      <c r="Q378" t="n">
        <v>0</v>
      </c>
      <c r="R378" s="2" t="inlineStr"/>
    </row>
    <row r="379" ht="15" customHeight="1">
      <c r="A379" t="inlineStr">
        <is>
          <t>A 45695-2022</t>
        </is>
      </c>
      <c r="B379" s="1" t="n">
        <v>44846</v>
      </c>
      <c r="C379" s="1" t="n">
        <v>45831</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46021-2022</t>
        </is>
      </c>
      <c r="B380" s="1" t="n">
        <v>44846</v>
      </c>
      <c r="C380" s="1" t="n">
        <v>45831</v>
      </c>
      <c r="D380" t="inlineStr">
        <is>
          <t>VÄSTERNORRLANDS LÄN</t>
        </is>
      </c>
      <c r="E380" t="inlineStr">
        <is>
          <t>TIMRÅ</t>
        </is>
      </c>
      <c r="F380" t="inlineStr">
        <is>
          <t>Kyrkan</t>
        </is>
      </c>
      <c r="G380" t="n">
        <v>18</v>
      </c>
      <c r="H380" t="n">
        <v>0</v>
      </c>
      <c r="I380" t="n">
        <v>0</v>
      </c>
      <c r="J380" t="n">
        <v>0</v>
      </c>
      <c r="K380" t="n">
        <v>0</v>
      </c>
      <c r="L380" t="n">
        <v>0</v>
      </c>
      <c r="M380" t="n">
        <v>0</v>
      </c>
      <c r="N380" t="n">
        <v>0</v>
      </c>
      <c r="O380" t="n">
        <v>0</v>
      </c>
      <c r="P380" t="n">
        <v>0</v>
      </c>
      <c r="Q380" t="n">
        <v>0</v>
      </c>
      <c r="R380" s="2" t="inlineStr"/>
    </row>
    <row r="381" ht="15" customHeight="1">
      <c r="A381" t="inlineStr">
        <is>
          <t>A 46028-2022</t>
        </is>
      </c>
      <c r="B381" s="1" t="n">
        <v>44846</v>
      </c>
      <c r="C381" s="1" t="n">
        <v>45831</v>
      </c>
      <c r="D381" t="inlineStr">
        <is>
          <t>VÄSTERNORRLANDS LÄN</t>
        </is>
      </c>
      <c r="E381" t="inlineStr">
        <is>
          <t>TIMRÅ</t>
        </is>
      </c>
      <c r="F381" t="inlineStr">
        <is>
          <t>Kyrkan</t>
        </is>
      </c>
      <c r="G381" t="n">
        <v>7.9</v>
      </c>
      <c r="H381" t="n">
        <v>0</v>
      </c>
      <c r="I381" t="n">
        <v>0</v>
      </c>
      <c r="J381" t="n">
        <v>0</v>
      </c>
      <c r="K381" t="n">
        <v>0</v>
      </c>
      <c r="L381" t="n">
        <v>0</v>
      </c>
      <c r="M381" t="n">
        <v>0</v>
      </c>
      <c r="N381" t="n">
        <v>0</v>
      </c>
      <c r="O381" t="n">
        <v>0</v>
      </c>
      <c r="P381" t="n">
        <v>0</v>
      </c>
      <c r="Q381" t="n">
        <v>0</v>
      </c>
      <c r="R381" s="2" t="inlineStr"/>
    </row>
    <row r="382" ht="15" customHeight="1">
      <c r="A382" t="inlineStr">
        <is>
          <t>A 46650-2022</t>
        </is>
      </c>
      <c r="B382" s="1" t="n">
        <v>44849</v>
      </c>
      <c r="C382" s="1" t="n">
        <v>45831</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46971-2022</t>
        </is>
      </c>
      <c r="B383" s="1" t="n">
        <v>44852</v>
      </c>
      <c r="C383" s="1" t="n">
        <v>45831</v>
      </c>
      <c r="D383" t="inlineStr">
        <is>
          <t>VÄSTERNORRLANDS LÄN</t>
        </is>
      </c>
      <c r="E383" t="inlineStr">
        <is>
          <t>TIMRÅ</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47293-2022</t>
        </is>
      </c>
      <c r="B384" s="1" t="n">
        <v>44853</v>
      </c>
      <c r="C384" s="1" t="n">
        <v>45831</v>
      </c>
      <c r="D384" t="inlineStr">
        <is>
          <t>VÄSTERNORRLANDS LÄN</t>
        </is>
      </c>
      <c r="E384" t="inlineStr">
        <is>
          <t>TIMRÅ</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47347-2022</t>
        </is>
      </c>
      <c r="B385" s="1" t="n">
        <v>44852</v>
      </c>
      <c r="C385" s="1" t="n">
        <v>45831</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47562-2022</t>
        </is>
      </c>
      <c r="B386" s="1" t="n">
        <v>44853</v>
      </c>
      <c r="C386" s="1" t="n">
        <v>45831</v>
      </c>
      <c r="D386" t="inlineStr">
        <is>
          <t>VÄSTERNORRLANDS LÄN</t>
        </is>
      </c>
      <c r="E386" t="inlineStr">
        <is>
          <t>TIMRÅ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47588-2022</t>
        </is>
      </c>
      <c r="B387" s="1" t="n">
        <v>44854</v>
      </c>
      <c r="C387" s="1" t="n">
        <v>45831</v>
      </c>
      <c r="D387" t="inlineStr">
        <is>
          <t>VÄSTERNORRLANDS LÄN</t>
        </is>
      </c>
      <c r="E387" t="inlineStr">
        <is>
          <t>TIMRÅ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47697-2022</t>
        </is>
      </c>
      <c r="B388" s="1" t="n">
        <v>44854</v>
      </c>
      <c r="C388" s="1" t="n">
        <v>45831</v>
      </c>
      <c r="D388" t="inlineStr">
        <is>
          <t>VÄSTERNORRLANDS LÄN</t>
        </is>
      </c>
      <c r="E388" t="inlineStr">
        <is>
          <t>TIMRÅ</t>
        </is>
      </c>
      <c r="G388" t="n">
        <v>3.4</v>
      </c>
      <c r="H388" t="n">
        <v>0</v>
      </c>
      <c r="I388" t="n">
        <v>0</v>
      </c>
      <c r="J388" t="n">
        <v>0</v>
      </c>
      <c r="K388" t="n">
        <v>0</v>
      </c>
      <c r="L388" t="n">
        <v>0</v>
      </c>
      <c r="M388" t="n">
        <v>0</v>
      </c>
      <c r="N388" t="n">
        <v>0</v>
      </c>
      <c r="O388" t="n">
        <v>0</v>
      </c>
      <c r="P388" t="n">
        <v>0</v>
      </c>
      <c r="Q388" t="n">
        <v>0</v>
      </c>
      <c r="R388" s="2" t="inlineStr"/>
    </row>
    <row r="389" ht="15" customHeight="1">
      <c r="A389" t="inlineStr">
        <is>
          <t>A 47815-2022</t>
        </is>
      </c>
      <c r="B389" s="1" t="n">
        <v>44854</v>
      </c>
      <c r="C389" s="1" t="n">
        <v>45831</v>
      </c>
      <c r="D389" t="inlineStr">
        <is>
          <t>VÄSTERNORRLANDS LÄN</t>
        </is>
      </c>
      <c r="E389" t="inlineStr">
        <is>
          <t>TIMRÅ</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48083-2022</t>
        </is>
      </c>
      <c r="B390" s="1" t="n">
        <v>44855</v>
      </c>
      <c r="C390" s="1" t="n">
        <v>45831</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48916-2022</t>
        </is>
      </c>
      <c r="B391" s="1" t="n">
        <v>44860</v>
      </c>
      <c r="C391" s="1" t="n">
        <v>45831</v>
      </c>
      <c r="D391" t="inlineStr">
        <is>
          <t>VÄSTERNORRLANDS LÄN</t>
        </is>
      </c>
      <c r="E391" t="inlineStr">
        <is>
          <t>TIMRÅ</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48918-2022</t>
        </is>
      </c>
      <c r="B392" s="1" t="n">
        <v>44859</v>
      </c>
      <c r="C392" s="1" t="n">
        <v>45831</v>
      </c>
      <c r="D392" t="inlineStr">
        <is>
          <t>VÄSTERNORRLANDS LÄN</t>
        </is>
      </c>
      <c r="E392" t="inlineStr">
        <is>
          <t>TIMRÅ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49203-2022</t>
        </is>
      </c>
      <c r="B393" s="1" t="n">
        <v>44860</v>
      </c>
      <c r="C393" s="1" t="n">
        <v>45831</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50660-2022</t>
        </is>
      </c>
      <c r="B394" s="1" t="n">
        <v>44866</v>
      </c>
      <c r="C394" s="1" t="n">
        <v>45831</v>
      </c>
      <c r="D394" t="inlineStr">
        <is>
          <t>VÄSTERNORRLANDS LÄN</t>
        </is>
      </c>
      <c r="E394" t="inlineStr">
        <is>
          <t>TIMRÅ</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52096-2022</t>
        </is>
      </c>
      <c r="B395" s="1" t="n">
        <v>44868</v>
      </c>
      <c r="C395" s="1" t="n">
        <v>45831</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51564-2022</t>
        </is>
      </c>
      <c r="B396" s="1" t="n">
        <v>44869</v>
      </c>
      <c r="C396" s="1" t="n">
        <v>45831</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51546-2022</t>
        </is>
      </c>
      <c r="B397" s="1" t="n">
        <v>44869</v>
      </c>
      <c r="C397" s="1" t="n">
        <v>45831</v>
      </c>
      <c r="D397" t="inlineStr">
        <is>
          <t>VÄSTERNORRLANDS LÄN</t>
        </is>
      </c>
      <c r="E397" t="inlineStr">
        <is>
          <t>TIMRÅ</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52213-2022</t>
        </is>
      </c>
      <c r="B398" s="1" t="n">
        <v>44869</v>
      </c>
      <c r="C398" s="1" t="n">
        <v>45831</v>
      </c>
      <c r="D398" t="inlineStr">
        <is>
          <t>VÄSTERNORRLANDS LÄN</t>
        </is>
      </c>
      <c r="E398" t="inlineStr">
        <is>
          <t>TIMRÅ</t>
        </is>
      </c>
      <c r="G398" t="n">
        <v>11.4</v>
      </c>
      <c r="H398" t="n">
        <v>0</v>
      </c>
      <c r="I398" t="n">
        <v>0</v>
      </c>
      <c r="J398" t="n">
        <v>0</v>
      </c>
      <c r="K398" t="n">
        <v>0</v>
      </c>
      <c r="L398" t="n">
        <v>0</v>
      </c>
      <c r="M398" t="n">
        <v>0</v>
      </c>
      <c r="N398" t="n">
        <v>0</v>
      </c>
      <c r="O398" t="n">
        <v>0</v>
      </c>
      <c r="P398" t="n">
        <v>0</v>
      </c>
      <c r="Q398" t="n">
        <v>0</v>
      </c>
      <c r="R398" s="2" t="inlineStr"/>
    </row>
    <row r="399" ht="15" customHeight="1">
      <c r="A399" t="inlineStr">
        <is>
          <t>A 52232-2022</t>
        </is>
      </c>
      <c r="B399" s="1" t="n">
        <v>44869</v>
      </c>
      <c r="C399" s="1" t="n">
        <v>45831</v>
      </c>
      <c r="D399" t="inlineStr">
        <is>
          <t>VÄSTERNORRLANDS LÄN</t>
        </is>
      </c>
      <c r="E399" t="inlineStr">
        <is>
          <t>TIMRÅ</t>
        </is>
      </c>
      <c r="G399" t="n">
        <v>7.9</v>
      </c>
      <c r="H399" t="n">
        <v>0</v>
      </c>
      <c r="I399" t="n">
        <v>0</v>
      </c>
      <c r="J399" t="n">
        <v>0</v>
      </c>
      <c r="K399" t="n">
        <v>0</v>
      </c>
      <c r="L399" t="n">
        <v>0</v>
      </c>
      <c r="M399" t="n">
        <v>0</v>
      </c>
      <c r="N399" t="n">
        <v>0</v>
      </c>
      <c r="O399" t="n">
        <v>0</v>
      </c>
      <c r="P399" t="n">
        <v>0</v>
      </c>
      <c r="Q399" t="n">
        <v>0</v>
      </c>
      <c r="R399" s="2" t="inlineStr"/>
    </row>
    <row r="400" ht="15" customHeight="1">
      <c r="A400" t="inlineStr">
        <is>
          <t>A 52220-2022</t>
        </is>
      </c>
      <c r="B400" s="1" t="n">
        <v>44869</v>
      </c>
      <c r="C400" s="1" t="n">
        <v>45831</v>
      </c>
      <c r="D400" t="inlineStr">
        <is>
          <t>VÄSTERNORRLANDS LÄN</t>
        </is>
      </c>
      <c r="E400" t="inlineStr">
        <is>
          <t>TIMRÅ</t>
        </is>
      </c>
      <c r="G400" t="n">
        <v>5.5</v>
      </c>
      <c r="H400" t="n">
        <v>0</v>
      </c>
      <c r="I400" t="n">
        <v>0</v>
      </c>
      <c r="J400" t="n">
        <v>0</v>
      </c>
      <c r="K400" t="n">
        <v>0</v>
      </c>
      <c r="L400" t="n">
        <v>0</v>
      </c>
      <c r="M400" t="n">
        <v>0</v>
      </c>
      <c r="N400" t="n">
        <v>0</v>
      </c>
      <c r="O400" t="n">
        <v>0</v>
      </c>
      <c r="P400" t="n">
        <v>0</v>
      </c>
      <c r="Q400" t="n">
        <v>0</v>
      </c>
      <c r="R400" s="2" t="inlineStr"/>
    </row>
    <row r="401" ht="15" customHeight="1">
      <c r="A401" t="inlineStr">
        <is>
          <t>A 51999-2022</t>
        </is>
      </c>
      <c r="B401" s="1" t="n">
        <v>44872</v>
      </c>
      <c r="C401" s="1" t="n">
        <v>45831</v>
      </c>
      <c r="D401" t="inlineStr">
        <is>
          <t>VÄSTERNORRLANDS LÄN</t>
        </is>
      </c>
      <c r="E401" t="inlineStr">
        <is>
          <t>TIMRÅ</t>
        </is>
      </c>
      <c r="G401" t="n">
        <v>4.7</v>
      </c>
      <c r="H401" t="n">
        <v>0</v>
      </c>
      <c r="I401" t="n">
        <v>0</v>
      </c>
      <c r="J401" t="n">
        <v>0</v>
      </c>
      <c r="K401" t="n">
        <v>0</v>
      </c>
      <c r="L401" t="n">
        <v>0</v>
      </c>
      <c r="M401" t="n">
        <v>0</v>
      </c>
      <c r="N401" t="n">
        <v>0</v>
      </c>
      <c r="O401" t="n">
        <v>0</v>
      </c>
      <c r="P401" t="n">
        <v>0</v>
      </c>
      <c r="Q401" t="n">
        <v>0</v>
      </c>
      <c r="R401" s="2" t="inlineStr"/>
    </row>
    <row r="402" ht="15" customHeight="1">
      <c r="A402" t="inlineStr">
        <is>
          <t>A 52010-2022</t>
        </is>
      </c>
      <c r="B402" s="1" t="n">
        <v>44872</v>
      </c>
      <c r="C402" s="1" t="n">
        <v>45831</v>
      </c>
      <c r="D402" t="inlineStr">
        <is>
          <t>VÄSTERNORRLANDS LÄN</t>
        </is>
      </c>
      <c r="E402" t="inlineStr">
        <is>
          <t>TIMRÅ</t>
        </is>
      </c>
      <c r="G402" t="n">
        <v>1.4</v>
      </c>
      <c r="H402" t="n">
        <v>0</v>
      </c>
      <c r="I402" t="n">
        <v>0</v>
      </c>
      <c r="J402" t="n">
        <v>0</v>
      </c>
      <c r="K402" t="n">
        <v>0</v>
      </c>
      <c r="L402" t="n">
        <v>0</v>
      </c>
      <c r="M402" t="n">
        <v>0</v>
      </c>
      <c r="N402" t="n">
        <v>0</v>
      </c>
      <c r="O402" t="n">
        <v>0</v>
      </c>
      <c r="P402" t="n">
        <v>0</v>
      </c>
      <c r="Q402" t="n">
        <v>0</v>
      </c>
      <c r="R402" s="2" t="inlineStr"/>
    </row>
    <row r="403" ht="15" customHeight="1">
      <c r="A403" t="inlineStr">
        <is>
          <t>A 52474-2022</t>
        </is>
      </c>
      <c r="B403" s="1" t="n">
        <v>44874</v>
      </c>
      <c r="C403" s="1" t="n">
        <v>45831</v>
      </c>
      <c r="D403" t="inlineStr">
        <is>
          <t>VÄSTERNORRLANDS LÄN</t>
        </is>
      </c>
      <c r="E403" t="inlineStr">
        <is>
          <t>TIMRÅ</t>
        </is>
      </c>
      <c r="G403" t="n">
        <v>0.7</v>
      </c>
      <c r="H403" t="n">
        <v>0</v>
      </c>
      <c r="I403" t="n">
        <v>0</v>
      </c>
      <c r="J403" t="n">
        <v>0</v>
      </c>
      <c r="K403" t="n">
        <v>0</v>
      </c>
      <c r="L403" t="n">
        <v>0</v>
      </c>
      <c r="M403" t="n">
        <v>0</v>
      </c>
      <c r="N403" t="n">
        <v>0</v>
      </c>
      <c r="O403" t="n">
        <v>0</v>
      </c>
      <c r="P403" t="n">
        <v>0</v>
      </c>
      <c r="Q403" t="n">
        <v>0</v>
      </c>
      <c r="R403" s="2" t="inlineStr"/>
    </row>
    <row r="404" ht="15" customHeight="1">
      <c r="A404" t="inlineStr">
        <is>
          <t>A 52448-2022</t>
        </is>
      </c>
      <c r="B404" s="1" t="n">
        <v>44874</v>
      </c>
      <c r="C404" s="1" t="n">
        <v>45831</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52705-2022</t>
        </is>
      </c>
      <c r="B405" s="1" t="n">
        <v>44874</v>
      </c>
      <c r="C405" s="1" t="n">
        <v>45831</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53659-2022</t>
        </is>
      </c>
      <c r="B406" s="1" t="n">
        <v>44879</v>
      </c>
      <c r="C406" s="1" t="n">
        <v>45831</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53957-2022</t>
        </is>
      </c>
      <c r="B407" s="1" t="n">
        <v>44880</v>
      </c>
      <c r="C407" s="1" t="n">
        <v>45831</v>
      </c>
      <c r="D407" t="inlineStr">
        <is>
          <t>VÄSTERNORRLANDS LÄN</t>
        </is>
      </c>
      <c r="E407" t="inlineStr">
        <is>
          <t>TIMRÅ</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55357-2022</t>
        </is>
      </c>
      <c r="B408" s="1" t="n">
        <v>44882</v>
      </c>
      <c r="C408" s="1" t="n">
        <v>45831</v>
      </c>
      <c r="D408" t="inlineStr">
        <is>
          <t>VÄSTERNORRLANDS LÄN</t>
        </is>
      </c>
      <c r="E408" t="inlineStr">
        <is>
          <t>TIMRÅ</t>
        </is>
      </c>
      <c r="G408" t="n">
        <v>17.3</v>
      </c>
      <c r="H408" t="n">
        <v>0</v>
      </c>
      <c r="I408" t="n">
        <v>0</v>
      </c>
      <c r="J408" t="n">
        <v>0</v>
      </c>
      <c r="K408" t="n">
        <v>0</v>
      </c>
      <c r="L408" t="n">
        <v>0</v>
      </c>
      <c r="M408" t="n">
        <v>0</v>
      </c>
      <c r="N408" t="n">
        <v>0</v>
      </c>
      <c r="O408" t="n">
        <v>0</v>
      </c>
      <c r="P408" t="n">
        <v>0</v>
      </c>
      <c r="Q408" t="n">
        <v>0</v>
      </c>
      <c r="R408" s="2" t="inlineStr"/>
    </row>
    <row r="409" ht="15" customHeight="1">
      <c r="A409" t="inlineStr">
        <is>
          <t>A 54747-2022</t>
        </is>
      </c>
      <c r="B409" s="1" t="n">
        <v>44883</v>
      </c>
      <c r="C409" s="1" t="n">
        <v>45831</v>
      </c>
      <c r="D409" t="inlineStr">
        <is>
          <t>VÄSTERNORRLANDS LÄN</t>
        </is>
      </c>
      <c r="E409" t="inlineStr">
        <is>
          <t>TIMRÅ</t>
        </is>
      </c>
      <c r="G409" t="n">
        <v>0.9</v>
      </c>
      <c r="H409" t="n">
        <v>0</v>
      </c>
      <c r="I409" t="n">
        <v>0</v>
      </c>
      <c r="J409" t="n">
        <v>0</v>
      </c>
      <c r="K409" t="n">
        <v>0</v>
      </c>
      <c r="L409" t="n">
        <v>0</v>
      </c>
      <c r="M409" t="n">
        <v>0</v>
      </c>
      <c r="N409" t="n">
        <v>0</v>
      </c>
      <c r="O409" t="n">
        <v>0</v>
      </c>
      <c r="P409" t="n">
        <v>0</v>
      </c>
      <c r="Q409" t="n">
        <v>0</v>
      </c>
      <c r="R409" s="2" t="inlineStr"/>
    </row>
    <row r="410" ht="15" customHeight="1">
      <c r="A410" t="inlineStr">
        <is>
          <t>A 55179-2022</t>
        </is>
      </c>
      <c r="B410" s="1" t="n">
        <v>44886</v>
      </c>
      <c r="C410" s="1" t="n">
        <v>45831</v>
      </c>
      <c r="D410" t="inlineStr">
        <is>
          <t>VÄSTERNORRLANDS LÄN</t>
        </is>
      </c>
      <c r="E410" t="inlineStr">
        <is>
          <t>TIMRÅ</t>
        </is>
      </c>
      <c r="G410" t="n">
        <v>0.4</v>
      </c>
      <c r="H410" t="n">
        <v>0</v>
      </c>
      <c r="I410" t="n">
        <v>0</v>
      </c>
      <c r="J410" t="n">
        <v>0</v>
      </c>
      <c r="K410" t="n">
        <v>0</v>
      </c>
      <c r="L410" t="n">
        <v>0</v>
      </c>
      <c r="M410" t="n">
        <v>0</v>
      </c>
      <c r="N410" t="n">
        <v>0</v>
      </c>
      <c r="O410" t="n">
        <v>0</v>
      </c>
      <c r="P410" t="n">
        <v>0</v>
      </c>
      <c r="Q410" t="n">
        <v>0</v>
      </c>
      <c r="R410" s="2" t="inlineStr"/>
    </row>
    <row r="411" ht="15" customHeight="1">
      <c r="A411" t="inlineStr">
        <is>
          <t>A 55240-2022</t>
        </is>
      </c>
      <c r="B411" s="1" t="n">
        <v>44887</v>
      </c>
      <c r="C411" s="1" t="n">
        <v>45831</v>
      </c>
      <c r="D411" t="inlineStr">
        <is>
          <t>VÄSTERNORRLANDS LÄN</t>
        </is>
      </c>
      <c r="E411" t="inlineStr">
        <is>
          <t>TIMRÅ</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55521-2022</t>
        </is>
      </c>
      <c r="B412" s="1" t="n">
        <v>44887</v>
      </c>
      <c r="C412" s="1" t="n">
        <v>45831</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55511-2022</t>
        </is>
      </c>
      <c r="B413" s="1" t="n">
        <v>44887</v>
      </c>
      <c r="C413" s="1" t="n">
        <v>45831</v>
      </c>
      <c r="D413" t="inlineStr">
        <is>
          <t>VÄSTERNORRLANDS LÄN</t>
        </is>
      </c>
      <c r="E413" t="inlineStr">
        <is>
          <t>TIMRÅ</t>
        </is>
      </c>
      <c r="G413" t="n">
        <v>0.5</v>
      </c>
      <c r="H413" t="n">
        <v>0</v>
      </c>
      <c r="I413" t="n">
        <v>0</v>
      </c>
      <c r="J413" t="n">
        <v>0</v>
      </c>
      <c r="K413" t="n">
        <v>0</v>
      </c>
      <c r="L413" t="n">
        <v>0</v>
      </c>
      <c r="M413" t="n">
        <v>0</v>
      </c>
      <c r="N413" t="n">
        <v>0</v>
      </c>
      <c r="O413" t="n">
        <v>0</v>
      </c>
      <c r="P413" t="n">
        <v>0</v>
      </c>
      <c r="Q413" t="n">
        <v>0</v>
      </c>
      <c r="R413" s="2" t="inlineStr"/>
    </row>
    <row r="414" ht="15" customHeight="1">
      <c r="A414" t="inlineStr">
        <is>
          <t>A 55510-2022</t>
        </is>
      </c>
      <c r="B414" s="1" t="n">
        <v>44887</v>
      </c>
      <c r="C414" s="1" t="n">
        <v>45831</v>
      </c>
      <c r="D414" t="inlineStr">
        <is>
          <t>VÄSTERNORRLANDS LÄN</t>
        </is>
      </c>
      <c r="E414" t="inlineStr">
        <is>
          <t>TIMRÅ</t>
        </is>
      </c>
      <c r="G414" t="n">
        <v>0.8</v>
      </c>
      <c r="H414" t="n">
        <v>0</v>
      </c>
      <c r="I414" t="n">
        <v>0</v>
      </c>
      <c r="J414" t="n">
        <v>0</v>
      </c>
      <c r="K414" t="n">
        <v>0</v>
      </c>
      <c r="L414" t="n">
        <v>0</v>
      </c>
      <c r="M414" t="n">
        <v>0</v>
      </c>
      <c r="N414" t="n">
        <v>0</v>
      </c>
      <c r="O414" t="n">
        <v>0</v>
      </c>
      <c r="P414" t="n">
        <v>0</v>
      </c>
      <c r="Q414" t="n">
        <v>0</v>
      </c>
      <c r="R414" s="2" t="inlineStr"/>
    </row>
    <row r="415" ht="15" customHeight="1">
      <c r="A415" t="inlineStr">
        <is>
          <t>A 55517-2022</t>
        </is>
      </c>
      <c r="B415" s="1" t="n">
        <v>44887</v>
      </c>
      <c r="C415" s="1" t="n">
        <v>45831</v>
      </c>
      <c r="D415" t="inlineStr">
        <is>
          <t>VÄSTERNORRLANDS LÄN</t>
        </is>
      </c>
      <c r="E415" t="inlineStr">
        <is>
          <t>TIMRÅ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55872-2022</t>
        </is>
      </c>
      <c r="B416" s="1" t="n">
        <v>44888</v>
      </c>
      <c r="C416" s="1" t="n">
        <v>45831</v>
      </c>
      <c r="D416" t="inlineStr">
        <is>
          <t>VÄSTERNORRLANDS LÄN</t>
        </is>
      </c>
      <c r="E416" t="inlineStr">
        <is>
          <t>TIMRÅ</t>
        </is>
      </c>
      <c r="G416" t="n">
        <v>4.7</v>
      </c>
      <c r="H416" t="n">
        <v>0</v>
      </c>
      <c r="I416" t="n">
        <v>0</v>
      </c>
      <c r="J416" t="n">
        <v>0</v>
      </c>
      <c r="K416" t="n">
        <v>0</v>
      </c>
      <c r="L416" t="n">
        <v>0</v>
      </c>
      <c r="M416" t="n">
        <v>0</v>
      </c>
      <c r="N416" t="n">
        <v>0</v>
      </c>
      <c r="O416" t="n">
        <v>0</v>
      </c>
      <c r="P416" t="n">
        <v>0</v>
      </c>
      <c r="Q416" t="n">
        <v>0</v>
      </c>
      <c r="R416" s="2" t="inlineStr"/>
    </row>
    <row r="417" ht="15" customHeight="1">
      <c r="A417" t="inlineStr">
        <is>
          <t>A 55886-2022</t>
        </is>
      </c>
      <c r="B417" s="1" t="n">
        <v>44888</v>
      </c>
      <c r="C417" s="1" t="n">
        <v>45831</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56170-2022</t>
        </is>
      </c>
      <c r="B418" s="1" t="n">
        <v>44889</v>
      </c>
      <c r="C418" s="1" t="n">
        <v>45831</v>
      </c>
      <c r="D418" t="inlineStr">
        <is>
          <t>VÄSTERNORRLANDS LÄN</t>
        </is>
      </c>
      <c r="E418" t="inlineStr">
        <is>
          <t>TIMRÅ</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57403-2022</t>
        </is>
      </c>
      <c r="B419" s="1" t="n">
        <v>44889</v>
      </c>
      <c r="C419" s="1" t="n">
        <v>45831</v>
      </c>
      <c r="D419" t="inlineStr">
        <is>
          <t>VÄSTERNORRLANDS LÄN</t>
        </is>
      </c>
      <c r="E419" t="inlineStr">
        <is>
          <t>TIMRÅ</t>
        </is>
      </c>
      <c r="G419" t="n">
        <v>9.6</v>
      </c>
      <c r="H419" t="n">
        <v>0</v>
      </c>
      <c r="I419" t="n">
        <v>0</v>
      </c>
      <c r="J419" t="n">
        <v>0</v>
      </c>
      <c r="K419" t="n">
        <v>0</v>
      </c>
      <c r="L419" t="n">
        <v>0</v>
      </c>
      <c r="M419" t="n">
        <v>0</v>
      </c>
      <c r="N419" t="n">
        <v>0</v>
      </c>
      <c r="O419" t="n">
        <v>0</v>
      </c>
      <c r="P419" t="n">
        <v>0</v>
      </c>
      <c r="Q419" t="n">
        <v>0</v>
      </c>
      <c r="R419" s="2" t="inlineStr"/>
    </row>
    <row r="420" ht="15" customHeight="1">
      <c r="A420" t="inlineStr">
        <is>
          <t>A 57380-2022</t>
        </is>
      </c>
      <c r="B420" s="1" t="n">
        <v>44889</v>
      </c>
      <c r="C420" s="1" t="n">
        <v>45831</v>
      </c>
      <c r="D420" t="inlineStr">
        <is>
          <t>VÄSTERNORRLANDS LÄN</t>
        </is>
      </c>
      <c r="E420" t="inlineStr">
        <is>
          <t>TIMRÅ</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56410-2022</t>
        </is>
      </c>
      <c r="B421" s="1" t="n">
        <v>44890</v>
      </c>
      <c r="C421" s="1" t="n">
        <v>45831</v>
      </c>
      <c r="D421" t="inlineStr">
        <is>
          <t>VÄSTERNORRLANDS LÄN</t>
        </is>
      </c>
      <c r="E421" t="inlineStr">
        <is>
          <t>TIMRÅ</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56723-2022</t>
        </is>
      </c>
      <c r="B422" s="1" t="n">
        <v>44893</v>
      </c>
      <c r="C422" s="1" t="n">
        <v>45831</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57268-2022</t>
        </is>
      </c>
      <c r="B423" s="1" t="n">
        <v>44895</v>
      </c>
      <c r="C423" s="1" t="n">
        <v>45831</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57841-2022</t>
        </is>
      </c>
      <c r="B424" s="1" t="n">
        <v>44897</v>
      </c>
      <c r="C424" s="1" t="n">
        <v>45831</v>
      </c>
      <c r="D424" t="inlineStr">
        <is>
          <t>VÄSTERNORRLANDS LÄN</t>
        </is>
      </c>
      <c r="E424" t="inlineStr">
        <is>
          <t>TIMRÅ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57840-2022</t>
        </is>
      </c>
      <c r="B425" s="1" t="n">
        <v>44897</v>
      </c>
      <c r="C425" s="1" t="n">
        <v>45831</v>
      </c>
      <c r="D425" t="inlineStr">
        <is>
          <t>VÄSTERNORRLANDS LÄN</t>
        </is>
      </c>
      <c r="E425" t="inlineStr">
        <is>
          <t>TIMRÅ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58188-2022</t>
        </is>
      </c>
      <c r="B426" s="1" t="n">
        <v>44900</v>
      </c>
      <c r="C426" s="1" t="n">
        <v>45831</v>
      </c>
      <c r="D426" t="inlineStr">
        <is>
          <t>VÄSTERNORRLANDS LÄN</t>
        </is>
      </c>
      <c r="E426" t="inlineStr">
        <is>
          <t>TIMRÅ</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59942-2022</t>
        </is>
      </c>
      <c r="B427" s="1" t="n">
        <v>44901</v>
      </c>
      <c r="C427" s="1" t="n">
        <v>45831</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59128-2022</t>
        </is>
      </c>
      <c r="B428" s="1" t="n">
        <v>44904</v>
      </c>
      <c r="C428" s="1" t="n">
        <v>45831</v>
      </c>
      <c r="D428" t="inlineStr">
        <is>
          <t>VÄSTERNORRLANDS LÄN</t>
        </is>
      </c>
      <c r="E428" t="inlineStr">
        <is>
          <t>TIMRÅ</t>
        </is>
      </c>
      <c r="G428" t="n">
        <v>9</v>
      </c>
      <c r="H428" t="n">
        <v>0</v>
      </c>
      <c r="I428" t="n">
        <v>0</v>
      </c>
      <c r="J428" t="n">
        <v>0</v>
      </c>
      <c r="K428" t="n">
        <v>0</v>
      </c>
      <c r="L428" t="n">
        <v>0</v>
      </c>
      <c r="M428" t="n">
        <v>0</v>
      </c>
      <c r="N428" t="n">
        <v>0</v>
      </c>
      <c r="O428" t="n">
        <v>0</v>
      </c>
      <c r="P428" t="n">
        <v>0</v>
      </c>
      <c r="Q428" t="n">
        <v>0</v>
      </c>
      <c r="R428" s="2" t="inlineStr"/>
    </row>
    <row r="429" ht="15" customHeight="1">
      <c r="A429" t="inlineStr">
        <is>
          <t>A 60166-2022</t>
        </is>
      </c>
      <c r="B429" s="1" t="n">
        <v>44909</v>
      </c>
      <c r="C429" s="1" t="n">
        <v>45831</v>
      </c>
      <c r="D429" t="inlineStr">
        <is>
          <t>VÄSTERNORRLANDS LÄN</t>
        </is>
      </c>
      <c r="E429" t="inlineStr">
        <is>
          <t>TIMRÅ</t>
        </is>
      </c>
      <c r="G429" t="n">
        <v>1.8</v>
      </c>
      <c r="H429" t="n">
        <v>0</v>
      </c>
      <c r="I429" t="n">
        <v>0</v>
      </c>
      <c r="J429" t="n">
        <v>0</v>
      </c>
      <c r="K429" t="n">
        <v>0</v>
      </c>
      <c r="L429" t="n">
        <v>0</v>
      </c>
      <c r="M429" t="n">
        <v>0</v>
      </c>
      <c r="N429" t="n">
        <v>0</v>
      </c>
      <c r="O429" t="n">
        <v>0</v>
      </c>
      <c r="P429" t="n">
        <v>0</v>
      </c>
      <c r="Q429" t="n">
        <v>0</v>
      </c>
      <c r="R429" s="2" t="inlineStr"/>
    </row>
    <row r="430" ht="15" customHeight="1">
      <c r="A430" t="inlineStr">
        <is>
          <t>A 61576-2022</t>
        </is>
      </c>
      <c r="B430" s="1" t="n">
        <v>44910</v>
      </c>
      <c r="C430" s="1" t="n">
        <v>45831</v>
      </c>
      <c r="D430" t="inlineStr">
        <is>
          <t>VÄSTERNORRLANDS LÄN</t>
        </is>
      </c>
      <c r="E430" t="inlineStr">
        <is>
          <t>TIMRÅ</t>
        </is>
      </c>
      <c r="G430" t="n">
        <v>4</v>
      </c>
      <c r="H430" t="n">
        <v>0</v>
      </c>
      <c r="I430" t="n">
        <v>0</v>
      </c>
      <c r="J430" t="n">
        <v>0</v>
      </c>
      <c r="K430" t="n">
        <v>0</v>
      </c>
      <c r="L430" t="n">
        <v>0</v>
      </c>
      <c r="M430" t="n">
        <v>0</v>
      </c>
      <c r="N430" t="n">
        <v>0</v>
      </c>
      <c r="O430" t="n">
        <v>0</v>
      </c>
      <c r="P430" t="n">
        <v>0</v>
      </c>
      <c r="Q430" t="n">
        <v>0</v>
      </c>
      <c r="R430" s="2" t="inlineStr"/>
    </row>
    <row r="431" ht="15" customHeight="1">
      <c r="A431" t="inlineStr">
        <is>
          <t>A 61373-2022</t>
        </is>
      </c>
      <c r="B431" s="1" t="n">
        <v>44915</v>
      </c>
      <c r="C431" s="1" t="n">
        <v>45831</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62113-2022</t>
        </is>
      </c>
      <c r="B432" s="1" t="n">
        <v>44921</v>
      </c>
      <c r="C432" s="1" t="n">
        <v>45831</v>
      </c>
      <c r="D432" t="inlineStr">
        <is>
          <t>VÄSTERNORRLANDS LÄN</t>
        </is>
      </c>
      <c r="E432" t="inlineStr">
        <is>
          <t>TIMRÅ</t>
        </is>
      </c>
      <c r="G432" t="n">
        <v>1</v>
      </c>
      <c r="H432" t="n">
        <v>0</v>
      </c>
      <c r="I432" t="n">
        <v>0</v>
      </c>
      <c r="J432" t="n">
        <v>0</v>
      </c>
      <c r="K432" t="n">
        <v>0</v>
      </c>
      <c r="L432" t="n">
        <v>0</v>
      </c>
      <c r="M432" t="n">
        <v>0</v>
      </c>
      <c r="N432" t="n">
        <v>0</v>
      </c>
      <c r="O432" t="n">
        <v>0</v>
      </c>
      <c r="P432" t="n">
        <v>0</v>
      </c>
      <c r="Q432" t="n">
        <v>0</v>
      </c>
      <c r="R432" s="2" t="inlineStr"/>
    </row>
    <row r="433" ht="15" customHeight="1">
      <c r="A433" t="inlineStr">
        <is>
          <t>A 528-2023</t>
        </is>
      </c>
      <c r="B433" s="1" t="n">
        <v>44924</v>
      </c>
      <c r="C433" s="1" t="n">
        <v>45831</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524-2023</t>
        </is>
      </c>
      <c r="B434" s="1" t="n">
        <v>44924</v>
      </c>
      <c r="C434" s="1" t="n">
        <v>45831</v>
      </c>
      <c r="D434" t="inlineStr">
        <is>
          <t>VÄSTERNORRLANDS LÄN</t>
        </is>
      </c>
      <c r="E434" t="inlineStr">
        <is>
          <t>TIMRÅ</t>
        </is>
      </c>
      <c r="G434" t="n">
        <v>3</v>
      </c>
      <c r="H434" t="n">
        <v>0</v>
      </c>
      <c r="I434" t="n">
        <v>0</v>
      </c>
      <c r="J434" t="n">
        <v>0</v>
      </c>
      <c r="K434" t="n">
        <v>0</v>
      </c>
      <c r="L434" t="n">
        <v>0</v>
      </c>
      <c r="M434" t="n">
        <v>0</v>
      </c>
      <c r="N434" t="n">
        <v>0</v>
      </c>
      <c r="O434" t="n">
        <v>0</v>
      </c>
      <c r="P434" t="n">
        <v>0</v>
      </c>
      <c r="Q434" t="n">
        <v>0</v>
      </c>
      <c r="R434" s="2" t="inlineStr"/>
    </row>
    <row r="435" ht="15" customHeight="1">
      <c r="A435" t="inlineStr">
        <is>
          <t>A 704-2023</t>
        </is>
      </c>
      <c r="B435" s="1" t="n">
        <v>44930</v>
      </c>
      <c r="C435" s="1" t="n">
        <v>45831</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1416-2023</t>
        </is>
      </c>
      <c r="B436" s="1" t="n">
        <v>44936</v>
      </c>
      <c r="C436" s="1" t="n">
        <v>45831</v>
      </c>
      <c r="D436" t="inlineStr">
        <is>
          <t>VÄSTERNORRLANDS LÄN</t>
        </is>
      </c>
      <c r="E436" t="inlineStr">
        <is>
          <t>TIMRÅ</t>
        </is>
      </c>
      <c r="G436" t="n">
        <v>0.6</v>
      </c>
      <c r="H436" t="n">
        <v>0</v>
      </c>
      <c r="I436" t="n">
        <v>0</v>
      </c>
      <c r="J436" t="n">
        <v>0</v>
      </c>
      <c r="K436" t="n">
        <v>0</v>
      </c>
      <c r="L436" t="n">
        <v>0</v>
      </c>
      <c r="M436" t="n">
        <v>0</v>
      </c>
      <c r="N436" t="n">
        <v>0</v>
      </c>
      <c r="O436" t="n">
        <v>0</v>
      </c>
      <c r="P436" t="n">
        <v>0</v>
      </c>
      <c r="Q436" t="n">
        <v>0</v>
      </c>
      <c r="R436" s="2" t="inlineStr"/>
    </row>
    <row r="437" ht="15" customHeight="1">
      <c r="A437" t="inlineStr">
        <is>
          <t>A 1415-2023</t>
        </is>
      </c>
      <c r="B437" s="1" t="n">
        <v>44936</v>
      </c>
      <c r="C437" s="1" t="n">
        <v>45831</v>
      </c>
      <c r="D437" t="inlineStr">
        <is>
          <t>VÄSTERNORRLANDS LÄN</t>
        </is>
      </c>
      <c r="E437" t="inlineStr">
        <is>
          <t>TIMRÅ</t>
        </is>
      </c>
      <c r="G437" t="n">
        <v>1.4</v>
      </c>
      <c r="H437" t="n">
        <v>0</v>
      </c>
      <c r="I437" t="n">
        <v>0</v>
      </c>
      <c r="J437" t="n">
        <v>0</v>
      </c>
      <c r="K437" t="n">
        <v>0</v>
      </c>
      <c r="L437" t="n">
        <v>0</v>
      </c>
      <c r="M437" t="n">
        <v>0</v>
      </c>
      <c r="N437" t="n">
        <v>0</v>
      </c>
      <c r="O437" t="n">
        <v>0</v>
      </c>
      <c r="P437" t="n">
        <v>0</v>
      </c>
      <c r="Q437" t="n">
        <v>0</v>
      </c>
      <c r="R437" s="2" t="inlineStr"/>
    </row>
    <row r="438" ht="15" customHeight="1">
      <c r="A438" t="inlineStr">
        <is>
          <t>A 1896-2023</t>
        </is>
      </c>
      <c r="B438" s="1" t="n">
        <v>44939</v>
      </c>
      <c r="C438" s="1" t="n">
        <v>45831</v>
      </c>
      <c r="D438" t="inlineStr">
        <is>
          <t>VÄSTERNORRLANDS LÄN</t>
        </is>
      </c>
      <c r="E438" t="inlineStr">
        <is>
          <t>TIMRÅ</t>
        </is>
      </c>
      <c r="G438" t="n">
        <v>7.6</v>
      </c>
      <c r="H438" t="n">
        <v>0</v>
      </c>
      <c r="I438" t="n">
        <v>0</v>
      </c>
      <c r="J438" t="n">
        <v>0</v>
      </c>
      <c r="K438" t="n">
        <v>0</v>
      </c>
      <c r="L438" t="n">
        <v>0</v>
      </c>
      <c r="M438" t="n">
        <v>0</v>
      </c>
      <c r="N438" t="n">
        <v>0</v>
      </c>
      <c r="O438" t="n">
        <v>0</v>
      </c>
      <c r="P438" t="n">
        <v>0</v>
      </c>
      <c r="Q438" t="n">
        <v>0</v>
      </c>
      <c r="R438" s="2" t="inlineStr"/>
    </row>
    <row r="439" ht="15" customHeight="1">
      <c r="A439" t="inlineStr">
        <is>
          <t>A 1935-2023</t>
        </is>
      </c>
      <c r="B439" s="1" t="n">
        <v>44939</v>
      </c>
      <c r="C439" s="1" t="n">
        <v>45831</v>
      </c>
      <c r="D439" t="inlineStr">
        <is>
          <t>VÄSTERNORRLANDS LÄN</t>
        </is>
      </c>
      <c r="E439" t="inlineStr">
        <is>
          <t>TIMRÅ</t>
        </is>
      </c>
      <c r="G439" t="n">
        <v>5</v>
      </c>
      <c r="H439" t="n">
        <v>0</v>
      </c>
      <c r="I439" t="n">
        <v>0</v>
      </c>
      <c r="J439" t="n">
        <v>0</v>
      </c>
      <c r="K439" t="n">
        <v>0</v>
      </c>
      <c r="L439" t="n">
        <v>0</v>
      </c>
      <c r="M439" t="n">
        <v>0</v>
      </c>
      <c r="N439" t="n">
        <v>0</v>
      </c>
      <c r="O439" t="n">
        <v>0</v>
      </c>
      <c r="P439" t="n">
        <v>0</v>
      </c>
      <c r="Q439" t="n">
        <v>0</v>
      </c>
      <c r="R439" s="2" t="inlineStr"/>
    </row>
    <row r="440" ht="15" customHeight="1">
      <c r="A440" t="inlineStr">
        <is>
          <t>A 2434-2023</t>
        </is>
      </c>
      <c r="B440" s="1" t="n">
        <v>44943</v>
      </c>
      <c r="C440" s="1" t="n">
        <v>45831</v>
      </c>
      <c r="D440" t="inlineStr">
        <is>
          <t>VÄSTERNORRLANDS LÄN</t>
        </is>
      </c>
      <c r="E440" t="inlineStr">
        <is>
          <t>TIMRÅ</t>
        </is>
      </c>
      <c r="G440" t="n">
        <v>6.6</v>
      </c>
      <c r="H440" t="n">
        <v>0</v>
      </c>
      <c r="I440" t="n">
        <v>0</v>
      </c>
      <c r="J440" t="n">
        <v>0</v>
      </c>
      <c r="K440" t="n">
        <v>0</v>
      </c>
      <c r="L440" t="n">
        <v>0</v>
      </c>
      <c r="M440" t="n">
        <v>0</v>
      </c>
      <c r="N440" t="n">
        <v>0</v>
      </c>
      <c r="O440" t="n">
        <v>0</v>
      </c>
      <c r="P440" t="n">
        <v>0</v>
      </c>
      <c r="Q440" t="n">
        <v>0</v>
      </c>
      <c r="R440" s="2" t="inlineStr"/>
    </row>
    <row r="441" ht="15" customHeight="1">
      <c r="A441" t="inlineStr">
        <is>
          <t>A 4124-2023</t>
        </is>
      </c>
      <c r="B441" s="1" t="n">
        <v>44952</v>
      </c>
      <c r="C441" s="1" t="n">
        <v>45831</v>
      </c>
      <c r="D441" t="inlineStr">
        <is>
          <t>VÄSTERNORRLANDS LÄN</t>
        </is>
      </c>
      <c r="E441" t="inlineStr">
        <is>
          <t>TIMRÅ</t>
        </is>
      </c>
      <c r="G441" t="n">
        <v>4.4</v>
      </c>
      <c r="H441" t="n">
        <v>0</v>
      </c>
      <c r="I441" t="n">
        <v>0</v>
      </c>
      <c r="J441" t="n">
        <v>0</v>
      </c>
      <c r="K441" t="n">
        <v>0</v>
      </c>
      <c r="L441" t="n">
        <v>0</v>
      </c>
      <c r="M441" t="n">
        <v>0</v>
      </c>
      <c r="N441" t="n">
        <v>0</v>
      </c>
      <c r="O441" t="n">
        <v>0</v>
      </c>
      <c r="P441" t="n">
        <v>0</v>
      </c>
      <c r="Q441" t="n">
        <v>0</v>
      </c>
      <c r="R441" s="2" t="inlineStr"/>
    </row>
    <row r="442" ht="15" customHeight="1">
      <c r="A442" t="inlineStr">
        <is>
          <t>A 4123-2023</t>
        </is>
      </c>
      <c r="B442" s="1" t="n">
        <v>44952</v>
      </c>
      <c r="C442" s="1" t="n">
        <v>45831</v>
      </c>
      <c r="D442" t="inlineStr">
        <is>
          <t>VÄSTERNORRLANDS LÄN</t>
        </is>
      </c>
      <c r="E442" t="inlineStr">
        <is>
          <t>TIMRÅ</t>
        </is>
      </c>
      <c r="G442" t="n">
        <v>9.5</v>
      </c>
      <c r="H442" t="n">
        <v>0</v>
      </c>
      <c r="I442" t="n">
        <v>0</v>
      </c>
      <c r="J442" t="n">
        <v>0</v>
      </c>
      <c r="K442" t="n">
        <v>0</v>
      </c>
      <c r="L442" t="n">
        <v>0</v>
      </c>
      <c r="M442" t="n">
        <v>0</v>
      </c>
      <c r="N442" t="n">
        <v>0</v>
      </c>
      <c r="O442" t="n">
        <v>0</v>
      </c>
      <c r="P442" t="n">
        <v>0</v>
      </c>
      <c r="Q442" t="n">
        <v>0</v>
      </c>
      <c r="R442" s="2" t="inlineStr"/>
    </row>
    <row r="443" ht="15" customHeight="1">
      <c r="A443" t="inlineStr">
        <is>
          <t>A 4126-2023</t>
        </is>
      </c>
      <c r="B443" s="1" t="n">
        <v>44952</v>
      </c>
      <c r="C443" s="1" t="n">
        <v>45831</v>
      </c>
      <c r="D443" t="inlineStr">
        <is>
          <t>VÄSTERNORRLANDS LÄN</t>
        </is>
      </c>
      <c r="E443" t="inlineStr">
        <is>
          <t>TIMRÅ</t>
        </is>
      </c>
      <c r="G443" t="n">
        <v>1.7</v>
      </c>
      <c r="H443" t="n">
        <v>0</v>
      </c>
      <c r="I443" t="n">
        <v>0</v>
      </c>
      <c r="J443" t="n">
        <v>0</v>
      </c>
      <c r="K443" t="n">
        <v>0</v>
      </c>
      <c r="L443" t="n">
        <v>0</v>
      </c>
      <c r="M443" t="n">
        <v>0</v>
      </c>
      <c r="N443" t="n">
        <v>0</v>
      </c>
      <c r="O443" t="n">
        <v>0</v>
      </c>
      <c r="P443" t="n">
        <v>0</v>
      </c>
      <c r="Q443" t="n">
        <v>0</v>
      </c>
      <c r="R443" s="2" t="inlineStr"/>
    </row>
    <row r="444" ht="15" customHeight="1">
      <c r="A444" t="inlineStr">
        <is>
          <t>A 4125-2023</t>
        </is>
      </c>
      <c r="B444" s="1" t="n">
        <v>44952</v>
      </c>
      <c r="C444" s="1" t="n">
        <v>45831</v>
      </c>
      <c r="D444" t="inlineStr">
        <is>
          <t>VÄSTERNORRLANDS LÄN</t>
        </is>
      </c>
      <c r="E444" t="inlineStr">
        <is>
          <t>TIMRÅ</t>
        </is>
      </c>
      <c r="G444" t="n">
        <v>2.3</v>
      </c>
      <c r="H444" t="n">
        <v>0</v>
      </c>
      <c r="I444" t="n">
        <v>0</v>
      </c>
      <c r="J444" t="n">
        <v>0</v>
      </c>
      <c r="K444" t="n">
        <v>0</v>
      </c>
      <c r="L444" t="n">
        <v>0</v>
      </c>
      <c r="M444" t="n">
        <v>0</v>
      </c>
      <c r="N444" t="n">
        <v>0</v>
      </c>
      <c r="O444" t="n">
        <v>0</v>
      </c>
      <c r="P444" t="n">
        <v>0</v>
      </c>
      <c r="Q444" t="n">
        <v>0</v>
      </c>
      <c r="R444" s="2" t="inlineStr"/>
    </row>
    <row r="445" ht="15" customHeight="1">
      <c r="A445" t="inlineStr">
        <is>
          <t>A 4129-2023</t>
        </is>
      </c>
      <c r="B445" s="1" t="n">
        <v>44952</v>
      </c>
      <c r="C445" s="1" t="n">
        <v>45831</v>
      </c>
      <c r="D445" t="inlineStr">
        <is>
          <t>VÄSTERNORRLANDS LÄN</t>
        </is>
      </c>
      <c r="E445" t="inlineStr">
        <is>
          <t>TIMRÅ</t>
        </is>
      </c>
      <c r="G445" t="n">
        <v>13.3</v>
      </c>
      <c r="H445" t="n">
        <v>0</v>
      </c>
      <c r="I445" t="n">
        <v>0</v>
      </c>
      <c r="J445" t="n">
        <v>0</v>
      </c>
      <c r="K445" t="n">
        <v>0</v>
      </c>
      <c r="L445" t="n">
        <v>0</v>
      </c>
      <c r="M445" t="n">
        <v>0</v>
      </c>
      <c r="N445" t="n">
        <v>0</v>
      </c>
      <c r="O445" t="n">
        <v>0</v>
      </c>
      <c r="P445" t="n">
        <v>0</v>
      </c>
      <c r="Q445" t="n">
        <v>0</v>
      </c>
      <c r="R445" s="2" t="inlineStr"/>
    </row>
    <row r="446" ht="15" customHeight="1">
      <c r="A446" t="inlineStr">
        <is>
          <t>A 6772-2023</t>
        </is>
      </c>
      <c r="B446" s="1" t="n">
        <v>44966</v>
      </c>
      <c r="C446" s="1" t="n">
        <v>45831</v>
      </c>
      <c r="D446" t="inlineStr">
        <is>
          <t>VÄSTERNORRLANDS LÄN</t>
        </is>
      </c>
      <c r="E446" t="inlineStr">
        <is>
          <t>TIMRÅ</t>
        </is>
      </c>
      <c r="G446" t="n">
        <v>1.9</v>
      </c>
      <c r="H446" t="n">
        <v>0</v>
      </c>
      <c r="I446" t="n">
        <v>0</v>
      </c>
      <c r="J446" t="n">
        <v>0</v>
      </c>
      <c r="K446" t="n">
        <v>0</v>
      </c>
      <c r="L446" t="n">
        <v>0</v>
      </c>
      <c r="M446" t="n">
        <v>0</v>
      </c>
      <c r="N446" t="n">
        <v>0</v>
      </c>
      <c r="O446" t="n">
        <v>0</v>
      </c>
      <c r="P446" t="n">
        <v>0</v>
      </c>
      <c r="Q446" t="n">
        <v>0</v>
      </c>
      <c r="R446" s="2" t="inlineStr"/>
    </row>
    <row r="447" ht="15" customHeight="1">
      <c r="A447" t="inlineStr">
        <is>
          <t>A 6770-2023</t>
        </is>
      </c>
      <c r="B447" s="1" t="n">
        <v>44966</v>
      </c>
      <c r="C447" s="1" t="n">
        <v>45831</v>
      </c>
      <c r="D447" t="inlineStr">
        <is>
          <t>VÄSTERNORRLANDS LÄN</t>
        </is>
      </c>
      <c r="E447" t="inlineStr">
        <is>
          <t>TIMRÅ</t>
        </is>
      </c>
      <c r="G447" t="n">
        <v>3.3</v>
      </c>
      <c r="H447" t="n">
        <v>0</v>
      </c>
      <c r="I447" t="n">
        <v>0</v>
      </c>
      <c r="J447" t="n">
        <v>0</v>
      </c>
      <c r="K447" t="n">
        <v>0</v>
      </c>
      <c r="L447" t="n">
        <v>0</v>
      </c>
      <c r="M447" t="n">
        <v>0</v>
      </c>
      <c r="N447" t="n">
        <v>0</v>
      </c>
      <c r="O447" t="n">
        <v>0</v>
      </c>
      <c r="P447" t="n">
        <v>0</v>
      </c>
      <c r="Q447" t="n">
        <v>0</v>
      </c>
      <c r="R447" s="2" t="inlineStr"/>
    </row>
    <row r="448" ht="15" customHeight="1">
      <c r="A448" t="inlineStr">
        <is>
          <t>A 6771-2023</t>
        </is>
      </c>
      <c r="B448" s="1" t="n">
        <v>44966</v>
      </c>
      <c r="C448" s="1" t="n">
        <v>45831</v>
      </c>
      <c r="D448" t="inlineStr">
        <is>
          <t>VÄSTERNORRLANDS LÄN</t>
        </is>
      </c>
      <c r="E448" t="inlineStr">
        <is>
          <t>TIMRÅ</t>
        </is>
      </c>
      <c r="G448" t="n">
        <v>3</v>
      </c>
      <c r="H448" t="n">
        <v>0</v>
      </c>
      <c r="I448" t="n">
        <v>0</v>
      </c>
      <c r="J448" t="n">
        <v>0</v>
      </c>
      <c r="K448" t="n">
        <v>0</v>
      </c>
      <c r="L448" t="n">
        <v>0</v>
      </c>
      <c r="M448" t="n">
        <v>0</v>
      </c>
      <c r="N448" t="n">
        <v>0</v>
      </c>
      <c r="O448" t="n">
        <v>0</v>
      </c>
      <c r="P448" t="n">
        <v>0</v>
      </c>
      <c r="Q448" t="n">
        <v>0</v>
      </c>
      <c r="R448" s="2" t="inlineStr"/>
    </row>
    <row r="449" ht="15" customHeight="1">
      <c r="A449" t="inlineStr">
        <is>
          <t>A 8632-2023</t>
        </is>
      </c>
      <c r="B449" s="1" t="n">
        <v>44977</v>
      </c>
      <c r="C449" s="1" t="n">
        <v>45831</v>
      </c>
      <c r="D449" t="inlineStr">
        <is>
          <t>VÄSTERNORRLANDS LÄN</t>
        </is>
      </c>
      <c r="E449" t="inlineStr">
        <is>
          <t>TIMRÅ</t>
        </is>
      </c>
      <c r="G449" t="n">
        <v>0.8</v>
      </c>
      <c r="H449" t="n">
        <v>0</v>
      </c>
      <c r="I449" t="n">
        <v>0</v>
      </c>
      <c r="J449" t="n">
        <v>0</v>
      </c>
      <c r="K449" t="n">
        <v>0</v>
      </c>
      <c r="L449" t="n">
        <v>0</v>
      </c>
      <c r="M449" t="n">
        <v>0</v>
      </c>
      <c r="N449" t="n">
        <v>0</v>
      </c>
      <c r="O449" t="n">
        <v>0</v>
      </c>
      <c r="P449" t="n">
        <v>0</v>
      </c>
      <c r="Q449" t="n">
        <v>0</v>
      </c>
      <c r="R449" s="2" t="inlineStr"/>
    </row>
    <row r="450" ht="15" customHeight="1">
      <c r="A450" t="inlineStr">
        <is>
          <t>A 9612-2023</t>
        </is>
      </c>
      <c r="B450" s="1" t="n">
        <v>44983</v>
      </c>
      <c r="C450" s="1" t="n">
        <v>45831</v>
      </c>
      <c r="D450" t="inlineStr">
        <is>
          <t>VÄSTERNORRLANDS LÄN</t>
        </is>
      </c>
      <c r="E450" t="inlineStr">
        <is>
          <t>TIMRÅ</t>
        </is>
      </c>
      <c r="F450" t="inlineStr">
        <is>
          <t>SCA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9880-2023</t>
        </is>
      </c>
      <c r="B451" s="1" t="n">
        <v>44984</v>
      </c>
      <c r="C451" s="1" t="n">
        <v>45831</v>
      </c>
      <c r="D451" t="inlineStr">
        <is>
          <t>VÄSTERNORRLANDS LÄN</t>
        </is>
      </c>
      <c r="E451" t="inlineStr">
        <is>
          <t>TIMRÅ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10103-2023</t>
        </is>
      </c>
      <c r="B452" s="1" t="n">
        <v>44985</v>
      </c>
      <c r="C452" s="1" t="n">
        <v>45831</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10104-2023</t>
        </is>
      </c>
      <c r="B453" s="1" t="n">
        <v>44985</v>
      </c>
      <c r="C453" s="1" t="n">
        <v>45831</v>
      </c>
      <c r="D453" t="inlineStr">
        <is>
          <t>VÄSTERNORRLANDS LÄN</t>
        </is>
      </c>
      <c r="E453" t="inlineStr">
        <is>
          <t>TIMRÅ</t>
        </is>
      </c>
      <c r="F453" t="inlineStr">
        <is>
          <t>SCA</t>
        </is>
      </c>
      <c r="G453" t="n">
        <v>10.5</v>
      </c>
      <c r="H453" t="n">
        <v>0</v>
      </c>
      <c r="I453" t="n">
        <v>0</v>
      </c>
      <c r="J453" t="n">
        <v>0</v>
      </c>
      <c r="K453" t="n">
        <v>0</v>
      </c>
      <c r="L453" t="n">
        <v>0</v>
      </c>
      <c r="M453" t="n">
        <v>0</v>
      </c>
      <c r="N453" t="n">
        <v>0</v>
      </c>
      <c r="O453" t="n">
        <v>0</v>
      </c>
      <c r="P453" t="n">
        <v>0</v>
      </c>
      <c r="Q453" t="n">
        <v>0</v>
      </c>
      <c r="R453" s="2" t="inlineStr"/>
    </row>
    <row r="454" ht="15" customHeight="1">
      <c r="A454" t="inlineStr">
        <is>
          <t>A 10312-2023</t>
        </is>
      </c>
      <c r="B454" s="1" t="n">
        <v>44986</v>
      </c>
      <c r="C454" s="1" t="n">
        <v>45831</v>
      </c>
      <c r="D454" t="inlineStr">
        <is>
          <t>VÄSTERNORRLANDS LÄN</t>
        </is>
      </c>
      <c r="E454" t="inlineStr">
        <is>
          <t>TIMRÅ</t>
        </is>
      </c>
      <c r="F454" t="inlineStr">
        <is>
          <t>SCA</t>
        </is>
      </c>
      <c r="G454" t="n">
        <v>38.4</v>
      </c>
      <c r="H454" t="n">
        <v>0</v>
      </c>
      <c r="I454" t="n">
        <v>0</v>
      </c>
      <c r="J454" t="n">
        <v>0</v>
      </c>
      <c r="K454" t="n">
        <v>0</v>
      </c>
      <c r="L454" t="n">
        <v>0</v>
      </c>
      <c r="M454" t="n">
        <v>0</v>
      </c>
      <c r="N454" t="n">
        <v>0</v>
      </c>
      <c r="O454" t="n">
        <v>0</v>
      </c>
      <c r="P454" t="n">
        <v>0</v>
      </c>
      <c r="Q454" t="n">
        <v>0</v>
      </c>
      <c r="R454" s="2" t="inlineStr"/>
    </row>
    <row r="455" ht="15" customHeight="1">
      <c r="A455" t="inlineStr">
        <is>
          <t>A 10556-2023</t>
        </is>
      </c>
      <c r="B455" s="1" t="n">
        <v>44987</v>
      </c>
      <c r="C455" s="1" t="n">
        <v>45831</v>
      </c>
      <c r="D455" t="inlineStr">
        <is>
          <t>VÄSTERNORRLANDS LÄN</t>
        </is>
      </c>
      <c r="E455" t="inlineStr">
        <is>
          <t>TIMRÅ</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10773-2023</t>
        </is>
      </c>
      <c r="B456" s="1" t="n">
        <v>44988</v>
      </c>
      <c r="C456" s="1" t="n">
        <v>45831</v>
      </c>
      <c r="D456" t="inlineStr">
        <is>
          <t>VÄSTERNORRLANDS LÄN</t>
        </is>
      </c>
      <c r="E456" t="inlineStr">
        <is>
          <t>TIMRÅ</t>
        </is>
      </c>
      <c r="F456" t="inlineStr">
        <is>
          <t>SCA</t>
        </is>
      </c>
      <c r="G456" t="n">
        <v>17.3</v>
      </c>
      <c r="H456" t="n">
        <v>0</v>
      </c>
      <c r="I456" t="n">
        <v>0</v>
      </c>
      <c r="J456" t="n">
        <v>0</v>
      </c>
      <c r="K456" t="n">
        <v>0</v>
      </c>
      <c r="L456" t="n">
        <v>0</v>
      </c>
      <c r="M456" t="n">
        <v>0</v>
      </c>
      <c r="N456" t="n">
        <v>0</v>
      </c>
      <c r="O456" t="n">
        <v>0</v>
      </c>
      <c r="P456" t="n">
        <v>0</v>
      </c>
      <c r="Q456" t="n">
        <v>0</v>
      </c>
      <c r="R456" s="2" t="inlineStr"/>
    </row>
    <row r="457" ht="15" customHeight="1">
      <c r="A457" t="inlineStr">
        <is>
          <t>A 13256-2023</t>
        </is>
      </c>
      <c r="B457" s="1" t="n">
        <v>45002</v>
      </c>
      <c r="C457" s="1" t="n">
        <v>45831</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13254-2023</t>
        </is>
      </c>
      <c r="B458" s="1" t="n">
        <v>45002</v>
      </c>
      <c r="C458" s="1" t="n">
        <v>45831</v>
      </c>
      <c r="D458" t="inlineStr">
        <is>
          <t>VÄSTERNORRLANDS LÄN</t>
        </is>
      </c>
      <c r="E458" t="inlineStr">
        <is>
          <t>TIMRÅ</t>
        </is>
      </c>
      <c r="F458" t="inlineStr">
        <is>
          <t>SCA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13255-2023</t>
        </is>
      </c>
      <c r="B459" s="1" t="n">
        <v>45002</v>
      </c>
      <c r="C459" s="1" t="n">
        <v>45831</v>
      </c>
      <c r="D459" t="inlineStr">
        <is>
          <t>VÄSTERNORRLANDS LÄN</t>
        </is>
      </c>
      <c r="E459" t="inlineStr">
        <is>
          <t>TIMRÅ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13253-2023</t>
        </is>
      </c>
      <c r="B460" s="1" t="n">
        <v>45002</v>
      </c>
      <c r="C460" s="1" t="n">
        <v>45831</v>
      </c>
      <c r="D460" t="inlineStr">
        <is>
          <t>VÄSTERNORRLANDS LÄN</t>
        </is>
      </c>
      <c r="E460" t="inlineStr">
        <is>
          <t>TIMRÅ</t>
        </is>
      </c>
      <c r="F460" t="inlineStr">
        <is>
          <t>SCA</t>
        </is>
      </c>
      <c r="G460" t="n">
        <v>10.1</v>
      </c>
      <c r="H460" t="n">
        <v>0</v>
      </c>
      <c r="I460" t="n">
        <v>0</v>
      </c>
      <c r="J460" t="n">
        <v>0</v>
      </c>
      <c r="K460" t="n">
        <v>0</v>
      </c>
      <c r="L460" t="n">
        <v>0</v>
      </c>
      <c r="M460" t="n">
        <v>0</v>
      </c>
      <c r="N460" t="n">
        <v>0</v>
      </c>
      <c r="O460" t="n">
        <v>0</v>
      </c>
      <c r="P460" t="n">
        <v>0</v>
      </c>
      <c r="Q460" t="n">
        <v>0</v>
      </c>
      <c r="R460" s="2" t="inlineStr"/>
    </row>
    <row r="461" ht="15" customHeight="1">
      <c r="A461" t="inlineStr">
        <is>
          <t>A 13446-2023</t>
        </is>
      </c>
      <c r="B461" s="1" t="n">
        <v>45005</v>
      </c>
      <c r="C461" s="1" t="n">
        <v>45831</v>
      </c>
      <c r="D461" t="inlineStr">
        <is>
          <t>VÄSTERNORRLANDS LÄN</t>
        </is>
      </c>
      <c r="E461" t="inlineStr">
        <is>
          <t>TIMRÅ</t>
        </is>
      </c>
      <c r="G461" t="n">
        <v>1.6</v>
      </c>
      <c r="H461" t="n">
        <v>0</v>
      </c>
      <c r="I461" t="n">
        <v>0</v>
      </c>
      <c r="J461" t="n">
        <v>0</v>
      </c>
      <c r="K461" t="n">
        <v>0</v>
      </c>
      <c r="L461" t="n">
        <v>0</v>
      </c>
      <c r="M461" t="n">
        <v>0</v>
      </c>
      <c r="N461" t="n">
        <v>0</v>
      </c>
      <c r="O461" t="n">
        <v>0</v>
      </c>
      <c r="P461" t="n">
        <v>0</v>
      </c>
      <c r="Q461" t="n">
        <v>0</v>
      </c>
      <c r="R461" s="2" t="inlineStr"/>
    </row>
    <row r="462" ht="15" customHeight="1">
      <c r="A462" t="inlineStr">
        <is>
          <t>A 14865-2023</t>
        </is>
      </c>
      <c r="B462" s="1" t="n">
        <v>45015</v>
      </c>
      <c r="C462" s="1" t="n">
        <v>45831</v>
      </c>
      <c r="D462" t="inlineStr">
        <is>
          <t>VÄSTERNORRLANDS LÄN</t>
        </is>
      </c>
      <c r="E462" t="inlineStr">
        <is>
          <t>TIMRÅ</t>
        </is>
      </c>
      <c r="F462" t="inlineStr">
        <is>
          <t>SCA</t>
        </is>
      </c>
      <c r="G462" t="n">
        <v>20.1</v>
      </c>
      <c r="H462" t="n">
        <v>0</v>
      </c>
      <c r="I462" t="n">
        <v>0</v>
      </c>
      <c r="J462" t="n">
        <v>0</v>
      </c>
      <c r="K462" t="n">
        <v>0</v>
      </c>
      <c r="L462" t="n">
        <v>0</v>
      </c>
      <c r="M462" t="n">
        <v>0</v>
      </c>
      <c r="N462" t="n">
        <v>0</v>
      </c>
      <c r="O462" t="n">
        <v>0</v>
      </c>
      <c r="P462" t="n">
        <v>0</v>
      </c>
      <c r="Q462" t="n">
        <v>0</v>
      </c>
      <c r="R462" s="2" t="inlineStr"/>
    </row>
    <row r="463" ht="15" customHeight="1">
      <c r="A463" t="inlineStr">
        <is>
          <t>A 14863-2023</t>
        </is>
      </c>
      <c r="B463" s="1" t="n">
        <v>45015</v>
      </c>
      <c r="C463" s="1" t="n">
        <v>45831</v>
      </c>
      <c r="D463" t="inlineStr">
        <is>
          <t>VÄSTERNORRLANDS LÄN</t>
        </is>
      </c>
      <c r="E463" t="inlineStr">
        <is>
          <t>TIMRÅ</t>
        </is>
      </c>
      <c r="F463" t="inlineStr">
        <is>
          <t>SCA</t>
        </is>
      </c>
      <c r="G463" t="n">
        <v>19.8</v>
      </c>
      <c r="H463" t="n">
        <v>0</v>
      </c>
      <c r="I463" t="n">
        <v>0</v>
      </c>
      <c r="J463" t="n">
        <v>0</v>
      </c>
      <c r="K463" t="n">
        <v>0</v>
      </c>
      <c r="L463" t="n">
        <v>0</v>
      </c>
      <c r="M463" t="n">
        <v>0</v>
      </c>
      <c r="N463" t="n">
        <v>0</v>
      </c>
      <c r="O463" t="n">
        <v>0</v>
      </c>
      <c r="P463" t="n">
        <v>0</v>
      </c>
      <c r="Q463" t="n">
        <v>0</v>
      </c>
      <c r="R463" s="2" t="inlineStr"/>
    </row>
    <row r="464" ht="15" customHeight="1">
      <c r="A464" t="inlineStr">
        <is>
          <t>A 14864-2023</t>
        </is>
      </c>
      <c r="B464" s="1" t="n">
        <v>45015</v>
      </c>
      <c r="C464" s="1" t="n">
        <v>45831</v>
      </c>
      <c r="D464" t="inlineStr">
        <is>
          <t>VÄSTERNORRLANDS LÄN</t>
        </is>
      </c>
      <c r="E464" t="inlineStr">
        <is>
          <t>TIMRÅ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15815-2023</t>
        </is>
      </c>
      <c r="B465" s="1" t="n">
        <v>45022</v>
      </c>
      <c r="C465" s="1" t="n">
        <v>45831</v>
      </c>
      <c r="D465" t="inlineStr">
        <is>
          <t>VÄSTERNORRLANDS LÄN</t>
        </is>
      </c>
      <c r="E465" t="inlineStr">
        <is>
          <t>TIMRÅ</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15820-2023</t>
        </is>
      </c>
      <c r="B466" s="1" t="n">
        <v>45022</v>
      </c>
      <c r="C466" s="1" t="n">
        <v>45831</v>
      </c>
      <c r="D466" t="inlineStr">
        <is>
          <t>VÄSTERNORRLANDS LÄN</t>
        </is>
      </c>
      <c r="E466" t="inlineStr">
        <is>
          <t>TIMRÅ</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15816-2023</t>
        </is>
      </c>
      <c r="B467" s="1" t="n">
        <v>45021</v>
      </c>
      <c r="C467" s="1" t="n">
        <v>45831</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15821-2023</t>
        </is>
      </c>
      <c r="B468" s="1" t="n">
        <v>45022</v>
      </c>
      <c r="C468" s="1" t="n">
        <v>45831</v>
      </c>
      <c r="D468" t="inlineStr">
        <is>
          <t>VÄSTERNORRLANDS LÄN</t>
        </is>
      </c>
      <c r="E468" t="inlineStr">
        <is>
          <t>TIMRÅ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15823-2023</t>
        </is>
      </c>
      <c r="B469" s="1" t="n">
        <v>45021</v>
      </c>
      <c r="C469" s="1" t="n">
        <v>45831</v>
      </c>
      <c r="D469" t="inlineStr">
        <is>
          <t>VÄSTERNORRLANDS LÄN</t>
        </is>
      </c>
      <c r="E469" t="inlineStr">
        <is>
          <t>TIMRÅ</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16554-2023</t>
        </is>
      </c>
      <c r="B470" s="1" t="n">
        <v>45029</v>
      </c>
      <c r="C470" s="1" t="n">
        <v>45831</v>
      </c>
      <c r="D470" t="inlineStr">
        <is>
          <t>VÄSTERNORRLANDS LÄN</t>
        </is>
      </c>
      <c r="E470" t="inlineStr">
        <is>
          <t>TIMRÅ</t>
        </is>
      </c>
      <c r="G470" t="n">
        <v>3.8</v>
      </c>
      <c r="H470" t="n">
        <v>0</v>
      </c>
      <c r="I470" t="n">
        <v>0</v>
      </c>
      <c r="J470" t="n">
        <v>0</v>
      </c>
      <c r="K470" t="n">
        <v>0</v>
      </c>
      <c r="L470" t="n">
        <v>0</v>
      </c>
      <c r="M470" t="n">
        <v>0</v>
      </c>
      <c r="N470" t="n">
        <v>0</v>
      </c>
      <c r="O470" t="n">
        <v>0</v>
      </c>
      <c r="P470" t="n">
        <v>0</v>
      </c>
      <c r="Q470" t="n">
        <v>0</v>
      </c>
      <c r="R470" s="2" t="inlineStr"/>
    </row>
    <row r="471" ht="15" customHeight="1">
      <c r="A471" t="inlineStr">
        <is>
          <t>A 16555-2023</t>
        </is>
      </c>
      <c r="B471" s="1" t="n">
        <v>45029</v>
      </c>
      <c r="C471" s="1" t="n">
        <v>45831</v>
      </c>
      <c r="D471" t="inlineStr">
        <is>
          <t>VÄSTERNORRLANDS LÄN</t>
        </is>
      </c>
      <c r="E471" t="inlineStr">
        <is>
          <t>TIMRÅ</t>
        </is>
      </c>
      <c r="G471" t="n">
        <v>0.7</v>
      </c>
      <c r="H471" t="n">
        <v>0</v>
      </c>
      <c r="I471" t="n">
        <v>0</v>
      </c>
      <c r="J471" t="n">
        <v>0</v>
      </c>
      <c r="K471" t="n">
        <v>0</v>
      </c>
      <c r="L471" t="n">
        <v>0</v>
      </c>
      <c r="M471" t="n">
        <v>0</v>
      </c>
      <c r="N471" t="n">
        <v>0</v>
      </c>
      <c r="O471" t="n">
        <v>0</v>
      </c>
      <c r="P471" t="n">
        <v>0</v>
      </c>
      <c r="Q471" t="n">
        <v>0</v>
      </c>
      <c r="R471" s="2" t="inlineStr"/>
    </row>
    <row r="472" ht="15" customHeight="1">
      <c r="A472" t="inlineStr">
        <is>
          <t>A 16786-2023</t>
        </is>
      </c>
      <c r="B472" s="1" t="n">
        <v>45032</v>
      </c>
      <c r="C472" s="1" t="n">
        <v>45831</v>
      </c>
      <c r="D472" t="inlineStr">
        <is>
          <t>VÄSTERNORRLANDS LÄN</t>
        </is>
      </c>
      <c r="E472" t="inlineStr">
        <is>
          <t>TIMRÅ</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17002-2023</t>
        </is>
      </c>
      <c r="B473" s="1" t="n">
        <v>45033</v>
      </c>
      <c r="C473" s="1" t="n">
        <v>45831</v>
      </c>
      <c r="D473" t="inlineStr">
        <is>
          <t>VÄSTERNORRLANDS LÄN</t>
        </is>
      </c>
      <c r="E473" t="inlineStr">
        <is>
          <t>TIMRÅ</t>
        </is>
      </c>
      <c r="F473" t="inlineStr">
        <is>
          <t>SCA</t>
        </is>
      </c>
      <c r="G473" t="n">
        <v>12.7</v>
      </c>
      <c r="H473" t="n">
        <v>0</v>
      </c>
      <c r="I473" t="n">
        <v>0</v>
      </c>
      <c r="J473" t="n">
        <v>0</v>
      </c>
      <c r="K473" t="n">
        <v>0</v>
      </c>
      <c r="L473" t="n">
        <v>0</v>
      </c>
      <c r="M473" t="n">
        <v>0</v>
      </c>
      <c r="N473" t="n">
        <v>0</v>
      </c>
      <c r="O473" t="n">
        <v>0</v>
      </c>
      <c r="P473" t="n">
        <v>0</v>
      </c>
      <c r="Q473" t="n">
        <v>0</v>
      </c>
      <c r="R473" s="2" t="inlineStr"/>
    </row>
    <row r="474" ht="15" customHeight="1">
      <c r="A474" t="inlineStr">
        <is>
          <t>A 17441-2023</t>
        </is>
      </c>
      <c r="B474" s="1" t="n">
        <v>45036</v>
      </c>
      <c r="C474" s="1" t="n">
        <v>45831</v>
      </c>
      <c r="D474" t="inlineStr">
        <is>
          <t>VÄSTERNORRLANDS LÄN</t>
        </is>
      </c>
      <c r="E474" t="inlineStr">
        <is>
          <t>TIMRÅ</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17865-2023</t>
        </is>
      </c>
      <c r="B475" s="1" t="n">
        <v>45038</v>
      </c>
      <c r="C475" s="1" t="n">
        <v>45831</v>
      </c>
      <c r="D475" t="inlineStr">
        <is>
          <t>VÄSTERNORRLANDS LÄN</t>
        </is>
      </c>
      <c r="E475" t="inlineStr">
        <is>
          <t>TIMRÅ</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17936-2023</t>
        </is>
      </c>
      <c r="B476" s="1" t="n">
        <v>45040</v>
      </c>
      <c r="C476" s="1" t="n">
        <v>45831</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18289-2023</t>
        </is>
      </c>
      <c r="B477" s="1" t="n">
        <v>45040</v>
      </c>
      <c r="C477" s="1" t="n">
        <v>45831</v>
      </c>
      <c r="D477" t="inlineStr">
        <is>
          <t>VÄSTERNORRLANDS LÄN</t>
        </is>
      </c>
      <c r="E477" t="inlineStr">
        <is>
          <t>TIMRÅ</t>
        </is>
      </c>
      <c r="G477" t="n">
        <v>4.5</v>
      </c>
      <c r="H477" t="n">
        <v>0</v>
      </c>
      <c r="I477" t="n">
        <v>0</v>
      </c>
      <c r="J477" t="n">
        <v>0</v>
      </c>
      <c r="K477" t="n">
        <v>0</v>
      </c>
      <c r="L477" t="n">
        <v>0</v>
      </c>
      <c r="M477" t="n">
        <v>0</v>
      </c>
      <c r="N477" t="n">
        <v>0</v>
      </c>
      <c r="O477" t="n">
        <v>0</v>
      </c>
      <c r="P477" t="n">
        <v>0</v>
      </c>
      <c r="Q477" t="n">
        <v>0</v>
      </c>
      <c r="R477" s="2" t="inlineStr"/>
    </row>
    <row r="478" ht="15" customHeight="1">
      <c r="A478" t="inlineStr">
        <is>
          <t>A 18684-2023</t>
        </is>
      </c>
      <c r="B478" s="1" t="n">
        <v>45042</v>
      </c>
      <c r="C478" s="1" t="n">
        <v>45831</v>
      </c>
      <c r="D478" t="inlineStr">
        <is>
          <t>VÄSTERNORRLANDS LÄN</t>
        </is>
      </c>
      <c r="E478" t="inlineStr">
        <is>
          <t>TIMRÅ</t>
        </is>
      </c>
      <c r="G478" t="n">
        <v>5.7</v>
      </c>
      <c r="H478" t="n">
        <v>0</v>
      </c>
      <c r="I478" t="n">
        <v>0</v>
      </c>
      <c r="J478" t="n">
        <v>0</v>
      </c>
      <c r="K478" t="n">
        <v>0</v>
      </c>
      <c r="L478" t="n">
        <v>0</v>
      </c>
      <c r="M478" t="n">
        <v>0</v>
      </c>
      <c r="N478" t="n">
        <v>0</v>
      </c>
      <c r="O478" t="n">
        <v>0</v>
      </c>
      <c r="P478" t="n">
        <v>0</v>
      </c>
      <c r="Q478" t="n">
        <v>0</v>
      </c>
      <c r="R478" s="2" t="inlineStr"/>
    </row>
    <row r="479" ht="15" customHeight="1">
      <c r="A479" t="inlineStr">
        <is>
          <t>A 18778-2023</t>
        </is>
      </c>
      <c r="B479" s="1" t="n">
        <v>45043</v>
      </c>
      <c r="C479" s="1" t="n">
        <v>45831</v>
      </c>
      <c r="D479" t="inlineStr">
        <is>
          <t>VÄSTERNORRLANDS LÄN</t>
        </is>
      </c>
      <c r="E479" t="inlineStr">
        <is>
          <t>TIMRÅ</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19244-2023</t>
        </is>
      </c>
      <c r="B480" s="1" t="n">
        <v>45048</v>
      </c>
      <c r="C480" s="1" t="n">
        <v>45831</v>
      </c>
      <c r="D480" t="inlineStr">
        <is>
          <t>VÄSTERNORRLANDS LÄN</t>
        </is>
      </c>
      <c r="E480" t="inlineStr">
        <is>
          <t>TIMRÅ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19440-2023</t>
        </is>
      </c>
      <c r="B481" s="1" t="n">
        <v>45049</v>
      </c>
      <c r="C481" s="1" t="n">
        <v>45831</v>
      </c>
      <c r="D481" t="inlineStr">
        <is>
          <t>VÄSTERNORRLANDS LÄN</t>
        </is>
      </c>
      <c r="E481" t="inlineStr">
        <is>
          <t>TIMRÅ</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20097-2023</t>
        </is>
      </c>
      <c r="B482" s="1" t="n">
        <v>45055</v>
      </c>
      <c r="C482" s="1" t="n">
        <v>45831</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20835-2023</t>
        </is>
      </c>
      <c r="B483" s="1" t="n">
        <v>45058</v>
      </c>
      <c r="C483" s="1" t="n">
        <v>45831</v>
      </c>
      <c r="D483" t="inlineStr">
        <is>
          <t>VÄSTERNORRLANDS LÄN</t>
        </is>
      </c>
      <c r="E483" t="inlineStr">
        <is>
          <t>TIMRÅ</t>
        </is>
      </c>
      <c r="G483" t="n">
        <v>4.4</v>
      </c>
      <c r="H483" t="n">
        <v>0</v>
      </c>
      <c r="I483" t="n">
        <v>0</v>
      </c>
      <c r="J483" t="n">
        <v>0</v>
      </c>
      <c r="K483" t="n">
        <v>0</v>
      </c>
      <c r="L483" t="n">
        <v>0</v>
      </c>
      <c r="M483" t="n">
        <v>0</v>
      </c>
      <c r="N483" t="n">
        <v>0</v>
      </c>
      <c r="O483" t="n">
        <v>0</v>
      </c>
      <c r="P483" t="n">
        <v>0</v>
      </c>
      <c r="Q483" t="n">
        <v>0</v>
      </c>
      <c r="R483" s="2" t="inlineStr"/>
    </row>
    <row r="484" ht="15" customHeight="1">
      <c r="A484" t="inlineStr">
        <is>
          <t>A 20839-2023</t>
        </is>
      </c>
      <c r="B484" s="1" t="n">
        <v>45058</v>
      </c>
      <c r="C484" s="1" t="n">
        <v>45831</v>
      </c>
      <c r="D484" t="inlineStr">
        <is>
          <t>VÄSTERNORRLANDS LÄN</t>
        </is>
      </c>
      <c r="E484" t="inlineStr">
        <is>
          <t>TIMRÅ</t>
        </is>
      </c>
      <c r="G484" t="n">
        <v>7.2</v>
      </c>
      <c r="H484" t="n">
        <v>0</v>
      </c>
      <c r="I484" t="n">
        <v>0</v>
      </c>
      <c r="J484" t="n">
        <v>0</v>
      </c>
      <c r="K484" t="n">
        <v>0</v>
      </c>
      <c r="L484" t="n">
        <v>0</v>
      </c>
      <c r="M484" t="n">
        <v>0</v>
      </c>
      <c r="N484" t="n">
        <v>0</v>
      </c>
      <c r="O484" t="n">
        <v>0</v>
      </c>
      <c r="P484" t="n">
        <v>0</v>
      </c>
      <c r="Q484" t="n">
        <v>0</v>
      </c>
      <c r="R484" s="2" t="inlineStr"/>
    </row>
    <row r="485" ht="15" customHeight="1">
      <c r="A485" t="inlineStr">
        <is>
          <t>A 20837-2023</t>
        </is>
      </c>
      <c r="B485" s="1" t="n">
        <v>45058</v>
      </c>
      <c r="C485" s="1" t="n">
        <v>45831</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20841-2023</t>
        </is>
      </c>
      <c r="B486" s="1" t="n">
        <v>45058</v>
      </c>
      <c r="C486" s="1" t="n">
        <v>45831</v>
      </c>
      <c r="D486" t="inlineStr">
        <is>
          <t>VÄSTERNORRLANDS LÄN</t>
        </is>
      </c>
      <c r="E486" t="inlineStr">
        <is>
          <t>TIMRÅ</t>
        </is>
      </c>
      <c r="G486" t="n">
        <v>2.1</v>
      </c>
      <c r="H486" t="n">
        <v>0</v>
      </c>
      <c r="I486" t="n">
        <v>0</v>
      </c>
      <c r="J486" t="n">
        <v>0</v>
      </c>
      <c r="K486" t="n">
        <v>0</v>
      </c>
      <c r="L486" t="n">
        <v>0</v>
      </c>
      <c r="M486" t="n">
        <v>0</v>
      </c>
      <c r="N486" t="n">
        <v>0</v>
      </c>
      <c r="O486" t="n">
        <v>0</v>
      </c>
      <c r="P486" t="n">
        <v>0</v>
      </c>
      <c r="Q486" t="n">
        <v>0</v>
      </c>
      <c r="R486" s="2" t="inlineStr"/>
    </row>
    <row r="487" ht="15" customHeight="1">
      <c r="A487" t="inlineStr">
        <is>
          <t>A 20834-2023</t>
        </is>
      </c>
      <c r="B487" s="1" t="n">
        <v>45058</v>
      </c>
      <c r="C487" s="1" t="n">
        <v>45831</v>
      </c>
      <c r="D487" t="inlineStr">
        <is>
          <t>VÄSTERNORRLANDS LÄN</t>
        </is>
      </c>
      <c r="E487" t="inlineStr">
        <is>
          <t>TIMRÅ</t>
        </is>
      </c>
      <c r="G487" t="n">
        <v>5</v>
      </c>
      <c r="H487" t="n">
        <v>0</v>
      </c>
      <c r="I487" t="n">
        <v>0</v>
      </c>
      <c r="J487" t="n">
        <v>0</v>
      </c>
      <c r="K487" t="n">
        <v>0</v>
      </c>
      <c r="L487" t="n">
        <v>0</v>
      </c>
      <c r="M487" t="n">
        <v>0</v>
      </c>
      <c r="N487" t="n">
        <v>0</v>
      </c>
      <c r="O487" t="n">
        <v>0</v>
      </c>
      <c r="P487" t="n">
        <v>0</v>
      </c>
      <c r="Q487" t="n">
        <v>0</v>
      </c>
      <c r="R487" s="2" t="inlineStr"/>
    </row>
    <row r="488" ht="15" customHeight="1">
      <c r="A488" t="inlineStr">
        <is>
          <t>A 20843-2023</t>
        </is>
      </c>
      <c r="B488" s="1" t="n">
        <v>45058</v>
      </c>
      <c r="C488" s="1" t="n">
        <v>45831</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20840-2023</t>
        </is>
      </c>
      <c r="B489" s="1" t="n">
        <v>45058</v>
      </c>
      <c r="C489" s="1" t="n">
        <v>45831</v>
      </c>
      <c r="D489" t="inlineStr">
        <is>
          <t>VÄSTERNORRLANDS LÄN</t>
        </is>
      </c>
      <c r="E489" t="inlineStr">
        <is>
          <t>TIMRÅ</t>
        </is>
      </c>
      <c r="G489" t="n">
        <v>3.1</v>
      </c>
      <c r="H489" t="n">
        <v>0</v>
      </c>
      <c r="I489" t="n">
        <v>0</v>
      </c>
      <c r="J489" t="n">
        <v>0</v>
      </c>
      <c r="K489" t="n">
        <v>0</v>
      </c>
      <c r="L489" t="n">
        <v>0</v>
      </c>
      <c r="M489" t="n">
        <v>0</v>
      </c>
      <c r="N489" t="n">
        <v>0</v>
      </c>
      <c r="O489" t="n">
        <v>0</v>
      </c>
      <c r="P489" t="n">
        <v>0</v>
      </c>
      <c r="Q489" t="n">
        <v>0</v>
      </c>
      <c r="R489" s="2" t="inlineStr"/>
    </row>
    <row r="490" ht="15" customHeight="1">
      <c r="A490" t="inlineStr">
        <is>
          <t>A 20844-2023</t>
        </is>
      </c>
      <c r="B490" s="1" t="n">
        <v>45058</v>
      </c>
      <c r="C490" s="1" t="n">
        <v>45831</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21356-2023</t>
        </is>
      </c>
      <c r="B491" s="1" t="n">
        <v>45063</v>
      </c>
      <c r="C491" s="1" t="n">
        <v>45831</v>
      </c>
      <c r="D491" t="inlineStr">
        <is>
          <t>VÄSTERNORRLANDS LÄN</t>
        </is>
      </c>
      <c r="E491" t="inlineStr">
        <is>
          <t>TIMRÅ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24305-2023</t>
        </is>
      </c>
      <c r="B492" s="1" t="n">
        <v>45080</v>
      </c>
      <c r="C492" s="1" t="n">
        <v>45831</v>
      </c>
      <c r="D492" t="inlineStr">
        <is>
          <t>VÄSTERNORRLANDS LÄN</t>
        </is>
      </c>
      <c r="E492" t="inlineStr">
        <is>
          <t>TIMRÅ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24304-2023</t>
        </is>
      </c>
      <c r="B493" s="1" t="n">
        <v>45079</v>
      </c>
      <c r="C493" s="1" t="n">
        <v>45831</v>
      </c>
      <c r="D493" t="inlineStr">
        <is>
          <t>VÄSTERNORRLANDS LÄN</t>
        </is>
      </c>
      <c r="E493" t="inlineStr">
        <is>
          <t>TIMRÅ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25301-2023</t>
        </is>
      </c>
      <c r="B494" s="1" t="n">
        <v>45086</v>
      </c>
      <c r="C494" s="1" t="n">
        <v>45831</v>
      </c>
      <c r="D494" t="inlineStr">
        <is>
          <t>VÄSTERNORRLANDS LÄN</t>
        </is>
      </c>
      <c r="E494" t="inlineStr">
        <is>
          <t>TIMRÅ</t>
        </is>
      </c>
      <c r="G494" t="n">
        <v>1.7</v>
      </c>
      <c r="H494" t="n">
        <v>0</v>
      </c>
      <c r="I494" t="n">
        <v>0</v>
      </c>
      <c r="J494" t="n">
        <v>0</v>
      </c>
      <c r="K494" t="n">
        <v>0</v>
      </c>
      <c r="L494" t="n">
        <v>0</v>
      </c>
      <c r="M494" t="n">
        <v>0</v>
      </c>
      <c r="N494" t="n">
        <v>0</v>
      </c>
      <c r="O494" t="n">
        <v>0</v>
      </c>
      <c r="P494" t="n">
        <v>0</v>
      </c>
      <c r="Q494" t="n">
        <v>0</v>
      </c>
      <c r="R494" s="2" t="inlineStr"/>
    </row>
    <row r="495" ht="15" customHeight="1">
      <c r="A495" t="inlineStr">
        <is>
          <t>A 27495-2023</t>
        </is>
      </c>
      <c r="B495" s="1" t="n">
        <v>45092</v>
      </c>
      <c r="C495" s="1" t="n">
        <v>45831</v>
      </c>
      <c r="D495" t="inlineStr">
        <is>
          <t>VÄSTERNORRLANDS LÄN</t>
        </is>
      </c>
      <c r="E495" t="inlineStr">
        <is>
          <t>TIMRÅ</t>
        </is>
      </c>
      <c r="G495" t="n">
        <v>2.6</v>
      </c>
      <c r="H495" t="n">
        <v>0</v>
      </c>
      <c r="I495" t="n">
        <v>0</v>
      </c>
      <c r="J495" t="n">
        <v>0</v>
      </c>
      <c r="K495" t="n">
        <v>0</v>
      </c>
      <c r="L495" t="n">
        <v>0</v>
      </c>
      <c r="M495" t="n">
        <v>0</v>
      </c>
      <c r="N495" t="n">
        <v>0</v>
      </c>
      <c r="O495" t="n">
        <v>0</v>
      </c>
      <c r="P495" t="n">
        <v>0</v>
      </c>
      <c r="Q495" t="n">
        <v>0</v>
      </c>
      <c r="R495" s="2" t="inlineStr"/>
    </row>
    <row r="496" ht="15" customHeight="1">
      <c r="A496" t="inlineStr">
        <is>
          <t>A 27489-2023</t>
        </is>
      </c>
      <c r="B496" s="1" t="n">
        <v>45092</v>
      </c>
      <c r="C496" s="1" t="n">
        <v>45831</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26996-2023</t>
        </is>
      </c>
      <c r="B497" s="1" t="n">
        <v>45093</v>
      </c>
      <c r="C497" s="1" t="n">
        <v>45831</v>
      </c>
      <c r="D497" t="inlineStr">
        <is>
          <t>VÄSTERNORRLANDS LÄN</t>
        </is>
      </c>
      <c r="E497" t="inlineStr">
        <is>
          <t>TIMRÅ</t>
        </is>
      </c>
      <c r="G497" t="n">
        <v>8.4</v>
      </c>
      <c r="H497" t="n">
        <v>0</v>
      </c>
      <c r="I497" t="n">
        <v>0</v>
      </c>
      <c r="J497" t="n">
        <v>0</v>
      </c>
      <c r="K497" t="n">
        <v>0</v>
      </c>
      <c r="L497" t="n">
        <v>0</v>
      </c>
      <c r="M497" t="n">
        <v>0</v>
      </c>
      <c r="N497" t="n">
        <v>0</v>
      </c>
      <c r="O497" t="n">
        <v>0</v>
      </c>
      <c r="P497" t="n">
        <v>0</v>
      </c>
      <c r="Q497" t="n">
        <v>0</v>
      </c>
      <c r="R497" s="2" t="inlineStr"/>
    </row>
    <row r="498" ht="15" customHeight="1">
      <c r="A498" t="inlineStr">
        <is>
          <t>A 28007-2023</t>
        </is>
      </c>
      <c r="B498" s="1" t="n">
        <v>45098</v>
      </c>
      <c r="C498" s="1" t="n">
        <v>45831</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28373-2023</t>
        </is>
      </c>
      <c r="B499" s="1" t="n">
        <v>45100</v>
      </c>
      <c r="C499" s="1" t="n">
        <v>45831</v>
      </c>
      <c r="D499" t="inlineStr">
        <is>
          <t>VÄSTERNORRLANDS LÄN</t>
        </is>
      </c>
      <c r="E499" t="inlineStr">
        <is>
          <t>TIMRÅ</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28372-2023</t>
        </is>
      </c>
      <c r="B500" s="1" t="n">
        <v>45100</v>
      </c>
      <c r="C500" s="1" t="n">
        <v>45831</v>
      </c>
      <c r="D500" t="inlineStr">
        <is>
          <t>VÄSTERNORRLANDS LÄN</t>
        </is>
      </c>
      <c r="E500" t="inlineStr">
        <is>
          <t>TIMRÅ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28370-2023</t>
        </is>
      </c>
      <c r="B501" s="1" t="n">
        <v>45100</v>
      </c>
      <c r="C501" s="1" t="n">
        <v>45831</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28381-2023</t>
        </is>
      </c>
      <c r="B502" s="1" t="n">
        <v>45099</v>
      </c>
      <c r="C502" s="1" t="n">
        <v>45831</v>
      </c>
      <c r="D502" t="inlineStr">
        <is>
          <t>VÄSTERNORRLANDS LÄN</t>
        </is>
      </c>
      <c r="E502" t="inlineStr">
        <is>
          <t>TIMRÅ</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28369-2023</t>
        </is>
      </c>
      <c r="B503" s="1" t="n">
        <v>45099</v>
      </c>
      <c r="C503" s="1" t="n">
        <v>45831</v>
      </c>
      <c r="D503" t="inlineStr">
        <is>
          <t>VÄSTERNORRLANDS LÄN</t>
        </is>
      </c>
      <c r="E503" t="inlineStr">
        <is>
          <t>TIMRÅ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28371-2023</t>
        </is>
      </c>
      <c r="B504" s="1" t="n">
        <v>45100</v>
      </c>
      <c r="C504" s="1" t="n">
        <v>45831</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28734-2023</t>
        </is>
      </c>
      <c r="B505" s="1" t="n">
        <v>45104</v>
      </c>
      <c r="C505" s="1" t="n">
        <v>45831</v>
      </c>
      <c r="D505" t="inlineStr">
        <is>
          <t>VÄSTERNORRLANDS LÄN</t>
        </is>
      </c>
      <c r="E505" t="inlineStr">
        <is>
          <t>TIMRÅ</t>
        </is>
      </c>
      <c r="G505" t="n">
        <v>2.1</v>
      </c>
      <c r="H505" t="n">
        <v>0</v>
      </c>
      <c r="I505" t="n">
        <v>0</v>
      </c>
      <c r="J505" t="n">
        <v>0</v>
      </c>
      <c r="K505" t="n">
        <v>0</v>
      </c>
      <c r="L505" t="n">
        <v>0</v>
      </c>
      <c r="M505" t="n">
        <v>0</v>
      </c>
      <c r="N505" t="n">
        <v>0</v>
      </c>
      <c r="O505" t="n">
        <v>0</v>
      </c>
      <c r="P505" t="n">
        <v>0</v>
      </c>
      <c r="Q505" t="n">
        <v>0</v>
      </c>
      <c r="R505" s="2" t="inlineStr"/>
    </row>
    <row r="506" ht="15" customHeight="1">
      <c r="A506" t="inlineStr">
        <is>
          <t>A 28750-2023</t>
        </is>
      </c>
      <c r="B506" s="1" t="n">
        <v>45104</v>
      </c>
      <c r="C506" s="1" t="n">
        <v>45831</v>
      </c>
      <c r="D506" t="inlineStr">
        <is>
          <t>VÄSTERNORRLANDS LÄN</t>
        </is>
      </c>
      <c r="E506" t="inlineStr">
        <is>
          <t>TIMRÅ</t>
        </is>
      </c>
      <c r="F506" t="inlineStr">
        <is>
          <t>SCA</t>
        </is>
      </c>
      <c r="G506" t="n">
        <v>8.5</v>
      </c>
      <c r="H506" t="n">
        <v>0</v>
      </c>
      <c r="I506" t="n">
        <v>0</v>
      </c>
      <c r="J506" t="n">
        <v>0</v>
      </c>
      <c r="K506" t="n">
        <v>0</v>
      </c>
      <c r="L506" t="n">
        <v>0</v>
      </c>
      <c r="M506" t="n">
        <v>0</v>
      </c>
      <c r="N506" t="n">
        <v>0</v>
      </c>
      <c r="O506" t="n">
        <v>0</v>
      </c>
      <c r="P506" t="n">
        <v>0</v>
      </c>
      <c r="Q506" t="n">
        <v>0</v>
      </c>
      <c r="R506" s="2" t="inlineStr"/>
    </row>
    <row r="507" ht="15" customHeight="1">
      <c r="A507" t="inlineStr">
        <is>
          <t>A 31148-2023</t>
        </is>
      </c>
      <c r="B507" s="1" t="n">
        <v>45103</v>
      </c>
      <c r="C507" s="1" t="n">
        <v>45831</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31150-2023</t>
        </is>
      </c>
      <c r="B508" s="1" t="n">
        <v>45103</v>
      </c>
      <c r="C508" s="1" t="n">
        <v>45831</v>
      </c>
      <c r="D508" t="inlineStr">
        <is>
          <t>VÄSTERNORRLANDS LÄN</t>
        </is>
      </c>
      <c r="E508" t="inlineStr">
        <is>
          <t>TIMRÅ</t>
        </is>
      </c>
      <c r="G508" t="n">
        <v>0.3</v>
      </c>
      <c r="H508" t="n">
        <v>0</v>
      </c>
      <c r="I508" t="n">
        <v>0</v>
      </c>
      <c r="J508" t="n">
        <v>0</v>
      </c>
      <c r="K508" t="n">
        <v>0</v>
      </c>
      <c r="L508" t="n">
        <v>0</v>
      </c>
      <c r="M508" t="n">
        <v>0</v>
      </c>
      <c r="N508" t="n">
        <v>0</v>
      </c>
      <c r="O508" t="n">
        <v>0</v>
      </c>
      <c r="P508" t="n">
        <v>0</v>
      </c>
      <c r="Q508" t="n">
        <v>0</v>
      </c>
      <c r="R508" s="2" t="inlineStr"/>
    </row>
    <row r="509" ht="15" customHeight="1">
      <c r="A509" t="inlineStr">
        <is>
          <t>A 31154-2023</t>
        </is>
      </c>
      <c r="B509" s="1" t="n">
        <v>45103</v>
      </c>
      <c r="C509" s="1" t="n">
        <v>45831</v>
      </c>
      <c r="D509" t="inlineStr">
        <is>
          <t>VÄSTERNORRLANDS LÄN</t>
        </is>
      </c>
      <c r="E509" t="inlineStr">
        <is>
          <t>TIMRÅ</t>
        </is>
      </c>
      <c r="G509" t="n">
        <v>0.6</v>
      </c>
      <c r="H509" t="n">
        <v>0</v>
      </c>
      <c r="I509" t="n">
        <v>0</v>
      </c>
      <c r="J509" t="n">
        <v>0</v>
      </c>
      <c r="K509" t="n">
        <v>0</v>
      </c>
      <c r="L509" t="n">
        <v>0</v>
      </c>
      <c r="M509" t="n">
        <v>0</v>
      </c>
      <c r="N509" t="n">
        <v>0</v>
      </c>
      <c r="O509" t="n">
        <v>0</v>
      </c>
      <c r="P509" t="n">
        <v>0</v>
      </c>
      <c r="Q509" t="n">
        <v>0</v>
      </c>
      <c r="R509" s="2" t="inlineStr"/>
    </row>
    <row r="510" ht="15" customHeight="1">
      <c r="A510" t="inlineStr">
        <is>
          <t>A 31381-2023</t>
        </is>
      </c>
      <c r="B510" s="1" t="n">
        <v>45104</v>
      </c>
      <c r="C510" s="1" t="n">
        <v>45831</v>
      </c>
      <c r="D510" t="inlineStr">
        <is>
          <t>VÄSTERNORRLANDS LÄN</t>
        </is>
      </c>
      <c r="E510" t="inlineStr">
        <is>
          <t>TIMRÅ</t>
        </is>
      </c>
      <c r="G510" t="n">
        <v>5.6</v>
      </c>
      <c r="H510" t="n">
        <v>0</v>
      </c>
      <c r="I510" t="n">
        <v>0</v>
      </c>
      <c r="J510" t="n">
        <v>0</v>
      </c>
      <c r="K510" t="n">
        <v>0</v>
      </c>
      <c r="L510" t="n">
        <v>0</v>
      </c>
      <c r="M510" t="n">
        <v>0</v>
      </c>
      <c r="N510" t="n">
        <v>0</v>
      </c>
      <c r="O510" t="n">
        <v>0</v>
      </c>
      <c r="P510" t="n">
        <v>0</v>
      </c>
      <c r="Q510" t="n">
        <v>0</v>
      </c>
      <c r="R510" s="2" t="inlineStr"/>
    </row>
    <row r="511" ht="15" customHeight="1">
      <c r="A511" t="inlineStr">
        <is>
          <t>A 31474-2023</t>
        </is>
      </c>
      <c r="B511" s="1" t="n">
        <v>45104</v>
      </c>
      <c r="C511" s="1" t="n">
        <v>45831</v>
      </c>
      <c r="D511" t="inlineStr">
        <is>
          <t>VÄSTERNORRLANDS LÄN</t>
        </is>
      </c>
      <c r="E511" t="inlineStr">
        <is>
          <t>TIMRÅ</t>
        </is>
      </c>
      <c r="G511" t="n">
        <v>1.3</v>
      </c>
      <c r="H511" t="n">
        <v>0</v>
      </c>
      <c r="I511" t="n">
        <v>0</v>
      </c>
      <c r="J511" t="n">
        <v>0</v>
      </c>
      <c r="K511" t="n">
        <v>0</v>
      </c>
      <c r="L511" t="n">
        <v>0</v>
      </c>
      <c r="M511" t="n">
        <v>0</v>
      </c>
      <c r="N511" t="n">
        <v>0</v>
      </c>
      <c r="O511" t="n">
        <v>0</v>
      </c>
      <c r="P511" t="n">
        <v>0</v>
      </c>
      <c r="Q511" t="n">
        <v>0</v>
      </c>
      <c r="R511" s="2" t="inlineStr"/>
    </row>
    <row r="512" ht="15" customHeight="1">
      <c r="A512" t="inlineStr">
        <is>
          <t>A 31378-2023</t>
        </is>
      </c>
      <c r="B512" s="1" t="n">
        <v>45104</v>
      </c>
      <c r="C512" s="1" t="n">
        <v>45831</v>
      </c>
      <c r="D512" t="inlineStr">
        <is>
          <t>VÄSTERNORRLANDS LÄN</t>
        </is>
      </c>
      <c r="E512" t="inlineStr">
        <is>
          <t>TIMRÅ</t>
        </is>
      </c>
      <c r="G512" t="n">
        <v>2.8</v>
      </c>
      <c r="H512" t="n">
        <v>0</v>
      </c>
      <c r="I512" t="n">
        <v>0</v>
      </c>
      <c r="J512" t="n">
        <v>0</v>
      </c>
      <c r="K512" t="n">
        <v>0</v>
      </c>
      <c r="L512" t="n">
        <v>0</v>
      </c>
      <c r="M512" t="n">
        <v>0</v>
      </c>
      <c r="N512" t="n">
        <v>0</v>
      </c>
      <c r="O512" t="n">
        <v>0</v>
      </c>
      <c r="P512" t="n">
        <v>0</v>
      </c>
      <c r="Q512" t="n">
        <v>0</v>
      </c>
      <c r="R512" s="2" t="inlineStr"/>
    </row>
    <row r="513" ht="15" customHeight="1">
      <c r="A513" t="inlineStr">
        <is>
          <t>A 31343-2023</t>
        </is>
      </c>
      <c r="B513" s="1" t="n">
        <v>45104</v>
      </c>
      <c r="C513" s="1" t="n">
        <v>45831</v>
      </c>
      <c r="D513" t="inlineStr">
        <is>
          <t>VÄSTERNORRLANDS LÄN</t>
        </is>
      </c>
      <c r="E513" t="inlineStr">
        <is>
          <t>TIMRÅ</t>
        </is>
      </c>
      <c r="G513" t="n">
        <v>7.1</v>
      </c>
      <c r="H513" t="n">
        <v>0</v>
      </c>
      <c r="I513" t="n">
        <v>0</v>
      </c>
      <c r="J513" t="n">
        <v>0</v>
      </c>
      <c r="K513" t="n">
        <v>0</v>
      </c>
      <c r="L513" t="n">
        <v>0</v>
      </c>
      <c r="M513" t="n">
        <v>0</v>
      </c>
      <c r="N513" t="n">
        <v>0</v>
      </c>
      <c r="O513" t="n">
        <v>0</v>
      </c>
      <c r="P513" t="n">
        <v>0</v>
      </c>
      <c r="Q513" t="n">
        <v>0</v>
      </c>
      <c r="R513" s="2" t="inlineStr"/>
    </row>
    <row r="514" ht="15" customHeight="1">
      <c r="A514" t="inlineStr">
        <is>
          <t>A 31472-2023</t>
        </is>
      </c>
      <c r="B514" s="1" t="n">
        <v>45104</v>
      </c>
      <c r="C514" s="1" t="n">
        <v>45831</v>
      </c>
      <c r="D514" t="inlineStr">
        <is>
          <t>VÄSTERNORRLANDS LÄN</t>
        </is>
      </c>
      <c r="E514" t="inlineStr">
        <is>
          <t>TIMRÅ</t>
        </is>
      </c>
      <c r="G514" t="n">
        <v>2.1</v>
      </c>
      <c r="H514" t="n">
        <v>0</v>
      </c>
      <c r="I514" t="n">
        <v>0</v>
      </c>
      <c r="J514" t="n">
        <v>0</v>
      </c>
      <c r="K514" t="n">
        <v>0</v>
      </c>
      <c r="L514" t="n">
        <v>0</v>
      </c>
      <c r="M514" t="n">
        <v>0</v>
      </c>
      <c r="N514" t="n">
        <v>0</v>
      </c>
      <c r="O514" t="n">
        <v>0</v>
      </c>
      <c r="P514" t="n">
        <v>0</v>
      </c>
      <c r="Q514" t="n">
        <v>0</v>
      </c>
      <c r="R514" s="2" t="inlineStr"/>
    </row>
    <row r="515" ht="15" customHeight="1">
      <c r="A515" t="inlineStr">
        <is>
          <t>A 29599-2023</t>
        </is>
      </c>
      <c r="B515" s="1" t="n">
        <v>45106</v>
      </c>
      <c r="C515" s="1" t="n">
        <v>45831</v>
      </c>
      <c r="D515" t="inlineStr">
        <is>
          <t>VÄSTERNORRLANDS LÄN</t>
        </is>
      </c>
      <c r="E515" t="inlineStr">
        <is>
          <t>TIMRÅ</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29948-2023</t>
        </is>
      </c>
      <c r="B516" s="1" t="n">
        <v>45107</v>
      </c>
      <c r="C516" s="1" t="n">
        <v>45831</v>
      </c>
      <c r="D516" t="inlineStr">
        <is>
          <t>VÄSTERNORRLANDS LÄN</t>
        </is>
      </c>
      <c r="E516" t="inlineStr">
        <is>
          <t>TIMRÅ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32070-2023</t>
        </is>
      </c>
      <c r="B517" s="1" t="n">
        <v>45107</v>
      </c>
      <c r="C517" s="1" t="n">
        <v>45831</v>
      </c>
      <c r="D517" t="inlineStr">
        <is>
          <t>VÄSTERNORRLANDS LÄN</t>
        </is>
      </c>
      <c r="E517" t="inlineStr">
        <is>
          <t>TIMRÅ</t>
        </is>
      </c>
      <c r="G517" t="n">
        <v>1.5</v>
      </c>
      <c r="H517" t="n">
        <v>0</v>
      </c>
      <c r="I517" t="n">
        <v>0</v>
      </c>
      <c r="J517" t="n">
        <v>0</v>
      </c>
      <c r="K517" t="n">
        <v>0</v>
      </c>
      <c r="L517" t="n">
        <v>0</v>
      </c>
      <c r="M517" t="n">
        <v>0</v>
      </c>
      <c r="N517" t="n">
        <v>0</v>
      </c>
      <c r="O517" t="n">
        <v>0</v>
      </c>
      <c r="P517" t="n">
        <v>0</v>
      </c>
      <c r="Q517" t="n">
        <v>0</v>
      </c>
      <c r="R517" s="2" t="inlineStr"/>
    </row>
    <row r="518" ht="15" customHeight="1">
      <c r="A518" t="inlineStr">
        <is>
          <t>A 30315-2023</t>
        </is>
      </c>
      <c r="B518" s="1" t="n">
        <v>45110</v>
      </c>
      <c r="C518" s="1" t="n">
        <v>45831</v>
      </c>
      <c r="D518" t="inlineStr">
        <is>
          <t>VÄSTERNORRLANDS LÄN</t>
        </is>
      </c>
      <c r="E518" t="inlineStr">
        <is>
          <t>TIMRÅ</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30298-2023</t>
        </is>
      </c>
      <c r="B519" s="1" t="n">
        <v>45110</v>
      </c>
      <c r="C519" s="1" t="n">
        <v>45831</v>
      </c>
      <c r="D519" t="inlineStr">
        <is>
          <t>VÄSTERNORRLANDS LÄN</t>
        </is>
      </c>
      <c r="E519" t="inlineStr">
        <is>
          <t>TIMRÅ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30835-2023</t>
        </is>
      </c>
      <c r="B520" s="1" t="n">
        <v>45113</v>
      </c>
      <c r="C520" s="1" t="n">
        <v>45831</v>
      </c>
      <c r="D520" t="inlineStr">
        <is>
          <t>VÄSTERNORRLANDS LÄN</t>
        </is>
      </c>
      <c r="E520" t="inlineStr">
        <is>
          <t>TIMRÅ</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31562-2023</t>
        </is>
      </c>
      <c r="B521" s="1" t="n">
        <v>45117</v>
      </c>
      <c r="C521" s="1" t="n">
        <v>45831</v>
      </c>
      <c r="D521" t="inlineStr">
        <is>
          <t>VÄSTERNORRLANDS LÄN</t>
        </is>
      </c>
      <c r="E521" t="inlineStr">
        <is>
          <t>TIMRÅ</t>
        </is>
      </c>
      <c r="G521" t="n">
        <v>3.7</v>
      </c>
      <c r="H521" t="n">
        <v>0</v>
      </c>
      <c r="I521" t="n">
        <v>0</v>
      </c>
      <c r="J521" t="n">
        <v>0</v>
      </c>
      <c r="K521" t="n">
        <v>0</v>
      </c>
      <c r="L521" t="n">
        <v>0</v>
      </c>
      <c r="M521" t="n">
        <v>0</v>
      </c>
      <c r="N521" t="n">
        <v>0</v>
      </c>
      <c r="O521" t="n">
        <v>0</v>
      </c>
      <c r="P521" t="n">
        <v>0</v>
      </c>
      <c r="Q521" t="n">
        <v>0</v>
      </c>
      <c r="R521" s="2" t="inlineStr"/>
    </row>
    <row r="522" ht="15" customHeight="1">
      <c r="A522" t="inlineStr">
        <is>
          <t>A 31736-2023</t>
        </is>
      </c>
      <c r="B522" s="1" t="n">
        <v>45117</v>
      </c>
      <c r="C522" s="1" t="n">
        <v>45831</v>
      </c>
      <c r="D522" t="inlineStr">
        <is>
          <t>VÄSTERNORRLANDS LÄN</t>
        </is>
      </c>
      <c r="E522" t="inlineStr">
        <is>
          <t>TIMRÅ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31741-2023</t>
        </is>
      </c>
      <c r="B523" s="1" t="n">
        <v>45117</v>
      </c>
      <c r="C523" s="1" t="n">
        <v>45831</v>
      </c>
      <c r="D523" t="inlineStr">
        <is>
          <t>VÄSTERNORRLANDS LÄN</t>
        </is>
      </c>
      <c r="E523" t="inlineStr">
        <is>
          <t>TIMRÅ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32224-2023</t>
        </is>
      </c>
      <c r="B524" s="1" t="n">
        <v>45119</v>
      </c>
      <c r="C524" s="1" t="n">
        <v>45831</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32225-2023</t>
        </is>
      </c>
      <c r="B525" s="1" t="n">
        <v>45119</v>
      </c>
      <c r="C525" s="1" t="n">
        <v>45831</v>
      </c>
      <c r="D525" t="inlineStr">
        <is>
          <t>VÄSTERNORRLANDS LÄN</t>
        </is>
      </c>
      <c r="E525" t="inlineStr">
        <is>
          <t>TIMRÅ</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32223-2023</t>
        </is>
      </c>
      <c r="B526" s="1" t="n">
        <v>45119</v>
      </c>
      <c r="C526" s="1" t="n">
        <v>45831</v>
      </c>
      <c r="D526" t="inlineStr">
        <is>
          <t>VÄSTERNORRLANDS LÄN</t>
        </is>
      </c>
      <c r="E526" t="inlineStr">
        <is>
          <t>TIMRÅ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32226-2023</t>
        </is>
      </c>
      <c r="B527" s="1" t="n">
        <v>45119</v>
      </c>
      <c r="C527" s="1" t="n">
        <v>45831</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32230-2023</t>
        </is>
      </c>
      <c r="B528" s="1" t="n">
        <v>45120</v>
      </c>
      <c r="C528" s="1" t="n">
        <v>45831</v>
      </c>
      <c r="D528" t="inlineStr">
        <is>
          <t>VÄSTERNORRLANDS LÄN</t>
        </is>
      </c>
      <c r="E528" t="inlineStr">
        <is>
          <t>TIMRÅ</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33667-2023</t>
        </is>
      </c>
      <c r="B529" s="1" t="n">
        <v>45119</v>
      </c>
      <c r="C529" s="1" t="n">
        <v>45831</v>
      </c>
      <c r="D529" t="inlineStr">
        <is>
          <t>VÄSTERNORRLANDS LÄN</t>
        </is>
      </c>
      <c r="E529" t="inlineStr">
        <is>
          <t>TIMRÅ</t>
        </is>
      </c>
      <c r="G529" t="n">
        <v>4.8</v>
      </c>
      <c r="H529" t="n">
        <v>0</v>
      </c>
      <c r="I529" t="n">
        <v>0</v>
      </c>
      <c r="J529" t="n">
        <v>0</v>
      </c>
      <c r="K529" t="n">
        <v>0</v>
      </c>
      <c r="L529" t="n">
        <v>0</v>
      </c>
      <c r="M529" t="n">
        <v>0</v>
      </c>
      <c r="N529" t="n">
        <v>0</v>
      </c>
      <c r="O529" t="n">
        <v>0</v>
      </c>
      <c r="P529" t="n">
        <v>0</v>
      </c>
      <c r="Q529" t="n">
        <v>0</v>
      </c>
      <c r="R529" s="2" t="inlineStr"/>
    </row>
    <row r="530" ht="15" customHeight="1">
      <c r="A530" t="inlineStr">
        <is>
          <t>A 33756-2023</t>
        </is>
      </c>
      <c r="B530" s="1" t="n">
        <v>45120</v>
      </c>
      <c r="C530" s="1" t="n">
        <v>45831</v>
      </c>
      <c r="D530" t="inlineStr">
        <is>
          <t>VÄSTERNORRLANDS LÄN</t>
        </is>
      </c>
      <c r="E530" t="inlineStr">
        <is>
          <t>TIMRÅ</t>
        </is>
      </c>
      <c r="G530" t="n">
        <v>10.5</v>
      </c>
      <c r="H530" t="n">
        <v>0</v>
      </c>
      <c r="I530" t="n">
        <v>0</v>
      </c>
      <c r="J530" t="n">
        <v>0</v>
      </c>
      <c r="K530" t="n">
        <v>0</v>
      </c>
      <c r="L530" t="n">
        <v>0</v>
      </c>
      <c r="M530" t="n">
        <v>0</v>
      </c>
      <c r="N530" t="n">
        <v>0</v>
      </c>
      <c r="O530" t="n">
        <v>0</v>
      </c>
      <c r="P530" t="n">
        <v>0</v>
      </c>
      <c r="Q530" t="n">
        <v>0</v>
      </c>
      <c r="R530" s="2" t="inlineStr"/>
    </row>
    <row r="531" ht="15" customHeight="1">
      <c r="A531" t="inlineStr">
        <is>
          <t>A 33043-2023</t>
        </is>
      </c>
      <c r="B531" s="1" t="n">
        <v>45125</v>
      </c>
      <c r="C531" s="1" t="n">
        <v>45831</v>
      </c>
      <c r="D531" t="inlineStr">
        <is>
          <t>VÄSTERNORRLANDS LÄN</t>
        </is>
      </c>
      <c r="E531" t="inlineStr">
        <is>
          <t>TIMRÅ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34172-2023</t>
        </is>
      </c>
      <c r="B532" s="1" t="n">
        <v>45126</v>
      </c>
      <c r="C532" s="1" t="n">
        <v>45831</v>
      </c>
      <c r="D532" t="inlineStr">
        <is>
          <t>VÄSTERNORRLANDS LÄN</t>
        </is>
      </c>
      <c r="E532" t="inlineStr">
        <is>
          <t>TIMRÅ</t>
        </is>
      </c>
      <c r="G532" t="n">
        <v>4</v>
      </c>
      <c r="H532" t="n">
        <v>0</v>
      </c>
      <c r="I532" t="n">
        <v>0</v>
      </c>
      <c r="J532" t="n">
        <v>0</v>
      </c>
      <c r="K532" t="n">
        <v>0</v>
      </c>
      <c r="L532" t="n">
        <v>0</v>
      </c>
      <c r="M532" t="n">
        <v>0</v>
      </c>
      <c r="N532" t="n">
        <v>0</v>
      </c>
      <c r="O532" t="n">
        <v>0</v>
      </c>
      <c r="P532" t="n">
        <v>0</v>
      </c>
      <c r="Q532" t="n">
        <v>0</v>
      </c>
      <c r="R532" s="2" t="inlineStr"/>
    </row>
    <row r="533" ht="15" customHeight="1">
      <c r="A533" t="inlineStr">
        <is>
          <t>A 35342-2023</t>
        </is>
      </c>
      <c r="B533" s="1" t="n">
        <v>45145</v>
      </c>
      <c r="C533" s="1" t="n">
        <v>45831</v>
      </c>
      <c r="D533" t="inlineStr">
        <is>
          <t>VÄSTERNORRLANDS LÄN</t>
        </is>
      </c>
      <c r="E533" t="inlineStr">
        <is>
          <t>TIMRÅ</t>
        </is>
      </c>
      <c r="G533" t="n">
        <v>3.2</v>
      </c>
      <c r="H533" t="n">
        <v>0</v>
      </c>
      <c r="I533" t="n">
        <v>0</v>
      </c>
      <c r="J533" t="n">
        <v>0</v>
      </c>
      <c r="K533" t="n">
        <v>0</v>
      </c>
      <c r="L533" t="n">
        <v>0</v>
      </c>
      <c r="M533" t="n">
        <v>0</v>
      </c>
      <c r="N533" t="n">
        <v>0</v>
      </c>
      <c r="O533" t="n">
        <v>0</v>
      </c>
      <c r="P533" t="n">
        <v>0</v>
      </c>
      <c r="Q533" t="n">
        <v>0</v>
      </c>
      <c r="R533" s="2" t="inlineStr"/>
    </row>
    <row r="534" ht="15" customHeight="1">
      <c r="A534" t="inlineStr">
        <is>
          <t>A 35568-2023</t>
        </is>
      </c>
      <c r="B534" s="1" t="n">
        <v>45146</v>
      </c>
      <c r="C534" s="1" t="n">
        <v>45831</v>
      </c>
      <c r="D534" t="inlineStr">
        <is>
          <t>VÄSTERNORRLANDS LÄN</t>
        </is>
      </c>
      <c r="E534" t="inlineStr">
        <is>
          <t>TIMRÅ</t>
        </is>
      </c>
      <c r="G534" t="n">
        <v>3.2</v>
      </c>
      <c r="H534" t="n">
        <v>0</v>
      </c>
      <c r="I534" t="n">
        <v>0</v>
      </c>
      <c r="J534" t="n">
        <v>0</v>
      </c>
      <c r="K534" t="n">
        <v>0</v>
      </c>
      <c r="L534" t="n">
        <v>0</v>
      </c>
      <c r="M534" t="n">
        <v>0</v>
      </c>
      <c r="N534" t="n">
        <v>0</v>
      </c>
      <c r="O534" t="n">
        <v>0</v>
      </c>
      <c r="P534" t="n">
        <v>0</v>
      </c>
      <c r="Q534" t="n">
        <v>0</v>
      </c>
      <c r="R534" s="2" t="inlineStr"/>
    </row>
    <row r="535" ht="15" customHeight="1">
      <c r="A535" t="inlineStr">
        <is>
          <t>A 35763-2023</t>
        </is>
      </c>
      <c r="B535" s="1" t="n">
        <v>45147</v>
      </c>
      <c r="C535" s="1" t="n">
        <v>45831</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35939-2023</t>
        </is>
      </c>
      <c r="B536" s="1" t="n">
        <v>45148</v>
      </c>
      <c r="C536" s="1" t="n">
        <v>45831</v>
      </c>
      <c r="D536" t="inlineStr">
        <is>
          <t>VÄSTERNORRLANDS LÄN</t>
        </is>
      </c>
      <c r="E536" t="inlineStr">
        <is>
          <t>TIMRÅ</t>
        </is>
      </c>
      <c r="G536" t="n">
        <v>1.1</v>
      </c>
      <c r="H536" t="n">
        <v>0</v>
      </c>
      <c r="I536" t="n">
        <v>0</v>
      </c>
      <c r="J536" t="n">
        <v>0</v>
      </c>
      <c r="K536" t="n">
        <v>0</v>
      </c>
      <c r="L536" t="n">
        <v>0</v>
      </c>
      <c r="M536" t="n">
        <v>0</v>
      </c>
      <c r="N536" t="n">
        <v>0</v>
      </c>
      <c r="O536" t="n">
        <v>0</v>
      </c>
      <c r="P536" t="n">
        <v>0</v>
      </c>
      <c r="Q536" t="n">
        <v>0</v>
      </c>
      <c r="R536" s="2" t="inlineStr"/>
    </row>
    <row r="537" ht="15" customHeight="1">
      <c r="A537" t="inlineStr">
        <is>
          <t>A 36228-2023</t>
        </is>
      </c>
      <c r="B537" s="1" t="n">
        <v>45149</v>
      </c>
      <c r="C537" s="1" t="n">
        <v>45831</v>
      </c>
      <c r="D537" t="inlineStr">
        <is>
          <t>VÄSTERNORRLANDS LÄN</t>
        </is>
      </c>
      <c r="E537" t="inlineStr">
        <is>
          <t>TIMRÅ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36992-2023</t>
        </is>
      </c>
      <c r="B538" s="1" t="n">
        <v>45154</v>
      </c>
      <c r="C538" s="1" t="n">
        <v>45831</v>
      </c>
      <c r="D538" t="inlineStr">
        <is>
          <t>VÄSTERNORRLANDS LÄN</t>
        </is>
      </c>
      <c r="E538" t="inlineStr">
        <is>
          <t>TIMRÅ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36997-2023</t>
        </is>
      </c>
      <c r="B539" s="1" t="n">
        <v>45154</v>
      </c>
      <c r="C539" s="1" t="n">
        <v>45831</v>
      </c>
      <c r="D539" t="inlineStr">
        <is>
          <t>VÄSTERNORRLANDS LÄN</t>
        </is>
      </c>
      <c r="E539" t="inlineStr">
        <is>
          <t>TIMRÅ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37259-2023</t>
        </is>
      </c>
      <c r="B540" s="1" t="n">
        <v>45156</v>
      </c>
      <c r="C540" s="1" t="n">
        <v>45831</v>
      </c>
      <c r="D540" t="inlineStr">
        <is>
          <t>VÄSTERNORRLANDS LÄN</t>
        </is>
      </c>
      <c r="E540" t="inlineStr">
        <is>
          <t>TIMRÅ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37808-2023</t>
        </is>
      </c>
      <c r="B541" s="1" t="n">
        <v>45160</v>
      </c>
      <c r="C541" s="1" t="n">
        <v>45831</v>
      </c>
      <c r="D541" t="inlineStr">
        <is>
          <t>VÄSTERNORRLANDS LÄN</t>
        </is>
      </c>
      <c r="E541" t="inlineStr">
        <is>
          <t>TIMRÅ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38423-2023</t>
        </is>
      </c>
      <c r="B542" s="1" t="n">
        <v>45160</v>
      </c>
      <c r="C542" s="1" t="n">
        <v>45831</v>
      </c>
      <c r="D542" t="inlineStr">
        <is>
          <t>VÄSTERNORRLANDS LÄN</t>
        </is>
      </c>
      <c r="E542" t="inlineStr">
        <is>
          <t>TIMRÅ</t>
        </is>
      </c>
      <c r="G542" t="n">
        <v>6.4</v>
      </c>
      <c r="H542" t="n">
        <v>0</v>
      </c>
      <c r="I542" t="n">
        <v>0</v>
      </c>
      <c r="J542" t="n">
        <v>0</v>
      </c>
      <c r="K542" t="n">
        <v>0</v>
      </c>
      <c r="L542" t="n">
        <v>0</v>
      </c>
      <c r="M542" t="n">
        <v>0</v>
      </c>
      <c r="N542" t="n">
        <v>0</v>
      </c>
      <c r="O542" t="n">
        <v>0</v>
      </c>
      <c r="P542" t="n">
        <v>0</v>
      </c>
      <c r="Q542" t="n">
        <v>0</v>
      </c>
      <c r="R542" s="2" t="inlineStr"/>
    </row>
    <row r="543" ht="15" customHeight="1">
      <c r="A543" t="inlineStr">
        <is>
          <t>A 38360-2023</t>
        </is>
      </c>
      <c r="B543" s="1" t="n">
        <v>45162</v>
      </c>
      <c r="C543" s="1" t="n">
        <v>45831</v>
      </c>
      <c r="D543" t="inlineStr">
        <is>
          <t>VÄSTERNORRLANDS LÄN</t>
        </is>
      </c>
      <c r="E543" t="inlineStr">
        <is>
          <t>TIMRÅ</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39073-2023</t>
        </is>
      </c>
      <c r="B544" s="1" t="n">
        <v>45163</v>
      </c>
      <c r="C544" s="1" t="n">
        <v>45831</v>
      </c>
      <c r="D544" t="inlineStr">
        <is>
          <t>VÄSTERNORRLANDS LÄN</t>
        </is>
      </c>
      <c r="E544" t="inlineStr">
        <is>
          <t>TIMRÅ</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39081-2023</t>
        </is>
      </c>
      <c r="B545" s="1" t="n">
        <v>45163</v>
      </c>
      <c r="C545" s="1" t="n">
        <v>45831</v>
      </c>
      <c r="D545" t="inlineStr">
        <is>
          <t>VÄSTERNORRLANDS LÄN</t>
        </is>
      </c>
      <c r="E545" t="inlineStr">
        <is>
          <t>TIMRÅ</t>
        </is>
      </c>
      <c r="F545" t="inlineStr">
        <is>
          <t>SCA</t>
        </is>
      </c>
      <c r="G545" t="n">
        <v>11.6</v>
      </c>
      <c r="H545" t="n">
        <v>0</v>
      </c>
      <c r="I545" t="n">
        <v>0</v>
      </c>
      <c r="J545" t="n">
        <v>0</v>
      </c>
      <c r="K545" t="n">
        <v>0</v>
      </c>
      <c r="L545" t="n">
        <v>0</v>
      </c>
      <c r="M545" t="n">
        <v>0</v>
      </c>
      <c r="N545" t="n">
        <v>0</v>
      </c>
      <c r="O545" t="n">
        <v>0</v>
      </c>
      <c r="P545" t="n">
        <v>0</v>
      </c>
      <c r="Q545" t="n">
        <v>0</v>
      </c>
      <c r="R545" s="2" t="inlineStr"/>
    </row>
    <row r="546" ht="15" customHeight="1">
      <c r="A546" t="inlineStr">
        <is>
          <t>A 39046-2023</t>
        </is>
      </c>
      <c r="B546" s="1" t="n">
        <v>45163</v>
      </c>
      <c r="C546" s="1" t="n">
        <v>45831</v>
      </c>
      <c r="D546" t="inlineStr">
        <is>
          <t>VÄSTERNORRLANDS LÄN</t>
        </is>
      </c>
      <c r="E546" t="inlineStr">
        <is>
          <t>TIMRÅ</t>
        </is>
      </c>
      <c r="G546" t="n">
        <v>1.8</v>
      </c>
      <c r="H546" t="n">
        <v>0</v>
      </c>
      <c r="I546" t="n">
        <v>0</v>
      </c>
      <c r="J546" t="n">
        <v>0</v>
      </c>
      <c r="K546" t="n">
        <v>0</v>
      </c>
      <c r="L546" t="n">
        <v>0</v>
      </c>
      <c r="M546" t="n">
        <v>0</v>
      </c>
      <c r="N546" t="n">
        <v>0</v>
      </c>
      <c r="O546" t="n">
        <v>0</v>
      </c>
      <c r="P546" t="n">
        <v>0</v>
      </c>
      <c r="Q546" t="n">
        <v>0</v>
      </c>
      <c r="R546" s="2" t="inlineStr"/>
    </row>
    <row r="547" ht="15" customHeight="1">
      <c r="A547" t="inlineStr">
        <is>
          <t>A 39048-2023</t>
        </is>
      </c>
      <c r="B547" s="1" t="n">
        <v>45164</v>
      </c>
      <c r="C547" s="1" t="n">
        <v>45831</v>
      </c>
      <c r="D547" t="inlineStr">
        <is>
          <t>VÄSTERNORRLANDS LÄN</t>
        </is>
      </c>
      <c r="E547" t="inlineStr">
        <is>
          <t>TIMRÅ</t>
        </is>
      </c>
      <c r="G547" t="n">
        <v>5.1</v>
      </c>
      <c r="H547" t="n">
        <v>0</v>
      </c>
      <c r="I547" t="n">
        <v>0</v>
      </c>
      <c r="J547" t="n">
        <v>0</v>
      </c>
      <c r="K547" t="n">
        <v>0</v>
      </c>
      <c r="L547" t="n">
        <v>0</v>
      </c>
      <c r="M547" t="n">
        <v>0</v>
      </c>
      <c r="N547" t="n">
        <v>0</v>
      </c>
      <c r="O547" t="n">
        <v>0</v>
      </c>
      <c r="P547" t="n">
        <v>0</v>
      </c>
      <c r="Q547" t="n">
        <v>0</v>
      </c>
      <c r="R547" s="2" t="inlineStr"/>
    </row>
    <row r="548" ht="15" customHeight="1">
      <c r="A548" t="inlineStr">
        <is>
          <t>A 39072-2023</t>
        </is>
      </c>
      <c r="B548" s="1" t="n">
        <v>45163</v>
      </c>
      <c r="C548" s="1" t="n">
        <v>45831</v>
      </c>
      <c r="D548" t="inlineStr">
        <is>
          <t>VÄSTERNORRLANDS LÄN</t>
        </is>
      </c>
      <c r="E548" t="inlineStr">
        <is>
          <t>TIMRÅ</t>
        </is>
      </c>
      <c r="F548" t="inlineStr">
        <is>
          <t>SCA</t>
        </is>
      </c>
      <c r="G548" t="n">
        <v>10.1</v>
      </c>
      <c r="H548" t="n">
        <v>0</v>
      </c>
      <c r="I548" t="n">
        <v>0</v>
      </c>
      <c r="J548" t="n">
        <v>0</v>
      </c>
      <c r="K548" t="n">
        <v>0</v>
      </c>
      <c r="L548" t="n">
        <v>0</v>
      </c>
      <c r="M548" t="n">
        <v>0</v>
      </c>
      <c r="N548" t="n">
        <v>0</v>
      </c>
      <c r="O548" t="n">
        <v>0</v>
      </c>
      <c r="P548" t="n">
        <v>0</v>
      </c>
      <c r="Q548" t="n">
        <v>0</v>
      </c>
      <c r="R548" s="2" t="inlineStr"/>
    </row>
    <row r="549" ht="15" customHeight="1">
      <c r="A549" t="inlineStr">
        <is>
          <t>A 39143-2023</t>
        </is>
      </c>
      <c r="B549" s="1" t="n">
        <v>45165</v>
      </c>
      <c r="C549" s="1" t="n">
        <v>45831</v>
      </c>
      <c r="D549" t="inlineStr">
        <is>
          <t>VÄSTERNORRLANDS LÄN</t>
        </is>
      </c>
      <c r="E549" t="inlineStr">
        <is>
          <t>TIMRÅ</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39142-2023</t>
        </is>
      </c>
      <c r="B550" s="1" t="n">
        <v>45165</v>
      </c>
      <c r="C550" s="1" t="n">
        <v>45831</v>
      </c>
      <c r="D550" t="inlineStr">
        <is>
          <t>VÄSTERNORRLANDS LÄN</t>
        </is>
      </c>
      <c r="E550" t="inlineStr">
        <is>
          <t>TIMRÅ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39693-2023</t>
        </is>
      </c>
      <c r="B551" s="1" t="n">
        <v>45166</v>
      </c>
      <c r="C551" s="1" t="n">
        <v>45831</v>
      </c>
      <c r="D551" t="inlineStr">
        <is>
          <t>VÄSTERNORRLANDS LÄN</t>
        </is>
      </c>
      <c r="E551" t="inlineStr">
        <is>
          <t>TIMRÅ</t>
        </is>
      </c>
      <c r="G551" t="n">
        <v>5.8</v>
      </c>
      <c r="H551" t="n">
        <v>0</v>
      </c>
      <c r="I551" t="n">
        <v>0</v>
      </c>
      <c r="J551" t="n">
        <v>0</v>
      </c>
      <c r="K551" t="n">
        <v>0</v>
      </c>
      <c r="L551" t="n">
        <v>0</v>
      </c>
      <c r="M551" t="n">
        <v>0</v>
      </c>
      <c r="N551" t="n">
        <v>0</v>
      </c>
      <c r="O551" t="n">
        <v>0</v>
      </c>
      <c r="P551" t="n">
        <v>0</v>
      </c>
      <c r="Q551" t="n">
        <v>0</v>
      </c>
      <c r="R551" s="2" t="inlineStr"/>
    </row>
    <row r="552" ht="15" customHeight="1">
      <c r="A552" t="inlineStr">
        <is>
          <t>A 39819-2023</t>
        </is>
      </c>
      <c r="B552" s="1" t="n">
        <v>45167</v>
      </c>
      <c r="C552" s="1" t="n">
        <v>45831</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40112-2023</t>
        </is>
      </c>
      <c r="B553" s="1" t="n">
        <v>45168</v>
      </c>
      <c r="C553" s="1" t="n">
        <v>45831</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40769-2023</t>
        </is>
      </c>
      <c r="B554" s="1" t="n">
        <v>45170</v>
      </c>
      <c r="C554" s="1" t="n">
        <v>45831</v>
      </c>
      <c r="D554" t="inlineStr">
        <is>
          <t>VÄSTERNORRLANDS LÄN</t>
        </is>
      </c>
      <c r="E554" t="inlineStr">
        <is>
          <t>TIMRÅ</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40773-2023</t>
        </is>
      </c>
      <c r="B555" s="1" t="n">
        <v>45171</v>
      </c>
      <c r="C555" s="1" t="n">
        <v>45831</v>
      </c>
      <c r="D555" t="inlineStr">
        <is>
          <t>VÄSTERNORRLANDS LÄN</t>
        </is>
      </c>
      <c r="E555" t="inlineStr">
        <is>
          <t>TIMRÅ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40774-2023</t>
        </is>
      </c>
      <c r="B556" s="1" t="n">
        <v>45171</v>
      </c>
      <c r="C556" s="1" t="n">
        <v>45831</v>
      </c>
      <c r="D556" t="inlineStr">
        <is>
          <t>VÄSTERNORRLANDS LÄN</t>
        </is>
      </c>
      <c r="E556" t="inlineStr">
        <is>
          <t>TIMRÅ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40767-2023</t>
        </is>
      </c>
      <c r="B557" s="1" t="n">
        <v>45171</v>
      </c>
      <c r="C557" s="1" t="n">
        <v>45831</v>
      </c>
      <c r="D557" t="inlineStr">
        <is>
          <t>VÄSTERNORRLANDS LÄN</t>
        </is>
      </c>
      <c r="E557" t="inlineStr">
        <is>
          <t>TIMRÅ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40768-2023</t>
        </is>
      </c>
      <c r="B558" s="1" t="n">
        <v>45171</v>
      </c>
      <c r="C558" s="1" t="n">
        <v>45831</v>
      </c>
      <c r="D558" t="inlineStr">
        <is>
          <t>VÄSTERNORRLANDS LÄN</t>
        </is>
      </c>
      <c r="E558" t="inlineStr">
        <is>
          <t>TIMRÅ</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41605-2023</t>
        </is>
      </c>
      <c r="B559" s="1" t="n">
        <v>45175</v>
      </c>
      <c r="C559" s="1" t="n">
        <v>45831</v>
      </c>
      <c r="D559" t="inlineStr">
        <is>
          <t>VÄSTERNORRLANDS LÄN</t>
        </is>
      </c>
      <c r="E559" t="inlineStr">
        <is>
          <t>TIMRÅ</t>
        </is>
      </c>
      <c r="G559" t="n">
        <v>1.6</v>
      </c>
      <c r="H559" t="n">
        <v>0</v>
      </c>
      <c r="I559" t="n">
        <v>0</v>
      </c>
      <c r="J559" t="n">
        <v>0</v>
      </c>
      <c r="K559" t="n">
        <v>0</v>
      </c>
      <c r="L559" t="n">
        <v>0</v>
      </c>
      <c r="M559" t="n">
        <v>0</v>
      </c>
      <c r="N559" t="n">
        <v>0</v>
      </c>
      <c r="O559" t="n">
        <v>0</v>
      </c>
      <c r="P559" t="n">
        <v>0</v>
      </c>
      <c r="Q559" t="n">
        <v>0</v>
      </c>
      <c r="R559" s="2" t="inlineStr"/>
    </row>
    <row r="560" ht="15" customHeight="1">
      <c r="A560" t="inlineStr">
        <is>
          <t>A 42161-2023</t>
        </is>
      </c>
      <c r="B560" s="1" t="n">
        <v>45178</v>
      </c>
      <c r="C560" s="1" t="n">
        <v>45831</v>
      </c>
      <c r="D560" t="inlineStr">
        <is>
          <t>VÄSTERNORRLANDS LÄN</t>
        </is>
      </c>
      <c r="E560" t="inlineStr">
        <is>
          <t>TIMRÅ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42513-2023</t>
        </is>
      </c>
      <c r="B561" s="1" t="n">
        <v>45180</v>
      </c>
      <c r="C561" s="1" t="n">
        <v>45831</v>
      </c>
      <c r="D561" t="inlineStr">
        <is>
          <t>VÄSTERNORRLANDS LÄN</t>
        </is>
      </c>
      <c r="E561" t="inlineStr">
        <is>
          <t>TIMRÅ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42516-2023</t>
        </is>
      </c>
      <c r="B562" s="1" t="n">
        <v>45180</v>
      </c>
      <c r="C562" s="1" t="n">
        <v>45831</v>
      </c>
      <c r="D562" t="inlineStr">
        <is>
          <t>VÄSTERNORRLANDS LÄN</t>
        </is>
      </c>
      <c r="E562" t="inlineStr">
        <is>
          <t>TIMRÅ</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43124-2023</t>
        </is>
      </c>
      <c r="B563" s="1" t="n">
        <v>45182</v>
      </c>
      <c r="C563" s="1" t="n">
        <v>45831</v>
      </c>
      <c r="D563" t="inlineStr">
        <is>
          <t>VÄSTERNORRLANDS LÄN</t>
        </is>
      </c>
      <c r="E563" t="inlineStr">
        <is>
          <t>TIMRÅ</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43130-2023</t>
        </is>
      </c>
      <c r="B564" s="1" t="n">
        <v>45183</v>
      </c>
      <c r="C564" s="1" t="n">
        <v>45831</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43128-2023</t>
        </is>
      </c>
      <c r="B565" s="1" t="n">
        <v>45182</v>
      </c>
      <c r="C565" s="1" t="n">
        <v>45831</v>
      </c>
      <c r="D565" t="inlineStr">
        <is>
          <t>VÄSTERNORRLANDS LÄN</t>
        </is>
      </c>
      <c r="E565" t="inlineStr">
        <is>
          <t>TIMRÅ</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43113-2023</t>
        </is>
      </c>
      <c r="B566" s="1" t="n">
        <v>45182</v>
      </c>
      <c r="C566" s="1" t="n">
        <v>45831</v>
      </c>
      <c r="D566" t="inlineStr">
        <is>
          <t>VÄSTERNORRLANDS LÄN</t>
        </is>
      </c>
      <c r="E566" t="inlineStr">
        <is>
          <t>TIMRÅ</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43129-2023</t>
        </is>
      </c>
      <c r="B567" s="1" t="n">
        <v>45182</v>
      </c>
      <c r="C567" s="1" t="n">
        <v>45831</v>
      </c>
      <c r="D567" t="inlineStr">
        <is>
          <t>VÄSTERNORRLANDS LÄN</t>
        </is>
      </c>
      <c r="E567" t="inlineStr">
        <is>
          <t>TIMRÅ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43411-2023</t>
        </is>
      </c>
      <c r="B568" s="1" t="n">
        <v>45183</v>
      </c>
      <c r="C568" s="1" t="n">
        <v>45831</v>
      </c>
      <c r="D568" t="inlineStr">
        <is>
          <t>VÄSTERNORRLANDS LÄN</t>
        </is>
      </c>
      <c r="E568" t="inlineStr">
        <is>
          <t>TIMRÅ</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43412-2023</t>
        </is>
      </c>
      <c r="B569" s="1" t="n">
        <v>45184</v>
      </c>
      <c r="C569" s="1" t="n">
        <v>45831</v>
      </c>
      <c r="D569" t="inlineStr">
        <is>
          <t>VÄSTERNORRLANDS LÄN</t>
        </is>
      </c>
      <c r="E569" t="inlineStr">
        <is>
          <t>TIMRÅ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43959-2023</t>
        </is>
      </c>
      <c r="B570" s="1" t="n">
        <v>45188</v>
      </c>
      <c r="C570" s="1" t="n">
        <v>45831</v>
      </c>
      <c r="D570" t="inlineStr">
        <is>
          <t>VÄSTERNORRLANDS LÄN</t>
        </is>
      </c>
      <c r="E570" t="inlineStr">
        <is>
          <t>TIMRÅ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43964-2023</t>
        </is>
      </c>
      <c r="B571" s="1" t="n">
        <v>45187</v>
      </c>
      <c r="C571" s="1" t="n">
        <v>45831</v>
      </c>
      <c r="D571" t="inlineStr">
        <is>
          <t>VÄSTERNORRLANDS LÄN</t>
        </is>
      </c>
      <c r="E571" t="inlineStr">
        <is>
          <t>TIMRÅ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43983-2023</t>
        </is>
      </c>
      <c r="B572" s="1" t="n">
        <v>45188</v>
      </c>
      <c r="C572" s="1" t="n">
        <v>45831</v>
      </c>
      <c r="D572" t="inlineStr">
        <is>
          <t>VÄSTERNORRLANDS LÄN</t>
        </is>
      </c>
      <c r="E572" t="inlineStr">
        <is>
          <t>TIMRÅ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43962-2023</t>
        </is>
      </c>
      <c r="B573" s="1" t="n">
        <v>45187</v>
      </c>
      <c r="C573" s="1" t="n">
        <v>45831</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43994-2023</t>
        </is>
      </c>
      <c r="B574" s="1" t="n">
        <v>45187</v>
      </c>
      <c r="C574" s="1" t="n">
        <v>45831</v>
      </c>
      <c r="D574" t="inlineStr">
        <is>
          <t>VÄSTERNORRLANDS LÄN</t>
        </is>
      </c>
      <c r="E574" t="inlineStr">
        <is>
          <t>TIMRÅ</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44405-2023</t>
        </is>
      </c>
      <c r="B575" s="1" t="n">
        <v>45188</v>
      </c>
      <c r="C575" s="1" t="n">
        <v>45831</v>
      </c>
      <c r="D575" t="inlineStr">
        <is>
          <t>VÄSTERNORRLANDS LÄN</t>
        </is>
      </c>
      <c r="E575" t="inlineStr">
        <is>
          <t>TIMRÅ</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44404-2023</t>
        </is>
      </c>
      <c r="B576" s="1" t="n">
        <v>45188</v>
      </c>
      <c r="C576" s="1" t="n">
        <v>45831</v>
      </c>
      <c r="D576" t="inlineStr">
        <is>
          <t>VÄSTERNORRLANDS LÄN</t>
        </is>
      </c>
      <c r="E576" t="inlineStr">
        <is>
          <t>TIMRÅ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44379-2023</t>
        </is>
      </c>
      <c r="B577" s="1" t="n">
        <v>45188</v>
      </c>
      <c r="C577" s="1" t="n">
        <v>45831</v>
      </c>
      <c r="D577" t="inlineStr">
        <is>
          <t>VÄSTERNORRLANDS LÄN</t>
        </is>
      </c>
      <c r="E577" t="inlineStr">
        <is>
          <t>TIMRÅ</t>
        </is>
      </c>
      <c r="G577" t="n">
        <v>0.6</v>
      </c>
      <c r="H577" t="n">
        <v>0</v>
      </c>
      <c r="I577" t="n">
        <v>0</v>
      </c>
      <c r="J577" t="n">
        <v>0</v>
      </c>
      <c r="K577" t="n">
        <v>0</v>
      </c>
      <c r="L577" t="n">
        <v>0</v>
      </c>
      <c r="M577" t="n">
        <v>0</v>
      </c>
      <c r="N577" t="n">
        <v>0</v>
      </c>
      <c r="O577" t="n">
        <v>0</v>
      </c>
      <c r="P577" t="n">
        <v>0</v>
      </c>
      <c r="Q577" t="n">
        <v>0</v>
      </c>
      <c r="R577" s="2" t="inlineStr"/>
    </row>
    <row r="578" ht="15" customHeight="1">
      <c r="A578" t="inlineStr">
        <is>
          <t>A 44378-2023</t>
        </is>
      </c>
      <c r="B578" s="1" t="n">
        <v>45189</v>
      </c>
      <c r="C578" s="1" t="n">
        <v>45831</v>
      </c>
      <c r="D578" t="inlineStr">
        <is>
          <t>VÄSTERNORRLANDS LÄN</t>
        </is>
      </c>
      <c r="E578" t="inlineStr">
        <is>
          <t>TIMRÅ</t>
        </is>
      </c>
      <c r="G578" t="n">
        <v>0.6</v>
      </c>
      <c r="H578" t="n">
        <v>0</v>
      </c>
      <c r="I578" t="n">
        <v>0</v>
      </c>
      <c r="J578" t="n">
        <v>0</v>
      </c>
      <c r="K578" t="n">
        <v>0</v>
      </c>
      <c r="L578" t="n">
        <v>0</v>
      </c>
      <c r="M578" t="n">
        <v>0</v>
      </c>
      <c r="N578" t="n">
        <v>0</v>
      </c>
      <c r="O578" t="n">
        <v>0</v>
      </c>
      <c r="P578" t="n">
        <v>0</v>
      </c>
      <c r="Q578" t="n">
        <v>0</v>
      </c>
      <c r="R578" s="2" t="inlineStr"/>
    </row>
    <row r="579" ht="15" customHeight="1">
      <c r="A579" t="inlineStr">
        <is>
          <t>A 45774-2023</t>
        </is>
      </c>
      <c r="B579" s="1" t="n">
        <v>45189</v>
      </c>
      <c r="C579" s="1" t="n">
        <v>45831</v>
      </c>
      <c r="D579" t="inlineStr">
        <is>
          <t>VÄSTERNORRLANDS LÄN</t>
        </is>
      </c>
      <c r="E579" t="inlineStr">
        <is>
          <t>TIMRÅ</t>
        </is>
      </c>
      <c r="G579" t="n">
        <v>2.8</v>
      </c>
      <c r="H579" t="n">
        <v>0</v>
      </c>
      <c r="I579" t="n">
        <v>0</v>
      </c>
      <c r="J579" t="n">
        <v>0</v>
      </c>
      <c r="K579" t="n">
        <v>0</v>
      </c>
      <c r="L579" t="n">
        <v>0</v>
      </c>
      <c r="M579" t="n">
        <v>0</v>
      </c>
      <c r="N579" t="n">
        <v>0</v>
      </c>
      <c r="O579" t="n">
        <v>0</v>
      </c>
      <c r="P579" t="n">
        <v>0</v>
      </c>
      <c r="Q579" t="n">
        <v>0</v>
      </c>
      <c r="R579" s="2" t="inlineStr"/>
    </row>
    <row r="580" ht="15" customHeight="1">
      <c r="A580" t="inlineStr">
        <is>
          <t>A 44991-2023</t>
        </is>
      </c>
      <c r="B580" s="1" t="n">
        <v>45190</v>
      </c>
      <c r="C580" s="1" t="n">
        <v>45831</v>
      </c>
      <c r="D580" t="inlineStr">
        <is>
          <t>VÄSTERNORRLANDS LÄN</t>
        </is>
      </c>
      <c r="E580" t="inlineStr">
        <is>
          <t>TIMRÅ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44990-2023</t>
        </is>
      </c>
      <c r="B581" s="1" t="n">
        <v>45190</v>
      </c>
      <c r="C581" s="1" t="n">
        <v>45831</v>
      </c>
      <c r="D581" t="inlineStr">
        <is>
          <t>VÄSTERNORRLANDS LÄN</t>
        </is>
      </c>
      <c r="E581" t="inlineStr">
        <is>
          <t>TIMRÅ</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45723-2023</t>
        </is>
      </c>
      <c r="B582" s="1" t="n">
        <v>45195</v>
      </c>
      <c r="C582" s="1" t="n">
        <v>45831</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45739-2023</t>
        </is>
      </c>
      <c r="B583" s="1" t="n">
        <v>45195</v>
      </c>
      <c r="C583" s="1" t="n">
        <v>45831</v>
      </c>
      <c r="D583" t="inlineStr">
        <is>
          <t>VÄSTERNORRLANDS LÄN</t>
        </is>
      </c>
      <c r="E583" t="inlineStr">
        <is>
          <t>TIMRÅ</t>
        </is>
      </c>
      <c r="G583" t="n">
        <v>1.5</v>
      </c>
      <c r="H583" t="n">
        <v>0</v>
      </c>
      <c r="I583" t="n">
        <v>0</v>
      </c>
      <c r="J583" t="n">
        <v>0</v>
      </c>
      <c r="K583" t="n">
        <v>0</v>
      </c>
      <c r="L583" t="n">
        <v>0</v>
      </c>
      <c r="M583" t="n">
        <v>0</v>
      </c>
      <c r="N583" t="n">
        <v>0</v>
      </c>
      <c r="O583" t="n">
        <v>0</v>
      </c>
      <c r="P583" t="n">
        <v>0</v>
      </c>
      <c r="Q583" t="n">
        <v>0</v>
      </c>
      <c r="R583" s="2" t="inlineStr"/>
    </row>
    <row r="584" ht="15" customHeight="1">
      <c r="A584" t="inlineStr">
        <is>
          <t>A 47147-2023</t>
        </is>
      </c>
      <c r="B584" s="1" t="n">
        <v>45201</v>
      </c>
      <c r="C584" s="1" t="n">
        <v>45831</v>
      </c>
      <c r="D584" t="inlineStr">
        <is>
          <t>VÄSTERNORRLANDS LÄN</t>
        </is>
      </c>
      <c r="E584" t="inlineStr">
        <is>
          <t>TIMRÅ</t>
        </is>
      </c>
      <c r="G584" t="n">
        <v>1.1</v>
      </c>
      <c r="H584" t="n">
        <v>0</v>
      </c>
      <c r="I584" t="n">
        <v>0</v>
      </c>
      <c r="J584" t="n">
        <v>0</v>
      </c>
      <c r="K584" t="n">
        <v>0</v>
      </c>
      <c r="L584" t="n">
        <v>0</v>
      </c>
      <c r="M584" t="n">
        <v>0</v>
      </c>
      <c r="N584" t="n">
        <v>0</v>
      </c>
      <c r="O584" t="n">
        <v>0</v>
      </c>
      <c r="P584" t="n">
        <v>0</v>
      </c>
      <c r="Q584" t="n">
        <v>0</v>
      </c>
      <c r="R584" s="2" t="inlineStr"/>
    </row>
    <row r="585" ht="15" customHeight="1">
      <c r="A585" t="inlineStr">
        <is>
          <t>A 47150-2023</t>
        </is>
      </c>
      <c r="B585" s="1" t="n">
        <v>45201</v>
      </c>
      <c r="C585" s="1" t="n">
        <v>45831</v>
      </c>
      <c r="D585" t="inlineStr">
        <is>
          <t>VÄSTERNORRLANDS LÄN</t>
        </is>
      </c>
      <c r="E585" t="inlineStr">
        <is>
          <t>TIMRÅ</t>
        </is>
      </c>
      <c r="G585" t="n">
        <v>1.1</v>
      </c>
      <c r="H585" t="n">
        <v>0</v>
      </c>
      <c r="I585" t="n">
        <v>0</v>
      </c>
      <c r="J585" t="n">
        <v>0</v>
      </c>
      <c r="K585" t="n">
        <v>0</v>
      </c>
      <c r="L585" t="n">
        <v>0</v>
      </c>
      <c r="M585" t="n">
        <v>0</v>
      </c>
      <c r="N585" t="n">
        <v>0</v>
      </c>
      <c r="O585" t="n">
        <v>0</v>
      </c>
      <c r="P585" t="n">
        <v>0</v>
      </c>
      <c r="Q585" t="n">
        <v>0</v>
      </c>
      <c r="R585" s="2" t="inlineStr"/>
    </row>
    <row r="586" ht="15" customHeight="1">
      <c r="A586" t="inlineStr">
        <is>
          <t>A 48769-2023</t>
        </is>
      </c>
      <c r="B586" s="1" t="n">
        <v>45208</v>
      </c>
      <c r="C586" s="1" t="n">
        <v>45831</v>
      </c>
      <c r="D586" t="inlineStr">
        <is>
          <t>VÄSTERNORRLANDS LÄN</t>
        </is>
      </c>
      <c r="E586" t="inlineStr">
        <is>
          <t>TIMRÅ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48786-2023</t>
        </is>
      </c>
      <c r="B587" s="1" t="n">
        <v>45208</v>
      </c>
      <c r="C587" s="1" t="n">
        <v>45831</v>
      </c>
      <c r="D587" t="inlineStr">
        <is>
          <t>VÄSTERNORRLANDS LÄN</t>
        </is>
      </c>
      <c r="E587" t="inlineStr">
        <is>
          <t>TIMRÅ</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48768-2023</t>
        </is>
      </c>
      <c r="B588" s="1" t="n">
        <v>45208</v>
      </c>
      <c r="C588" s="1" t="n">
        <v>45831</v>
      </c>
      <c r="D588" t="inlineStr">
        <is>
          <t>VÄSTERNORRLANDS LÄN</t>
        </is>
      </c>
      <c r="E588" t="inlineStr">
        <is>
          <t>TIMRÅ</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48785-2023</t>
        </is>
      </c>
      <c r="B589" s="1" t="n">
        <v>45208</v>
      </c>
      <c r="C589" s="1" t="n">
        <v>45831</v>
      </c>
      <c r="D589" t="inlineStr">
        <is>
          <t>VÄSTERNORRLANDS LÄN</t>
        </is>
      </c>
      <c r="E589" t="inlineStr">
        <is>
          <t>TIMRÅ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48784-2023</t>
        </is>
      </c>
      <c r="B590" s="1" t="n">
        <v>45208</v>
      </c>
      <c r="C590" s="1" t="n">
        <v>45831</v>
      </c>
      <c r="D590" t="inlineStr">
        <is>
          <t>VÄSTERNORRLANDS LÄN</t>
        </is>
      </c>
      <c r="E590" t="inlineStr">
        <is>
          <t>TIMRÅ</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50355-2023</t>
        </is>
      </c>
      <c r="B591" s="1" t="n">
        <v>45209</v>
      </c>
      <c r="C591" s="1" t="n">
        <v>45831</v>
      </c>
      <c r="D591" t="inlineStr">
        <is>
          <t>VÄSTERNORRLANDS LÄN</t>
        </is>
      </c>
      <c r="E591" t="inlineStr">
        <is>
          <t>TIMRÅ</t>
        </is>
      </c>
      <c r="G591" t="n">
        <v>1</v>
      </c>
      <c r="H591" t="n">
        <v>0</v>
      </c>
      <c r="I591" t="n">
        <v>0</v>
      </c>
      <c r="J591" t="n">
        <v>0</v>
      </c>
      <c r="K591" t="n">
        <v>0</v>
      </c>
      <c r="L591" t="n">
        <v>0</v>
      </c>
      <c r="M591" t="n">
        <v>0</v>
      </c>
      <c r="N591" t="n">
        <v>0</v>
      </c>
      <c r="O591" t="n">
        <v>0</v>
      </c>
      <c r="P591" t="n">
        <v>0</v>
      </c>
      <c r="Q591" t="n">
        <v>0</v>
      </c>
      <c r="R591" s="2" t="inlineStr"/>
    </row>
    <row r="592" ht="15" customHeight="1">
      <c r="A592" t="inlineStr">
        <is>
          <t>A 50638-2023</t>
        </is>
      </c>
      <c r="B592" s="1" t="n">
        <v>45210</v>
      </c>
      <c r="C592" s="1" t="n">
        <v>45831</v>
      </c>
      <c r="D592" t="inlineStr">
        <is>
          <t>VÄSTERNORRLANDS LÄN</t>
        </is>
      </c>
      <c r="E592" t="inlineStr">
        <is>
          <t>TIMRÅ</t>
        </is>
      </c>
      <c r="G592" t="n">
        <v>0.9</v>
      </c>
      <c r="H592" t="n">
        <v>0</v>
      </c>
      <c r="I592" t="n">
        <v>0</v>
      </c>
      <c r="J592" t="n">
        <v>0</v>
      </c>
      <c r="K592" t="n">
        <v>0</v>
      </c>
      <c r="L592" t="n">
        <v>0</v>
      </c>
      <c r="M592" t="n">
        <v>0</v>
      </c>
      <c r="N592" t="n">
        <v>0</v>
      </c>
      <c r="O592" t="n">
        <v>0</v>
      </c>
      <c r="P592" t="n">
        <v>0</v>
      </c>
      <c r="Q592" t="n">
        <v>0</v>
      </c>
      <c r="R592" s="2" t="inlineStr"/>
    </row>
    <row r="593" ht="15" customHeight="1">
      <c r="A593" t="inlineStr">
        <is>
          <t>A 50230-2023</t>
        </is>
      </c>
      <c r="B593" s="1" t="n">
        <v>45215</v>
      </c>
      <c r="C593" s="1" t="n">
        <v>45831</v>
      </c>
      <c r="D593" t="inlineStr">
        <is>
          <t>VÄSTERNORRLANDS LÄN</t>
        </is>
      </c>
      <c r="E593" t="inlineStr">
        <is>
          <t>TIMRÅ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51735-2023</t>
        </is>
      </c>
      <c r="B594" s="1" t="n">
        <v>45215</v>
      </c>
      <c r="C594" s="1" t="n">
        <v>45831</v>
      </c>
      <c r="D594" t="inlineStr">
        <is>
          <t>VÄSTERNORRLANDS LÄN</t>
        </is>
      </c>
      <c r="E594" t="inlineStr">
        <is>
          <t>TIMRÅ</t>
        </is>
      </c>
      <c r="G594" t="n">
        <v>8.5</v>
      </c>
      <c r="H594" t="n">
        <v>0</v>
      </c>
      <c r="I594" t="n">
        <v>0</v>
      </c>
      <c r="J594" t="n">
        <v>0</v>
      </c>
      <c r="K594" t="n">
        <v>0</v>
      </c>
      <c r="L594" t="n">
        <v>0</v>
      </c>
      <c r="M594" t="n">
        <v>0</v>
      </c>
      <c r="N594" t="n">
        <v>0</v>
      </c>
      <c r="O594" t="n">
        <v>0</v>
      </c>
      <c r="P594" t="n">
        <v>0</v>
      </c>
      <c r="Q594" t="n">
        <v>0</v>
      </c>
      <c r="R594" s="2" t="inlineStr"/>
    </row>
    <row r="595" ht="15" customHeight="1">
      <c r="A595" t="inlineStr">
        <is>
          <t>A 51871-2023</t>
        </is>
      </c>
      <c r="B595" s="1" t="n">
        <v>45215</v>
      </c>
      <c r="C595" s="1" t="n">
        <v>45831</v>
      </c>
      <c r="D595" t="inlineStr">
        <is>
          <t>VÄSTERNORRLANDS LÄN</t>
        </is>
      </c>
      <c r="E595" t="inlineStr">
        <is>
          <t>TIMRÅ</t>
        </is>
      </c>
      <c r="G595" t="n">
        <v>7.3</v>
      </c>
      <c r="H595" t="n">
        <v>0</v>
      </c>
      <c r="I595" t="n">
        <v>0</v>
      </c>
      <c r="J595" t="n">
        <v>0</v>
      </c>
      <c r="K595" t="n">
        <v>0</v>
      </c>
      <c r="L595" t="n">
        <v>0</v>
      </c>
      <c r="M595" t="n">
        <v>0</v>
      </c>
      <c r="N595" t="n">
        <v>0</v>
      </c>
      <c r="O595" t="n">
        <v>0</v>
      </c>
      <c r="P595" t="n">
        <v>0</v>
      </c>
      <c r="Q595" t="n">
        <v>0</v>
      </c>
      <c r="R595" s="2" t="inlineStr"/>
    </row>
    <row r="596" ht="15" customHeight="1">
      <c r="A596" t="inlineStr">
        <is>
          <t>A 51113-2023</t>
        </is>
      </c>
      <c r="B596" s="1" t="n">
        <v>45218</v>
      </c>
      <c r="C596" s="1" t="n">
        <v>45831</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53033-2023</t>
        </is>
      </c>
      <c r="B597" s="1" t="n">
        <v>45227</v>
      </c>
      <c r="C597" s="1" t="n">
        <v>45831</v>
      </c>
      <c r="D597" t="inlineStr">
        <is>
          <t>VÄSTERNORRLANDS LÄN</t>
        </is>
      </c>
      <c r="E597" t="inlineStr">
        <is>
          <t>TIMRÅ</t>
        </is>
      </c>
      <c r="G597" t="n">
        <v>3.4</v>
      </c>
      <c r="H597" t="n">
        <v>0</v>
      </c>
      <c r="I597" t="n">
        <v>0</v>
      </c>
      <c r="J597" t="n">
        <v>0</v>
      </c>
      <c r="K597" t="n">
        <v>0</v>
      </c>
      <c r="L597" t="n">
        <v>0</v>
      </c>
      <c r="M597" t="n">
        <v>0</v>
      </c>
      <c r="N597" t="n">
        <v>0</v>
      </c>
      <c r="O597" t="n">
        <v>0</v>
      </c>
      <c r="P597" t="n">
        <v>0</v>
      </c>
      <c r="Q597" t="n">
        <v>0</v>
      </c>
      <c r="R597" s="2" t="inlineStr"/>
    </row>
    <row r="598" ht="15" customHeight="1">
      <c r="A598" t="inlineStr">
        <is>
          <t>A 53448-2023</t>
        </is>
      </c>
      <c r="B598" s="1" t="n">
        <v>45230</v>
      </c>
      <c r="C598" s="1" t="n">
        <v>45831</v>
      </c>
      <c r="D598" t="inlineStr">
        <is>
          <t>VÄSTERNORRLANDS LÄN</t>
        </is>
      </c>
      <c r="E598" t="inlineStr">
        <is>
          <t>TIMRÅ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53430-2023</t>
        </is>
      </c>
      <c r="B599" s="1" t="n">
        <v>45229</v>
      </c>
      <c r="C599" s="1" t="n">
        <v>45831</v>
      </c>
      <c r="D599" t="inlineStr">
        <is>
          <t>VÄSTERNORRLANDS LÄN</t>
        </is>
      </c>
      <c r="E599" t="inlineStr">
        <is>
          <t>TIMRÅ</t>
        </is>
      </c>
      <c r="G599" t="n">
        <v>2.6</v>
      </c>
      <c r="H599" t="n">
        <v>0</v>
      </c>
      <c r="I599" t="n">
        <v>0</v>
      </c>
      <c r="J599" t="n">
        <v>0</v>
      </c>
      <c r="K599" t="n">
        <v>0</v>
      </c>
      <c r="L599" t="n">
        <v>0</v>
      </c>
      <c r="M599" t="n">
        <v>0</v>
      </c>
      <c r="N599" t="n">
        <v>0</v>
      </c>
      <c r="O599" t="n">
        <v>0</v>
      </c>
      <c r="P599" t="n">
        <v>0</v>
      </c>
      <c r="Q599" t="n">
        <v>0</v>
      </c>
      <c r="R599" s="2" t="inlineStr"/>
    </row>
    <row r="600" ht="15" customHeight="1">
      <c r="A600" t="inlineStr">
        <is>
          <t>A 53755-2023</t>
        </is>
      </c>
      <c r="B600" s="1" t="n">
        <v>45230</v>
      </c>
      <c r="C600" s="1" t="n">
        <v>45831</v>
      </c>
      <c r="D600" t="inlineStr">
        <is>
          <t>VÄSTERNORRLANDS LÄN</t>
        </is>
      </c>
      <c r="E600" t="inlineStr">
        <is>
          <t>TIMRÅ</t>
        </is>
      </c>
      <c r="G600" t="n">
        <v>6.5</v>
      </c>
      <c r="H600" t="n">
        <v>0</v>
      </c>
      <c r="I600" t="n">
        <v>0</v>
      </c>
      <c r="J600" t="n">
        <v>0</v>
      </c>
      <c r="K600" t="n">
        <v>0</v>
      </c>
      <c r="L600" t="n">
        <v>0</v>
      </c>
      <c r="M600" t="n">
        <v>0</v>
      </c>
      <c r="N600" t="n">
        <v>0</v>
      </c>
      <c r="O600" t="n">
        <v>0</v>
      </c>
      <c r="P600" t="n">
        <v>0</v>
      </c>
      <c r="Q600" t="n">
        <v>0</v>
      </c>
      <c r="R600" s="2" t="inlineStr"/>
    </row>
    <row r="601" ht="15" customHeight="1">
      <c r="A601" t="inlineStr">
        <is>
          <t>A 54040-2023</t>
        </is>
      </c>
      <c r="B601" s="1" t="n">
        <v>45231</v>
      </c>
      <c r="C601" s="1" t="n">
        <v>45831</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54041-2023</t>
        </is>
      </c>
      <c r="B602" s="1" t="n">
        <v>45231</v>
      </c>
      <c r="C602" s="1" t="n">
        <v>45831</v>
      </c>
      <c r="D602" t="inlineStr">
        <is>
          <t>VÄSTERNORRLANDS LÄN</t>
        </is>
      </c>
      <c r="E602" t="inlineStr">
        <is>
          <t>TIMRÅ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55441-2023</t>
        </is>
      </c>
      <c r="B603" s="1" t="n">
        <v>45231</v>
      </c>
      <c r="C603" s="1" t="n">
        <v>45831</v>
      </c>
      <c r="D603" t="inlineStr">
        <is>
          <t>VÄSTERNORRLANDS LÄN</t>
        </is>
      </c>
      <c r="E603" t="inlineStr">
        <is>
          <t>TIMRÅ</t>
        </is>
      </c>
      <c r="G603" t="n">
        <v>1</v>
      </c>
      <c r="H603" t="n">
        <v>0</v>
      </c>
      <c r="I603" t="n">
        <v>0</v>
      </c>
      <c r="J603" t="n">
        <v>0</v>
      </c>
      <c r="K603" t="n">
        <v>0</v>
      </c>
      <c r="L603" t="n">
        <v>0</v>
      </c>
      <c r="M603" t="n">
        <v>0</v>
      </c>
      <c r="N603" t="n">
        <v>0</v>
      </c>
      <c r="O603" t="n">
        <v>0</v>
      </c>
      <c r="P603" t="n">
        <v>0</v>
      </c>
      <c r="Q603" t="n">
        <v>0</v>
      </c>
      <c r="R603" s="2" t="inlineStr"/>
    </row>
    <row r="604" ht="15" customHeight="1">
      <c r="A604" t="inlineStr">
        <is>
          <t>A 54610-2023</t>
        </is>
      </c>
      <c r="B604" s="1" t="n">
        <v>45233</v>
      </c>
      <c r="C604" s="1" t="n">
        <v>45831</v>
      </c>
      <c r="D604" t="inlineStr">
        <is>
          <t>VÄSTERNORRLANDS LÄN</t>
        </is>
      </c>
      <c r="E604" t="inlineStr">
        <is>
          <t>TIMRÅ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55673-2023</t>
        </is>
      </c>
      <c r="B605" s="1" t="n">
        <v>45238</v>
      </c>
      <c r="C605" s="1" t="n">
        <v>45831</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55930-2023</t>
        </is>
      </c>
      <c r="B606" s="1" t="n">
        <v>45240</v>
      </c>
      <c r="C606" s="1" t="n">
        <v>45831</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56237-2023</t>
        </is>
      </c>
      <c r="B607" s="1" t="n">
        <v>45240</v>
      </c>
      <c r="C607" s="1" t="n">
        <v>45831</v>
      </c>
      <c r="D607" t="inlineStr">
        <is>
          <t>VÄSTERNORRLANDS LÄN</t>
        </is>
      </c>
      <c r="E607" t="inlineStr">
        <is>
          <t>TIMRÅ</t>
        </is>
      </c>
      <c r="G607" t="n">
        <v>0.7</v>
      </c>
      <c r="H607" t="n">
        <v>0</v>
      </c>
      <c r="I607" t="n">
        <v>0</v>
      </c>
      <c r="J607" t="n">
        <v>0</v>
      </c>
      <c r="K607" t="n">
        <v>0</v>
      </c>
      <c r="L607" t="n">
        <v>0</v>
      </c>
      <c r="M607" t="n">
        <v>0</v>
      </c>
      <c r="N607" t="n">
        <v>0</v>
      </c>
      <c r="O607" t="n">
        <v>0</v>
      </c>
      <c r="P607" t="n">
        <v>0</v>
      </c>
      <c r="Q607" t="n">
        <v>0</v>
      </c>
      <c r="R607" s="2" t="inlineStr"/>
    </row>
    <row r="608" ht="15" customHeight="1">
      <c r="A608" t="inlineStr">
        <is>
          <t>A 56701-2023</t>
        </is>
      </c>
      <c r="B608" s="1" t="n">
        <v>45243</v>
      </c>
      <c r="C608" s="1" t="n">
        <v>45831</v>
      </c>
      <c r="D608" t="inlineStr">
        <is>
          <t>VÄSTERNORRLANDS LÄN</t>
        </is>
      </c>
      <c r="E608" t="inlineStr">
        <is>
          <t>TIMRÅ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56692-2023</t>
        </is>
      </c>
      <c r="B609" s="1" t="n">
        <v>45243</v>
      </c>
      <c r="C609" s="1" t="n">
        <v>45831</v>
      </c>
      <c r="D609" t="inlineStr">
        <is>
          <t>VÄSTERNORRLANDS LÄN</t>
        </is>
      </c>
      <c r="E609" t="inlineStr">
        <is>
          <t>TIMRÅ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56765-2023</t>
        </is>
      </c>
      <c r="B610" s="1" t="n">
        <v>45244</v>
      </c>
      <c r="C610" s="1" t="n">
        <v>45831</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57072-2023</t>
        </is>
      </c>
      <c r="B611" s="1" t="n">
        <v>45245</v>
      </c>
      <c r="C611" s="1" t="n">
        <v>45831</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57762-2023</t>
        </is>
      </c>
      <c r="B612" s="1" t="n">
        <v>45246</v>
      </c>
      <c r="C612" s="1" t="n">
        <v>45831</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58062-2023</t>
        </is>
      </c>
      <c r="B613" s="1" t="n">
        <v>45247</v>
      </c>
      <c r="C613" s="1" t="n">
        <v>45831</v>
      </c>
      <c r="D613" t="inlineStr">
        <is>
          <t>VÄSTERNORRLANDS LÄN</t>
        </is>
      </c>
      <c r="E613" t="inlineStr">
        <is>
          <t>TIMRÅ</t>
        </is>
      </c>
      <c r="G613" t="n">
        <v>1.5</v>
      </c>
      <c r="H613" t="n">
        <v>0</v>
      </c>
      <c r="I613" t="n">
        <v>0</v>
      </c>
      <c r="J613" t="n">
        <v>0</v>
      </c>
      <c r="K613" t="n">
        <v>0</v>
      </c>
      <c r="L613" t="n">
        <v>0</v>
      </c>
      <c r="M613" t="n">
        <v>0</v>
      </c>
      <c r="N613" t="n">
        <v>0</v>
      </c>
      <c r="O613" t="n">
        <v>0</v>
      </c>
      <c r="P613" t="n">
        <v>0</v>
      </c>
      <c r="Q613" t="n">
        <v>0</v>
      </c>
      <c r="R613" s="2" t="inlineStr"/>
    </row>
    <row r="614" ht="15" customHeight="1">
      <c r="A614" t="inlineStr">
        <is>
          <t>A 58081-2023</t>
        </is>
      </c>
      <c r="B614" s="1" t="n">
        <v>45247</v>
      </c>
      <c r="C614" s="1" t="n">
        <v>45831</v>
      </c>
      <c r="D614" t="inlineStr">
        <is>
          <t>VÄSTERNORRLANDS LÄN</t>
        </is>
      </c>
      <c r="E614" t="inlineStr">
        <is>
          <t>TIMRÅ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58087-2023</t>
        </is>
      </c>
      <c r="B615" s="1" t="n">
        <v>45248</v>
      </c>
      <c r="C615" s="1" t="n">
        <v>45831</v>
      </c>
      <c r="D615" t="inlineStr">
        <is>
          <t>VÄSTERNORRLANDS LÄN</t>
        </is>
      </c>
      <c r="E615" t="inlineStr">
        <is>
          <t>TIMRÅ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58998-2023</t>
        </is>
      </c>
      <c r="B616" s="1" t="n">
        <v>45250</v>
      </c>
      <c r="C616" s="1" t="n">
        <v>45831</v>
      </c>
      <c r="D616" t="inlineStr">
        <is>
          <t>VÄSTERNORRLANDS LÄN</t>
        </is>
      </c>
      <c r="E616" t="inlineStr">
        <is>
          <t>TIMRÅ</t>
        </is>
      </c>
      <c r="G616" t="n">
        <v>1.3</v>
      </c>
      <c r="H616" t="n">
        <v>0</v>
      </c>
      <c r="I616" t="n">
        <v>0</v>
      </c>
      <c r="J616" t="n">
        <v>0</v>
      </c>
      <c r="K616" t="n">
        <v>0</v>
      </c>
      <c r="L616" t="n">
        <v>0</v>
      </c>
      <c r="M616" t="n">
        <v>0</v>
      </c>
      <c r="N616" t="n">
        <v>0</v>
      </c>
      <c r="O616" t="n">
        <v>0</v>
      </c>
      <c r="P616" t="n">
        <v>0</v>
      </c>
      <c r="Q616" t="n">
        <v>0</v>
      </c>
      <c r="R616" s="2" t="inlineStr"/>
    </row>
    <row r="617" ht="15" customHeight="1">
      <c r="A617" t="inlineStr">
        <is>
          <t>A 58766-2023</t>
        </is>
      </c>
      <c r="B617" s="1" t="n">
        <v>45252</v>
      </c>
      <c r="C617" s="1" t="n">
        <v>45831</v>
      </c>
      <c r="D617" t="inlineStr">
        <is>
          <t>VÄSTERNORRLANDS LÄN</t>
        </is>
      </c>
      <c r="E617" t="inlineStr">
        <is>
          <t>TIMRÅ</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58895-2023</t>
        </is>
      </c>
      <c r="B618" s="1" t="n">
        <v>45252</v>
      </c>
      <c r="C618" s="1" t="n">
        <v>45831</v>
      </c>
      <c r="D618" t="inlineStr">
        <is>
          <t>VÄSTERNORRLANDS LÄN</t>
        </is>
      </c>
      <c r="E618" t="inlineStr">
        <is>
          <t>TIMRÅ</t>
        </is>
      </c>
      <c r="G618" t="n">
        <v>3.7</v>
      </c>
      <c r="H618" t="n">
        <v>0</v>
      </c>
      <c r="I618" t="n">
        <v>0</v>
      </c>
      <c r="J618" t="n">
        <v>0</v>
      </c>
      <c r="K618" t="n">
        <v>0</v>
      </c>
      <c r="L618" t="n">
        <v>0</v>
      </c>
      <c r="M618" t="n">
        <v>0</v>
      </c>
      <c r="N618" t="n">
        <v>0</v>
      </c>
      <c r="O618" t="n">
        <v>0</v>
      </c>
      <c r="P618" t="n">
        <v>0</v>
      </c>
      <c r="Q618" t="n">
        <v>0</v>
      </c>
      <c r="R618" s="2" t="inlineStr"/>
    </row>
    <row r="619" ht="15" customHeight="1">
      <c r="A619" t="inlineStr">
        <is>
          <t>A 59401-2023</t>
        </is>
      </c>
      <c r="B619" s="1" t="n">
        <v>45253</v>
      </c>
      <c r="C619" s="1" t="n">
        <v>45831</v>
      </c>
      <c r="D619" t="inlineStr">
        <is>
          <t>VÄSTERNORRLANDS LÄN</t>
        </is>
      </c>
      <c r="E619" t="inlineStr">
        <is>
          <t>TIMRÅ</t>
        </is>
      </c>
      <c r="G619" t="n">
        <v>11.2</v>
      </c>
      <c r="H619" t="n">
        <v>0</v>
      </c>
      <c r="I619" t="n">
        <v>0</v>
      </c>
      <c r="J619" t="n">
        <v>0</v>
      </c>
      <c r="K619" t="n">
        <v>0</v>
      </c>
      <c r="L619" t="n">
        <v>0</v>
      </c>
      <c r="M619" t="n">
        <v>0</v>
      </c>
      <c r="N619" t="n">
        <v>0</v>
      </c>
      <c r="O619" t="n">
        <v>0</v>
      </c>
      <c r="P619" t="n">
        <v>0</v>
      </c>
      <c r="Q619" t="n">
        <v>0</v>
      </c>
      <c r="R619" s="2" t="inlineStr"/>
    </row>
    <row r="620" ht="15" customHeight="1">
      <c r="A620" t="inlineStr">
        <is>
          <t>A 60011-2023</t>
        </is>
      </c>
      <c r="B620" s="1" t="n">
        <v>45257</v>
      </c>
      <c r="C620" s="1" t="n">
        <v>45831</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60074-2023</t>
        </is>
      </c>
      <c r="B621" s="1" t="n">
        <v>45258</v>
      </c>
      <c r="C621" s="1" t="n">
        <v>45831</v>
      </c>
      <c r="D621" t="inlineStr">
        <is>
          <t>VÄSTERNORRLANDS LÄN</t>
        </is>
      </c>
      <c r="E621" t="inlineStr">
        <is>
          <t>TIMRÅ</t>
        </is>
      </c>
      <c r="G621" t="n">
        <v>5</v>
      </c>
      <c r="H621" t="n">
        <v>0</v>
      </c>
      <c r="I621" t="n">
        <v>0</v>
      </c>
      <c r="J621" t="n">
        <v>0</v>
      </c>
      <c r="K621" t="n">
        <v>0</v>
      </c>
      <c r="L621" t="n">
        <v>0</v>
      </c>
      <c r="M621" t="n">
        <v>0</v>
      </c>
      <c r="N621" t="n">
        <v>0</v>
      </c>
      <c r="O621" t="n">
        <v>0</v>
      </c>
      <c r="P621" t="n">
        <v>0</v>
      </c>
      <c r="Q621" t="n">
        <v>0</v>
      </c>
      <c r="R621" s="2" t="inlineStr"/>
    </row>
    <row r="622" ht="15" customHeight="1">
      <c r="A622" t="inlineStr">
        <is>
          <t>A 61613-2023</t>
        </is>
      </c>
      <c r="B622" s="1" t="n">
        <v>45261</v>
      </c>
      <c r="C622" s="1" t="n">
        <v>45831</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61606-2023</t>
        </is>
      </c>
      <c r="B623" s="1" t="n">
        <v>45261</v>
      </c>
      <c r="C623" s="1" t="n">
        <v>45831</v>
      </c>
      <c r="D623" t="inlineStr">
        <is>
          <t>VÄSTERNORRLANDS LÄN</t>
        </is>
      </c>
      <c r="E623" t="inlineStr">
        <is>
          <t>TIMRÅ</t>
        </is>
      </c>
      <c r="G623" t="n">
        <v>0.3</v>
      </c>
      <c r="H623" t="n">
        <v>0</v>
      </c>
      <c r="I623" t="n">
        <v>0</v>
      </c>
      <c r="J623" t="n">
        <v>0</v>
      </c>
      <c r="K623" t="n">
        <v>0</v>
      </c>
      <c r="L623" t="n">
        <v>0</v>
      </c>
      <c r="M623" t="n">
        <v>0</v>
      </c>
      <c r="N623" t="n">
        <v>0</v>
      </c>
      <c r="O623" t="n">
        <v>0</v>
      </c>
      <c r="P623" t="n">
        <v>0</v>
      </c>
      <c r="Q623" t="n">
        <v>0</v>
      </c>
      <c r="R623" s="2" t="inlineStr"/>
    </row>
    <row r="624" ht="15" customHeight="1">
      <c r="A624" t="inlineStr">
        <is>
          <t>A 61463-2023</t>
        </is>
      </c>
      <c r="B624" s="1" t="n">
        <v>45264</v>
      </c>
      <c r="C624" s="1" t="n">
        <v>45831</v>
      </c>
      <c r="D624" t="inlineStr">
        <is>
          <t>VÄSTERNORRLANDS LÄN</t>
        </is>
      </c>
      <c r="E624" t="inlineStr">
        <is>
          <t>TIMRÅ</t>
        </is>
      </c>
      <c r="G624" t="n">
        <v>2.1</v>
      </c>
      <c r="H624" t="n">
        <v>0</v>
      </c>
      <c r="I624" t="n">
        <v>0</v>
      </c>
      <c r="J624" t="n">
        <v>0</v>
      </c>
      <c r="K624" t="n">
        <v>0</v>
      </c>
      <c r="L624" t="n">
        <v>0</v>
      </c>
      <c r="M624" t="n">
        <v>0</v>
      </c>
      <c r="N624" t="n">
        <v>0</v>
      </c>
      <c r="O624" t="n">
        <v>0</v>
      </c>
      <c r="P624" t="n">
        <v>0</v>
      </c>
      <c r="Q624" t="n">
        <v>0</v>
      </c>
      <c r="R624" s="2" t="inlineStr"/>
    </row>
    <row r="625" ht="15" customHeight="1">
      <c r="A625" t="inlineStr">
        <is>
          <t>A 61484-2023</t>
        </is>
      </c>
      <c r="B625" s="1" t="n">
        <v>45264</v>
      </c>
      <c r="C625" s="1" t="n">
        <v>45831</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61785-2023</t>
        </is>
      </c>
      <c r="B626" s="1" t="n">
        <v>45265</v>
      </c>
      <c r="C626" s="1" t="n">
        <v>45831</v>
      </c>
      <c r="D626" t="inlineStr">
        <is>
          <t>VÄSTERNORRLANDS LÄN</t>
        </is>
      </c>
      <c r="E626" t="inlineStr">
        <is>
          <t>TIMRÅ</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62474-2023</t>
        </is>
      </c>
      <c r="B627" s="1" t="n">
        <v>45267</v>
      </c>
      <c r="C627" s="1" t="n">
        <v>45831</v>
      </c>
      <c r="D627" t="inlineStr">
        <is>
          <t>VÄSTERNORRLANDS LÄN</t>
        </is>
      </c>
      <c r="E627" t="inlineStr">
        <is>
          <t>TIMRÅ</t>
        </is>
      </c>
      <c r="G627" t="n">
        <v>4</v>
      </c>
      <c r="H627" t="n">
        <v>0</v>
      </c>
      <c r="I627" t="n">
        <v>0</v>
      </c>
      <c r="J627" t="n">
        <v>0</v>
      </c>
      <c r="K627" t="n">
        <v>0</v>
      </c>
      <c r="L627" t="n">
        <v>0</v>
      </c>
      <c r="M627" t="n">
        <v>0</v>
      </c>
      <c r="N627" t="n">
        <v>0</v>
      </c>
      <c r="O627" t="n">
        <v>0</v>
      </c>
      <c r="P627" t="n">
        <v>0</v>
      </c>
      <c r="Q627" t="n">
        <v>0</v>
      </c>
      <c r="R627" s="2" t="inlineStr"/>
    </row>
    <row r="628" ht="15" customHeight="1">
      <c r="A628" t="inlineStr">
        <is>
          <t>A 63294-2023</t>
        </is>
      </c>
      <c r="B628" s="1" t="n">
        <v>45273</v>
      </c>
      <c r="C628" s="1" t="n">
        <v>45831</v>
      </c>
      <c r="D628" t="inlineStr">
        <is>
          <t>VÄSTERNORRLANDS LÄN</t>
        </is>
      </c>
      <c r="E628" t="inlineStr">
        <is>
          <t>TIMRÅ</t>
        </is>
      </c>
      <c r="F628" t="inlineStr">
        <is>
          <t>SCA</t>
        </is>
      </c>
      <c r="G628" t="n">
        <v>12.9</v>
      </c>
      <c r="H628" t="n">
        <v>0</v>
      </c>
      <c r="I628" t="n">
        <v>0</v>
      </c>
      <c r="J628" t="n">
        <v>0</v>
      </c>
      <c r="K628" t="n">
        <v>0</v>
      </c>
      <c r="L628" t="n">
        <v>0</v>
      </c>
      <c r="M628" t="n">
        <v>0</v>
      </c>
      <c r="N628" t="n">
        <v>0</v>
      </c>
      <c r="O628" t="n">
        <v>0</v>
      </c>
      <c r="P628" t="n">
        <v>0</v>
      </c>
      <c r="Q628" t="n">
        <v>0</v>
      </c>
      <c r="R628" s="2" t="inlineStr"/>
    </row>
    <row r="629" ht="15" customHeight="1">
      <c r="A629" t="inlineStr">
        <is>
          <t>A 64031-2023</t>
        </is>
      </c>
      <c r="B629" s="1" t="n">
        <v>45278</v>
      </c>
      <c r="C629" s="1" t="n">
        <v>45831</v>
      </c>
      <c r="D629" t="inlineStr">
        <is>
          <t>VÄSTERNORRLANDS LÄN</t>
        </is>
      </c>
      <c r="E629" t="inlineStr">
        <is>
          <t>TIMRÅ</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64732-2023</t>
        </is>
      </c>
      <c r="B630" s="1" t="n">
        <v>45281</v>
      </c>
      <c r="C630" s="1" t="n">
        <v>45831</v>
      </c>
      <c r="D630" t="inlineStr">
        <is>
          <t>VÄSTERNORRLANDS LÄN</t>
        </is>
      </c>
      <c r="E630" t="inlineStr">
        <is>
          <t>TIMRÅ</t>
        </is>
      </c>
      <c r="G630" t="n">
        <v>2.3</v>
      </c>
      <c r="H630" t="n">
        <v>0</v>
      </c>
      <c r="I630" t="n">
        <v>0</v>
      </c>
      <c r="J630" t="n">
        <v>0</v>
      </c>
      <c r="K630" t="n">
        <v>0</v>
      </c>
      <c r="L630" t="n">
        <v>0</v>
      </c>
      <c r="M630" t="n">
        <v>0</v>
      </c>
      <c r="N630" t="n">
        <v>0</v>
      </c>
      <c r="O630" t="n">
        <v>0</v>
      </c>
      <c r="P630" t="n">
        <v>0</v>
      </c>
      <c r="Q630" t="n">
        <v>0</v>
      </c>
      <c r="R630" s="2" t="inlineStr"/>
    </row>
    <row r="631" ht="15" customHeight="1">
      <c r="A631" t="inlineStr">
        <is>
          <t>A 64756-2023</t>
        </is>
      </c>
      <c r="B631" s="1" t="n">
        <v>45281</v>
      </c>
      <c r="C631" s="1" t="n">
        <v>45831</v>
      </c>
      <c r="D631" t="inlineStr">
        <is>
          <t>VÄSTERNORRLANDS LÄN</t>
        </is>
      </c>
      <c r="E631" t="inlineStr">
        <is>
          <t>TIMRÅ</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64755-2023</t>
        </is>
      </c>
      <c r="B632" s="1" t="n">
        <v>45281</v>
      </c>
      <c r="C632" s="1" t="n">
        <v>45831</v>
      </c>
      <c r="D632" t="inlineStr">
        <is>
          <t>VÄSTERNORRLANDS LÄN</t>
        </is>
      </c>
      <c r="E632" t="inlineStr">
        <is>
          <t>TIMRÅ</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252-2024</t>
        </is>
      </c>
      <c r="B633" s="1" t="n">
        <v>45295</v>
      </c>
      <c r="C633" s="1" t="n">
        <v>45831</v>
      </c>
      <c r="D633" t="inlineStr">
        <is>
          <t>VÄSTERNORRLANDS LÄN</t>
        </is>
      </c>
      <c r="E633" t="inlineStr">
        <is>
          <t>TIMRÅ</t>
        </is>
      </c>
      <c r="F633" t="inlineStr">
        <is>
          <t>SCA</t>
        </is>
      </c>
      <c r="G633" t="n">
        <v>12.7</v>
      </c>
      <c r="H633" t="n">
        <v>0</v>
      </c>
      <c r="I633" t="n">
        <v>0</v>
      </c>
      <c r="J633" t="n">
        <v>0</v>
      </c>
      <c r="K633" t="n">
        <v>0</v>
      </c>
      <c r="L633" t="n">
        <v>0</v>
      </c>
      <c r="M633" t="n">
        <v>0</v>
      </c>
      <c r="N633" t="n">
        <v>0</v>
      </c>
      <c r="O633" t="n">
        <v>0</v>
      </c>
      <c r="P633" t="n">
        <v>0</v>
      </c>
      <c r="Q633" t="n">
        <v>0</v>
      </c>
      <c r="R633" s="2" t="inlineStr"/>
    </row>
    <row r="634" ht="15" customHeight="1">
      <c r="A634" t="inlineStr">
        <is>
          <t>A 290-2024</t>
        </is>
      </c>
      <c r="B634" s="1" t="n">
        <v>45295</v>
      </c>
      <c r="C634" s="1" t="n">
        <v>45831</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661-2024</t>
        </is>
      </c>
      <c r="B635" s="1" t="n">
        <v>45300</v>
      </c>
      <c r="C635" s="1" t="n">
        <v>45831</v>
      </c>
      <c r="D635" t="inlineStr">
        <is>
          <t>VÄSTERNORRLANDS LÄN</t>
        </is>
      </c>
      <c r="E635" t="inlineStr">
        <is>
          <t>TIMRÅ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1273-2024</t>
        </is>
      </c>
      <c r="B636" s="1" t="n">
        <v>45302</v>
      </c>
      <c r="C636" s="1" t="n">
        <v>45831</v>
      </c>
      <c r="D636" t="inlineStr">
        <is>
          <t>VÄSTERNORRLANDS LÄN</t>
        </is>
      </c>
      <c r="E636" t="inlineStr">
        <is>
          <t>TIMRÅ</t>
        </is>
      </c>
      <c r="G636" t="n">
        <v>2.1</v>
      </c>
      <c r="H636" t="n">
        <v>0</v>
      </c>
      <c r="I636" t="n">
        <v>0</v>
      </c>
      <c r="J636" t="n">
        <v>0</v>
      </c>
      <c r="K636" t="n">
        <v>0</v>
      </c>
      <c r="L636" t="n">
        <v>0</v>
      </c>
      <c r="M636" t="n">
        <v>0</v>
      </c>
      <c r="N636" t="n">
        <v>0</v>
      </c>
      <c r="O636" t="n">
        <v>0</v>
      </c>
      <c r="P636" t="n">
        <v>0</v>
      </c>
      <c r="Q636" t="n">
        <v>0</v>
      </c>
      <c r="R636" s="2" t="inlineStr"/>
    </row>
    <row r="637" ht="15" customHeight="1">
      <c r="A637" t="inlineStr">
        <is>
          <t>A 1185-2024</t>
        </is>
      </c>
      <c r="B637" s="1" t="n">
        <v>45302</v>
      </c>
      <c r="C637" s="1" t="n">
        <v>45831</v>
      </c>
      <c r="D637" t="inlineStr">
        <is>
          <t>VÄSTERNORRLANDS LÄN</t>
        </is>
      </c>
      <c r="E637" t="inlineStr">
        <is>
          <t>TIMRÅ</t>
        </is>
      </c>
      <c r="G637" t="n">
        <v>4.4</v>
      </c>
      <c r="H637" t="n">
        <v>0</v>
      </c>
      <c r="I637" t="n">
        <v>0</v>
      </c>
      <c r="J637" t="n">
        <v>0</v>
      </c>
      <c r="K637" t="n">
        <v>0</v>
      </c>
      <c r="L637" t="n">
        <v>0</v>
      </c>
      <c r="M637" t="n">
        <v>0</v>
      </c>
      <c r="N637" t="n">
        <v>0</v>
      </c>
      <c r="O637" t="n">
        <v>0</v>
      </c>
      <c r="P637" t="n">
        <v>0</v>
      </c>
      <c r="Q637" t="n">
        <v>0</v>
      </c>
      <c r="R637" s="2" t="inlineStr"/>
    </row>
    <row r="638" ht="15" customHeight="1">
      <c r="A638" t="inlineStr">
        <is>
          <t>A 1272-2024</t>
        </is>
      </c>
      <c r="B638" s="1" t="n">
        <v>45302</v>
      </c>
      <c r="C638" s="1" t="n">
        <v>45831</v>
      </c>
      <c r="D638" t="inlineStr">
        <is>
          <t>VÄSTERNORRLANDS LÄN</t>
        </is>
      </c>
      <c r="E638" t="inlineStr">
        <is>
          <t>TIMRÅ</t>
        </is>
      </c>
      <c r="G638" t="n">
        <v>4.3</v>
      </c>
      <c r="H638" t="n">
        <v>0</v>
      </c>
      <c r="I638" t="n">
        <v>0</v>
      </c>
      <c r="J638" t="n">
        <v>0</v>
      </c>
      <c r="K638" t="n">
        <v>0</v>
      </c>
      <c r="L638" t="n">
        <v>0</v>
      </c>
      <c r="M638" t="n">
        <v>0</v>
      </c>
      <c r="N638" t="n">
        <v>0</v>
      </c>
      <c r="O638" t="n">
        <v>0</v>
      </c>
      <c r="P638" t="n">
        <v>0</v>
      </c>
      <c r="Q638" t="n">
        <v>0</v>
      </c>
      <c r="R638" s="2" t="inlineStr"/>
    </row>
    <row r="639" ht="15" customHeight="1">
      <c r="A639" t="inlineStr">
        <is>
          <t>A 1467-2024</t>
        </is>
      </c>
      <c r="B639" s="1" t="n">
        <v>45303</v>
      </c>
      <c r="C639" s="1" t="n">
        <v>45831</v>
      </c>
      <c r="D639" t="inlineStr">
        <is>
          <t>VÄSTERNORRLANDS LÄN</t>
        </is>
      </c>
      <c r="E639" t="inlineStr">
        <is>
          <t>TIMRÅ</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1675-2024</t>
        </is>
      </c>
      <c r="B640" s="1" t="n">
        <v>45306</v>
      </c>
      <c r="C640" s="1" t="n">
        <v>45831</v>
      </c>
      <c r="D640" t="inlineStr">
        <is>
          <t>VÄSTERNORRLANDS LÄN</t>
        </is>
      </c>
      <c r="E640" t="inlineStr">
        <is>
          <t>TIMRÅ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1683-2024</t>
        </is>
      </c>
      <c r="B641" s="1" t="n">
        <v>45307</v>
      </c>
      <c r="C641" s="1" t="n">
        <v>45831</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2062-2024</t>
        </is>
      </c>
      <c r="B642" s="1" t="n">
        <v>45308</v>
      </c>
      <c r="C642" s="1" t="n">
        <v>45831</v>
      </c>
      <c r="D642" t="inlineStr">
        <is>
          <t>VÄSTERNORRLANDS LÄN</t>
        </is>
      </c>
      <c r="E642" t="inlineStr">
        <is>
          <t>TIMRÅ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2949-2024</t>
        </is>
      </c>
      <c r="B643" s="1" t="n">
        <v>45315</v>
      </c>
      <c r="C643" s="1" t="n">
        <v>45831</v>
      </c>
      <c r="D643" t="inlineStr">
        <is>
          <t>VÄSTERNORRLANDS LÄN</t>
        </is>
      </c>
      <c r="E643" t="inlineStr">
        <is>
          <t>TIMRÅ</t>
        </is>
      </c>
      <c r="G643" t="n">
        <v>7</v>
      </c>
      <c r="H643" t="n">
        <v>0</v>
      </c>
      <c r="I643" t="n">
        <v>0</v>
      </c>
      <c r="J643" t="n">
        <v>0</v>
      </c>
      <c r="K643" t="n">
        <v>0</v>
      </c>
      <c r="L643" t="n">
        <v>0</v>
      </c>
      <c r="M643" t="n">
        <v>0</v>
      </c>
      <c r="N643" t="n">
        <v>0</v>
      </c>
      <c r="O643" t="n">
        <v>0</v>
      </c>
      <c r="P643" t="n">
        <v>0</v>
      </c>
      <c r="Q643" t="n">
        <v>0</v>
      </c>
      <c r="R643" s="2" t="inlineStr"/>
    </row>
    <row r="644" ht="15" customHeight="1">
      <c r="A644" t="inlineStr">
        <is>
          <t>A 3229-2024</t>
        </is>
      </c>
      <c r="B644" s="1" t="n">
        <v>45316</v>
      </c>
      <c r="C644" s="1" t="n">
        <v>45831</v>
      </c>
      <c r="D644" t="inlineStr">
        <is>
          <t>VÄSTERNORRLANDS LÄN</t>
        </is>
      </c>
      <c r="E644" t="inlineStr">
        <is>
          <t>TIMRÅ</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3444-2024</t>
        </is>
      </c>
      <c r="B645" s="1" t="n">
        <v>45317</v>
      </c>
      <c r="C645" s="1" t="n">
        <v>45831</v>
      </c>
      <c r="D645" t="inlineStr">
        <is>
          <t>VÄSTERNORRLANDS LÄN</t>
        </is>
      </c>
      <c r="E645" t="inlineStr">
        <is>
          <t>TIMRÅ</t>
        </is>
      </c>
      <c r="G645" t="n">
        <v>10.5</v>
      </c>
      <c r="H645" t="n">
        <v>0</v>
      </c>
      <c r="I645" t="n">
        <v>0</v>
      </c>
      <c r="J645" t="n">
        <v>0</v>
      </c>
      <c r="K645" t="n">
        <v>0</v>
      </c>
      <c r="L645" t="n">
        <v>0</v>
      </c>
      <c r="M645" t="n">
        <v>0</v>
      </c>
      <c r="N645" t="n">
        <v>0</v>
      </c>
      <c r="O645" t="n">
        <v>0</v>
      </c>
      <c r="P645" t="n">
        <v>0</v>
      </c>
      <c r="Q645" t="n">
        <v>0</v>
      </c>
      <c r="R645" s="2" t="inlineStr"/>
    </row>
    <row r="646" ht="15" customHeight="1">
      <c r="A646" t="inlineStr">
        <is>
          <t>A 3804-2024</t>
        </is>
      </c>
      <c r="B646" s="1" t="n">
        <v>45321</v>
      </c>
      <c r="C646" s="1" t="n">
        <v>45831</v>
      </c>
      <c r="D646" t="inlineStr">
        <is>
          <t>VÄSTERNORRLANDS LÄN</t>
        </is>
      </c>
      <c r="E646" t="inlineStr">
        <is>
          <t>TIMRÅ</t>
        </is>
      </c>
      <c r="G646" t="n">
        <v>2</v>
      </c>
      <c r="H646" t="n">
        <v>0</v>
      </c>
      <c r="I646" t="n">
        <v>0</v>
      </c>
      <c r="J646" t="n">
        <v>0</v>
      </c>
      <c r="K646" t="n">
        <v>0</v>
      </c>
      <c r="L646" t="n">
        <v>0</v>
      </c>
      <c r="M646" t="n">
        <v>0</v>
      </c>
      <c r="N646" t="n">
        <v>0</v>
      </c>
      <c r="O646" t="n">
        <v>0</v>
      </c>
      <c r="P646" t="n">
        <v>0</v>
      </c>
      <c r="Q646" t="n">
        <v>0</v>
      </c>
      <c r="R646" s="2" t="inlineStr"/>
    </row>
    <row r="647" ht="15" customHeight="1">
      <c r="A647" t="inlineStr">
        <is>
          <t>A 3989-2024</t>
        </is>
      </c>
      <c r="B647" s="1" t="n">
        <v>45322</v>
      </c>
      <c r="C647" s="1" t="n">
        <v>45831</v>
      </c>
      <c r="D647" t="inlineStr">
        <is>
          <t>VÄSTERNORRLANDS LÄN</t>
        </is>
      </c>
      <c r="E647" t="inlineStr">
        <is>
          <t>TIMRÅ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4596-2024</t>
        </is>
      </c>
      <c r="B648" s="1" t="n">
        <v>45327</v>
      </c>
      <c r="C648" s="1" t="n">
        <v>45831</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4821-2024</t>
        </is>
      </c>
      <c r="B649" s="1" t="n">
        <v>45328</v>
      </c>
      <c r="C649" s="1" t="n">
        <v>45831</v>
      </c>
      <c r="D649" t="inlineStr">
        <is>
          <t>VÄSTERNORRLANDS LÄN</t>
        </is>
      </c>
      <c r="E649" t="inlineStr">
        <is>
          <t>TIMRÅ</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5271-2024</t>
        </is>
      </c>
      <c r="B650" s="1" t="n">
        <v>45330</v>
      </c>
      <c r="C650" s="1" t="n">
        <v>45831</v>
      </c>
      <c r="D650" t="inlineStr">
        <is>
          <t>VÄSTERNORRLANDS LÄN</t>
        </is>
      </c>
      <c r="E650" t="inlineStr">
        <is>
          <t>TIMRÅ</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5265-2024</t>
        </is>
      </c>
      <c r="B651" s="1" t="n">
        <v>45330</v>
      </c>
      <c r="C651" s="1" t="n">
        <v>45831</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5722-2024</t>
        </is>
      </c>
      <c r="B652" s="1" t="n">
        <v>45334</v>
      </c>
      <c r="C652" s="1" t="n">
        <v>45831</v>
      </c>
      <c r="D652" t="inlineStr">
        <is>
          <t>VÄSTERNORRLANDS LÄN</t>
        </is>
      </c>
      <c r="E652" t="inlineStr">
        <is>
          <t>TIMRÅ</t>
        </is>
      </c>
      <c r="G652" t="n">
        <v>2.2</v>
      </c>
      <c r="H652" t="n">
        <v>0</v>
      </c>
      <c r="I652" t="n">
        <v>0</v>
      </c>
      <c r="J652" t="n">
        <v>0</v>
      </c>
      <c r="K652" t="n">
        <v>0</v>
      </c>
      <c r="L652" t="n">
        <v>0</v>
      </c>
      <c r="M652" t="n">
        <v>0</v>
      </c>
      <c r="N652" t="n">
        <v>0</v>
      </c>
      <c r="O652" t="n">
        <v>0</v>
      </c>
      <c r="P652" t="n">
        <v>0</v>
      </c>
      <c r="Q652" t="n">
        <v>0</v>
      </c>
      <c r="R652" s="2" t="inlineStr"/>
    </row>
    <row r="653" ht="15" customHeight="1">
      <c r="A653" t="inlineStr">
        <is>
          <t>A 5921-2024</t>
        </is>
      </c>
      <c r="B653" s="1" t="n">
        <v>45335</v>
      </c>
      <c r="C653" s="1" t="n">
        <v>45831</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6088-2024</t>
        </is>
      </c>
      <c r="B654" s="1" t="n">
        <v>45336</v>
      </c>
      <c r="C654" s="1" t="n">
        <v>45831</v>
      </c>
      <c r="D654" t="inlineStr">
        <is>
          <t>VÄSTERNORRLANDS LÄN</t>
        </is>
      </c>
      <c r="E654" t="inlineStr">
        <is>
          <t>TIMRÅ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6893-2024</t>
        </is>
      </c>
      <c r="B655" s="1" t="n">
        <v>45342</v>
      </c>
      <c r="C655" s="1" t="n">
        <v>45831</v>
      </c>
      <c r="D655" t="inlineStr">
        <is>
          <t>VÄSTERNORRLANDS LÄN</t>
        </is>
      </c>
      <c r="E655" t="inlineStr">
        <is>
          <t>TIMRÅ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7151-2024</t>
        </is>
      </c>
      <c r="B656" s="1" t="n">
        <v>45344</v>
      </c>
      <c r="C656" s="1" t="n">
        <v>45831</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7291-2024</t>
        </is>
      </c>
      <c r="B657" s="1" t="n">
        <v>45344</v>
      </c>
      <c r="C657" s="1" t="n">
        <v>45831</v>
      </c>
      <c r="D657" t="inlineStr">
        <is>
          <t>VÄSTERNORRLANDS LÄN</t>
        </is>
      </c>
      <c r="E657" t="inlineStr">
        <is>
          <t>TIMRÅ</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7299-2024</t>
        </is>
      </c>
      <c r="B658" s="1" t="n">
        <v>45344</v>
      </c>
      <c r="C658" s="1" t="n">
        <v>45831</v>
      </c>
      <c r="D658" t="inlineStr">
        <is>
          <t>VÄSTERNORRLANDS LÄN</t>
        </is>
      </c>
      <c r="E658" t="inlineStr">
        <is>
          <t>TIMRÅ</t>
        </is>
      </c>
      <c r="F658" t="inlineStr">
        <is>
          <t>SCA</t>
        </is>
      </c>
      <c r="G658" t="n">
        <v>16.3</v>
      </c>
      <c r="H658" t="n">
        <v>0</v>
      </c>
      <c r="I658" t="n">
        <v>0</v>
      </c>
      <c r="J658" t="n">
        <v>0</v>
      </c>
      <c r="K658" t="n">
        <v>0</v>
      </c>
      <c r="L658" t="n">
        <v>0</v>
      </c>
      <c r="M658" t="n">
        <v>0</v>
      </c>
      <c r="N658" t="n">
        <v>0</v>
      </c>
      <c r="O658" t="n">
        <v>0</v>
      </c>
      <c r="P658" t="n">
        <v>0</v>
      </c>
      <c r="Q658" t="n">
        <v>0</v>
      </c>
      <c r="R658" s="2" t="inlineStr"/>
    </row>
    <row r="659" ht="15" customHeight="1">
      <c r="A659" t="inlineStr">
        <is>
          <t>A 7292-2024</t>
        </is>
      </c>
      <c r="B659" s="1" t="n">
        <v>45344</v>
      </c>
      <c r="C659" s="1" t="n">
        <v>45831</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7478-2024</t>
        </is>
      </c>
      <c r="B660" s="1" t="n">
        <v>45345</v>
      </c>
      <c r="C660" s="1" t="n">
        <v>45831</v>
      </c>
      <c r="D660" t="inlineStr">
        <is>
          <t>VÄSTERNORRLANDS LÄN</t>
        </is>
      </c>
      <c r="E660" t="inlineStr">
        <is>
          <t>TIMRÅ</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7476-2024</t>
        </is>
      </c>
      <c r="B661" s="1" t="n">
        <v>45345</v>
      </c>
      <c r="C661" s="1" t="n">
        <v>45831</v>
      </c>
      <c r="D661" t="inlineStr">
        <is>
          <t>VÄSTERNORRLANDS LÄN</t>
        </is>
      </c>
      <c r="E661" t="inlineStr">
        <is>
          <t>TIMRÅ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7477-2024</t>
        </is>
      </c>
      <c r="B662" s="1" t="n">
        <v>45345</v>
      </c>
      <c r="C662" s="1" t="n">
        <v>45831</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7507-2024</t>
        </is>
      </c>
      <c r="B663" s="1" t="n">
        <v>45347</v>
      </c>
      <c r="C663" s="1" t="n">
        <v>45831</v>
      </c>
      <c r="D663" t="inlineStr">
        <is>
          <t>VÄSTERNORRLANDS LÄN</t>
        </is>
      </c>
      <c r="E663" t="inlineStr">
        <is>
          <t>TIMRÅ</t>
        </is>
      </c>
      <c r="F663" t="inlineStr">
        <is>
          <t>SCA</t>
        </is>
      </c>
      <c r="G663" t="n">
        <v>15.5</v>
      </c>
      <c r="H663" t="n">
        <v>0</v>
      </c>
      <c r="I663" t="n">
        <v>0</v>
      </c>
      <c r="J663" t="n">
        <v>0</v>
      </c>
      <c r="K663" t="n">
        <v>0</v>
      </c>
      <c r="L663" t="n">
        <v>0</v>
      </c>
      <c r="M663" t="n">
        <v>0</v>
      </c>
      <c r="N663" t="n">
        <v>0</v>
      </c>
      <c r="O663" t="n">
        <v>0</v>
      </c>
      <c r="P663" t="n">
        <v>0</v>
      </c>
      <c r="Q663" t="n">
        <v>0</v>
      </c>
      <c r="R663" s="2" t="inlineStr"/>
    </row>
    <row r="664" ht="15" customHeight="1">
      <c r="A664" t="inlineStr">
        <is>
          <t>A 7859-2024</t>
        </is>
      </c>
      <c r="B664" s="1" t="n">
        <v>45350</v>
      </c>
      <c r="C664" s="1" t="n">
        <v>45831</v>
      </c>
      <c r="D664" t="inlineStr">
        <is>
          <t>VÄSTERNORRLANDS LÄN</t>
        </is>
      </c>
      <c r="E664" t="inlineStr">
        <is>
          <t>TIMRÅ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8240-2024</t>
        </is>
      </c>
      <c r="B665" s="1" t="n">
        <v>45351</v>
      </c>
      <c r="C665" s="1" t="n">
        <v>45831</v>
      </c>
      <c r="D665" t="inlineStr">
        <is>
          <t>VÄSTERNORRLANDS LÄN</t>
        </is>
      </c>
      <c r="E665" t="inlineStr">
        <is>
          <t>TIMRÅ</t>
        </is>
      </c>
      <c r="F665" t="inlineStr">
        <is>
          <t>SCA</t>
        </is>
      </c>
      <c r="G665" t="n">
        <v>17.4</v>
      </c>
      <c r="H665" t="n">
        <v>0</v>
      </c>
      <c r="I665" t="n">
        <v>0</v>
      </c>
      <c r="J665" t="n">
        <v>0</v>
      </c>
      <c r="K665" t="n">
        <v>0</v>
      </c>
      <c r="L665" t="n">
        <v>0</v>
      </c>
      <c r="M665" t="n">
        <v>0</v>
      </c>
      <c r="N665" t="n">
        <v>0</v>
      </c>
      <c r="O665" t="n">
        <v>0</v>
      </c>
      <c r="P665" t="n">
        <v>0</v>
      </c>
      <c r="Q665" t="n">
        <v>0</v>
      </c>
      <c r="R665" s="2" t="inlineStr"/>
      <c r="U665">
        <f>HYPERLINK("https://klasma.github.io/Logging_2262/knärot/A 8240-2024 karta knärot.png", "A 8240-2024")</f>
        <v/>
      </c>
      <c r="V665">
        <f>HYPERLINK("https://klasma.github.io/Logging_2262/klagomål/A 8240-2024 FSC-klagomål.docx", "A 8240-2024")</f>
        <v/>
      </c>
      <c r="W665">
        <f>HYPERLINK("https://klasma.github.io/Logging_2262/klagomålsmail/A 8240-2024 FSC-klagomål mail.docx", "A 8240-2024")</f>
        <v/>
      </c>
      <c r="X665">
        <f>HYPERLINK("https://klasma.github.io/Logging_2262/tillsyn/A 8240-2024 tillsynsbegäran.docx", "A 8240-2024")</f>
        <v/>
      </c>
      <c r="Y665">
        <f>HYPERLINK("https://klasma.github.io/Logging_2262/tillsynsmail/A 8240-2024 tillsynsbegäran mail.docx", "A 8240-2024")</f>
        <v/>
      </c>
    </row>
    <row r="666" ht="15" customHeight="1">
      <c r="A666" t="inlineStr">
        <is>
          <t>A 8237-2024</t>
        </is>
      </c>
      <c r="B666" s="1" t="n">
        <v>45351</v>
      </c>
      <c r="C666" s="1" t="n">
        <v>45831</v>
      </c>
      <c r="D666" t="inlineStr">
        <is>
          <t>VÄSTERNORRLANDS LÄN</t>
        </is>
      </c>
      <c r="E666" t="inlineStr">
        <is>
          <t>TIMRÅ</t>
        </is>
      </c>
      <c r="F666" t="inlineStr">
        <is>
          <t>SCA</t>
        </is>
      </c>
      <c r="G666" t="n">
        <v>14.2</v>
      </c>
      <c r="H666" t="n">
        <v>0</v>
      </c>
      <c r="I666" t="n">
        <v>0</v>
      </c>
      <c r="J666" t="n">
        <v>0</v>
      </c>
      <c r="K666" t="n">
        <v>0</v>
      </c>
      <c r="L666" t="n">
        <v>0</v>
      </c>
      <c r="M666" t="n">
        <v>0</v>
      </c>
      <c r="N666" t="n">
        <v>0</v>
      </c>
      <c r="O666" t="n">
        <v>0</v>
      </c>
      <c r="P666" t="n">
        <v>0</v>
      </c>
      <c r="Q666" t="n">
        <v>0</v>
      </c>
      <c r="R666" s="2" t="inlineStr"/>
    </row>
    <row r="667" ht="15" customHeight="1">
      <c r="A667" t="inlineStr">
        <is>
          <t>A 8526-2024</t>
        </is>
      </c>
      <c r="B667" s="1" t="n">
        <v>45351</v>
      </c>
      <c r="C667" s="1" t="n">
        <v>45831</v>
      </c>
      <c r="D667" t="inlineStr">
        <is>
          <t>VÄSTERNORRLANDS LÄN</t>
        </is>
      </c>
      <c r="E667" t="inlineStr">
        <is>
          <t>TIMRÅ</t>
        </is>
      </c>
      <c r="G667" t="n">
        <v>0.7</v>
      </c>
      <c r="H667" t="n">
        <v>0</v>
      </c>
      <c r="I667" t="n">
        <v>0</v>
      </c>
      <c r="J667" t="n">
        <v>0</v>
      </c>
      <c r="K667" t="n">
        <v>0</v>
      </c>
      <c r="L667" t="n">
        <v>0</v>
      </c>
      <c r="M667" t="n">
        <v>0</v>
      </c>
      <c r="N667" t="n">
        <v>0</v>
      </c>
      <c r="O667" t="n">
        <v>0</v>
      </c>
      <c r="P667" t="n">
        <v>0</v>
      </c>
      <c r="Q667" t="n">
        <v>0</v>
      </c>
      <c r="R667" s="2" t="inlineStr"/>
    </row>
    <row r="668" ht="15" customHeight="1">
      <c r="A668" t="inlineStr">
        <is>
          <t>A 8506-2024</t>
        </is>
      </c>
      <c r="B668" s="1" t="n">
        <v>45351</v>
      </c>
      <c r="C668" s="1" t="n">
        <v>45831</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8640-2024</t>
        </is>
      </c>
      <c r="B669" s="1" t="n">
        <v>45356</v>
      </c>
      <c r="C669" s="1" t="n">
        <v>45831</v>
      </c>
      <c r="D669" t="inlineStr">
        <is>
          <t>VÄSTERNORRLANDS LÄN</t>
        </is>
      </c>
      <c r="E669" t="inlineStr">
        <is>
          <t>TIMRÅ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8877-2024</t>
        </is>
      </c>
      <c r="B670" s="1" t="n">
        <v>45356</v>
      </c>
      <c r="C670" s="1" t="n">
        <v>45831</v>
      </c>
      <c r="D670" t="inlineStr">
        <is>
          <t>VÄSTERNORRLANDS LÄN</t>
        </is>
      </c>
      <c r="E670" t="inlineStr">
        <is>
          <t>TIMRÅ</t>
        </is>
      </c>
      <c r="G670" t="n">
        <v>1.9</v>
      </c>
      <c r="H670" t="n">
        <v>0</v>
      </c>
      <c r="I670" t="n">
        <v>0</v>
      </c>
      <c r="J670" t="n">
        <v>0</v>
      </c>
      <c r="K670" t="n">
        <v>0</v>
      </c>
      <c r="L670" t="n">
        <v>0</v>
      </c>
      <c r="M670" t="n">
        <v>0</v>
      </c>
      <c r="N670" t="n">
        <v>0</v>
      </c>
      <c r="O670" t="n">
        <v>0</v>
      </c>
      <c r="P670" t="n">
        <v>0</v>
      </c>
      <c r="Q670" t="n">
        <v>0</v>
      </c>
      <c r="R670" s="2" t="inlineStr"/>
    </row>
    <row r="671" ht="15" customHeight="1">
      <c r="A671" t="inlineStr">
        <is>
          <t>A 9327-2024</t>
        </is>
      </c>
      <c r="B671" s="1" t="n">
        <v>45359</v>
      </c>
      <c r="C671" s="1" t="n">
        <v>45831</v>
      </c>
      <c r="D671" t="inlineStr">
        <is>
          <t>VÄSTERNORRLANDS LÄN</t>
        </is>
      </c>
      <c r="E671" t="inlineStr">
        <is>
          <t>TIMRÅ</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9331-2024</t>
        </is>
      </c>
      <c r="B672" s="1" t="n">
        <v>45359</v>
      </c>
      <c r="C672" s="1" t="n">
        <v>45831</v>
      </c>
      <c r="D672" t="inlineStr">
        <is>
          <t>VÄSTERNORRLANDS LÄN</t>
        </is>
      </c>
      <c r="E672" t="inlineStr">
        <is>
          <t>TIMRÅ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9338-2024</t>
        </is>
      </c>
      <c r="B673" s="1" t="n">
        <v>45358</v>
      </c>
      <c r="C673" s="1" t="n">
        <v>45831</v>
      </c>
      <c r="D673" t="inlineStr">
        <is>
          <t>VÄSTERNORRLANDS LÄN</t>
        </is>
      </c>
      <c r="E673" t="inlineStr">
        <is>
          <t>TIMRÅ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9823-2024</t>
        </is>
      </c>
      <c r="B674" s="1" t="n">
        <v>45363</v>
      </c>
      <c r="C674" s="1" t="n">
        <v>45831</v>
      </c>
      <c r="D674" t="inlineStr">
        <is>
          <t>VÄSTERNORRLANDS LÄN</t>
        </is>
      </c>
      <c r="E674" t="inlineStr">
        <is>
          <t>TIMRÅ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10745-2024</t>
        </is>
      </c>
      <c r="B675" s="1" t="n">
        <v>45369</v>
      </c>
      <c r="C675" s="1" t="n">
        <v>45831</v>
      </c>
      <c r="D675" t="inlineStr">
        <is>
          <t>VÄSTERNORRLANDS LÄN</t>
        </is>
      </c>
      <c r="E675" t="inlineStr">
        <is>
          <t>TIMRÅ</t>
        </is>
      </c>
      <c r="G675" t="n">
        <v>1.5</v>
      </c>
      <c r="H675" t="n">
        <v>0</v>
      </c>
      <c r="I675" t="n">
        <v>0</v>
      </c>
      <c r="J675" t="n">
        <v>0</v>
      </c>
      <c r="K675" t="n">
        <v>0</v>
      </c>
      <c r="L675" t="n">
        <v>0</v>
      </c>
      <c r="M675" t="n">
        <v>0</v>
      </c>
      <c r="N675" t="n">
        <v>0</v>
      </c>
      <c r="O675" t="n">
        <v>0</v>
      </c>
      <c r="P675" t="n">
        <v>0</v>
      </c>
      <c r="Q675" t="n">
        <v>0</v>
      </c>
      <c r="R675" s="2" t="inlineStr"/>
    </row>
    <row r="676" ht="15" customHeight="1">
      <c r="A676" t="inlineStr">
        <is>
          <t>A 10852-2024</t>
        </is>
      </c>
      <c r="B676" s="1" t="n">
        <v>45370</v>
      </c>
      <c r="C676" s="1" t="n">
        <v>45831</v>
      </c>
      <c r="D676" t="inlineStr">
        <is>
          <t>VÄSTERNORRLANDS LÄN</t>
        </is>
      </c>
      <c r="E676" t="inlineStr">
        <is>
          <t>TIMRÅ</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11556-2024</t>
        </is>
      </c>
      <c r="B677" s="1" t="n">
        <v>45373</v>
      </c>
      <c r="C677" s="1" t="n">
        <v>45831</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12182-2024</t>
        </is>
      </c>
      <c r="B678" s="1" t="n">
        <v>45377</v>
      </c>
      <c r="C678" s="1" t="n">
        <v>45831</v>
      </c>
      <c r="D678" t="inlineStr">
        <is>
          <t>VÄSTERNORRLANDS LÄN</t>
        </is>
      </c>
      <c r="E678" t="inlineStr">
        <is>
          <t>TIMRÅ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12873-2024</t>
        </is>
      </c>
      <c r="B679" s="1" t="n">
        <v>45384</v>
      </c>
      <c r="C679" s="1" t="n">
        <v>45831</v>
      </c>
      <c r="D679" t="inlineStr">
        <is>
          <t>VÄSTERNORRLANDS LÄN</t>
        </is>
      </c>
      <c r="E679" t="inlineStr">
        <is>
          <t>TIMRÅ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13341-2024</t>
        </is>
      </c>
      <c r="B680" s="1" t="n">
        <v>45387</v>
      </c>
      <c r="C680" s="1" t="n">
        <v>45831</v>
      </c>
      <c r="D680" t="inlineStr">
        <is>
          <t>VÄSTERNORRLANDS LÄN</t>
        </is>
      </c>
      <c r="E680" t="inlineStr">
        <is>
          <t>TIMRÅ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13343-2024</t>
        </is>
      </c>
      <c r="B681" s="1" t="n">
        <v>45387</v>
      </c>
      <c r="C681" s="1" t="n">
        <v>45831</v>
      </c>
      <c r="D681" t="inlineStr">
        <is>
          <t>VÄSTERNORRLANDS LÄN</t>
        </is>
      </c>
      <c r="E681" t="inlineStr">
        <is>
          <t>TIMRÅ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13763-2024</t>
        </is>
      </c>
      <c r="B682" s="1" t="n">
        <v>45390</v>
      </c>
      <c r="C682" s="1" t="n">
        <v>45831</v>
      </c>
      <c r="D682" t="inlineStr">
        <is>
          <t>VÄSTERNORRLANDS LÄN</t>
        </is>
      </c>
      <c r="E682" t="inlineStr">
        <is>
          <t>TIMRÅ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13770-2024</t>
        </is>
      </c>
      <c r="B683" s="1" t="n">
        <v>45390</v>
      </c>
      <c r="C683" s="1" t="n">
        <v>45831</v>
      </c>
      <c r="D683" t="inlineStr">
        <is>
          <t>VÄSTERNORRLANDS LÄN</t>
        </is>
      </c>
      <c r="E683" t="inlineStr">
        <is>
          <t>TIMRÅ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14375-2024</t>
        </is>
      </c>
      <c r="B684" s="1" t="n">
        <v>45394</v>
      </c>
      <c r="C684" s="1" t="n">
        <v>45831</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14578-2024</t>
        </is>
      </c>
      <c r="B685" s="1" t="n">
        <v>45395</v>
      </c>
      <c r="C685" s="1" t="n">
        <v>45831</v>
      </c>
      <c r="D685" t="inlineStr">
        <is>
          <t>VÄSTERNORRLANDS LÄN</t>
        </is>
      </c>
      <c r="E685" t="inlineStr">
        <is>
          <t>TIMRÅ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14572-2024</t>
        </is>
      </c>
      <c r="B686" s="1" t="n">
        <v>45395</v>
      </c>
      <c r="C686" s="1" t="n">
        <v>45831</v>
      </c>
      <c r="D686" t="inlineStr">
        <is>
          <t>VÄSTERNORRLANDS LÄN</t>
        </is>
      </c>
      <c r="E686" t="inlineStr">
        <is>
          <t>TIMRÅ</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14573-2024</t>
        </is>
      </c>
      <c r="B687" s="1" t="n">
        <v>45395</v>
      </c>
      <c r="C687" s="1" t="n">
        <v>45831</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14806-2024</t>
        </is>
      </c>
      <c r="B688" s="1" t="n">
        <v>45398</v>
      </c>
      <c r="C688" s="1" t="n">
        <v>45831</v>
      </c>
      <c r="D688" t="inlineStr">
        <is>
          <t>VÄSTERNORRLANDS LÄN</t>
        </is>
      </c>
      <c r="E688" t="inlineStr">
        <is>
          <t>TIMRÅ</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14818-2024</t>
        </is>
      </c>
      <c r="B689" s="1" t="n">
        <v>45397</v>
      </c>
      <c r="C689" s="1" t="n">
        <v>45831</v>
      </c>
      <c r="D689" t="inlineStr">
        <is>
          <t>VÄSTERNORRLANDS LÄN</t>
        </is>
      </c>
      <c r="E689" t="inlineStr">
        <is>
          <t>TIMRÅ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15150-2024</t>
        </is>
      </c>
      <c r="B690" s="1" t="n">
        <v>45400</v>
      </c>
      <c r="C690" s="1" t="n">
        <v>45831</v>
      </c>
      <c r="D690" t="inlineStr">
        <is>
          <t>VÄSTERNORRLANDS LÄN</t>
        </is>
      </c>
      <c r="E690" t="inlineStr">
        <is>
          <t>TIMRÅ</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16055-2024</t>
        </is>
      </c>
      <c r="B691" s="1" t="n">
        <v>45406</v>
      </c>
      <c r="C691" s="1" t="n">
        <v>45831</v>
      </c>
      <c r="D691" t="inlineStr">
        <is>
          <t>VÄSTERNORRLANDS LÄN</t>
        </is>
      </c>
      <c r="E691" t="inlineStr">
        <is>
          <t>TIMRÅ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16067-2024</t>
        </is>
      </c>
      <c r="B692" s="1" t="n">
        <v>45406</v>
      </c>
      <c r="C692" s="1" t="n">
        <v>45831</v>
      </c>
      <c r="D692" t="inlineStr">
        <is>
          <t>VÄSTERNORRLANDS LÄN</t>
        </is>
      </c>
      <c r="E692" t="inlineStr">
        <is>
          <t>TIMRÅ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16315-2024</t>
        </is>
      </c>
      <c r="B693" s="1" t="n">
        <v>45407</v>
      </c>
      <c r="C693" s="1" t="n">
        <v>45831</v>
      </c>
      <c r="D693" t="inlineStr">
        <is>
          <t>VÄSTERNORRLANDS LÄN</t>
        </is>
      </c>
      <c r="E693" t="inlineStr">
        <is>
          <t>TIMRÅ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16863-2024</t>
        </is>
      </c>
      <c r="B694" s="1" t="n">
        <v>45411</v>
      </c>
      <c r="C694" s="1" t="n">
        <v>45831</v>
      </c>
      <c r="D694" t="inlineStr">
        <is>
          <t>VÄSTERNORRLANDS LÄN</t>
        </is>
      </c>
      <c r="E694" t="inlineStr">
        <is>
          <t>TIMRÅ</t>
        </is>
      </c>
      <c r="G694" t="n">
        <v>3.6</v>
      </c>
      <c r="H694" t="n">
        <v>0</v>
      </c>
      <c r="I694" t="n">
        <v>0</v>
      </c>
      <c r="J694" t="n">
        <v>0</v>
      </c>
      <c r="K694" t="n">
        <v>0</v>
      </c>
      <c r="L694" t="n">
        <v>0</v>
      </c>
      <c r="M694" t="n">
        <v>0</v>
      </c>
      <c r="N694" t="n">
        <v>0</v>
      </c>
      <c r="O694" t="n">
        <v>0</v>
      </c>
      <c r="P694" t="n">
        <v>0</v>
      </c>
      <c r="Q694" t="n">
        <v>0</v>
      </c>
      <c r="R694" s="2" t="inlineStr"/>
    </row>
    <row r="695" ht="15" customHeight="1">
      <c r="A695" t="inlineStr">
        <is>
          <t>A 16980-2024</t>
        </is>
      </c>
      <c r="B695" s="1" t="n">
        <v>45412</v>
      </c>
      <c r="C695" s="1" t="n">
        <v>45831</v>
      </c>
      <c r="D695" t="inlineStr">
        <is>
          <t>VÄSTERNORRLANDS LÄN</t>
        </is>
      </c>
      <c r="E695" t="inlineStr">
        <is>
          <t>TIMRÅ</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18110-2024</t>
        </is>
      </c>
      <c r="B696" s="1" t="n">
        <v>45420</v>
      </c>
      <c r="C696" s="1" t="n">
        <v>45831</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18653-2024</t>
        </is>
      </c>
      <c r="B697" s="1" t="n">
        <v>45425</v>
      </c>
      <c r="C697" s="1" t="n">
        <v>45831</v>
      </c>
      <c r="D697" t="inlineStr">
        <is>
          <t>VÄSTERNORRLANDS LÄN</t>
        </is>
      </c>
      <c r="E697" t="inlineStr">
        <is>
          <t>TIMRÅ</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18663-2024</t>
        </is>
      </c>
      <c r="B698" s="1" t="n">
        <v>45425</v>
      </c>
      <c r="C698" s="1" t="n">
        <v>45831</v>
      </c>
      <c r="D698" t="inlineStr">
        <is>
          <t>VÄSTERNORRLANDS LÄN</t>
        </is>
      </c>
      <c r="E698" t="inlineStr">
        <is>
          <t>TIMRÅ</t>
        </is>
      </c>
      <c r="G698" t="n">
        <v>9.5</v>
      </c>
      <c r="H698" t="n">
        <v>0</v>
      </c>
      <c r="I698" t="n">
        <v>0</v>
      </c>
      <c r="J698" t="n">
        <v>0</v>
      </c>
      <c r="K698" t="n">
        <v>0</v>
      </c>
      <c r="L698" t="n">
        <v>0</v>
      </c>
      <c r="M698" t="n">
        <v>0</v>
      </c>
      <c r="N698" t="n">
        <v>0</v>
      </c>
      <c r="O698" t="n">
        <v>0</v>
      </c>
      <c r="P698" t="n">
        <v>0</v>
      </c>
      <c r="Q698" t="n">
        <v>0</v>
      </c>
      <c r="R698" s="2" t="inlineStr"/>
    </row>
    <row r="699" ht="15" customHeight="1">
      <c r="A699" t="inlineStr">
        <is>
          <t>A 18634-2024</t>
        </is>
      </c>
      <c r="B699" s="1" t="n">
        <v>45425</v>
      </c>
      <c r="C699" s="1" t="n">
        <v>45831</v>
      </c>
      <c r="D699" t="inlineStr">
        <is>
          <t>VÄSTERNORRLANDS LÄN</t>
        </is>
      </c>
      <c r="E699" t="inlineStr">
        <is>
          <t>TIMRÅ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19455-2024</t>
        </is>
      </c>
      <c r="B700" s="1" t="n">
        <v>45429</v>
      </c>
      <c r="C700" s="1" t="n">
        <v>45831</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19558-2024</t>
        </is>
      </c>
      <c r="B701" s="1" t="n">
        <v>45429</v>
      </c>
      <c r="C701" s="1" t="n">
        <v>45831</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20089-2024</t>
        </is>
      </c>
      <c r="B702" s="1" t="n">
        <v>45434</v>
      </c>
      <c r="C702" s="1" t="n">
        <v>45831</v>
      </c>
      <c r="D702" t="inlineStr">
        <is>
          <t>VÄSTERNORRLANDS LÄN</t>
        </is>
      </c>
      <c r="E702" t="inlineStr">
        <is>
          <t>TIMRÅ</t>
        </is>
      </c>
      <c r="G702" t="n">
        <v>1</v>
      </c>
      <c r="H702" t="n">
        <v>0</v>
      </c>
      <c r="I702" t="n">
        <v>0</v>
      </c>
      <c r="J702" t="n">
        <v>0</v>
      </c>
      <c r="K702" t="n">
        <v>0</v>
      </c>
      <c r="L702" t="n">
        <v>0</v>
      </c>
      <c r="M702" t="n">
        <v>0</v>
      </c>
      <c r="N702" t="n">
        <v>0</v>
      </c>
      <c r="O702" t="n">
        <v>0</v>
      </c>
      <c r="P702" t="n">
        <v>0</v>
      </c>
      <c r="Q702" t="n">
        <v>0</v>
      </c>
      <c r="R702" s="2" t="inlineStr"/>
    </row>
    <row r="703" ht="15" customHeight="1">
      <c r="A703" t="inlineStr">
        <is>
          <t>A 20226-2024</t>
        </is>
      </c>
      <c r="B703" s="1" t="n">
        <v>45434</v>
      </c>
      <c r="C703" s="1" t="n">
        <v>45831</v>
      </c>
      <c r="D703" t="inlineStr">
        <is>
          <t>VÄSTERNORRLANDS LÄN</t>
        </is>
      </c>
      <c r="E703" t="inlineStr">
        <is>
          <t>TIMRÅ</t>
        </is>
      </c>
      <c r="G703" t="n">
        <v>0.6</v>
      </c>
      <c r="H703" t="n">
        <v>0</v>
      </c>
      <c r="I703" t="n">
        <v>0</v>
      </c>
      <c r="J703" t="n">
        <v>0</v>
      </c>
      <c r="K703" t="n">
        <v>0</v>
      </c>
      <c r="L703" t="n">
        <v>0</v>
      </c>
      <c r="M703" t="n">
        <v>0</v>
      </c>
      <c r="N703" t="n">
        <v>0</v>
      </c>
      <c r="O703" t="n">
        <v>0</v>
      </c>
      <c r="P703" t="n">
        <v>0</v>
      </c>
      <c r="Q703" t="n">
        <v>0</v>
      </c>
      <c r="R703" s="2" t="inlineStr"/>
    </row>
    <row r="704" ht="15" customHeight="1">
      <c r="A704" t="inlineStr">
        <is>
          <t>A 20230-2024</t>
        </is>
      </c>
      <c r="B704" s="1" t="n">
        <v>45434</v>
      </c>
      <c r="C704" s="1" t="n">
        <v>45831</v>
      </c>
      <c r="D704" t="inlineStr">
        <is>
          <t>VÄSTERNORRLANDS LÄN</t>
        </is>
      </c>
      <c r="E704" t="inlineStr">
        <is>
          <t>TIMRÅ</t>
        </is>
      </c>
      <c r="G704" t="n">
        <v>0.8</v>
      </c>
      <c r="H704" t="n">
        <v>0</v>
      </c>
      <c r="I704" t="n">
        <v>0</v>
      </c>
      <c r="J704" t="n">
        <v>0</v>
      </c>
      <c r="K704" t="n">
        <v>0</v>
      </c>
      <c r="L704" t="n">
        <v>0</v>
      </c>
      <c r="M704" t="n">
        <v>0</v>
      </c>
      <c r="N704" t="n">
        <v>0</v>
      </c>
      <c r="O704" t="n">
        <v>0</v>
      </c>
      <c r="P704" t="n">
        <v>0</v>
      </c>
      <c r="Q704" t="n">
        <v>0</v>
      </c>
      <c r="R704" s="2" t="inlineStr"/>
    </row>
    <row r="705" ht="15" customHeight="1">
      <c r="A705" t="inlineStr">
        <is>
          <t>A 20313-2024</t>
        </is>
      </c>
      <c r="B705" s="1" t="n">
        <v>45434</v>
      </c>
      <c r="C705" s="1" t="n">
        <v>45831</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20341-2024</t>
        </is>
      </c>
      <c r="B706" s="1" t="n">
        <v>45435</v>
      </c>
      <c r="C706" s="1" t="n">
        <v>45831</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20346-2024</t>
        </is>
      </c>
      <c r="B707" s="1" t="n">
        <v>45435</v>
      </c>
      <c r="C707" s="1" t="n">
        <v>45831</v>
      </c>
      <c r="D707" t="inlineStr">
        <is>
          <t>VÄSTERNORRLANDS LÄN</t>
        </is>
      </c>
      <c r="E707" t="inlineStr">
        <is>
          <t>TIMRÅ</t>
        </is>
      </c>
      <c r="G707" t="n">
        <v>2.5</v>
      </c>
      <c r="H707" t="n">
        <v>0</v>
      </c>
      <c r="I707" t="n">
        <v>0</v>
      </c>
      <c r="J707" t="n">
        <v>0</v>
      </c>
      <c r="K707" t="n">
        <v>0</v>
      </c>
      <c r="L707" t="n">
        <v>0</v>
      </c>
      <c r="M707" t="n">
        <v>0</v>
      </c>
      <c r="N707" t="n">
        <v>0</v>
      </c>
      <c r="O707" t="n">
        <v>0</v>
      </c>
      <c r="P707" t="n">
        <v>0</v>
      </c>
      <c r="Q707" t="n">
        <v>0</v>
      </c>
      <c r="R707" s="2" t="inlineStr"/>
    </row>
    <row r="708" ht="15" customHeight="1">
      <c r="A708" t="inlineStr">
        <is>
          <t>A 20527-2024</t>
        </is>
      </c>
      <c r="B708" s="1" t="n">
        <v>45436</v>
      </c>
      <c r="C708" s="1" t="n">
        <v>45831</v>
      </c>
      <c r="D708" t="inlineStr">
        <is>
          <t>VÄSTERNORRLANDS LÄN</t>
        </is>
      </c>
      <c r="E708" t="inlineStr">
        <is>
          <t>TIMRÅ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20526-2024</t>
        </is>
      </c>
      <c r="B709" s="1" t="n">
        <v>45435</v>
      </c>
      <c r="C709" s="1" t="n">
        <v>45831</v>
      </c>
      <c r="D709" t="inlineStr">
        <is>
          <t>VÄSTERNORRLANDS LÄN</t>
        </is>
      </c>
      <c r="E709" t="inlineStr">
        <is>
          <t>TIMRÅ</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20786-2024</t>
        </is>
      </c>
      <c r="B710" s="1" t="n">
        <v>45437</v>
      </c>
      <c r="C710" s="1" t="n">
        <v>45831</v>
      </c>
      <c r="D710" t="inlineStr">
        <is>
          <t>VÄSTERNORRLANDS LÄN</t>
        </is>
      </c>
      <c r="E710" t="inlineStr">
        <is>
          <t>TIMRÅ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20899-2024</t>
        </is>
      </c>
      <c r="B711" s="1" t="n">
        <v>45439</v>
      </c>
      <c r="C711" s="1" t="n">
        <v>45831</v>
      </c>
      <c r="D711" t="inlineStr">
        <is>
          <t>VÄSTERNORRLANDS LÄN</t>
        </is>
      </c>
      <c r="E711" t="inlineStr">
        <is>
          <t>TIMRÅ</t>
        </is>
      </c>
      <c r="G711" t="n">
        <v>2.1</v>
      </c>
      <c r="H711" t="n">
        <v>0</v>
      </c>
      <c r="I711" t="n">
        <v>0</v>
      </c>
      <c r="J711" t="n">
        <v>0</v>
      </c>
      <c r="K711" t="n">
        <v>0</v>
      </c>
      <c r="L711" t="n">
        <v>0</v>
      </c>
      <c r="M711" t="n">
        <v>0</v>
      </c>
      <c r="N711" t="n">
        <v>0</v>
      </c>
      <c r="O711" t="n">
        <v>0</v>
      </c>
      <c r="P711" t="n">
        <v>0</v>
      </c>
      <c r="Q711" t="n">
        <v>0</v>
      </c>
      <c r="R711" s="2" t="inlineStr"/>
    </row>
    <row r="712" ht="15" customHeight="1">
      <c r="A712" t="inlineStr">
        <is>
          <t>A 20936-2024</t>
        </is>
      </c>
      <c r="B712" s="1" t="n">
        <v>45439</v>
      </c>
      <c r="C712" s="1" t="n">
        <v>45831</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20938-2024</t>
        </is>
      </c>
      <c r="B713" s="1" t="n">
        <v>45439</v>
      </c>
      <c r="C713" s="1" t="n">
        <v>45831</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21362-2024</t>
        </is>
      </c>
      <c r="B714" s="1" t="n">
        <v>45440</v>
      </c>
      <c r="C714" s="1" t="n">
        <v>45831</v>
      </c>
      <c r="D714" t="inlineStr">
        <is>
          <t>VÄSTERNORRLANDS LÄN</t>
        </is>
      </c>
      <c r="E714" t="inlineStr">
        <is>
          <t>TIMRÅ</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21131-2024</t>
        </is>
      </c>
      <c r="B715" s="1" t="n">
        <v>45440</v>
      </c>
      <c r="C715" s="1" t="n">
        <v>45831</v>
      </c>
      <c r="D715" t="inlineStr">
        <is>
          <t>VÄSTERNORRLANDS LÄN</t>
        </is>
      </c>
      <c r="E715" t="inlineStr">
        <is>
          <t>TIMRÅ</t>
        </is>
      </c>
      <c r="G715" t="n">
        <v>10.8</v>
      </c>
      <c r="H715" t="n">
        <v>0</v>
      </c>
      <c r="I715" t="n">
        <v>0</v>
      </c>
      <c r="J715" t="n">
        <v>0</v>
      </c>
      <c r="K715" t="n">
        <v>0</v>
      </c>
      <c r="L715" t="n">
        <v>0</v>
      </c>
      <c r="M715" t="n">
        <v>0</v>
      </c>
      <c r="N715" t="n">
        <v>0</v>
      </c>
      <c r="O715" t="n">
        <v>0</v>
      </c>
      <c r="P715" t="n">
        <v>0</v>
      </c>
      <c r="Q715" t="n">
        <v>0</v>
      </c>
      <c r="R715" s="2" t="inlineStr"/>
    </row>
    <row r="716" ht="15" customHeight="1">
      <c r="A716" t="inlineStr">
        <is>
          <t>A 21607-2024</t>
        </is>
      </c>
      <c r="B716" s="1" t="n">
        <v>45441</v>
      </c>
      <c r="C716" s="1" t="n">
        <v>45831</v>
      </c>
      <c r="D716" t="inlineStr">
        <is>
          <t>VÄSTERNORRLANDS LÄN</t>
        </is>
      </c>
      <c r="E716" t="inlineStr">
        <is>
          <t>TIMRÅ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21443-2024</t>
        </is>
      </c>
      <c r="B717" s="1" t="n">
        <v>45441</v>
      </c>
      <c r="C717" s="1" t="n">
        <v>45831</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21447-2024</t>
        </is>
      </c>
      <c r="B718" s="1" t="n">
        <v>45441</v>
      </c>
      <c r="C718" s="1" t="n">
        <v>45831</v>
      </c>
      <c r="D718" t="inlineStr">
        <is>
          <t>VÄSTERNORRLANDS LÄN</t>
        </is>
      </c>
      <c r="E718" t="inlineStr">
        <is>
          <t>TIMRÅ</t>
        </is>
      </c>
      <c r="G718" t="n">
        <v>1.3</v>
      </c>
      <c r="H718" t="n">
        <v>0</v>
      </c>
      <c r="I718" t="n">
        <v>0</v>
      </c>
      <c r="J718" t="n">
        <v>0</v>
      </c>
      <c r="K718" t="n">
        <v>0</v>
      </c>
      <c r="L718" t="n">
        <v>0</v>
      </c>
      <c r="M718" t="n">
        <v>0</v>
      </c>
      <c r="N718" t="n">
        <v>0</v>
      </c>
      <c r="O718" t="n">
        <v>0</v>
      </c>
      <c r="P718" t="n">
        <v>0</v>
      </c>
      <c r="Q718" t="n">
        <v>0</v>
      </c>
      <c r="R718" s="2" t="inlineStr"/>
    </row>
    <row r="719" ht="15" customHeight="1">
      <c r="A719" t="inlineStr">
        <is>
          <t>A 22368-2024</t>
        </is>
      </c>
      <c r="B719" s="1" t="n">
        <v>45446</v>
      </c>
      <c r="C719" s="1" t="n">
        <v>45831</v>
      </c>
      <c r="D719" t="inlineStr">
        <is>
          <t>VÄSTERNORRLANDS LÄN</t>
        </is>
      </c>
      <c r="E719" t="inlineStr">
        <is>
          <t>TIMRÅ</t>
        </is>
      </c>
      <c r="G719" t="n">
        <v>1.2</v>
      </c>
      <c r="H719" t="n">
        <v>0</v>
      </c>
      <c r="I719" t="n">
        <v>0</v>
      </c>
      <c r="J719" t="n">
        <v>0</v>
      </c>
      <c r="K719" t="n">
        <v>0</v>
      </c>
      <c r="L719" t="n">
        <v>0</v>
      </c>
      <c r="M719" t="n">
        <v>0</v>
      </c>
      <c r="N719" t="n">
        <v>0</v>
      </c>
      <c r="O719" t="n">
        <v>0</v>
      </c>
      <c r="P719" t="n">
        <v>0</v>
      </c>
      <c r="Q719" t="n">
        <v>0</v>
      </c>
      <c r="R719" s="2" t="inlineStr"/>
    </row>
    <row r="720" ht="15" customHeight="1">
      <c r="A720" t="inlineStr">
        <is>
          <t>A 22486-2024</t>
        </is>
      </c>
      <c r="B720" s="1" t="n">
        <v>45446</v>
      </c>
      <c r="C720" s="1" t="n">
        <v>45831</v>
      </c>
      <c r="D720" t="inlineStr">
        <is>
          <t>VÄSTERNORRLANDS LÄN</t>
        </is>
      </c>
      <c r="E720" t="inlineStr">
        <is>
          <t>TIMRÅ</t>
        </is>
      </c>
      <c r="G720" t="n">
        <v>6.8</v>
      </c>
      <c r="H720" t="n">
        <v>0</v>
      </c>
      <c r="I720" t="n">
        <v>0</v>
      </c>
      <c r="J720" t="n">
        <v>0</v>
      </c>
      <c r="K720" t="n">
        <v>0</v>
      </c>
      <c r="L720" t="n">
        <v>0</v>
      </c>
      <c r="M720" t="n">
        <v>0</v>
      </c>
      <c r="N720" t="n">
        <v>0</v>
      </c>
      <c r="O720" t="n">
        <v>0</v>
      </c>
      <c r="P720" t="n">
        <v>0</v>
      </c>
      <c r="Q720" t="n">
        <v>0</v>
      </c>
      <c r="R720" s="2" t="inlineStr"/>
    </row>
    <row r="721" ht="15" customHeight="1">
      <c r="A721" t="inlineStr">
        <is>
          <t>A 22416-2024</t>
        </is>
      </c>
      <c r="B721" s="1" t="n">
        <v>45446</v>
      </c>
      <c r="C721" s="1" t="n">
        <v>45831</v>
      </c>
      <c r="D721" t="inlineStr">
        <is>
          <t>VÄSTERNORRLANDS LÄN</t>
        </is>
      </c>
      <c r="E721" t="inlineStr">
        <is>
          <t>TIMRÅ</t>
        </is>
      </c>
      <c r="G721" t="n">
        <v>2.3</v>
      </c>
      <c r="H721" t="n">
        <v>0</v>
      </c>
      <c r="I721" t="n">
        <v>0</v>
      </c>
      <c r="J721" t="n">
        <v>0</v>
      </c>
      <c r="K721" t="n">
        <v>0</v>
      </c>
      <c r="L721" t="n">
        <v>0</v>
      </c>
      <c r="M721" t="n">
        <v>0</v>
      </c>
      <c r="N721" t="n">
        <v>0</v>
      </c>
      <c r="O721" t="n">
        <v>0</v>
      </c>
      <c r="P721" t="n">
        <v>0</v>
      </c>
      <c r="Q721" t="n">
        <v>0</v>
      </c>
      <c r="R721" s="2" t="inlineStr"/>
    </row>
    <row r="722" ht="15" customHeight="1">
      <c r="A722" t="inlineStr">
        <is>
          <t>A 22669-2024</t>
        </is>
      </c>
      <c r="B722" s="1" t="n">
        <v>45447</v>
      </c>
      <c r="C722" s="1" t="n">
        <v>45831</v>
      </c>
      <c r="D722" t="inlineStr">
        <is>
          <t>VÄSTERNORRLANDS LÄN</t>
        </is>
      </c>
      <c r="E722" t="inlineStr">
        <is>
          <t>TIMRÅ</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23049-2024</t>
        </is>
      </c>
      <c r="B723" s="1" t="n">
        <v>45450</v>
      </c>
      <c r="C723" s="1" t="n">
        <v>45831</v>
      </c>
      <c r="D723" t="inlineStr">
        <is>
          <t>VÄSTERNORRLANDS LÄN</t>
        </is>
      </c>
      <c r="E723" t="inlineStr">
        <is>
          <t>TIMRÅ</t>
        </is>
      </c>
      <c r="G723" t="n">
        <v>8.4</v>
      </c>
      <c r="H723" t="n">
        <v>0</v>
      </c>
      <c r="I723" t="n">
        <v>0</v>
      </c>
      <c r="J723" t="n">
        <v>0</v>
      </c>
      <c r="K723" t="n">
        <v>0</v>
      </c>
      <c r="L723" t="n">
        <v>0</v>
      </c>
      <c r="M723" t="n">
        <v>0</v>
      </c>
      <c r="N723" t="n">
        <v>0</v>
      </c>
      <c r="O723" t="n">
        <v>0</v>
      </c>
      <c r="P723" t="n">
        <v>0</v>
      </c>
      <c r="Q723" t="n">
        <v>0</v>
      </c>
      <c r="R723" s="2" t="inlineStr"/>
    </row>
    <row r="724" ht="15" customHeight="1">
      <c r="A724" t="inlineStr">
        <is>
          <t>A 23556-2024</t>
        </is>
      </c>
      <c r="B724" s="1" t="n">
        <v>45453</v>
      </c>
      <c r="C724" s="1" t="n">
        <v>45831</v>
      </c>
      <c r="D724" t="inlineStr">
        <is>
          <t>VÄSTERNORRLANDS LÄN</t>
        </is>
      </c>
      <c r="E724" t="inlineStr">
        <is>
          <t>TIMRÅ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23725-2024</t>
        </is>
      </c>
      <c r="B725" s="1" t="n">
        <v>45455</v>
      </c>
      <c r="C725" s="1" t="n">
        <v>45831</v>
      </c>
      <c r="D725" t="inlineStr">
        <is>
          <t>VÄSTERNORRLANDS LÄN</t>
        </is>
      </c>
      <c r="E725" t="inlineStr">
        <is>
          <t>TIMRÅ</t>
        </is>
      </c>
      <c r="G725" t="n">
        <v>2.6</v>
      </c>
      <c r="H725" t="n">
        <v>0</v>
      </c>
      <c r="I725" t="n">
        <v>0</v>
      </c>
      <c r="J725" t="n">
        <v>0</v>
      </c>
      <c r="K725" t="n">
        <v>0</v>
      </c>
      <c r="L725" t="n">
        <v>0</v>
      </c>
      <c r="M725" t="n">
        <v>0</v>
      </c>
      <c r="N725" t="n">
        <v>0</v>
      </c>
      <c r="O725" t="n">
        <v>0</v>
      </c>
      <c r="P725" t="n">
        <v>0</v>
      </c>
      <c r="Q725" t="n">
        <v>0</v>
      </c>
      <c r="R725" s="2" t="inlineStr"/>
    </row>
    <row r="726" ht="15" customHeight="1">
      <c r="A726" t="inlineStr">
        <is>
          <t>A 23878-2024</t>
        </is>
      </c>
      <c r="B726" s="1" t="n">
        <v>45455</v>
      </c>
      <c r="C726" s="1" t="n">
        <v>45831</v>
      </c>
      <c r="D726" t="inlineStr">
        <is>
          <t>VÄSTERNORRLANDS LÄN</t>
        </is>
      </c>
      <c r="E726" t="inlineStr">
        <is>
          <t>TIMRÅ</t>
        </is>
      </c>
      <c r="G726" t="n">
        <v>2.1</v>
      </c>
      <c r="H726" t="n">
        <v>0</v>
      </c>
      <c r="I726" t="n">
        <v>0</v>
      </c>
      <c r="J726" t="n">
        <v>0</v>
      </c>
      <c r="K726" t="n">
        <v>0</v>
      </c>
      <c r="L726" t="n">
        <v>0</v>
      </c>
      <c r="M726" t="n">
        <v>0</v>
      </c>
      <c r="N726" t="n">
        <v>0</v>
      </c>
      <c r="O726" t="n">
        <v>0</v>
      </c>
      <c r="P726" t="n">
        <v>0</v>
      </c>
      <c r="Q726" t="n">
        <v>0</v>
      </c>
      <c r="R726" s="2" t="inlineStr"/>
    </row>
    <row r="727" ht="15" customHeight="1">
      <c r="A727" t="inlineStr">
        <is>
          <t>A 23851-2024</t>
        </is>
      </c>
      <c r="B727" s="1" t="n">
        <v>45455</v>
      </c>
      <c r="C727" s="1" t="n">
        <v>45831</v>
      </c>
      <c r="D727" t="inlineStr">
        <is>
          <t>VÄSTERNORRLANDS LÄN</t>
        </is>
      </c>
      <c r="E727" t="inlineStr">
        <is>
          <t>TIMRÅ</t>
        </is>
      </c>
      <c r="G727" t="n">
        <v>3.5</v>
      </c>
      <c r="H727" t="n">
        <v>0</v>
      </c>
      <c r="I727" t="n">
        <v>0</v>
      </c>
      <c r="J727" t="n">
        <v>0</v>
      </c>
      <c r="K727" t="n">
        <v>0</v>
      </c>
      <c r="L727" t="n">
        <v>0</v>
      </c>
      <c r="M727" t="n">
        <v>0</v>
      </c>
      <c r="N727" t="n">
        <v>0</v>
      </c>
      <c r="O727" t="n">
        <v>0</v>
      </c>
      <c r="P727" t="n">
        <v>0</v>
      </c>
      <c r="Q727" t="n">
        <v>0</v>
      </c>
      <c r="R727" s="2" t="inlineStr"/>
    </row>
    <row r="728" ht="15" customHeight="1">
      <c r="A728" t="inlineStr">
        <is>
          <t>A 24739-2024</t>
        </is>
      </c>
      <c r="B728" s="1" t="n">
        <v>45460</v>
      </c>
      <c r="C728" s="1" t="n">
        <v>45831</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26662-2024</t>
        </is>
      </c>
      <c r="B729" s="1" t="n">
        <v>45469</v>
      </c>
      <c r="C729" s="1" t="n">
        <v>45831</v>
      </c>
      <c r="D729" t="inlineStr">
        <is>
          <t>VÄSTERNORRLANDS LÄN</t>
        </is>
      </c>
      <c r="E729" t="inlineStr">
        <is>
          <t>TIMRÅ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27623-2024</t>
        </is>
      </c>
      <c r="B730" s="1" t="n">
        <v>45474</v>
      </c>
      <c r="C730" s="1" t="n">
        <v>45831</v>
      </c>
      <c r="D730" t="inlineStr">
        <is>
          <t>VÄSTERNORRLANDS LÄN</t>
        </is>
      </c>
      <c r="E730" t="inlineStr">
        <is>
          <t>TIMRÅ</t>
        </is>
      </c>
      <c r="G730" t="n">
        <v>3.4</v>
      </c>
      <c r="H730" t="n">
        <v>0</v>
      </c>
      <c r="I730" t="n">
        <v>0</v>
      </c>
      <c r="J730" t="n">
        <v>0</v>
      </c>
      <c r="K730" t="n">
        <v>0</v>
      </c>
      <c r="L730" t="n">
        <v>0</v>
      </c>
      <c r="M730" t="n">
        <v>0</v>
      </c>
      <c r="N730" t="n">
        <v>0</v>
      </c>
      <c r="O730" t="n">
        <v>0</v>
      </c>
      <c r="P730" t="n">
        <v>0</v>
      </c>
      <c r="Q730" t="n">
        <v>0</v>
      </c>
      <c r="R730" s="2" t="inlineStr"/>
    </row>
    <row r="731" ht="15" customHeight="1">
      <c r="A731" t="inlineStr">
        <is>
          <t>A 28160-2024</t>
        </is>
      </c>
      <c r="B731" s="1" t="n">
        <v>45476</v>
      </c>
      <c r="C731" s="1" t="n">
        <v>45831</v>
      </c>
      <c r="D731" t="inlineStr">
        <is>
          <t>VÄSTERNORRLANDS LÄN</t>
        </is>
      </c>
      <c r="E731" t="inlineStr">
        <is>
          <t>TIMRÅ</t>
        </is>
      </c>
      <c r="F731" t="inlineStr">
        <is>
          <t>SCA</t>
        </is>
      </c>
      <c r="G731" t="n">
        <v>16.1</v>
      </c>
      <c r="H731" t="n">
        <v>0</v>
      </c>
      <c r="I731" t="n">
        <v>0</v>
      </c>
      <c r="J731" t="n">
        <v>0</v>
      </c>
      <c r="K731" t="n">
        <v>0</v>
      </c>
      <c r="L731" t="n">
        <v>0</v>
      </c>
      <c r="M731" t="n">
        <v>0</v>
      </c>
      <c r="N731" t="n">
        <v>0</v>
      </c>
      <c r="O731" t="n">
        <v>0</v>
      </c>
      <c r="P731" t="n">
        <v>0</v>
      </c>
      <c r="Q731" t="n">
        <v>0</v>
      </c>
      <c r="R731" s="2" t="inlineStr"/>
    </row>
    <row r="732" ht="15" customHeight="1">
      <c r="A732" t="inlineStr">
        <is>
          <t>A 28503-2024</t>
        </is>
      </c>
      <c r="B732" s="1" t="n">
        <v>45477</v>
      </c>
      <c r="C732" s="1" t="n">
        <v>45831</v>
      </c>
      <c r="D732" t="inlineStr">
        <is>
          <t>VÄSTERNORRLANDS LÄN</t>
        </is>
      </c>
      <c r="E732" t="inlineStr">
        <is>
          <t>TIMRÅ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28256-2024</t>
        </is>
      </c>
      <c r="B733" s="1" t="n">
        <v>45477</v>
      </c>
      <c r="C733" s="1" t="n">
        <v>45831</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29267-2024</t>
        </is>
      </c>
      <c r="B734" s="1" t="n">
        <v>45482</v>
      </c>
      <c r="C734" s="1" t="n">
        <v>45831</v>
      </c>
      <c r="D734" t="inlineStr">
        <is>
          <t>VÄSTERNORRLANDS LÄN</t>
        </is>
      </c>
      <c r="E734" t="inlineStr">
        <is>
          <t>TIMRÅ</t>
        </is>
      </c>
      <c r="G734" t="n">
        <v>4.2</v>
      </c>
      <c r="H734" t="n">
        <v>0</v>
      </c>
      <c r="I734" t="n">
        <v>0</v>
      </c>
      <c r="J734" t="n">
        <v>0</v>
      </c>
      <c r="K734" t="n">
        <v>0</v>
      </c>
      <c r="L734" t="n">
        <v>0</v>
      </c>
      <c r="M734" t="n">
        <v>0</v>
      </c>
      <c r="N734" t="n">
        <v>0</v>
      </c>
      <c r="O734" t="n">
        <v>0</v>
      </c>
      <c r="P734" t="n">
        <v>0</v>
      </c>
      <c r="Q734" t="n">
        <v>0</v>
      </c>
      <c r="R734" s="2" t="inlineStr"/>
    </row>
    <row r="735" ht="15" customHeight="1">
      <c r="A735" t="inlineStr">
        <is>
          <t>A 30612-2024</t>
        </is>
      </c>
      <c r="B735" s="1" t="n">
        <v>45495</v>
      </c>
      <c r="C735" s="1" t="n">
        <v>45831</v>
      </c>
      <c r="D735" t="inlineStr">
        <is>
          <t>VÄSTERNORRLANDS LÄN</t>
        </is>
      </c>
      <c r="E735" t="inlineStr">
        <is>
          <t>TIMRÅ</t>
        </is>
      </c>
      <c r="G735" t="n">
        <v>4.6</v>
      </c>
      <c r="H735" t="n">
        <v>0</v>
      </c>
      <c r="I735" t="n">
        <v>0</v>
      </c>
      <c r="J735" t="n">
        <v>0</v>
      </c>
      <c r="K735" t="n">
        <v>0</v>
      </c>
      <c r="L735" t="n">
        <v>0</v>
      </c>
      <c r="M735" t="n">
        <v>0</v>
      </c>
      <c r="N735" t="n">
        <v>0</v>
      </c>
      <c r="O735" t="n">
        <v>0</v>
      </c>
      <c r="P735" t="n">
        <v>0</v>
      </c>
      <c r="Q735" t="n">
        <v>0</v>
      </c>
      <c r="R735" s="2" t="inlineStr"/>
    </row>
    <row r="736" ht="15" customHeight="1">
      <c r="A736" t="inlineStr">
        <is>
          <t>A 30680-2024</t>
        </is>
      </c>
      <c r="B736" s="1" t="n">
        <v>45495</v>
      </c>
      <c r="C736" s="1" t="n">
        <v>45831</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30907-2024</t>
        </is>
      </c>
      <c r="B737" s="1" t="n">
        <v>45498</v>
      </c>
      <c r="C737" s="1" t="n">
        <v>45831</v>
      </c>
      <c r="D737" t="inlineStr">
        <is>
          <t>VÄSTERNORRLANDS LÄN</t>
        </is>
      </c>
      <c r="E737" t="inlineStr">
        <is>
          <t>TIMRÅ</t>
        </is>
      </c>
      <c r="G737" t="n">
        <v>6.6</v>
      </c>
      <c r="H737" t="n">
        <v>0</v>
      </c>
      <c r="I737" t="n">
        <v>0</v>
      </c>
      <c r="J737" t="n">
        <v>0</v>
      </c>
      <c r="K737" t="n">
        <v>0</v>
      </c>
      <c r="L737" t="n">
        <v>0</v>
      </c>
      <c r="M737" t="n">
        <v>0</v>
      </c>
      <c r="N737" t="n">
        <v>0</v>
      </c>
      <c r="O737" t="n">
        <v>0</v>
      </c>
      <c r="P737" t="n">
        <v>0</v>
      </c>
      <c r="Q737" t="n">
        <v>0</v>
      </c>
      <c r="R737" s="2" t="inlineStr"/>
    </row>
    <row r="738" ht="15" customHeight="1">
      <c r="A738" t="inlineStr">
        <is>
          <t>A 31711-2024</t>
        </is>
      </c>
      <c r="B738" s="1" t="n">
        <v>45508</v>
      </c>
      <c r="C738" s="1" t="n">
        <v>45831</v>
      </c>
      <c r="D738" t="inlineStr">
        <is>
          <t>VÄSTERNORRLANDS LÄN</t>
        </is>
      </c>
      <c r="E738" t="inlineStr">
        <is>
          <t>TIMRÅ</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32048-2024</t>
        </is>
      </c>
      <c r="B739" s="1" t="n">
        <v>45510</v>
      </c>
      <c r="C739" s="1" t="n">
        <v>45831</v>
      </c>
      <c r="D739" t="inlineStr">
        <is>
          <t>VÄSTERNORRLANDS LÄN</t>
        </is>
      </c>
      <c r="E739" t="inlineStr">
        <is>
          <t>TIMRÅ</t>
        </is>
      </c>
      <c r="G739" t="n">
        <v>2.7</v>
      </c>
      <c r="H739" t="n">
        <v>0</v>
      </c>
      <c r="I739" t="n">
        <v>0</v>
      </c>
      <c r="J739" t="n">
        <v>0</v>
      </c>
      <c r="K739" t="n">
        <v>0</v>
      </c>
      <c r="L739" t="n">
        <v>0</v>
      </c>
      <c r="M739" t="n">
        <v>0</v>
      </c>
      <c r="N739" t="n">
        <v>0</v>
      </c>
      <c r="O739" t="n">
        <v>0</v>
      </c>
      <c r="P739" t="n">
        <v>0</v>
      </c>
      <c r="Q739" t="n">
        <v>0</v>
      </c>
      <c r="R739" s="2" t="inlineStr"/>
    </row>
    <row r="740" ht="15" customHeight="1">
      <c r="A740" t="inlineStr">
        <is>
          <t>A 32112-2024</t>
        </is>
      </c>
      <c r="B740" s="1" t="n">
        <v>45511</v>
      </c>
      <c r="C740" s="1" t="n">
        <v>45831</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32105-2024</t>
        </is>
      </c>
      <c r="B741" s="1" t="n">
        <v>45511</v>
      </c>
      <c r="C741" s="1" t="n">
        <v>45831</v>
      </c>
      <c r="D741" t="inlineStr">
        <is>
          <t>VÄSTERNORRLANDS LÄN</t>
        </is>
      </c>
      <c r="E741" t="inlineStr">
        <is>
          <t>TIMRÅ</t>
        </is>
      </c>
      <c r="G741" t="n">
        <v>6.4</v>
      </c>
      <c r="H741" t="n">
        <v>0</v>
      </c>
      <c r="I741" t="n">
        <v>0</v>
      </c>
      <c r="J741" t="n">
        <v>0</v>
      </c>
      <c r="K741" t="n">
        <v>0</v>
      </c>
      <c r="L741" t="n">
        <v>0</v>
      </c>
      <c r="M741" t="n">
        <v>0</v>
      </c>
      <c r="N741" t="n">
        <v>0</v>
      </c>
      <c r="O741" t="n">
        <v>0</v>
      </c>
      <c r="P741" t="n">
        <v>0</v>
      </c>
      <c r="Q741" t="n">
        <v>0</v>
      </c>
      <c r="R741" s="2" t="inlineStr"/>
    </row>
    <row r="742" ht="15" customHeight="1">
      <c r="A742" t="inlineStr">
        <is>
          <t>A 32454-2024</t>
        </is>
      </c>
      <c r="B742" s="1" t="n">
        <v>45512</v>
      </c>
      <c r="C742" s="1" t="n">
        <v>45831</v>
      </c>
      <c r="D742" t="inlineStr">
        <is>
          <t>VÄSTERNORRLANDS LÄN</t>
        </is>
      </c>
      <c r="E742" t="inlineStr">
        <is>
          <t>TIMRÅ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32445-2024</t>
        </is>
      </c>
      <c r="B743" s="1" t="n">
        <v>45512</v>
      </c>
      <c r="C743" s="1" t="n">
        <v>45831</v>
      </c>
      <c r="D743" t="inlineStr">
        <is>
          <t>VÄSTERNORRLANDS LÄN</t>
        </is>
      </c>
      <c r="E743" t="inlineStr">
        <is>
          <t>TIMRÅ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33287-2024</t>
        </is>
      </c>
      <c r="B744" s="1" t="n">
        <v>45518</v>
      </c>
      <c r="C744" s="1" t="n">
        <v>45831</v>
      </c>
      <c r="D744" t="inlineStr">
        <is>
          <t>VÄSTERNORRLANDS LÄN</t>
        </is>
      </c>
      <c r="E744" t="inlineStr">
        <is>
          <t>TIMRÅ</t>
        </is>
      </c>
      <c r="G744" t="n">
        <v>1.4</v>
      </c>
      <c r="H744" t="n">
        <v>0</v>
      </c>
      <c r="I744" t="n">
        <v>0</v>
      </c>
      <c r="J744" t="n">
        <v>0</v>
      </c>
      <c r="K744" t="n">
        <v>0</v>
      </c>
      <c r="L744" t="n">
        <v>0</v>
      </c>
      <c r="M744" t="n">
        <v>0</v>
      </c>
      <c r="N744" t="n">
        <v>0</v>
      </c>
      <c r="O744" t="n">
        <v>0</v>
      </c>
      <c r="P744" t="n">
        <v>0</v>
      </c>
      <c r="Q744" t="n">
        <v>0</v>
      </c>
      <c r="R744" s="2" t="inlineStr"/>
    </row>
    <row r="745" ht="15" customHeight="1">
      <c r="A745" t="inlineStr">
        <is>
          <t>A 33567-2024</t>
        </is>
      </c>
      <c r="B745" s="1" t="n">
        <v>45520</v>
      </c>
      <c r="C745" s="1" t="n">
        <v>45831</v>
      </c>
      <c r="D745" t="inlineStr">
        <is>
          <t>VÄSTERNORRLANDS LÄN</t>
        </is>
      </c>
      <c r="E745" t="inlineStr">
        <is>
          <t>TIMRÅ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33749-2024</t>
        </is>
      </c>
      <c r="B746" s="1" t="n">
        <v>45520</v>
      </c>
      <c r="C746" s="1" t="n">
        <v>45831</v>
      </c>
      <c r="D746" t="inlineStr">
        <is>
          <t>VÄSTERNORRLANDS LÄN</t>
        </is>
      </c>
      <c r="E746" t="inlineStr">
        <is>
          <t>TIMRÅ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37676-2024</t>
        </is>
      </c>
      <c r="B747" s="1" t="n">
        <v>45541</v>
      </c>
      <c r="C747" s="1" t="n">
        <v>45831</v>
      </c>
      <c r="D747" t="inlineStr">
        <is>
          <t>VÄSTERNORRLANDS LÄN</t>
        </is>
      </c>
      <c r="E747" t="inlineStr">
        <is>
          <t>TIMRÅ</t>
        </is>
      </c>
      <c r="G747" t="n">
        <v>15</v>
      </c>
      <c r="H747" t="n">
        <v>0</v>
      </c>
      <c r="I747" t="n">
        <v>0</v>
      </c>
      <c r="J747" t="n">
        <v>0</v>
      </c>
      <c r="K747" t="n">
        <v>0</v>
      </c>
      <c r="L747" t="n">
        <v>0</v>
      </c>
      <c r="M747" t="n">
        <v>0</v>
      </c>
      <c r="N747" t="n">
        <v>0</v>
      </c>
      <c r="O747" t="n">
        <v>0</v>
      </c>
      <c r="P747" t="n">
        <v>0</v>
      </c>
      <c r="Q747" t="n">
        <v>0</v>
      </c>
      <c r="R747" s="2" t="inlineStr"/>
    </row>
    <row r="748" ht="15" customHeight="1">
      <c r="A748" t="inlineStr">
        <is>
          <t>A 37841-2024</t>
        </is>
      </c>
      <c r="B748" s="1" t="n">
        <v>45544</v>
      </c>
      <c r="C748" s="1" t="n">
        <v>45831</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37861-2024</t>
        </is>
      </c>
      <c r="B749" s="1" t="n">
        <v>45544</v>
      </c>
      <c r="C749" s="1" t="n">
        <v>45831</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37862-2024</t>
        </is>
      </c>
      <c r="B750" s="1" t="n">
        <v>45544</v>
      </c>
      <c r="C750" s="1" t="n">
        <v>45831</v>
      </c>
      <c r="D750" t="inlineStr">
        <is>
          <t>VÄSTERNORRLANDS LÄN</t>
        </is>
      </c>
      <c r="E750" t="inlineStr">
        <is>
          <t>TIMRÅ</t>
        </is>
      </c>
      <c r="G750" t="n">
        <v>0.9</v>
      </c>
      <c r="H750" t="n">
        <v>0</v>
      </c>
      <c r="I750" t="n">
        <v>0</v>
      </c>
      <c r="J750" t="n">
        <v>0</v>
      </c>
      <c r="K750" t="n">
        <v>0</v>
      </c>
      <c r="L750" t="n">
        <v>0</v>
      </c>
      <c r="M750" t="n">
        <v>0</v>
      </c>
      <c r="N750" t="n">
        <v>0</v>
      </c>
      <c r="O750" t="n">
        <v>0</v>
      </c>
      <c r="P750" t="n">
        <v>0</v>
      </c>
      <c r="Q750" t="n">
        <v>0</v>
      </c>
      <c r="R750" s="2" t="inlineStr"/>
    </row>
    <row r="751" ht="15" customHeight="1">
      <c r="A751" t="inlineStr">
        <is>
          <t>A 38286-2024</t>
        </is>
      </c>
      <c r="B751" s="1" t="n">
        <v>45545</v>
      </c>
      <c r="C751" s="1" t="n">
        <v>45831</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38288-2024</t>
        </is>
      </c>
      <c r="B752" s="1" t="n">
        <v>45545</v>
      </c>
      <c r="C752" s="1" t="n">
        <v>45831</v>
      </c>
      <c r="D752" t="inlineStr">
        <is>
          <t>VÄSTERNORRLANDS LÄN</t>
        </is>
      </c>
      <c r="E752" t="inlineStr">
        <is>
          <t>TIMRÅ</t>
        </is>
      </c>
      <c r="G752" t="n">
        <v>1.6</v>
      </c>
      <c r="H752" t="n">
        <v>0</v>
      </c>
      <c r="I752" t="n">
        <v>0</v>
      </c>
      <c r="J752" t="n">
        <v>0</v>
      </c>
      <c r="K752" t="n">
        <v>0</v>
      </c>
      <c r="L752" t="n">
        <v>0</v>
      </c>
      <c r="M752" t="n">
        <v>0</v>
      </c>
      <c r="N752" t="n">
        <v>0</v>
      </c>
      <c r="O752" t="n">
        <v>0</v>
      </c>
      <c r="P752" t="n">
        <v>0</v>
      </c>
      <c r="Q752" t="n">
        <v>0</v>
      </c>
      <c r="R752" s="2" t="inlineStr"/>
    </row>
    <row r="753" ht="15" customHeight="1">
      <c r="A753" t="inlineStr">
        <is>
          <t>A 38684-2024</t>
        </is>
      </c>
      <c r="B753" s="1" t="n">
        <v>45547</v>
      </c>
      <c r="C753" s="1" t="n">
        <v>45831</v>
      </c>
      <c r="D753" t="inlineStr">
        <is>
          <t>VÄSTERNORRLANDS LÄN</t>
        </is>
      </c>
      <c r="E753" t="inlineStr">
        <is>
          <t>TIMRÅ</t>
        </is>
      </c>
      <c r="G753" t="n">
        <v>1</v>
      </c>
      <c r="H753" t="n">
        <v>0</v>
      </c>
      <c r="I753" t="n">
        <v>0</v>
      </c>
      <c r="J753" t="n">
        <v>0</v>
      </c>
      <c r="K753" t="n">
        <v>0</v>
      </c>
      <c r="L753" t="n">
        <v>0</v>
      </c>
      <c r="M753" t="n">
        <v>0</v>
      </c>
      <c r="N753" t="n">
        <v>0</v>
      </c>
      <c r="O753" t="n">
        <v>0</v>
      </c>
      <c r="P753" t="n">
        <v>0</v>
      </c>
      <c r="Q753" t="n">
        <v>0</v>
      </c>
      <c r="R753" s="2" t="inlineStr"/>
    </row>
    <row r="754" ht="15" customHeight="1">
      <c r="A754" t="inlineStr">
        <is>
          <t>A 39094-2024</t>
        </is>
      </c>
      <c r="B754" s="1" t="n">
        <v>45548</v>
      </c>
      <c r="C754" s="1" t="n">
        <v>45831</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39110-2024</t>
        </is>
      </c>
      <c r="B755" s="1" t="n">
        <v>45548</v>
      </c>
      <c r="C755" s="1" t="n">
        <v>45831</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38992-2024</t>
        </is>
      </c>
      <c r="B756" s="1" t="n">
        <v>45548</v>
      </c>
      <c r="C756" s="1" t="n">
        <v>45831</v>
      </c>
      <c r="D756" t="inlineStr">
        <is>
          <t>VÄSTERNORRLANDS LÄN</t>
        </is>
      </c>
      <c r="E756" t="inlineStr">
        <is>
          <t>TIMRÅ</t>
        </is>
      </c>
      <c r="G756" t="n">
        <v>1.4</v>
      </c>
      <c r="H756" t="n">
        <v>0</v>
      </c>
      <c r="I756" t="n">
        <v>0</v>
      </c>
      <c r="J756" t="n">
        <v>0</v>
      </c>
      <c r="K756" t="n">
        <v>0</v>
      </c>
      <c r="L756" t="n">
        <v>0</v>
      </c>
      <c r="M756" t="n">
        <v>0</v>
      </c>
      <c r="N756" t="n">
        <v>0</v>
      </c>
      <c r="O756" t="n">
        <v>0</v>
      </c>
      <c r="P756" t="n">
        <v>0</v>
      </c>
      <c r="Q756" t="n">
        <v>0</v>
      </c>
      <c r="R756" s="2" t="inlineStr"/>
    </row>
    <row r="757" ht="15" customHeight="1">
      <c r="A757" t="inlineStr">
        <is>
          <t>A 38996-2024</t>
        </is>
      </c>
      <c r="B757" s="1" t="n">
        <v>45548</v>
      </c>
      <c r="C757" s="1" t="n">
        <v>45831</v>
      </c>
      <c r="D757" t="inlineStr">
        <is>
          <t>VÄSTERNORRLANDS LÄN</t>
        </is>
      </c>
      <c r="E757" t="inlineStr">
        <is>
          <t>TIMRÅ</t>
        </is>
      </c>
      <c r="G757" t="n">
        <v>8.5</v>
      </c>
      <c r="H757" t="n">
        <v>0</v>
      </c>
      <c r="I757" t="n">
        <v>0</v>
      </c>
      <c r="J757" t="n">
        <v>0</v>
      </c>
      <c r="K757" t="n">
        <v>0</v>
      </c>
      <c r="L757" t="n">
        <v>0</v>
      </c>
      <c r="M757" t="n">
        <v>0</v>
      </c>
      <c r="N757" t="n">
        <v>0</v>
      </c>
      <c r="O757" t="n">
        <v>0</v>
      </c>
      <c r="P757" t="n">
        <v>0</v>
      </c>
      <c r="Q757" t="n">
        <v>0</v>
      </c>
      <c r="R757" s="2" t="inlineStr"/>
    </row>
    <row r="758" ht="15" customHeight="1">
      <c r="A758" t="inlineStr">
        <is>
          <t>A 39127-2024</t>
        </is>
      </c>
      <c r="B758" s="1" t="n">
        <v>45548</v>
      </c>
      <c r="C758" s="1" t="n">
        <v>45831</v>
      </c>
      <c r="D758" t="inlineStr">
        <is>
          <t>VÄSTERNORRLANDS LÄN</t>
        </is>
      </c>
      <c r="E758" t="inlineStr">
        <is>
          <t>TIMRÅ</t>
        </is>
      </c>
      <c r="G758" t="n">
        <v>5.1</v>
      </c>
      <c r="H758" t="n">
        <v>0</v>
      </c>
      <c r="I758" t="n">
        <v>0</v>
      </c>
      <c r="J758" t="n">
        <v>0</v>
      </c>
      <c r="K758" t="n">
        <v>0</v>
      </c>
      <c r="L758" t="n">
        <v>0</v>
      </c>
      <c r="M758" t="n">
        <v>0</v>
      </c>
      <c r="N758" t="n">
        <v>0</v>
      </c>
      <c r="O758" t="n">
        <v>0</v>
      </c>
      <c r="P758" t="n">
        <v>0</v>
      </c>
      <c r="Q758" t="n">
        <v>0</v>
      </c>
      <c r="R758" s="2" t="inlineStr"/>
    </row>
    <row r="759" ht="15" customHeight="1">
      <c r="A759" t="inlineStr">
        <is>
          <t>A 40014-2024</t>
        </is>
      </c>
      <c r="B759" s="1" t="n">
        <v>45553</v>
      </c>
      <c r="C759" s="1" t="n">
        <v>45831</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40593-2024</t>
        </is>
      </c>
      <c r="B760" s="1" t="n">
        <v>45555</v>
      </c>
      <c r="C760" s="1" t="n">
        <v>45831</v>
      </c>
      <c r="D760" t="inlineStr">
        <is>
          <t>VÄSTERNORRLANDS LÄN</t>
        </is>
      </c>
      <c r="E760" t="inlineStr">
        <is>
          <t>TIMRÅ</t>
        </is>
      </c>
      <c r="G760" t="n">
        <v>3.6</v>
      </c>
      <c r="H760" t="n">
        <v>0</v>
      </c>
      <c r="I760" t="n">
        <v>0</v>
      </c>
      <c r="J760" t="n">
        <v>0</v>
      </c>
      <c r="K760" t="n">
        <v>0</v>
      </c>
      <c r="L760" t="n">
        <v>0</v>
      </c>
      <c r="M760" t="n">
        <v>0</v>
      </c>
      <c r="N760" t="n">
        <v>0</v>
      </c>
      <c r="O760" t="n">
        <v>0</v>
      </c>
      <c r="P760" t="n">
        <v>0</v>
      </c>
      <c r="Q760" t="n">
        <v>0</v>
      </c>
      <c r="R760" s="2" t="inlineStr"/>
    </row>
    <row r="761" ht="15" customHeight="1">
      <c r="A761" t="inlineStr">
        <is>
          <t>A 40664-2024</t>
        </is>
      </c>
      <c r="B761" s="1" t="n">
        <v>45558</v>
      </c>
      <c r="C761" s="1" t="n">
        <v>45831</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40762-2024</t>
        </is>
      </c>
      <c r="B762" s="1" t="n">
        <v>45558</v>
      </c>
      <c r="C762" s="1" t="n">
        <v>45831</v>
      </c>
      <c r="D762" t="inlineStr">
        <is>
          <t>VÄSTERNORRLANDS LÄN</t>
        </is>
      </c>
      <c r="E762" t="inlineStr">
        <is>
          <t>TIMRÅ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41596-2024</t>
        </is>
      </c>
      <c r="B763" s="1" t="n">
        <v>45560</v>
      </c>
      <c r="C763" s="1" t="n">
        <v>45831</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42112-2024</t>
        </is>
      </c>
      <c r="B764" s="1" t="n">
        <v>45562</v>
      </c>
      <c r="C764" s="1" t="n">
        <v>45831</v>
      </c>
      <c r="D764" t="inlineStr">
        <is>
          <t>VÄSTERNORRLANDS LÄN</t>
        </is>
      </c>
      <c r="E764" t="inlineStr">
        <is>
          <t>TIMRÅ</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42094-2024</t>
        </is>
      </c>
      <c r="B765" s="1" t="n">
        <v>45562</v>
      </c>
      <c r="C765" s="1" t="n">
        <v>45831</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42855-2024</t>
        </is>
      </c>
      <c r="B766" s="1" t="n">
        <v>45566</v>
      </c>
      <c r="C766" s="1" t="n">
        <v>45831</v>
      </c>
      <c r="D766" t="inlineStr">
        <is>
          <t>VÄSTERNORRLANDS LÄN</t>
        </is>
      </c>
      <c r="E766" t="inlineStr">
        <is>
          <t>TIMRÅ</t>
        </is>
      </c>
      <c r="G766" t="n">
        <v>2.5</v>
      </c>
      <c r="H766" t="n">
        <v>0</v>
      </c>
      <c r="I766" t="n">
        <v>0</v>
      </c>
      <c r="J766" t="n">
        <v>0</v>
      </c>
      <c r="K766" t="n">
        <v>0</v>
      </c>
      <c r="L766" t="n">
        <v>0</v>
      </c>
      <c r="M766" t="n">
        <v>0</v>
      </c>
      <c r="N766" t="n">
        <v>0</v>
      </c>
      <c r="O766" t="n">
        <v>0</v>
      </c>
      <c r="P766" t="n">
        <v>0</v>
      </c>
      <c r="Q766" t="n">
        <v>0</v>
      </c>
      <c r="R766" s="2" t="inlineStr"/>
    </row>
    <row r="767" ht="15" customHeight="1">
      <c r="A767" t="inlineStr">
        <is>
          <t>A 42860-2024</t>
        </is>
      </c>
      <c r="B767" s="1" t="n">
        <v>45566</v>
      </c>
      <c r="C767" s="1" t="n">
        <v>45831</v>
      </c>
      <c r="D767" t="inlineStr">
        <is>
          <t>VÄSTERNORRLANDS LÄN</t>
        </is>
      </c>
      <c r="E767" t="inlineStr">
        <is>
          <t>TIMRÅ</t>
        </is>
      </c>
      <c r="G767" t="n">
        <v>3.9</v>
      </c>
      <c r="H767" t="n">
        <v>0</v>
      </c>
      <c r="I767" t="n">
        <v>0</v>
      </c>
      <c r="J767" t="n">
        <v>0</v>
      </c>
      <c r="K767" t="n">
        <v>0</v>
      </c>
      <c r="L767" t="n">
        <v>0</v>
      </c>
      <c r="M767" t="n">
        <v>0</v>
      </c>
      <c r="N767" t="n">
        <v>0</v>
      </c>
      <c r="O767" t="n">
        <v>0</v>
      </c>
      <c r="P767" t="n">
        <v>0</v>
      </c>
      <c r="Q767" t="n">
        <v>0</v>
      </c>
      <c r="R767" s="2" t="inlineStr"/>
    </row>
    <row r="768" ht="15" customHeight="1">
      <c r="A768" t="inlineStr">
        <is>
          <t>A 43167-2024</t>
        </is>
      </c>
      <c r="B768" s="1" t="n">
        <v>45567</v>
      </c>
      <c r="C768" s="1" t="n">
        <v>45831</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43172-2024</t>
        </is>
      </c>
      <c r="B769" s="1" t="n">
        <v>45567</v>
      </c>
      <c r="C769" s="1" t="n">
        <v>45831</v>
      </c>
      <c r="D769" t="inlineStr">
        <is>
          <t>VÄSTERNORRLANDS LÄN</t>
        </is>
      </c>
      <c r="E769" t="inlineStr">
        <is>
          <t>TIMRÅ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43006-2024</t>
        </is>
      </c>
      <c r="B770" s="1" t="n">
        <v>45567</v>
      </c>
      <c r="C770" s="1" t="n">
        <v>45831</v>
      </c>
      <c r="D770" t="inlineStr">
        <is>
          <t>VÄSTERNORRLANDS LÄN</t>
        </is>
      </c>
      <c r="E770" t="inlineStr">
        <is>
          <t>TIMRÅ</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43345-2024</t>
        </is>
      </c>
      <c r="B771" s="1" t="n">
        <v>45568</v>
      </c>
      <c r="C771" s="1" t="n">
        <v>45831</v>
      </c>
      <c r="D771" t="inlineStr">
        <is>
          <t>VÄSTERNORRLANDS LÄN</t>
        </is>
      </c>
      <c r="E771" t="inlineStr">
        <is>
          <t>TIMRÅ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43344-2024</t>
        </is>
      </c>
      <c r="B772" s="1" t="n">
        <v>45568</v>
      </c>
      <c r="C772" s="1" t="n">
        <v>45831</v>
      </c>
      <c r="D772" t="inlineStr">
        <is>
          <t>VÄSTERNORRLANDS LÄN</t>
        </is>
      </c>
      <c r="E772" t="inlineStr">
        <is>
          <t>TIMRÅ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43526-2024</t>
        </is>
      </c>
      <c r="B773" s="1" t="n">
        <v>45569</v>
      </c>
      <c r="C773" s="1" t="n">
        <v>45831</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43527-2024</t>
        </is>
      </c>
      <c r="B774" s="1" t="n">
        <v>45569</v>
      </c>
      <c r="C774" s="1" t="n">
        <v>45831</v>
      </c>
      <c r="D774" t="inlineStr">
        <is>
          <t>VÄSTERNORRLANDS LÄN</t>
        </is>
      </c>
      <c r="E774" t="inlineStr">
        <is>
          <t>TIMRÅ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43868-2024</t>
        </is>
      </c>
      <c r="B775" s="1" t="n">
        <v>45569</v>
      </c>
      <c r="C775" s="1" t="n">
        <v>45831</v>
      </c>
      <c r="D775" t="inlineStr">
        <is>
          <t>VÄSTERNORRLANDS LÄN</t>
        </is>
      </c>
      <c r="E775" t="inlineStr">
        <is>
          <t>TIMRÅ</t>
        </is>
      </c>
      <c r="G775" t="n">
        <v>1.8</v>
      </c>
      <c r="H775" t="n">
        <v>0</v>
      </c>
      <c r="I775" t="n">
        <v>0</v>
      </c>
      <c r="J775" t="n">
        <v>0</v>
      </c>
      <c r="K775" t="n">
        <v>0</v>
      </c>
      <c r="L775" t="n">
        <v>0</v>
      </c>
      <c r="M775" t="n">
        <v>0</v>
      </c>
      <c r="N775" t="n">
        <v>0</v>
      </c>
      <c r="O775" t="n">
        <v>0</v>
      </c>
      <c r="P775" t="n">
        <v>0</v>
      </c>
      <c r="Q775" t="n">
        <v>0</v>
      </c>
      <c r="R775" s="2" t="inlineStr"/>
    </row>
    <row r="776" ht="15" customHeight="1">
      <c r="A776" t="inlineStr">
        <is>
          <t>A 43568-2024</t>
        </is>
      </c>
      <c r="B776" s="1" t="n">
        <v>45569</v>
      </c>
      <c r="C776" s="1" t="n">
        <v>45831</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44011-2024</t>
        </is>
      </c>
      <c r="B777" s="1" t="n">
        <v>45572</v>
      </c>
      <c r="C777" s="1" t="n">
        <v>45831</v>
      </c>
      <c r="D777" t="inlineStr">
        <is>
          <t>VÄSTERNORRLANDS LÄN</t>
        </is>
      </c>
      <c r="E777" t="inlineStr">
        <is>
          <t>TIMRÅ</t>
        </is>
      </c>
      <c r="G777" t="n">
        <v>7.6</v>
      </c>
      <c r="H777" t="n">
        <v>0</v>
      </c>
      <c r="I777" t="n">
        <v>0</v>
      </c>
      <c r="J777" t="n">
        <v>0</v>
      </c>
      <c r="K777" t="n">
        <v>0</v>
      </c>
      <c r="L777" t="n">
        <v>0</v>
      </c>
      <c r="M777" t="n">
        <v>0</v>
      </c>
      <c r="N777" t="n">
        <v>0</v>
      </c>
      <c r="O777" t="n">
        <v>0</v>
      </c>
      <c r="P777" t="n">
        <v>0</v>
      </c>
      <c r="Q777" t="n">
        <v>0</v>
      </c>
      <c r="R777" s="2" t="inlineStr"/>
    </row>
    <row r="778" ht="15" customHeight="1">
      <c r="A778" t="inlineStr">
        <is>
          <t>A 44030-2024</t>
        </is>
      </c>
      <c r="B778" s="1" t="n">
        <v>45572</v>
      </c>
      <c r="C778" s="1" t="n">
        <v>45831</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44664-2024</t>
        </is>
      </c>
      <c r="B779" s="1" t="n">
        <v>45574</v>
      </c>
      <c r="C779" s="1" t="n">
        <v>45831</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45608-2024</t>
        </is>
      </c>
      <c r="B780" s="1" t="n">
        <v>45579</v>
      </c>
      <c r="C780" s="1" t="n">
        <v>45831</v>
      </c>
      <c r="D780" t="inlineStr">
        <is>
          <t>VÄSTERNORRLANDS LÄN</t>
        </is>
      </c>
      <c r="E780" t="inlineStr">
        <is>
          <t>TIMRÅ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45685-2024</t>
        </is>
      </c>
      <c r="B781" s="1" t="n">
        <v>45579</v>
      </c>
      <c r="C781" s="1" t="n">
        <v>45831</v>
      </c>
      <c r="D781" t="inlineStr">
        <is>
          <t>VÄSTERNORRLANDS LÄN</t>
        </is>
      </c>
      <c r="E781" t="inlineStr">
        <is>
          <t>TIMRÅ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45673-2024</t>
        </is>
      </c>
      <c r="B782" s="1" t="n">
        <v>45579</v>
      </c>
      <c r="C782" s="1" t="n">
        <v>45831</v>
      </c>
      <c r="D782" t="inlineStr">
        <is>
          <t>VÄSTERNORRLANDS LÄN</t>
        </is>
      </c>
      <c r="E782" t="inlineStr">
        <is>
          <t>TIMRÅ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45627-2024</t>
        </is>
      </c>
      <c r="B783" s="1" t="n">
        <v>45579</v>
      </c>
      <c r="C783" s="1" t="n">
        <v>45831</v>
      </c>
      <c r="D783" t="inlineStr">
        <is>
          <t>VÄSTERNORRLANDS LÄN</t>
        </is>
      </c>
      <c r="E783" t="inlineStr">
        <is>
          <t>TIMRÅ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45586-2024</t>
        </is>
      </c>
      <c r="B784" s="1" t="n">
        <v>45579</v>
      </c>
      <c r="C784" s="1" t="n">
        <v>45831</v>
      </c>
      <c r="D784" t="inlineStr">
        <is>
          <t>VÄSTERNORRLANDS LÄN</t>
        </is>
      </c>
      <c r="E784" t="inlineStr">
        <is>
          <t>TIMRÅ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45629-2024</t>
        </is>
      </c>
      <c r="B785" s="1" t="n">
        <v>45579</v>
      </c>
      <c r="C785" s="1" t="n">
        <v>45831</v>
      </c>
      <c r="D785" t="inlineStr">
        <is>
          <t>VÄSTERNORRLANDS LÄN</t>
        </is>
      </c>
      <c r="E785" t="inlineStr">
        <is>
          <t>TIMRÅ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45720-2024</t>
        </is>
      </c>
      <c r="B786" s="1" t="n">
        <v>45579</v>
      </c>
      <c r="C786" s="1" t="n">
        <v>45831</v>
      </c>
      <c r="D786" t="inlineStr">
        <is>
          <t>VÄSTERNORRLANDS LÄN</t>
        </is>
      </c>
      <c r="E786" t="inlineStr">
        <is>
          <t>TIMRÅ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45630-2024</t>
        </is>
      </c>
      <c r="B787" s="1" t="n">
        <v>45579</v>
      </c>
      <c r="C787" s="1" t="n">
        <v>45831</v>
      </c>
      <c r="D787" t="inlineStr">
        <is>
          <t>VÄSTERNORRLANDS LÄN</t>
        </is>
      </c>
      <c r="E787" t="inlineStr">
        <is>
          <t>TIMRÅ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45886-2024</t>
        </is>
      </c>
      <c r="B788" s="1" t="n">
        <v>45580</v>
      </c>
      <c r="C788" s="1" t="n">
        <v>45831</v>
      </c>
      <c r="D788" t="inlineStr">
        <is>
          <t>VÄSTERNORRLANDS LÄN</t>
        </is>
      </c>
      <c r="E788" t="inlineStr">
        <is>
          <t>TIMRÅ</t>
        </is>
      </c>
      <c r="G788" t="n">
        <v>1.1</v>
      </c>
      <c r="H788" t="n">
        <v>0</v>
      </c>
      <c r="I788" t="n">
        <v>0</v>
      </c>
      <c r="J788" t="n">
        <v>0</v>
      </c>
      <c r="K788" t="n">
        <v>0</v>
      </c>
      <c r="L788" t="n">
        <v>0</v>
      </c>
      <c r="M788" t="n">
        <v>0</v>
      </c>
      <c r="N788" t="n">
        <v>0</v>
      </c>
      <c r="O788" t="n">
        <v>0</v>
      </c>
      <c r="P788" t="n">
        <v>0</v>
      </c>
      <c r="Q788" t="n">
        <v>0</v>
      </c>
      <c r="R788" s="2" t="inlineStr"/>
    </row>
    <row r="789" ht="15" customHeight="1">
      <c r="A789" t="inlineStr">
        <is>
          <t>A 45942-2024</t>
        </is>
      </c>
      <c r="B789" s="1" t="n">
        <v>45580</v>
      </c>
      <c r="C789" s="1" t="n">
        <v>45831</v>
      </c>
      <c r="D789" t="inlineStr">
        <is>
          <t>VÄSTERNORRLANDS LÄN</t>
        </is>
      </c>
      <c r="E789" t="inlineStr">
        <is>
          <t>TIMRÅ</t>
        </is>
      </c>
      <c r="G789" t="n">
        <v>2.1</v>
      </c>
      <c r="H789" t="n">
        <v>0</v>
      </c>
      <c r="I789" t="n">
        <v>0</v>
      </c>
      <c r="J789" t="n">
        <v>0</v>
      </c>
      <c r="K789" t="n">
        <v>0</v>
      </c>
      <c r="L789" t="n">
        <v>0</v>
      </c>
      <c r="M789" t="n">
        <v>0</v>
      </c>
      <c r="N789" t="n">
        <v>0</v>
      </c>
      <c r="O789" t="n">
        <v>0</v>
      </c>
      <c r="P789" t="n">
        <v>0</v>
      </c>
      <c r="Q789" t="n">
        <v>0</v>
      </c>
      <c r="R789" s="2" t="inlineStr"/>
    </row>
    <row r="790" ht="15" customHeight="1">
      <c r="A790" t="inlineStr">
        <is>
          <t>A 46131-2024</t>
        </is>
      </c>
      <c r="B790" s="1" t="n">
        <v>45581</v>
      </c>
      <c r="C790" s="1" t="n">
        <v>45831</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47089-2024</t>
        </is>
      </c>
      <c r="B791" s="1" t="n">
        <v>45586</v>
      </c>
      <c r="C791" s="1" t="n">
        <v>45831</v>
      </c>
      <c r="D791" t="inlineStr">
        <is>
          <t>VÄSTERNORRLANDS LÄN</t>
        </is>
      </c>
      <c r="E791" t="inlineStr">
        <is>
          <t>TIMRÅ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47341-2024</t>
        </is>
      </c>
      <c r="B792" s="1" t="n">
        <v>45587</v>
      </c>
      <c r="C792" s="1" t="n">
        <v>45831</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47848-2024</t>
        </is>
      </c>
      <c r="B793" s="1" t="n">
        <v>45588</v>
      </c>
      <c r="C793" s="1" t="n">
        <v>45831</v>
      </c>
      <c r="D793" t="inlineStr">
        <is>
          <t>VÄSTERNORRLANDS LÄN</t>
        </is>
      </c>
      <c r="E793" t="inlineStr">
        <is>
          <t>TIMRÅ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48031-2024</t>
        </is>
      </c>
      <c r="B794" s="1" t="n">
        <v>45589</v>
      </c>
      <c r="C794" s="1" t="n">
        <v>45831</v>
      </c>
      <c r="D794" t="inlineStr">
        <is>
          <t>VÄSTERNORRLANDS LÄN</t>
        </is>
      </c>
      <c r="E794" t="inlineStr">
        <is>
          <t>TIMRÅ</t>
        </is>
      </c>
      <c r="G794" t="n">
        <v>8.9</v>
      </c>
      <c r="H794" t="n">
        <v>0</v>
      </c>
      <c r="I794" t="n">
        <v>0</v>
      </c>
      <c r="J794" t="n">
        <v>0</v>
      </c>
      <c r="K794" t="n">
        <v>0</v>
      </c>
      <c r="L794" t="n">
        <v>0</v>
      </c>
      <c r="M794" t="n">
        <v>0</v>
      </c>
      <c r="N794" t="n">
        <v>0</v>
      </c>
      <c r="O794" t="n">
        <v>0</v>
      </c>
      <c r="P794" t="n">
        <v>0</v>
      </c>
      <c r="Q794" t="n">
        <v>0</v>
      </c>
      <c r="R794" s="2" t="inlineStr"/>
    </row>
    <row r="795" ht="15" customHeight="1">
      <c r="A795" t="inlineStr">
        <is>
          <t>A 48005-2024</t>
        </is>
      </c>
      <c r="B795" s="1" t="n">
        <v>45589</v>
      </c>
      <c r="C795" s="1" t="n">
        <v>45831</v>
      </c>
      <c r="D795" t="inlineStr">
        <is>
          <t>VÄSTERNORRLANDS LÄN</t>
        </is>
      </c>
      <c r="E795" t="inlineStr">
        <is>
          <t>TIMRÅ</t>
        </is>
      </c>
      <c r="G795" t="n">
        <v>2.4</v>
      </c>
      <c r="H795" t="n">
        <v>0</v>
      </c>
      <c r="I795" t="n">
        <v>0</v>
      </c>
      <c r="J795" t="n">
        <v>0</v>
      </c>
      <c r="K795" t="n">
        <v>0</v>
      </c>
      <c r="L795" t="n">
        <v>0</v>
      </c>
      <c r="M795" t="n">
        <v>0</v>
      </c>
      <c r="N795" t="n">
        <v>0</v>
      </c>
      <c r="O795" t="n">
        <v>0</v>
      </c>
      <c r="P795" t="n">
        <v>0</v>
      </c>
      <c r="Q795" t="n">
        <v>0</v>
      </c>
      <c r="R795" s="2" t="inlineStr"/>
    </row>
    <row r="796" ht="15" customHeight="1">
      <c r="A796" t="inlineStr">
        <is>
          <t>A 47952-2024</t>
        </is>
      </c>
      <c r="B796" s="1" t="n">
        <v>45589</v>
      </c>
      <c r="C796" s="1" t="n">
        <v>45831</v>
      </c>
      <c r="D796" t="inlineStr">
        <is>
          <t>VÄSTERNORRLANDS LÄN</t>
        </is>
      </c>
      <c r="E796" t="inlineStr">
        <is>
          <t>TIMRÅ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48397-2024</t>
        </is>
      </c>
      <c r="B797" s="1" t="n">
        <v>45590</v>
      </c>
      <c r="C797" s="1" t="n">
        <v>45831</v>
      </c>
      <c r="D797" t="inlineStr">
        <is>
          <t>VÄSTERNORRLANDS LÄN</t>
        </is>
      </c>
      <c r="E797" t="inlineStr">
        <is>
          <t>TIMRÅ</t>
        </is>
      </c>
      <c r="G797" t="n">
        <v>4.2</v>
      </c>
      <c r="H797" t="n">
        <v>0</v>
      </c>
      <c r="I797" t="n">
        <v>0</v>
      </c>
      <c r="J797" t="n">
        <v>0</v>
      </c>
      <c r="K797" t="n">
        <v>0</v>
      </c>
      <c r="L797" t="n">
        <v>0</v>
      </c>
      <c r="M797" t="n">
        <v>0</v>
      </c>
      <c r="N797" t="n">
        <v>0</v>
      </c>
      <c r="O797" t="n">
        <v>0</v>
      </c>
      <c r="P797" t="n">
        <v>0</v>
      </c>
      <c r="Q797" t="n">
        <v>0</v>
      </c>
      <c r="R797" s="2" t="inlineStr"/>
    </row>
    <row r="798" ht="15" customHeight="1">
      <c r="A798" t="inlineStr">
        <is>
          <t>A 48704-2024</t>
        </is>
      </c>
      <c r="B798" s="1" t="n">
        <v>45593</v>
      </c>
      <c r="C798" s="1" t="n">
        <v>45831</v>
      </c>
      <c r="D798" t="inlineStr">
        <is>
          <t>VÄSTERNORRLANDS LÄN</t>
        </is>
      </c>
      <c r="E798" t="inlineStr">
        <is>
          <t>TIMRÅ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48669-2024</t>
        </is>
      </c>
      <c r="B799" s="1" t="n">
        <v>45593</v>
      </c>
      <c r="C799" s="1" t="n">
        <v>45831</v>
      </c>
      <c r="D799" t="inlineStr">
        <is>
          <t>VÄSTERNORRLANDS LÄN</t>
        </is>
      </c>
      <c r="E799" t="inlineStr">
        <is>
          <t>TIMRÅ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48694-2024</t>
        </is>
      </c>
      <c r="B800" s="1" t="n">
        <v>45593</v>
      </c>
      <c r="C800" s="1" t="n">
        <v>45831</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48563-2024</t>
        </is>
      </c>
      <c r="B801" s="1" t="n">
        <v>45593</v>
      </c>
      <c r="C801" s="1" t="n">
        <v>45831</v>
      </c>
      <c r="D801" t="inlineStr">
        <is>
          <t>VÄSTERNORRLANDS LÄN</t>
        </is>
      </c>
      <c r="E801" t="inlineStr">
        <is>
          <t>TIMRÅ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49072-2024</t>
        </is>
      </c>
      <c r="B802" s="1" t="n">
        <v>45594</v>
      </c>
      <c r="C802" s="1" t="n">
        <v>45831</v>
      </c>
      <c r="D802" t="inlineStr">
        <is>
          <t>VÄSTERNORRLANDS LÄN</t>
        </is>
      </c>
      <c r="E802" t="inlineStr">
        <is>
          <t>TIMRÅ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49061-2024</t>
        </is>
      </c>
      <c r="B803" s="1" t="n">
        <v>45594</v>
      </c>
      <c r="C803" s="1" t="n">
        <v>45831</v>
      </c>
      <c r="D803" t="inlineStr">
        <is>
          <t>VÄSTERNORRLANDS LÄN</t>
        </is>
      </c>
      <c r="E803" t="inlineStr">
        <is>
          <t>TIMRÅ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49310-2024</t>
        </is>
      </c>
      <c r="B804" s="1" t="n">
        <v>45595</v>
      </c>
      <c r="C804" s="1" t="n">
        <v>45831</v>
      </c>
      <c r="D804" t="inlineStr">
        <is>
          <t>VÄSTERNORRLANDS LÄN</t>
        </is>
      </c>
      <c r="E804" t="inlineStr">
        <is>
          <t>TIMRÅ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49495-2024</t>
        </is>
      </c>
      <c r="B805" s="1" t="n">
        <v>45596</v>
      </c>
      <c r="C805" s="1" t="n">
        <v>45831</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50699-2024</t>
        </is>
      </c>
      <c r="B806" s="1" t="n">
        <v>45602</v>
      </c>
      <c r="C806" s="1" t="n">
        <v>45831</v>
      </c>
      <c r="D806" t="inlineStr">
        <is>
          <t>VÄSTERNORRLANDS LÄN</t>
        </is>
      </c>
      <c r="E806" t="inlineStr">
        <is>
          <t>TIMRÅ</t>
        </is>
      </c>
      <c r="G806" t="n">
        <v>1.4</v>
      </c>
      <c r="H806" t="n">
        <v>0</v>
      </c>
      <c r="I806" t="n">
        <v>0</v>
      </c>
      <c r="J806" t="n">
        <v>0</v>
      </c>
      <c r="K806" t="n">
        <v>0</v>
      </c>
      <c r="L806" t="n">
        <v>0</v>
      </c>
      <c r="M806" t="n">
        <v>0</v>
      </c>
      <c r="N806" t="n">
        <v>0</v>
      </c>
      <c r="O806" t="n">
        <v>0</v>
      </c>
      <c r="P806" t="n">
        <v>0</v>
      </c>
      <c r="Q806" t="n">
        <v>0</v>
      </c>
      <c r="R806" s="2" t="inlineStr"/>
    </row>
    <row r="807" ht="15" customHeight="1">
      <c r="A807" t="inlineStr">
        <is>
          <t>A 51196-2024</t>
        </is>
      </c>
      <c r="B807" s="1" t="n">
        <v>45603</v>
      </c>
      <c r="C807" s="1" t="n">
        <v>45831</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51490-2024</t>
        </is>
      </c>
      <c r="B808" s="1" t="n">
        <v>45604</v>
      </c>
      <c r="C808" s="1" t="n">
        <v>45831</v>
      </c>
      <c r="D808" t="inlineStr">
        <is>
          <t>VÄSTERNORRLANDS LÄN</t>
        </is>
      </c>
      <c r="E808" t="inlineStr">
        <is>
          <t>TIMRÅ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52346-2024</t>
        </is>
      </c>
      <c r="B809" s="1" t="n">
        <v>45609</v>
      </c>
      <c r="C809" s="1" t="n">
        <v>45831</v>
      </c>
      <c r="D809" t="inlineStr">
        <is>
          <t>VÄSTERNORRLANDS LÄN</t>
        </is>
      </c>
      <c r="E809" t="inlineStr">
        <is>
          <t>TIMRÅ</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HYPERLINK("https://klasma.github.io/Logging_2262/knärot/A 52346-2024 karta knärot.png", "A 52346-2024")</f>
        <v/>
      </c>
      <c r="V809">
        <f>HYPERLINK("https://klasma.github.io/Logging_2262/klagomål/A 52346-2024 FSC-klagomål.docx", "A 52346-2024")</f>
        <v/>
      </c>
      <c r="W809">
        <f>HYPERLINK("https://klasma.github.io/Logging_2262/klagomålsmail/A 52346-2024 FSC-klagomål mail.docx", "A 52346-2024")</f>
        <v/>
      </c>
      <c r="X809">
        <f>HYPERLINK("https://klasma.github.io/Logging_2262/tillsyn/A 52346-2024 tillsynsbegäran.docx", "A 52346-2024")</f>
        <v/>
      </c>
      <c r="Y809">
        <f>HYPERLINK("https://klasma.github.io/Logging_2262/tillsynsmail/A 52346-2024 tillsynsbegäran mail.docx", "A 52346-2024")</f>
        <v/>
      </c>
    </row>
    <row r="810" ht="15" customHeight="1">
      <c r="A810" t="inlineStr">
        <is>
          <t>A 52474-2024</t>
        </is>
      </c>
      <c r="B810" s="1" t="n">
        <v>45609</v>
      </c>
      <c r="C810" s="1" t="n">
        <v>45831</v>
      </c>
      <c r="D810" t="inlineStr">
        <is>
          <t>VÄSTERNORRLANDS LÄN</t>
        </is>
      </c>
      <c r="E810" t="inlineStr">
        <is>
          <t>TIMRÅ</t>
        </is>
      </c>
      <c r="G810" t="n">
        <v>0.7</v>
      </c>
      <c r="H810" t="n">
        <v>0</v>
      </c>
      <c r="I810" t="n">
        <v>0</v>
      </c>
      <c r="J810" t="n">
        <v>0</v>
      </c>
      <c r="K810" t="n">
        <v>0</v>
      </c>
      <c r="L810" t="n">
        <v>0</v>
      </c>
      <c r="M810" t="n">
        <v>0</v>
      </c>
      <c r="N810" t="n">
        <v>0</v>
      </c>
      <c r="O810" t="n">
        <v>0</v>
      </c>
      <c r="P810" t="n">
        <v>0</v>
      </c>
      <c r="Q810" t="n">
        <v>0</v>
      </c>
      <c r="R810" s="2" t="inlineStr"/>
    </row>
    <row r="811" ht="15" customHeight="1">
      <c r="A811" t="inlineStr">
        <is>
          <t>A 52761-2024</t>
        </is>
      </c>
      <c r="B811" s="1" t="n">
        <v>45610</v>
      </c>
      <c r="C811" s="1" t="n">
        <v>45831</v>
      </c>
      <c r="D811" t="inlineStr">
        <is>
          <t>VÄSTERNORRLANDS LÄN</t>
        </is>
      </c>
      <c r="E811" t="inlineStr">
        <is>
          <t>TIMRÅ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52909-2024</t>
        </is>
      </c>
      <c r="B812" s="1" t="n">
        <v>45610</v>
      </c>
      <c r="C812" s="1" t="n">
        <v>45831</v>
      </c>
      <c r="D812" t="inlineStr">
        <is>
          <t>VÄSTERNORRLANDS LÄN</t>
        </is>
      </c>
      <c r="E812" t="inlineStr">
        <is>
          <t>TIMRÅ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53303-2024</t>
        </is>
      </c>
      <c r="B813" s="1" t="n">
        <v>45614</v>
      </c>
      <c r="C813" s="1" t="n">
        <v>45831</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53299-2024</t>
        </is>
      </c>
      <c r="B814" s="1" t="n">
        <v>45614</v>
      </c>
      <c r="C814" s="1" t="n">
        <v>45831</v>
      </c>
      <c r="D814" t="inlineStr">
        <is>
          <t>VÄSTERNORRLANDS LÄN</t>
        </is>
      </c>
      <c r="E814" t="inlineStr">
        <is>
          <t>TIMRÅ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53292-2024</t>
        </is>
      </c>
      <c r="B815" s="1" t="n">
        <v>45614</v>
      </c>
      <c r="C815" s="1" t="n">
        <v>45831</v>
      </c>
      <c r="D815" t="inlineStr">
        <is>
          <t>VÄSTERNORRLANDS LÄN</t>
        </is>
      </c>
      <c r="E815" t="inlineStr">
        <is>
          <t>TIMRÅ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53302-2024</t>
        </is>
      </c>
      <c r="B816" s="1" t="n">
        <v>45614</v>
      </c>
      <c r="C816" s="1" t="n">
        <v>45831</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53298-2024</t>
        </is>
      </c>
      <c r="B817" s="1" t="n">
        <v>45614</v>
      </c>
      <c r="C817" s="1" t="n">
        <v>45831</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53294-2024</t>
        </is>
      </c>
      <c r="B818" s="1" t="n">
        <v>45614</v>
      </c>
      <c r="C818" s="1" t="n">
        <v>45831</v>
      </c>
      <c r="D818" t="inlineStr">
        <is>
          <t>VÄSTERNORRLANDS LÄN</t>
        </is>
      </c>
      <c r="E818" t="inlineStr">
        <is>
          <t>TIMRÅ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53289-2024</t>
        </is>
      </c>
      <c r="B819" s="1" t="n">
        <v>45614</v>
      </c>
      <c r="C819" s="1" t="n">
        <v>45831</v>
      </c>
      <c r="D819" t="inlineStr">
        <is>
          <t>VÄSTERNORRLANDS LÄN</t>
        </is>
      </c>
      <c r="E819" t="inlineStr">
        <is>
          <t>TIMRÅ</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53301-2024</t>
        </is>
      </c>
      <c r="B820" s="1" t="n">
        <v>45614</v>
      </c>
      <c r="C820" s="1" t="n">
        <v>45831</v>
      </c>
      <c r="D820" t="inlineStr">
        <is>
          <t>VÄSTERNORRLANDS LÄN</t>
        </is>
      </c>
      <c r="E820" t="inlineStr">
        <is>
          <t>TIMRÅ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53293-2024</t>
        </is>
      </c>
      <c r="B821" s="1" t="n">
        <v>45614</v>
      </c>
      <c r="C821" s="1" t="n">
        <v>45831</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53288-2024</t>
        </is>
      </c>
      <c r="B822" s="1" t="n">
        <v>45614</v>
      </c>
      <c r="C822" s="1" t="n">
        <v>45831</v>
      </c>
      <c r="D822" t="inlineStr">
        <is>
          <t>VÄSTERNORRLANDS LÄN</t>
        </is>
      </c>
      <c r="E822" t="inlineStr">
        <is>
          <t>TIMRÅ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54236-2024</t>
        </is>
      </c>
      <c r="B823" s="1" t="n">
        <v>45616</v>
      </c>
      <c r="C823" s="1" t="n">
        <v>45831</v>
      </c>
      <c r="D823" t="inlineStr">
        <is>
          <t>VÄSTERNORRLANDS LÄN</t>
        </is>
      </c>
      <c r="E823" t="inlineStr">
        <is>
          <t>TIMRÅ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54547-2024</t>
        </is>
      </c>
      <c r="B824" s="1" t="n">
        <v>45617</v>
      </c>
      <c r="C824" s="1" t="n">
        <v>45831</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54322-2024</t>
        </is>
      </c>
      <c r="B825" s="1" t="n">
        <v>45617</v>
      </c>
      <c r="C825" s="1" t="n">
        <v>45831</v>
      </c>
      <c r="D825" t="inlineStr">
        <is>
          <t>VÄSTERNORRLANDS LÄN</t>
        </is>
      </c>
      <c r="E825" t="inlineStr">
        <is>
          <t>TIMRÅ</t>
        </is>
      </c>
      <c r="G825" t="n">
        <v>8</v>
      </c>
      <c r="H825" t="n">
        <v>0</v>
      </c>
      <c r="I825" t="n">
        <v>0</v>
      </c>
      <c r="J825" t="n">
        <v>0</v>
      </c>
      <c r="K825" t="n">
        <v>0</v>
      </c>
      <c r="L825" t="n">
        <v>0</v>
      </c>
      <c r="M825" t="n">
        <v>0</v>
      </c>
      <c r="N825" t="n">
        <v>0</v>
      </c>
      <c r="O825" t="n">
        <v>0</v>
      </c>
      <c r="P825" t="n">
        <v>0</v>
      </c>
      <c r="Q825" t="n">
        <v>0</v>
      </c>
      <c r="R825" s="2" t="inlineStr"/>
    </row>
    <row r="826" ht="15" customHeight="1">
      <c r="A826" t="inlineStr">
        <is>
          <t>A 54723-2024</t>
        </is>
      </c>
      <c r="B826" s="1" t="n">
        <v>45618</v>
      </c>
      <c r="C826" s="1" t="n">
        <v>45831</v>
      </c>
      <c r="D826" t="inlineStr">
        <is>
          <t>VÄSTERNORRLANDS LÄN</t>
        </is>
      </c>
      <c r="E826" t="inlineStr">
        <is>
          <t>TIMRÅ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54993-2024</t>
        </is>
      </c>
      <c r="B827" s="1" t="n">
        <v>45620</v>
      </c>
      <c r="C827" s="1" t="n">
        <v>45831</v>
      </c>
      <c r="D827" t="inlineStr">
        <is>
          <t>VÄSTERNORRLANDS LÄN</t>
        </is>
      </c>
      <c r="E827" t="inlineStr">
        <is>
          <t>TIMRÅ</t>
        </is>
      </c>
      <c r="G827" t="n">
        <v>1.9</v>
      </c>
      <c r="H827" t="n">
        <v>0</v>
      </c>
      <c r="I827" t="n">
        <v>0</v>
      </c>
      <c r="J827" t="n">
        <v>0</v>
      </c>
      <c r="K827" t="n">
        <v>0</v>
      </c>
      <c r="L827" t="n">
        <v>0</v>
      </c>
      <c r="M827" t="n">
        <v>0</v>
      </c>
      <c r="N827" t="n">
        <v>0</v>
      </c>
      <c r="O827" t="n">
        <v>0</v>
      </c>
      <c r="P827" t="n">
        <v>0</v>
      </c>
      <c r="Q827" t="n">
        <v>0</v>
      </c>
      <c r="R827" s="2" t="inlineStr"/>
    </row>
    <row r="828" ht="15" customHeight="1">
      <c r="A828" t="inlineStr">
        <is>
          <t>A 55080-2024</t>
        </is>
      </c>
      <c r="B828" s="1" t="n">
        <v>45621</v>
      </c>
      <c r="C828" s="1" t="n">
        <v>45831</v>
      </c>
      <c r="D828" t="inlineStr">
        <is>
          <t>VÄSTERNORRLANDS LÄN</t>
        </is>
      </c>
      <c r="E828" t="inlineStr">
        <is>
          <t>TIMRÅ</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55576-2024</t>
        </is>
      </c>
      <c r="B829" s="1" t="n">
        <v>45622</v>
      </c>
      <c r="C829" s="1" t="n">
        <v>45831</v>
      </c>
      <c r="D829" t="inlineStr">
        <is>
          <t>VÄSTERNORRLANDS LÄN</t>
        </is>
      </c>
      <c r="E829" t="inlineStr">
        <is>
          <t>TIMRÅ</t>
        </is>
      </c>
      <c r="G829" t="n">
        <v>5.1</v>
      </c>
      <c r="H829" t="n">
        <v>0</v>
      </c>
      <c r="I829" t="n">
        <v>0</v>
      </c>
      <c r="J829" t="n">
        <v>0</v>
      </c>
      <c r="K829" t="n">
        <v>0</v>
      </c>
      <c r="L829" t="n">
        <v>0</v>
      </c>
      <c r="M829" t="n">
        <v>0</v>
      </c>
      <c r="N829" t="n">
        <v>0</v>
      </c>
      <c r="O829" t="n">
        <v>0</v>
      </c>
      <c r="P829" t="n">
        <v>0</v>
      </c>
      <c r="Q829" t="n">
        <v>0</v>
      </c>
      <c r="R829" s="2" t="inlineStr"/>
    </row>
    <row r="830" ht="15" customHeight="1">
      <c r="A830" t="inlineStr">
        <is>
          <t>A 55602-2024</t>
        </is>
      </c>
      <c r="B830" s="1" t="n">
        <v>45622</v>
      </c>
      <c r="C830" s="1" t="n">
        <v>45831</v>
      </c>
      <c r="D830" t="inlineStr">
        <is>
          <t>VÄSTERNORRLANDS LÄN</t>
        </is>
      </c>
      <c r="E830" t="inlineStr">
        <is>
          <t>TIMRÅ</t>
        </is>
      </c>
      <c r="G830" t="n">
        <v>3.9</v>
      </c>
      <c r="H830" t="n">
        <v>0</v>
      </c>
      <c r="I830" t="n">
        <v>0</v>
      </c>
      <c r="J830" t="n">
        <v>0</v>
      </c>
      <c r="K830" t="n">
        <v>0</v>
      </c>
      <c r="L830" t="n">
        <v>0</v>
      </c>
      <c r="M830" t="n">
        <v>0</v>
      </c>
      <c r="N830" t="n">
        <v>0</v>
      </c>
      <c r="O830" t="n">
        <v>0</v>
      </c>
      <c r="P830" t="n">
        <v>0</v>
      </c>
      <c r="Q830" t="n">
        <v>0</v>
      </c>
      <c r="R830" s="2" t="inlineStr"/>
    </row>
    <row r="831" ht="15" customHeight="1">
      <c r="A831" t="inlineStr">
        <is>
          <t>A 55618-2024</t>
        </is>
      </c>
      <c r="B831" s="1" t="n">
        <v>45622</v>
      </c>
      <c r="C831" s="1" t="n">
        <v>45831</v>
      </c>
      <c r="D831" t="inlineStr">
        <is>
          <t>VÄSTERNORRLANDS LÄN</t>
        </is>
      </c>
      <c r="E831" t="inlineStr">
        <is>
          <t>TIMRÅ</t>
        </is>
      </c>
      <c r="G831" t="n">
        <v>4.3</v>
      </c>
      <c r="H831" t="n">
        <v>0</v>
      </c>
      <c r="I831" t="n">
        <v>0</v>
      </c>
      <c r="J831" t="n">
        <v>0</v>
      </c>
      <c r="K831" t="n">
        <v>0</v>
      </c>
      <c r="L831" t="n">
        <v>0</v>
      </c>
      <c r="M831" t="n">
        <v>0</v>
      </c>
      <c r="N831" t="n">
        <v>0</v>
      </c>
      <c r="O831" t="n">
        <v>0</v>
      </c>
      <c r="P831" t="n">
        <v>0</v>
      </c>
      <c r="Q831" t="n">
        <v>0</v>
      </c>
      <c r="R831" s="2" t="inlineStr"/>
    </row>
    <row r="832" ht="15" customHeight="1">
      <c r="A832" t="inlineStr">
        <is>
          <t>A 55588-2024</t>
        </is>
      </c>
      <c r="B832" s="1" t="n">
        <v>45622</v>
      </c>
      <c r="C832" s="1" t="n">
        <v>45831</v>
      </c>
      <c r="D832" t="inlineStr">
        <is>
          <t>VÄSTERNORRLANDS LÄN</t>
        </is>
      </c>
      <c r="E832" t="inlineStr">
        <is>
          <t>TIMRÅ</t>
        </is>
      </c>
      <c r="G832" t="n">
        <v>2.9</v>
      </c>
      <c r="H832" t="n">
        <v>0</v>
      </c>
      <c r="I832" t="n">
        <v>0</v>
      </c>
      <c r="J832" t="n">
        <v>0</v>
      </c>
      <c r="K832" t="n">
        <v>0</v>
      </c>
      <c r="L832" t="n">
        <v>0</v>
      </c>
      <c r="M832" t="n">
        <v>0</v>
      </c>
      <c r="N832" t="n">
        <v>0</v>
      </c>
      <c r="O832" t="n">
        <v>0</v>
      </c>
      <c r="P832" t="n">
        <v>0</v>
      </c>
      <c r="Q832" t="n">
        <v>0</v>
      </c>
      <c r="R832" s="2" t="inlineStr"/>
    </row>
    <row r="833" ht="15" customHeight="1">
      <c r="A833" t="inlineStr">
        <is>
          <t>A 55729-2024</t>
        </is>
      </c>
      <c r="B833" s="1" t="n">
        <v>45622</v>
      </c>
      <c r="C833" s="1" t="n">
        <v>45831</v>
      </c>
      <c r="D833" t="inlineStr">
        <is>
          <t>VÄSTERNORRLANDS LÄN</t>
        </is>
      </c>
      <c r="E833" t="inlineStr">
        <is>
          <t>TIMRÅ</t>
        </is>
      </c>
      <c r="G833" t="n">
        <v>3.1</v>
      </c>
      <c r="H833" t="n">
        <v>0</v>
      </c>
      <c r="I833" t="n">
        <v>0</v>
      </c>
      <c r="J833" t="n">
        <v>0</v>
      </c>
      <c r="K833" t="n">
        <v>0</v>
      </c>
      <c r="L833" t="n">
        <v>0</v>
      </c>
      <c r="M833" t="n">
        <v>0</v>
      </c>
      <c r="N833" t="n">
        <v>0</v>
      </c>
      <c r="O833" t="n">
        <v>0</v>
      </c>
      <c r="P833" t="n">
        <v>0</v>
      </c>
      <c r="Q833" t="n">
        <v>0</v>
      </c>
      <c r="R833" s="2" t="inlineStr"/>
    </row>
    <row r="834" ht="15" customHeight="1">
      <c r="A834" t="inlineStr">
        <is>
          <t>A 55874-2024</t>
        </is>
      </c>
      <c r="B834" s="1" t="n">
        <v>45623</v>
      </c>
      <c r="C834" s="1" t="n">
        <v>45831</v>
      </c>
      <c r="D834" t="inlineStr">
        <is>
          <t>VÄSTERNORRLANDS LÄN</t>
        </is>
      </c>
      <c r="E834" t="inlineStr">
        <is>
          <t>TIMRÅ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55873-2024</t>
        </is>
      </c>
      <c r="B835" s="1" t="n">
        <v>45623</v>
      </c>
      <c r="C835" s="1" t="n">
        <v>45831</v>
      </c>
      <c r="D835" t="inlineStr">
        <is>
          <t>VÄSTERNORRLANDS LÄN</t>
        </is>
      </c>
      <c r="E835" t="inlineStr">
        <is>
          <t>TIMRÅ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56046-2024</t>
        </is>
      </c>
      <c r="B836" s="1" t="n">
        <v>45624</v>
      </c>
      <c r="C836" s="1" t="n">
        <v>45831</v>
      </c>
      <c r="D836" t="inlineStr">
        <is>
          <t>VÄSTERNORRLANDS LÄN</t>
        </is>
      </c>
      <c r="E836" t="inlineStr">
        <is>
          <t>TIMRÅ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56284-2024</t>
        </is>
      </c>
      <c r="B837" s="1" t="n">
        <v>45624</v>
      </c>
      <c r="C837" s="1" t="n">
        <v>45831</v>
      </c>
      <c r="D837" t="inlineStr">
        <is>
          <t>VÄSTERNORRLANDS LÄN</t>
        </is>
      </c>
      <c r="E837" t="inlineStr">
        <is>
          <t>TIMRÅ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56288-2024</t>
        </is>
      </c>
      <c r="B838" s="1" t="n">
        <v>45624</v>
      </c>
      <c r="C838" s="1" t="n">
        <v>45831</v>
      </c>
      <c r="D838" t="inlineStr">
        <is>
          <t>VÄSTERNORRLANDS LÄN</t>
        </is>
      </c>
      <c r="E838" t="inlineStr">
        <is>
          <t>TIMRÅ</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56286-2024</t>
        </is>
      </c>
      <c r="B839" s="1" t="n">
        <v>45624</v>
      </c>
      <c r="C839" s="1" t="n">
        <v>45831</v>
      </c>
      <c r="D839" t="inlineStr">
        <is>
          <t>VÄSTERNORRLANDS LÄN</t>
        </is>
      </c>
      <c r="E839" t="inlineStr">
        <is>
          <t>TIMRÅ</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56155-2024</t>
        </is>
      </c>
      <c r="B840" s="1" t="n">
        <v>45624</v>
      </c>
      <c r="C840" s="1" t="n">
        <v>45831</v>
      </c>
      <c r="D840" t="inlineStr">
        <is>
          <t>VÄSTERNORRLANDS LÄN</t>
        </is>
      </c>
      <c r="E840" t="inlineStr">
        <is>
          <t>TIMRÅ</t>
        </is>
      </c>
      <c r="G840" t="n">
        <v>5.9</v>
      </c>
      <c r="H840" t="n">
        <v>0</v>
      </c>
      <c r="I840" t="n">
        <v>0</v>
      </c>
      <c r="J840" t="n">
        <v>0</v>
      </c>
      <c r="K840" t="n">
        <v>0</v>
      </c>
      <c r="L840" t="n">
        <v>0</v>
      </c>
      <c r="M840" t="n">
        <v>0</v>
      </c>
      <c r="N840" t="n">
        <v>0</v>
      </c>
      <c r="O840" t="n">
        <v>0</v>
      </c>
      <c r="P840" t="n">
        <v>0</v>
      </c>
      <c r="Q840" t="n">
        <v>0</v>
      </c>
      <c r="R840" s="2" t="inlineStr"/>
    </row>
    <row r="841" ht="15" customHeight="1">
      <c r="A841" t="inlineStr">
        <is>
          <t>A 56285-2024</t>
        </is>
      </c>
      <c r="B841" s="1" t="n">
        <v>45624</v>
      </c>
      <c r="C841" s="1" t="n">
        <v>45831</v>
      </c>
      <c r="D841" t="inlineStr">
        <is>
          <t>VÄSTERNORRLANDS LÄN</t>
        </is>
      </c>
      <c r="E841" t="inlineStr">
        <is>
          <t>TIMRÅ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56442-2024</t>
        </is>
      </c>
      <c r="B842" s="1" t="n">
        <v>45625</v>
      </c>
      <c r="C842" s="1" t="n">
        <v>45831</v>
      </c>
      <c r="D842" t="inlineStr">
        <is>
          <t>VÄSTERNORRLANDS LÄN</t>
        </is>
      </c>
      <c r="E842" t="inlineStr">
        <is>
          <t>TIMRÅ</t>
        </is>
      </c>
      <c r="G842" t="n">
        <v>2.6</v>
      </c>
      <c r="H842" t="n">
        <v>0</v>
      </c>
      <c r="I842" t="n">
        <v>0</v>
      </c>
      <c r="J842" t="n">
        <v>0</v>
      </c>
      <c r="K842" t="n">
        <v>0</v>
      </c>
      <c r="L842" t="n">
        <v>0</v>
      </c>
      <c r="M842" t="n">
        <v>0</v>
      </c>
      <c r="N842" t="n">
        <v>0</v>
      </c>
      <c r="O842" t="n">
        <v>0</v>
      </c>
      <c r="P842" t="n">
        <v>0</v>
      </c>
      <c r="Q842" t="n">
        <v>0</v>
      </c>
      <c r="R842" s="2" t="inlineStr"/>
    </row>
    <row r="843" ht="15" customHeight="1">
      <c r="A843" t="inlineStr">
        <is>
          <t>A 56443-2024</t>
        </is>
      </c>
      <c r="B843" s="1" t="n">
        <v>45625</v>
      </c>
      <c r="C843" s="1" t="n">
        <v>45831</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57063-2024</t>
        </is>
      </c>
      <c r="B844" s="1" t="n">
        <v>45629</v>
      </c>
      <c r="C844" s="1" t="n">
        <v>45831</v>
      </c>
      <c r="D844" t="inlineStr">
        <is>
          <t>VÄSTERNORRLANDS LÄN</t>
        </is>
      </c>
      <c r="E844" t="inlineStr">
        <is>
          <t>TIMRÅ</t>
        </is>
      </c>
      <c r="G844" t="n">
        <v>2.7</v>
      </c>
      <c r="H844" t="n">
        <v>0</v>
      </c>
      <c r="I844" t="n">
        <v>0</v>
      </c>
      <c r="J844" t="n">
        <v>0</v>
      </c>
      <c r="K844" t="n">
        <v>0</v>
      </c>
      <c r="L844" t="n">
        <v>0</v>
      </c>
      <c r="M844" t="n">
        <v>0</v>
      </c>
      <c r="N844" t="n">
        <v>0</v>
      </c>
      <c r="O844" t="n">
        <v>0</v>
      </c>
      <c r="P844" t="n">
        <v>0</v>
      </c>
      <c r="Q844" t="n">
        <v>0</v>
      </c>
      <c r="R844" s="2" t="inlineStr"/>
    </row>
    <row r="845" ht="15" customHeight="1">
      <c r="A845" t="inlineStr">
        <is>
          <t>A 57316-2024</t>
        </is>
      </c>
      <c r="B845" s="1" t="n">
        <v>45629</v>
      </c>
      <c r="C845" s="1" t="n">
        <v>45831</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58755-2024</t>
        </is>
      </c>
      <c r="B846" s="1" t="n">
        <v>45635</v>
      </c>
      <c r="C846" s="1" t="n">
        <v>45831</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58759-2024</t>
        </is>
      </c>
      <c r="B847" s="1" t="n">
        <v>45635</v>
      </c>
      <c r="C847" s="1" t="n">
        <v>45831</v>
      </c>
      <c r="D847" t="inlineStr">
        <is>
          <t>VÄSTERNORRLANDS LÄN</t>
        </is>
      </c>
      <c r="E847" t="inlineStr">
        <is>
          <t>TIMRÅ</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58752-2024</t>
        </is>
      </c>
      <c r="B848" s="1" t="n">
        <v>45635</v>
      </c>
      <c r="C848" s="1" t="n">
        <v>45831</v>
      </c>
      <c r="D848" t="inlineStr">
        <is>
          <t>VÄSTERNORRLANDS LÄN</t>
        </is>
      </c>
      <c r="E848" t="inlineStr">
        <is>
          <t>TIMRÅ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58760-2024</t>
        </is>
      </c>
      <c r="B849" s="1" t="n">
        <v>45635</v>
      </c>
      <c r="C849" s="1" t="n">
        <v>45831</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58754-2024</t>
        </is>
      </c>
      <c r="B850" s="1" t="n">
        <v>45635</v>
      </c>
      <c r="C850" s="1" t="n">
        <v>45831</v>
      </c>
      <c r="D850" t="inlineStr">
        <is>
          <t>VÄSTERNORRLANDS LÄN</t>
        </is>
      </c>
      <c r="E850" t="inlineStr">
        <is>
          <t>TIMRÅ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58930-2024</t>
        </is>
      </c>
      <c r="B851" s="1" t="n">
        <v>45636</v>
      </c>
      <c r="C851" s="1" t="n">
        <v>45831</v>
      </c>
      <c r="D851" t="inlineStr">
        <is>
          <t>VÄSTERNORRLANDS LÄN</t>
        </is>
      </c>
      <c r="E851" t="inlineStr">
        <is>
          <t>TIMRÅ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58879-2024</t>
        </is>
      </c>
      <c r="B852" s="1" t="n">
        <v>45636</v>
      </c>
      <c r="C852" s="1" t="n">
        <v>45831</v>
      </c>
      <c r="D852" t="inlineStr">
        <is>
          <t>VÄSTERNORRLANDS LÄN</t>
        </is>
      </c>
      <c r="E852" t="inlineStr">
        <is>
          <t>TIMRÅ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58866-2024</t>
        </is>
      </c>
      <c r="B853" s="1" t="n">
        <v>45636</v>
      </c>
      <c r="C853" s="1" t="n">
        <v>45831</v>
      </c>
      <c r="D853" t="inlineStr">
        <is>
          <t>VÄSTERNORRLANDS LÄN</t>
        </is>
      </c>
      <c r="E853" t="inlineStr">
        <is>
          <t>TIMRÅ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59189-2024</t>
        </is>
      </c>
      <c r="B854" s="1" t="n">
        <v>45637</v>
      </c>
      <c r="C854" s="1" t="n">
        <v>45831</v>
      </c>
      <c r="D854" t="inlineStr">
        <is>
          <t>VÄSTERNORRLANDS LÄN</t>
        </is>
      </c>
      <c r="E854" t="inlineStr">
        <is>
          <t>TIMRÅ</t>
        </is>
      </c>
      <c r="G854" t="n">
        <v>1.7</v>
      </c>
      <c r="H854" t="n">
        <v>0</v>
      </c>
      <c r="I854" t="n">
        <v>0</v>
      </c>
      <c r="J854" t="n">
        <v>0</v>
      </c>
      <c r="K854" t="n">
        <v>0</v>
      </c>
      <c r="L854" t="n">
        <v>0</v>
      </c>
      <c r="M854" t="n">
        <v>0</v>
      </c>
      <c r="N854" t="n">
        <v>0</v>
      </c>
      <c r="O854" t="n">
        <v>0</v>
      </c>
      <c r="P854" t="n">
        <v>0</v>
      </c>
      <c r="Q854" t="n">
        <v>0</v>
      </c>
      <c r="R854" s="2" t="inlineStr"/>
    </row>
    <row r="855" ht="15" customHeight="1">
      <c r="A855" t="inlineStr">
        <is>
          <t>A 59894-2024</t>
        </is>
      </c>
      <c r="B855" s="1" t="n">
        <v>45641</v>
      </c>
      <c r="C855" s="1" t="n">
        <v>45831</v>
      </c>
      <c r="D855" t="inlineStr">
        <is>
          <t>VÄSTERNORRLANDS LÄN</t>
        </is>
      </c>
      <c r="E855" t="inlineStr">
        <is>
          <t>TIMRÅ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60696-2024</t>
        </is>
      </c>
      <c r="B856" s="1" t="n">
        <v>45642</v>
      </c>
      <c r="C856" s="1" t="n">
        <v>45831</v>
      </c>
      <c r="D856" t="inlineStr">
        <is>
          <t>VÄSTERNORRLANDS LÄN</t>
        </is>
      </c>
      <c r="E856" t="inlineStr">
        <is>
          <t>TIMRÅ</t>
        </is>
      </c>
      <c r="G856" t="n">
        <v>1</v>
      </c>
      <c r="H856" t="n">
        <v>0</v>
      </c>
      <c r="I856" t="n">
        <v>0</v>
      </c>
      <c r="J856" t="n">
        <v>0</v>
      </c>
      <c r="K856" t="n">
        <v>0</v>
      </c>
      <c r="L856" t="n">
        <v>0</v>
      </c>
      <c r="M856" t="n">
        <v>0</v>
      </c>
      <c r="N856" t="n">
        <v>0</v>
      </c>
      <c r="O856" t="n">
        <v>0</v>
      </c>
      <c r="P856" t="n">
        <v>0</v>
      </c>
      <c r="Q856" t="n">
        <v>0</v>
      </c>
      <c r="R856" s="2" t="inlineStr"/>
    </row>
    <row r="857" ht="15" customHeight="1">
      <c r="A857" t="inlineStr">
        <is>
          <t>A 60681-2024</t>
        </is>
      </c>
      <c r="B857" s="1" t="n">
        <v>45642</v>
      </c>
      <c r="C857" s="1" t="n">
        <v>45831</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c r="U857">
        <f>HYPERLINK("https://klasma.github.io/Logging_2262/knärot/A 60681-2024 karta knärot.png", "A 60681-2024")</f>
        <v/>
      </c>
      <c r="V857">
        <f>HYPERLINK("https://klasma.github.io/Logging_2262/klagomål/A 60681-2024 FSC-klagomål.docx", "A 60681-2024")</f>
        <v/>
      </c>
      <c r="W857">
        <f>HYPERLINK("https://klasma.github.io/Logging_2262/klagomålsmail/A 60681-2024 FSC-klagomål mail.docx", "A 60681-2024")</f>
        <v/>
      </c>
      <c r="X857">
        <f>HYPERLINK("https://klasma.github.io/Logging_2262/tillsyn/A 60681-2024 tillsynsbegäran.docx", "A 60681-2024")</f>
        <v/>
      </c>
      <c r="Y857">
        <f>HYPERLINK("https://klasma.github.io/Logging_2262/tillsynsmail/A 60681-2024 tillsynsbegäran mail.docx", "A 60681-2024")</f>
        <v/>
      </c>
    </row>
    <row r="858" ht="15" customHeight="1">
      <c r="A858" t="inlineStr">
        <is>
          <t>A 60110-2024</t>
        </is>
      </c>
      <c r="B858" s="1" t="n">
        <v>45642</v>
      </c>
      <c r="C858" s="1" t="n">
        <v>45831</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60111-2024</t>
        </is>
      </c>
      <c r="B859" s="1" t="n">
        <v>45642</v>
      </c>
      <c r="C859" s="1" t="n">
        <v>45831</v>
      </c>
      <c r="D859" t="inlineStr">
        <is>
          <t>VÄSTERNORRLANDS LÄN</t>
        </is>
      </c>
      <c r="E859" t="inlineStr">
        <is>
          <t>TIMRÅ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59948-2024</t>
        </is>
      </c>
      <c r="B860" s="1" t="n">
        <v>45642</v>
      </c>
      <c r="C860" s="1" t="n">
        <v>45831</v>
      </c>
      <c r="D860" t="inlineStr">
        <is>
          <t>VÄSTERNORRLANDS LÄN</t>
        </is>
      </c>
      <c r="E860" t="inlineStr">
        <is>
          <t>TIMRÅ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59995-2024</t>
        </is>
      </c>
      <c r="B861" s="1" t="n">
        <v>45642</v>
      </c>
      <c r="C861" s="1" t="n">
        <v>45831</v>
      </c>
      <c r="D861" t="inlineStr">
        <is>
          <t>VÄSTERNORRLANDS LÄN</t>
        </is>
      </c>
      <c r="E861" t="inlineStr">
        <is>
          <t>TIMRÅ</t>
        </is>
      </c>
      <c r="F861" t="inlineStr">
        <is>
          <t>SCA</t>
        </is>
      </c>
      <c r="G861" t="n">
        <v>19.6</v>
      </c>
      <c r="H861" t="n">
        <v>0</v>
      </c>
      <c r="I861" t="n">
        <v>0</v>
      </c>
      <c r="J861" t="n">
        <v>0</v>
      </c>
      <c r="K861" t="n">
        <v>0</v>
      </c>
      <c r="L861" t="n">
        <v>0</v>
      </c>
      <c r="M861" t="n">
        <v>0</v>
      </c>
      <c r="N861" t="n">
        <v>0</v>
      </c>
      <c r="O861" t="n">
        <v>0</v>
      </c>
      <c r="P861" t="n">
        <v>0</v>
      </c>
      <c r="Q861" t="n">
        <v>0</v>
      </c>
      <c r="R861" s="2" t="inlineStr"/>
    </row>
    <row r="862" ht="15" customHeight="1">
      <c r="A862" t="inlineStr">
        <is>
          <t>A 60761-2024</t>
        </is>
      </c>
      <c r="B862" s="1" t="n">
        <v>45644</v>
      </c>
      <c r="C862" s="1" t="n">
        <v>45831</v>
      </c>
      <c r="D862" t="inlineStr">
        <is>
          <t>VÄSTERNORRLANDS LÄN</t>
        </is>
      </c>
      <c r="E862" t="inlineStr">
        <is>
          <t>TIMRÅ</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60751-2024</t>
        </is>
      </c>
      <c r="B863" s="1" t="n">
        <v>45644</v>
      </c>
      <c r="C863" s="1" t="n">
        <v>45831</v>
      </c>
      <c r="D863" t="inlineStr">
        <is>
          <t>VÄSTERNORRLANDS LÄN</t>
        </is>
      </c>
      <c r="E863" t="inlineStr">
        <is>
          <t>TIMRÅ</t>
        </is>
      </c>
      <c r="G863" t="n">
        <v>3.1</v>
      </c>
      <c r="H863" t="n">
        <v>0</v>
      </c>
      <c r="I863" t="n">
        <v>0</v>
      </c>
      <c r="J863" t="n">
        <v>0</v>
      </c>
      <c r="K863" t="n">
        <v>0</v>
      </c>
      <c r="L863" t="n">
        <v>0</v>
      </c>
      <c r="M863" t="n">
        <v>0</v>
      </c>
      <c r="N863" t="n">
        <v>0</v>
      </c>
      <c r="O863" t="n">
        <v>0</v>
      </c>
      <c r="P863" t="n">
        <v>0</v>
      </c>
      <c r="Q863" t="n">
        <v>0</v>
      </c>
      <c r="R863" s="2" t="inlineStr"/>
    </row>
    <row r="864" ht="15" customHeight="1">
      <c r="A864" t="inlineStr">
        <is>
          <t>A 61166-2024</t>
        </is>
      </c>
      <c r="B864" s="1" t="n">
        <v>45645</v>
      </c>
      <c r="C864" s="1" t="n">
        <v>45831</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61484-2024</t>
        </is>
      </c>
      <c r="B865" s="1" t="n">
        <v>45646</v>
      </c>
      <c r="C865" s="1" t="n">
        <v>45831</v>
      </c>
      <c r="D865" t="inlineStr">
        <is>
          <t>VÄSTERNORRLANDS LÄN</t>
        </is>
      </c>
      <c r="E865" t="inlineStr">
        <is>
          <t>TIMRÅ</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61620-2024</t>
        </is>
      </c>
      <c r="B866" s="1" t="n">
        <v>45646</v>
      </c>
      <c r="C866" s="1" t="n">
        <v>45831</v>
      </c>
      <c r="D866" t="inlineStr">
        <is>
          <t>VÄSTERNORRLANDS LÄN</t>
        </is>
      </c>
      <c r="E866" t="inlineStr">
        <is>
          <t>TIMRÅ</t>
        </is>
      </c>
      <c r="G866" t="n">
        <v>1.4</v>
      </c>
      <c r="H866" t="n">
        <v>0</v>
      </c>
      <c r="I866" t="n">
        <v>0</v>
      </c>
      <c r="J866" t="n">
        <v>0</v>
      </c>
      <c r="K866" t="n">
        <v>0</v>
      </c>
      <c r="L866" t="n">
        <v>0</v>
      </c>
      <c r="M866" t="n">
        <v>0</v>
      </c>
      <c r="N866" t="n">
        <v>0</v>
      </c>
      <c r="O866" t="n">
        <v>0</v>
      </c>
      <c r="P866" t="n">
        <v>0</v>
      </c>
      <c r="Q866" t="n">
        <v>0</v>
      </c>
      <c r="R866" s="2" t="inlineStr"/>
    </row>
    <row r="867" ht="15" customHeight="1">
      <c r="A867" t="inlineStr">
        <is>
          <t>A 61821-2024</t>
        </is>
      </c>
      <c r="B867" s="1" t="n">
        <v>45649</v>
      </c>
      <c r="C867" s="1" t="n">
        <v>45831</v>
      </c>
      <c r="D867" t="inlineStr">
        <is>
          <t>VÄSTERNORRLANDS LÄN</t>
        </is>
      </c>
      <c r="E867" t="inlineStr">
        <is>
          <t>TIMRÅ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62133-2024</t>
        </is>
      </c>
      <c r="B868" s="1" t="n">
        <v>45656</v>
      </c>
      <c r="C868" s="1" t="n">
        <v>45831</v>
      </c>
      <c r="D868" t="inlineStr">
        <is>
          <t>VÄSTERNORRLANDS LÄN</t>
        </is>
      </c>
      <c r="E868" t="inlineStr">
        <is>
          <t>TIMRÅ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465-2025</t>
        </is>
      </c>
      <c r="B869" s="1" t="n">
        <v>45664</v>
      </c>
      <c r="C869" s="1" t="n">
        <v>45831</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472-2025</t>
        </is>
      </c>
      <c r="B870" s="1" t="n">
        <v>45664</v>
      </c>
      <c r="C870" s="1" t="n">
        <v>45831</v>
      </c>
      <c r="D870" t="inlineStr">
        <is>
          <t>VÄSTERNORRLANDS LÄN</t>
        </is>
      </c>
      <c r="E870" t="inlineStr">
        <is>
          <t>TIMRÅ</t>
        </is>
      </c>
      <c r="G870" t="n">
        <v>14.3</v>
      </c>
      <c r="H870" t="n">
        <v>0</v>
      </c>
      <c r="I870" t="n">
        <v>0</v>
      </c>
      <c r="J870" t="n">
        <v>0</v>
      </c>
      <c r="K870" t="n">
        <v>0</v>
      </c>
      <c r="L870" t="n">
        <v>0</v>
      </c>
      <c r="M870" t="n">
        <v>0</v>
      </c>
      <c r="N870" t="n">
        <v>0</v>
      </c>
      <c r="O870" t="n">
        <v>0</v>
      </c>
      <c r="P870" t="n">
        <v>0</v>
      </c>
      <c r="Q870" t="n">
        <v>0</v>
      </c>
      <c r="R870" s="2" t="inlineStr"/>
    </row>
    <row r="871" ht="15" customHeight="1">
      <c r="A871" t="inlineStr">
        <is>
          <t>A 1380-2025</t>
        </is>
      </c>
      <c r="B871" s="1" t="n">
        <v>45667</v>
      </c>
      <c r="C871" s="1" t="n">
        <v>45831</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1388-2025</t>
        </is>
      </c>
      <c r="B872" s="1" t="n">
        <v>45667</v>
      </c>
      <c r="C872" s="1" t="n">
        <v>45831</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1386-2025</t>
        </is>
      </c>
      <c r="B873" s="1" t="n">
        <v>45667</v>
      </c>
      <c r="C873" s="1" t="n">
        <v>45831</v>
      </c>
      <c r="D873" t="inlineStr">
        <is>
          <t>VÄSTERNORRLANDS LÄN</t>
        </is>
      </c>
      <c r="E873" t="inlineStr">
        <is>
          <t>TIMRÅ</t>
        </is>
      </c>
      <c r="G873" t="n">
        <v>0.7</v>
      </c>
      <c r="H873" t="n">
        <v>0</v>
      </c>
      <c r="I873" t="n">
        <v>0</v>
      </c>
      <c r="J873" t="n">
        <v>0</v>
      </c>
      <c r="K873" t="n">
        <v>0</v>
      </c>
      <c r="L873" t="n">
        <v>0</v>
      </c>
      <c r="M873" t="n">
        <v>0</v>
      </c>
      <c r="N873" t="n">
        <v>0</v>
      </c>
      <c r="O873" t="n">
        <v>0</v>
      </c>
      <c r="P873" t="n">
        <v>0</v>
      </c>
      <c r="Q873" t="n">
        <v>0</v>
      </c>
      <c r="R873" s="2" t="inlineStr"/>
    </row>
    <row r="874" ht="15" customHeight="1">
      <c r="A874" t="inlineStr">
        <is>
          <t>A 1818-2025</t>
        </is>
      </c>
      <c r="B874" s="1" t="n">
        <v>45671</v>
      </c>
      <c r="C874" s="1" t="n">
        <v>45831</v>
      </c>
      <c r="D874" t="inlineStr">
        <is>
          <t>VÄSTERNORRLANDS LÄN</t>
        </is>
      </c>
      <c r="E874" t="inlineStr">
        <is>
          <t>TIMRÅ</t>
        </is>
      </c>
      <c r="G874" t="n">
        <v>0.8</v>
      </c>
      <c r="H874" t="n">
        <v>0</v>
      </c>
      <c r="I874" t="n">
        <v>0</v>
      </c>
      <c r="J874" t="n">
        <v>0</v>
      </c>
      <c r="K874" t="n">
        <v>0</v>
      </c>
      <c r="L874" t="n">
        <v>0</v>
      </c>
      <c r="M874" t="n">
        <v>0</v>
      </c>
      <c r="N874" t="n">
        <v>0</v>
      </c>
      <c r="O874" t="n">
        <v>0</v>
      </c>
      <c r="P874" t="n">
        <v>0</v>
      </c>
      <c r="Q874" t="n">
        <v>0</v>
      </c>
      <c r="R874" s="2" t="inlineStr"/>
    </row>
    <row r="875" ht="15" customHeight="1">
      <c r="A875" t="inlineStr">
        <is>
          <t>A 1826-2025</t>
        </is>
      </c>
      <c r="B875" s="1" t="n">
        <v>45671</v>
      </c>
      <c r="C875" s="1" t="n">
        <v>45831</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1842-2025</t>
        </is>
      </c>
      <c r="B876" s="1" t="n">
        <v>45671</v>
      </c>
      <c r="C876" s="1" t="n">
        <v>45831</v>
      </c>
      <c r="D876" t="inlineStr">
        <is>
          <t>VÄSTERNORRLANDS LÄN</t>
        </is>
      </c>
      <c r="E876" t="inlineStr">
        <is>
          <t>TIMRÅ</t>
        </is>
      </c>
      <c r="G876" t="n">
        <v>2.1</v>
      </c>
      <c r="H876" t="n">
        <v>0</v>
      </c>
      <c r="I876" t="n">
        <v>0</v>
      </c>
      <c r="J876" t="n">
        <v>0</v>
      </c>
      <c r="K876" t="n">
        <v>0</v>
      </c>
      <c r="L876" t="n">
        <v>0</v>
      </c>
      <c r="M876" t="n">
        <v>0</v>
      </c>
      <c r="N876" t="n">
        <v>0</v>
      </c>
      <c r="O876" t="n">
        <v>0</v>
      </c>
      <c r="P876" t="n">
        <v>0</v>
      </c>
      <c r="Q876" t="n">
        <v>0</v>
      </c>
      <c r="R876" s="2" t="inlineStr"/>
    </row>
    <row r="877" ht="15" customHeight="1">
      <c r="A877" t="inlineStr">
        <is>
          <t>A 1817-2025</t>
        </is>
      </c>
      <c r="B877" s="1" t="n">
        <v>45671</v>
      </c>
      <c r="C877" s="1" t="n">
        <v>45831</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1825-2025</t>
        </is>
      </c>
      <c r="B878" s="1" t="n">
        <v>45671</v>
      </c>
      <c r="C878" s="1" t="n">
        <v>45831</v>
      </c>
      <c r="D878" t="inlineStr">
        <is>
          <t>VÄSTERNORRLANDS LÄN</t>
        </is>
      </c>
      <c r="E878" t="inlineStr">
        <is>
          <t>TIMRÅ</t>
        </is>
      </c>
      <c r="G878" t="n">
        <v>2</v>
      </c>
      <c r="H878" t="n">
        <v>0</v>
      </c>
      <c r="I878" t="n">
        <v>0</v>
      </c>
      <c r="J878" t="n">
        <v>0</v>
      </c>
      <c r="K878" t="n">
        <v>0</v>
      </c>
      <c r="L878" t="n">
        <v>0</v>
      </c>
      <c r="M878" t="n">
        <v>0</v>
      </c>
      <c r="N878" t="n">
        <v>0</v>
      </c>
      <c r="O878" t="n">
        <v>0</v>
      </c>
      <c r="P878" t="n">
        <v>0</v>
      </c>
      <c r="Q878" t="n">
        <v>0</v>
      </c>
      <c r="R878" s="2" t="inlineStr"/>
    </row>
    <row r="879" ht="15" customHeight="1">
      <c r="A879" t="inlineStr">
        <is>
          <t>A 2403-2025</t>
        </is>
      </c>
      <c r="B879" s="1" t="n">
        <v>45672</v>
      </c>
      <c r="C879" s="1" t="n">
        <v>45831</v>
      </c>
      <c r="D879" t="inlineStr">
        <is>
          <t>VÄSTERNORRLANDS LÄN</t>
        </is>
      </c>
      <c r="E879" t="inlineStr">
        <is>
          <t>TIMRÅ</t>
        </is>
      </c>
      <c r="G879" t="n">
        <v>3.4</v>
      </c>
      <c r="H879" t="n">
        <v>0</v>
      </c>
      <c r="I879" t="n">
        <v>0</v>
      </c>
      <c r="J879" t="n">
        <v>0</v>
      </c>
      <c r="K879" t="n">
        <v>0</v>
      </c>
      <c r="L879" t="n">
        <v>0</v>
      </c>
      <c r="M879" t="n">
        <v>0</v>
      </c>
      <c r="N879" t="n">
        <v>0</v>
      </c>
      <c r="O879" t="n">
        <v>0</v>
      </c>
      <c r="P879" t="n">
        <v>0</v>
      </c>
      <c r="Q879" t="n">
        <v>0</v>
      </c>
      <c r="R879" s="2" t="inlineStr"/>
    </row>
    <row r="880" ht="15" customHeight="1">
      <c r="A880" t="inlineStr">
        <is>
          <t>A 2123-2025</t>
        </is>
      </c>
      <c r="B880" s="1" t="n">
        <v>45672</v>
      </c>
      <c r="C880" s="1" t="n">
        <v>45831</v>
      </c>
      <c r="D880" t="inlineStr">
        <is>
          <t>VÄSTERNORRLANDS LÄN</t>
        </is>
      </c>
      <c r="E880" t="inlineStr">
        <is>
          <t>TIMRÅ</t>
        </is>
      </c>
      <c r="G880" t="n">
        <v>2.4</v>
      </c>
      <c r="H880" t="n">
        <v>0</v>
      </c>
      <c r="I880" t="n">
        <v>0</v>
      </c>
      <c r="J880" t="n">
        <v>0</v>
      </c>
      <c r="K880" t="n">
        <v>0</v>
      </c>
      <c r="L880" t="n">
        <v>0</v>
      </c>
      <c r="M880" t="n">
        <v>0</v>
      </c>
      <c r="N880" t="n">
        <v>0</v>
      </c>
      <c r="O880" t="n">
        <v>0</v>
      </c>
      <c r="P880" t="n">
        <v>0</v>
      </c>
      <c r="Q880" t="n">
        <v>0</v>
      </c>
      <c r="R880" s="2" t="inlineStr"/>
    </row>
    <row r="881" ht="15" customHeight="1">
      <c r="A881" t="inlineStr">
        <is>
          <t>A 2733-2025</t>
        </is>
      </c>
      <c r="B881" s="1" t="n">
        <v>45677</v>
      </c>
      <c r="C881" s="1" t="n">
        <v>45831</v>
      </c>
      <c r="D881" t="inlineStr">
        <is>
          <t>VÄSTERNORRLANDS LÄN</t>
        </is>
      </c>
      <c r="E881" t="inlineStr">
        <is>
          <t>TIMRÅ</t>
        </is>
      </c>
      <c r="F881" t="inlineStr">
        <is>
          <t>SCA</t>
        </is>
      </c>
      <c r="G881" t="n">
        <v>27.8</v>
      </c>
      <c r="H881" t="n">
        <v>0</v>
      </c>
      <c r="I881" t="n">
        <v>0</v>
      </c>
      <c r="J881" t="n">
        <v>0</v>
      </c>
      <c r="K881" t="n">
        <v>0</v>
      </c>
      <c r="L881" t="n">
        <v>0</v>
      </c>
      <c r="M881" t="n">
        <v>0</v>
      </c>
      <c r="N881" t="n">
        <v>0</v>
      </c>
      <c r="O881" t="n">
        <v>0</v>
      </c>
      <c r="P881" t="n">
        <v>0</v>
      </c>
      <c r="Q881" t="n">
        <v>0</v>
      </c>
      <c r="R881" s="2" t="inlineStr"/>
    </row>
    <row r="882" ht="15" customHeight="1">
      <c r="A882" t="inlineStr">
        <is>
          <t>A 4863-2025</t>
        </is>
      </c>
      <c r="B882" s="1" t="n">
        <v>45688</v>
      </c>
      <c r="C882" s="1" t="n">
        <v>45831</v>
      </c>
      <c r="D882" t="inlineStr">
        <is>
          <t>VÄSTERNORRLANDS LÄN</t>
        </is>
      </c>
      <c r="E882" t="inlineStr">
        <is>
          <t>TIMRÅ</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5207-2025</t>
        </is>
      </c>
      <c r="B883" s="1" t="n">
        <v>45691</v>
      </c>
      <c r="C883" s="1" t="n">
        <v>45831</v>
      </c>
      <c r="D883" t="inlineStr">
        <is>
          <t>VÄSTERNORRLANDS LÄN</t>
        </is>
      </c>
      <c r="E883" t="inlineStr">
        <is>
          <t>TIMRÅ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5211-2025</t>
        </is>
      </c>
      <c r="B884" s="1" t="n">
        <v>45691</v>
      </c>
      <c r="C884" s="1" t="n">
        <v>45831</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5168-2025</t>
        </is>
      </c>
      <c r="B885" s="1" t="n">
        <v>45691</v>
      </c>
      <c r="C885" s="1" t="n">
        <v>45831</v>
      </c>
      <c r="D885" t="inlineStr">
        <is>
          <t>VÄSTERNORRLANDS LÄN</t>
        </is>
      </c>
      <c r="E885" t="inlineStr">
        <is>
          <t>TIMRÅ</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5208-2025</t>
        </is>
      </c>
      <c r="B886" s="1" t="n">
        <v>45691</v>
      </c>
      <c r="C886" s="1" t="n">
        <v>45831</v>
      </c>
      <c r="D886" t="inlineStr">
        <is>
          <t>VÄSTERNORRLANDS LÄN</t>
        </is>
      </c>
      <c r="E886" t="inlineStr">
        <is>
          <t>TIMRÅ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5213-2025</t>
        </is>
      </c>
      <c r="B887" s="1" t="n">
        <v>45691</v>
      </c>
      <c r="C887" s="1" t="n">
        <v>45831</v>
      </c>
      <c r="D887" t="inlineStr">
        <is>
          <t>VÄSTERNORRLANDS LÄN</t>
        </is>
      </c>
      <c r="E887" t="inlineStr">
        <is>
          <t>TIMRÅ</t>
        </is>
      </c>
      <c r="G887" t="n">
        <v>2.2</v>
      </c>
      <c r="H887" t="n">
        <v>0</v>
      </c>
      <c r="I887" t="n">
        <v>0</v>
      </c>
      <c r="J887" t="n">
        <v>0</v>
      </c>
      <c r="K887" t="n">
        <v>0</v>
      </c>
      <c r="L887" t="n">
        <v>0</v>
      </c>
      <c r="M887" t="n">
        <v>0</v>
      </c>
      <c r="N887" t="n">
        <v>0</v>
      </c>
      <c r="O887" t="n">
        <v>0</v>
      </c>
      <c r="P887" t="n">
        <v>0</v>
      </c>
      <c r="Q887" t="n">
        <v>0</v>
      </c>
      <c r="R887" s="2" t="inlineStr"/>
    </row>
    <row r="888" ht="15" customHeight="1">
      <c r="A888" t="inlineStr">
        <is>
          <t>A 5315-2025</t>
        </is>
      </c>
      <c r="B888" s="1" t="n">
        <v>45692</v>
      </c>
      <c r="C888" s="1" t="n">
        <v>45831</v>
      </c>
      <c r="D888" t="inlineStr">
        <is>
          <t>VÄSTERNORRLANDS LÄN</t>
        </is>
      </c>
      <c r="E888" t="inlineStr">
        <is>
          <t>TIMRÅ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5489-2025</t>
        </is>
      </c>
      <c r="B889" s="1" t="n">
        <v>45693</v>
      </c>
      <c r="C889" s="1" t="n">
        <v>45831</v>
      </c>
      <c r="D889" t="inlineStr">
        <is>
          <t>VÄSTERNORRLANDS LÄN</t>
        </is>
      </c>
      <c r="E889" t="inlineStr">
        <is>
          <t>TIMRÅ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5763-2025</t>
        </is>
      </c>
      <c r="B890" s="1" t="n">
        <v>45694</v>
      </c>
      <c r="C890" s="1" t="n">
        <v>45831</v>
      </c>
      <c r="D890" t="inlineStr">
        <is>
          <t>VÄSTERNORRLANDS LÄN</t>
        </is>
      </c>
      <c r="E890" t="inlineStr">
        <is>
          <t>TIMRÅ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6055-2025</t>
        </is>
      </c>
      <c r="B891" s="1" t="n">
        <v>45695</v>
      </c>
      <c r="C891" s="1" t="n">
        <v>45831</v>
      </c>
      <c r="D891" t="inlineStr">
        <is>
          <t>VÄSTERNORRLANDS LÄN</t>
        </is>
      </c>
      <c r="E891" t="inlineStr">
        <is>
          <t>TIMRÅ</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6259-2025</t>
        </is>
      </c>
      <c r="B892" s="1" t="n">
        <v>45698</v>
      </c>
      <c r="C892" s="1" t="n">
        <v>45831</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6394-2025</t>
        </is>
      </c>
      <c r="B893" s="1" t="n">
        <v>45699</v>
      </c>
      <c r="C893" s="1" t="n">
        <v>45831</v>
      </c>
      <c r="D893" t="inlineStr">
        <is>
          <t>VÄSTERNORRLANDS LÄN</t>
        </is>
      </c>
      <c r="E893" t="inlineStr">
        <is>
          <t>TIMRÅ</t>
        </is>
      </c>
      <c r="G893" t="n">
        <v>2.9</v>
      </c>
      <c r="H893" t="n">
        <v>0</v>
      </c>
      <c r="I893" t="n">
        <v>0</v>
      </c>
      <c r="J893" t="n">
        <v>0</v>
      </c>
      <c r="K893" t="n">
        <v>0</v>
      </c>
      <c r="L893" t="n">
        <v>0</v>
      </c>
      <c r="M893" t="n">
        <v>0</v>
      </c>
      <c r="N893" t="n">
        <v>0</v>
      </c>
      <c r="O893" t="n">
        <v>0</v>
      </c>
      <c r="P893" t="n">
        <v>0</v>
      </c>
      <c r="Q893" t="n">
        <v>0</v>
      </c>
      <c r="R893" s="2" t="inlineStr"/>
    </row>
    <row r="894" ht="15" customHeight="1">
      <c r="A894" t="inlineStr">
        <is>
          <t>A 6424-2025</t>
        </is>
      </c>
      <c r="B894" s="1" t="n">
        <v>45699</v>
      </c>
      <c r="C894" s="1" t="n">
        <v>45831</v>
      </c>
      <c r="D894" t="inlineStr">
        <is>
          <t>VÄSTERNORRLANDS LÄN</t>
        </is>
      </c>
      <c r="E894" t="inlineStr">
        <is>
          <t>TIMRÅ</t>
        </is>
      </c>
      <c r="F894" t="inlineStr">
        <is>
          <t>SCA</t>
        </is>
      </c>
      <c r="G894" t="n">
        <v>15.7</v>
      </c>
      <c r="H894" t="n">
        <v>0</v>
      </c>
      <c r="I894" t="n">
        <v>0</v>
      </c>
      <c r="J894" t="n">
        <v>0</v>
      </c>
      <c r="K894" t="n">
        <v>0</v>
      </c>
      <c r="L894" t="n">
        <v>0</v>
      </c>
      <c r="M894" t="n">
        <v>0</v>
      </c>
      <c r="N894" t="n">
        <v>0</v>
      </c>
      <c r="O894" t="n">
        <v>0</v>
      </c>
      <c r="P894" t="n">
        <v>0</v>
      </c>
      <c r="Q894" t="n">
        <v>0</v>
      </c>
      <c r="R894" s="2" t="inlineStr"/>
    </row>
    <row r="895" ht="15" customHeight="1">
      <c r="A895" t="inlineStr">
        <is>
          <t>A 6814-2025</t>
        </is>
      </c>
      <c r="B895" s="1" t="n">
        <v>45700</v>
      </c>
      <c r="C895" s="1" t="n">
        <v>45831</v>
      </c>
      <c r="D895" t="inlineStr">
        <is>
          <t>VÄSTERNORRLANDS LÄN</t>
        </is>
      </c>
      <c r="E895" t="inlineStr">
        <is>
          <t>TIMRÅ</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7866-2025</t>
        </is>
      </c>
      <c r="B896" s="1" t="n">
        <v>45706</v>
      </c>
      <c r="C896" s="1" t="n">
        <v>45831</v>
      </c>
      <c r="D896" t="inlineStr">
        <is>
          <t>VÄSTERNORRLANDS LÄN</t>
        </is>
      </c>
      <c r="E896" t="inlineStr">
        <is>
          <t>TIMRÅ</t>
        </is>
      </c>
      <c r="F896" t="inlineStr">
        <is>
          <t>SCA</t>
        </is>
      </c>
      <c r="G896" t="n">
        <v>18.1</v>
      </c>
      <c r="H896" t="n">
        <v>0</v>
      </c>
      <c r="I896" t="n">
        <v>0</v>
      </c>
      <c r="J896" t="n">
        <v>0</v>
      </c>
      <c r="K896" t="n">
        <v>0</v>
      </c>
      <c r="L896" t="n">
        <v>0</v>
      </c>
      <c r="M896" t="n">
        <v>0</v>
      </c>
      <c r="N896" t="n">
        <v>0</v>
      </c>
      <c r="O896" t="n">
        <v>0</v>
      </c>
      <c r="P896" t="n">
        <v>0</v>
      </c>
      <c r="Q896" t="n">
        <v>0</v>
      </c>
      <c r="R896" s="2" t="inlineStr"/>
    </row>
    <row r="897" ht="15" customHeight="1">
      <c r="A897" t="inlineStr">
        <is>
          <t>A 8078-2025</t>
        </is>
      </c>
      <c r="B897" s="1" t="n">
        <v>45707</v>
      </c>
      <c r="C897" s="1" t="n">
        <v>45831</v>
      </c>
      <c r="D897" t="inlineStr">
        <is>
          <t>VÄSTERNORRLANDS LÄN</t>
        </is>
      </c>
      <c r="E897" t="inlineStr">
        <is>
          <t>TIMRÅ</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7963-2025</t>
        </is>
      </c>
      <c r="B898" s="1" t="n">
        <v>45707</v>
      </c>
      <c r="C898" s="1" t="n">
        <v>45831</v>
      </c>
      <c r="D898" t="inlineStr">
        <is>
          <t>VÄSTERNORRLANDS LÄN</t>
        </is>
      </c>
      <c r="E898" t="inlineStr">
        <is>
          <t>TIMRÅ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9717-2025</t>
        </is>
      </c>
      <c r="B899" s="1" t="n">
        <v>45716</v>
      </c>
      <c r="C899" s="1" t="n">
        <v>45831</v>
      </c>
      <c r="D899" t="inlineStr">
        <is>
          <t>VÄSTERNORRLANDS LÄN</t>
        </is>
      </c>
      <c r="E899" t="inlineStr">
        <is>
          <t>TIMRÅ</t>
        </is>
      </c>
      <c r="G899" t="n">
        <v>4.6</v>
      </c>
      <c r="H899" t="n">
        <v>0</v>
      </c>
      <c r="I899" t="n">
        <v>0</v>
      </c>
      <c r="J899" t="n">
        <v>0</v>
      </c>
      <c r="K899" t="n">
        <v>0</v>
      </c>
      <c r="L899" t="n">
        <v>0</v>
      </c>
      <c r="M899" t="n">
        <v>0</v>
      </c>
      <c r="N899" t="n">
        <v>0</v>
      </c>
      <c r="O899" t="n">
        <v>0</v>
      </c>
      <c r="P899" t="n">
        <v>0</v>
      </c>
      <c r="Q899" t="n">
        <v>0</v>
      </c>
      <c r="R899" s="2" t="inlineStr"/>
    </row>
    <row r="900" ht="15" customHeight="1">
      <c r="A900" t="inlineStr">
        <is>
          <t>A 10520-2025</t>
        </is>
      </c>
      <c r="B900" s="1" t="n">
        <v>45721</v>
      </c>
      <c r="C900" s="1" t="n">
        <v>45831</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10958-2025</t>
        </is>
      </c>
      <c r="B901" s="1" t="n">
        <v>45723</v>
      </c>
      <c r="C901" s="1" t="n">
        <v>45831</v>
      </c>
      <c r="D901" t="inlineStr">
        <is>
          <t>VÄSTERNORRLANDS LÄN</t>
        </is>
      </c>
      <c r="E901" t="inlineStr">
        <is>
          <t>TIMRÅ</t>
        </is>
      </c>
      <c r="G901" t="n">
        <v>0.9</v>
      </c>
      <c r="H901" t="n">
        <v>0</v>
      </c>
      <c r="I901" t="n">
        <v>0</v>
      </c>
      <c r="J901" t="n">
        <v>0</v>
      </c>
      <c r="K901" t="n">
        <v>0</v>
      </c>
      <c r="L901" t="n">
        <v>0</v>
      </c>
      <c r="M901" t="n">
        <v>0</v>
      </c>
      <c r="N901" t="n">
        <v>0</v>
      </c>
      <c r="O901" t="n">
        <v>0</v>
      </c>
      <c r="P901" t="n">
        <v>0</v>
      </c>
      <c r="Q901" t="n">
        <v>0</v>
      </c>
      <c r="R901" s="2" t="inlineStr"/>
    </row>
    <row r="902" ht="15" customHeight="1">
      <c r="A902" t="inlineStr">
        <is>
          <t>A 10947-2025</t>
        </is>
      </c>
      <c r="B902" s="1" t="n">
        <v>45723</v>
      </c>
      <c r="C902" s="1" t="n">
        <v>45831</v>
      </c>
      <c r="D902" t="inlineStr">
        <is>
          <t>VÄSTERNORRLANDS LÄN</t>
        </is>
      </c>
      <c r="E902" t="inlineStr">
        <is>
          <t>TIMRÅ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11625-2025</t>
        </is>
      </c>
      <c r="B903" s="1" t="n">
        <v>45727</v>
      </c>
      <c r="C903" s="1" t="n">
        <v>45831</v>
      </c>
      <c r="D903" t="inlineStr">
        <is>
          <t>VÄSTERNORRLANDS LÄN</t>
        </is>
      </c>
      <c r="E903" t="inlineStr">
        <is>
          <t>TIMRÅ</t>
        </is>
      </c>
      <c r="G903" t="n">
        <v>12.4</v>
      </c>
      <c r="H903" t="n">
        <v>0</v>
      </c>
      <c r="I903" t="n">
        <v>0</v>
      </c>
      <c r="J903" t="n">
        <v>0</v>
      </c>
      <c r="K903" t="n">
        <v>0</v>
      </c>
      <c r="L903" t="n">
        <v>0</v>
      </c>
      <c r="M903" t="n">
        <v>0</v>
      </c>
      <c r="N903" t="n">
        <v>0</v>
      </c>
      <c r="O903" t="n">
        <v>0</v>
      </c>
      <c r="P903" t="n">
        <v>0</v>
      </c>
      <c r="Q903" t="n">
        <v>0</v>
      </c>
      <c r="R903" s="2" t="inlineStr"/>
    </row>
    <row r="904" ht="15" customHeight="1">
      <c r="A904" t="inlineStr">
        <is>
          <t>A 11631-2025</t>
        </is>
      </c>
      <c r="B904" s="1" t="n">
        <v>45727</v>
      </c>
      <c r="C904" s="1" t="n">
        <v>45831</v>
      </c>
      <c r="D904" t="inlineStr">
        <is>
          <t>VÄSTERNORRLANDS LÄN</t>
        </is>
      </c>
      <c r="E904" t="inlineStr">
        <is>
          <t>TIMRÅ</t>
        </is>
      </c>
      <c r="G904" t="n">
        <v>6.6</v>
      </c>
      <c r="H904" t="n">
        <v>0</v>
      </c>
      <c r="I904" t="n">
        <v>0</v>
      </c>
      <c r="J904" t="n">
        <v>0</v>
      </c>
      <c r="K904" t="n">
        <v>0</v>
      </c>
      <c r="L904" t="n">
        <v>0</v>
      </c>
      <c r="M904" t="n">
        <v>0</v>
      </c>
      <c r="N904" t="n">
        <v>0</v>
      </c>
      <c r="O904" t="n">
        <v>0</v>
      </c>
      <c r="P904" t="n">
        <v>0</v>
      </c>
      <c r="Q904" t="n">
        <v>0</v>
      </c>
      <c r="R904" s="2" t="inlineStr"/>
    </row>
    <row r="905" ht="15" customHeight="1">
      <c r="A905" t="inlineStr">
        <is>
          <t>A 12786-2025</t>
        </is>
      </c>
      <c r="B905" s="1" t="n">
        <v>45733</v>
      </c>
      <c r="C905" s="1" t="n">
        <v>45831</v>
      </c>
      <c r="D905" t="inlineStr">
        <is>
          <t>VÄSTERNORRLANDS LÄN</t>
        </is>
      </c>
      <c r="E905" t="inlineStr">
        <is>
          <t>TIMRÅ</t>
        </is>
      </c>
      <c r="G905" t="n">
        <v>1.3</v>
      </c>
      <c r="H905" t="n">
        <v>0</v>
      </c>
      <c r="I905" t="n">
        <v>0</v>
      </c>
      <c r="J905" t="n">
        <v>0</v>
      </c>
      <c r="K905" t="n">
        <v>0</v>
      </c>
      <c r="L905" t="n">
        <v>0</v>
      </c>
      <c r="M905" t="n">
        <v>0</v>
      </c>
      <c r="N905" t="n">
        <v>0</v>
      </c>
      <c r="O905" t="n">
        <v>0</v>
      </c>
      <c r="P905" t="n">
        <v>0</v>
      </c>
      <c r="Q905" t="n">
        <v>0</v>
      </c>
      <c r="R905" s="2" t="inlineStr"/>
    </row>
    <row r="906" ht="15" customHeight="1">
      <c r="A906" t="inlineStr">
        <is>
          <t>A 13218-2025</t>
        </is>
      </c>
      <c r="B906" s="1" t="n">
        <v>45735</v>
      </c>
      <c r="C906" s="1" t="n">
        <v>45831</v>
      </c>
      <c r="D906" t="inlineStr">
        <is>
          <t>VÄSTERNORRLANDS LÄN</t>
        </is>
      </c>
      <c r="E906" t="inlineStr">
        <is>
          <t>TIMRÅ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13316-2025</t>
        </is>
      </c>
      <c r="B907" s="1" t="n">
        <v>45735</v>
      </c>
      <c r="C907" s="1" t="n">
        <v>45831</v>
      </c>
      <c r="D907" t="inlineStr">
        <is>
          <t>VÄSTERNORRLANDS LÄN</t>
        </is>
      </c>
      <c r="E907" t="inlineStr">
        <is>
          <t>TIMRÅ</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13251-2025</t>
        </is>
      </c>
      <c r="B908" s="1" t="n">
        <v>45735</v>
      </c>
      <c r="C908" s="1" t="n">
        <v>45831</v>
      </c>
      <c r="D908" t="inlineStr">
        <is>
          <t>VÄSTERNORRLANDS LÄN</t>
        </is>
      </c>
      <c r="E908" t="inlineStr">
        <is>
          <t>TIMRÅ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13642-2025</t>
        </is>
      </c>
      <c r="B909" s="1" t="n">
        <v>45736</v>
      </c>
      <c r="C909" s="1" t="n">
        <v>45831</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13862-2025</t>
        </is>
      </c>
      <c r="B910" s="1" t="n">
        <v>45737</v>
      </c>
      <c r="C910" s="1" t="n">
        <v>45831</v>
      </c>
      <c r="D910" t="inlineStr">
        <is>
          <t>VÄSTERNORRLANDS LÄN</t>
        </is>
      </c>
      <c r="E910" t="inlineStr">
        <is>
          <t>TIMRÅ</t>
        </is>
      </c>
      <c r="F910" t="inlineStr">
        <is>
          <t>SCA</t>
        </is>
      </c>
      <c r="G910" t="n">
        <v>8.6</v>
      </c>
      <c r="H910" t="n">
        <v>0</v>
      </c>
      <c r="I910" t="n">
        <v>0</v>
      </c>
      <c r="J910" t="n">
        <v>0</v>
      </c>
      <c r="K910" t="n">
        <v>0</v>
      </c>
      <c r="L910" t="n">
        <v>0</v>
      </c>
      <c r="M910" t="n">
        <v>0</v>
      </c>
      <c r="N910" t="n">
        <v>0</v>
      </c>
      <c r="O910" t="n">
        <v>0</v>
      </c>
      <c r="P910" t="n">
        <v>0</v>
      </c>
      <c r="Q910" t="n">
        <v>0</v>
      </c>
      <c r="R910" s="2" t="inlineStr"/>
    </row>
    <row r="911" ht="15" customHeight="1">
      <c r="A911" t="inlineStr">
        <is>
          <t>A 13861-2025</t>
        </is>
      </c>
      <c r="B911" s="1" t="n">
        <v>45737</v>
      </c>
      <c r="C911" s="1" t="n">
        <v>45831</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14926-2025</t>
        </is>
      </c>
      <c r="B912" s="1" t="n">
        <v>45743</v>
      </c>
      <c r="C912" s="1" t="n">
        <v>45831</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14955-2025</t>
        </is>
      </c>
      <c r="B913" s="1" t="n">
        <v>45743</v>
      </c>
      <c r="C913" s="1" t="n">
        <v>45831</v>
      </c>
      <c r="D913" t="inlineStr">
        <is>
          <t>VÄSTERNORRLANDS LÄN</t>
        </is>
      </c>
      <c r="E913" t="inlineStr">
        <is>
          <t>TIMRÅ</t>
        </is>
      </c>
      <c r="G913" t="n">
        <v>0.8</v>
      </c>
      <c r="H913" t="n">
        <v>0</v>
      </c>
      <c r="I913" t="n">
        <v>0</v>
      </c>
      <c r="J913" t="n">
        <v>0</v>
      </c>
      <c r="K913" t="n">
        <v>0</v>
      </c>
      <c r="L913" t="n">
        <v>0</v>
      </c>
      <c r="M913" t="n">
        <v>0</v>
      </c>
      <c r="N913" t="n">
        <v>0</v>
      </c>
      <c r="O913" t="n">
        <v>0</v>
      </c>
      <c r="P913" t="n">
        <v>0</v>
      </c>
      <c r="Q913" t="n">
        <v>0</v>
      </c>
      <c r="R913" s="2" t="inlineStr"/>
    </row>
    <row r="914" ht="15" customHeight="1">
      <c r="A914" t="inlineStr">
        <is>
          <t>A 16084-2025</t>
        </is>
      </c>
      <c r="B914" s="1" t="n">
        <v>45749</v>
      </c>
      <c r="C914" s="1" t="n">
        <v>45831</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16302-2025</t>
        </is>
      </c>
      <c r="B915" s="1" t="n">
        <v>45751</v>
      </c>
      <c r="C915" s="1" t="n">
        <v>45831</v>
      </c>
      <c r="D915" t="inlineStr">
        <is>
          <t>VÄSTERNORRLANDS LÄN</t>
        </is>
      </c>
      <c r="E915" t="inlineStr">
        <is>
          <t>TIMRÅ</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16935-2025</t>
        </is>
      </c>
      <c r="B916" s="1" t="n">
        <v>45755</v>
      </c>
      <c r="C916" s="1" t="n">
        <v>45831</v>
      </c>
      <c r="D916" t="inlineStr">
        <is>
          <t>VÄSTERNORRLANDS LÄN</t>
        </is>
      </c>
      <c r="E916" t="inlineStr">
        <is>
          <t>TIMRÅ</t>
        </is>
      </c>
      <c r="G916" t="n">
        <v>3.6</v>
      </c>
      <c r="H916" t="n">
        <v>0</v>
      </c>
      <c r="I916" t="n">
        <v>0</v>
      </c>
      <c r="J916" t="n">
        <v>0</v>
      </c>
      <c r="K916" t="n">
        <v>0</v>
      </c>
      <c r="L916" t="n">
        <v>0</v>
      </c>
      <c r="M916" t="n">
        <v>0</v>
      </c>
      <c r="N916" t="n">
        <v>0</v>
      </c>
      <c r="O916" t="n">
        <v>0</v>
      </c>
      <c r="P916" t="n">
        <v>0</v>
      </c>
      <c r="Q916" t="n">
        <v>0</v>
      </c>
      <c r="R916" s="2" t="inlineStr"/>
    </row>
    <row r="917" ht="15" customHeight="1">
      <c r="A917" t="inlineStr">
        <is>
          <t>A 18130-2025</t>
        </is>
      </c>
      <c r="B917" s="1" t="n">
        <v>45761</v>
      </c>
      <c r="C917" s="1" t="n">
        <v>45831</v>
      </c>
      <c r="D917" t="inlineStr">
        <is>
          <t>VÄSTERNORRLANDS LÄN</t>
        </is>
      </c>
      <c r="E917" t="inlineStr">
        <is>
          <t>TIMRÅ</t>
        </is>
      </c>
      <c r="G917" t="n">
        <v>3.1</v>
      </c>
      <c r="H917" t="n">
        <v>0</v>
      </c>
      <c r="I917" t="n">
        <v>0</v>
      </c>
      <c r="J917" t="n">
        <v>0</v>
      </c>
      <c r="K917" t="n">
        <v>0</v>
      </c>
      <c r="L917" t="n">
        <v>0</v>
      </c>
      <c r="M917" t="n">
        <v>0</v>
      </c>
      <c r="N917" t="n">
        <v>0</v>
      </c>
      <c r="O917" t="n">
        <v>0</v>
      </c>
      <c r="P917" t="n">
        <v>0</v>
      </c>
      <c r="Q917" t="n">
        <v>0</v>
      </c>
      <c r="R917" s="2" t="inlineStr"/>
    </row>
    <row r="918" ht="15" customHeight="1">
      <c r="A918" t="inlineStr">
        <is>
          <t>A 17974-2025</t>
        </is>
      </c>
      <c r="B918" s="1" t="n">
        <v>45761</v>
      </c>
      <c r="C918" s="1" t="n">
        <v>45831</v>
      </c>
      <c r="D918" t="inlineStr">
        <is>
          <t>VÄSTERNORRLANDS LÄN</t>
        </is>
      </c>
      <c r="E918" t="inlineStr">
        <is>
          <t>TIMRÅ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18415-2025</t>
        </is>
      </c>
      <c r="B919" s="1" t="n">
        <v>45762</v>
      </c>
      <c r="C919" s="1" t="n">
        <v>45831</v>
      </c>
      <c r="D919" t="inlineStr">
        <is>
          <t>VÄSTERNORRLANDS LÄN</t>
        </is>
      </c>
      <c r="E919" t="inlineStr">
        <is>
          <t>TIMRÅ</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18375-2025</t>
        </is>
      </c>
      <c r="B920" s="1" t="n">
        <v>45762</v>
      </c>
      <c r="C920" s="1" t="n">
        <v>45831</v>
      </c>
      <c r="D920" t="inlineStr">
        <is>
          <t>VÄSTERNORRLANDS LÄN</t>
        </is>
      </c>
      <c r="E920" t="inlineStr">
        <is>
          <t>TIMRÅ</t>
        </is>
      </c>
      <c r="G920" t="n">
        <v>0.5</v>
      </c>
      <c r="H920" t="n">
        <v>0</v>
      </c>
      <c r="I920" t="n">
        <v>0</v>
      </c>
      <c r="J920" t="n">
        <v>0</v>
      </c>
      <c r="K920" t="n">
        <v>0</v>
      </c>
      <c r="L920" t="n">
        <v>0</v>
      </c>
      <c r="M920" t="n">
        <v>0</v>
      </c>
      <c r="N920" t="n">
        <v>0</v>
      </c>
      <c r="O920" t="n">
        <v>0</v>
      </c>
      <c r="P920" t="n">
        <v>0</v>
      </c>
      <c r="Q920" t="n">
        <v>0</v>
      </c>
      <c r="R920" s="2" t="inlineStr"/>
    </row>
    <row r="921" ht="15" customHeight="1">
      <c r="A921" t="inlineStr">
        <is>
          <t>A 18814-2025</t>
        </is>
      </c>
      <c r="B921" s="1" t="n">
        <v>45764</v>
      </c>
      <c r="C921" s="1" t="n">
        <v>45831</v>
      </c>
      <c r="D921" t="inlineStr">
        <is>
          <t>VÄSTERNORRLANDS LÄN</t>
        </is>
      </c>
      <c r="E921" t="inlineStr">
        <is>
          <t>TIMRÅ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18824-2025</t>
        </is>
      </c>
      <c r="B922" s="1" t="n">
        <v>45764</v>
      </c>
      <c r="C922" s="1" t="n">
        <v>45831</v>
      </c>
      <c r="D922" t="inlineStr">
        <is>
          <t>VÄSTERNORRLANDS LÄN</t>
        </is>
      </c>
      <c r="E922" t="inlineStr">
        <is>
          <t>TIMRÅ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19341-2025</t>
        </is>
      </c>
      <c r="B923" s="1" t="n">
        <v>45769</v>
      </c>
      <c r="C923" s="1" t="n">
        <v>45831</v>
      </c>
      <c r="D923" t="inlineStr">
        <is>
          <t>VÄSTERNORRLANDS LÄN</t>
        </is>
      </c>
      <c r="E923" t="inlineStr">
        <is>
          <t>TIMRÅ</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19371-2025</t>
        </is>
      </c>
      <c r="B924" s="1" t="n">
        <v>45769</v>
      </c>
      <c r="C924" s="1" t="n">
        <v>45831</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21286-2025</t>
        </is>
      </c>
      <c r="B925" s="1" t="n">
        <v>45779</v>
      </c>
      <c r="C925" s="1" t="n">
        <v>45831</v>
      </c>
      <c r="D925" t="inlineStr">
        <is>
          <t>VÄSTERNORRLANDS LÄN</t>
        </is>
      </c>
      <c r="E925" t="inlineStr">
        <is>
          <t>TIMRÅ</t>
        </is>
      </c>
      <c r="F925" t="inlineStr">
        <is>
          <t>SCA</t>
        </is>
      </c>
      <c r="G925" t="n">
        <v>8.9</v>
      </c>
      <c r="H925" t="n">
        <v>0</v>
      </c>
      <c r="I925" t="n">
        <v>0</v>
      </c>
      <c r="J925" t="n">
        <v>0</v>
      </c>
      <c r="K925" t="n">
        <v>0</v>
      </c>
      <c r="L925" t="n">
        <v>0</v>
      </c>
      <c r="M925" t="n">
        <v>0</v>
      </c>
      <c r="N925" t="n">
        <v>0</v>
      </c>
      <c r="O925" t="n">
        <v>0</v>
      </c>
      <c r="P925" t="n">
        <v>0</v>
      </c>
      <c r="Q925" t="n">
        <v>0</v>
      </c>
      <c r="R925" s="2" t="inlineStr"/>
    </row>
    <row r="926" ht="15" customHeight="1">
      <c r="A926" t="inlineStr">
        <is>
          <t>A 21483-2025</t>
        </is>
      </c>
      <c r="B926" s="1" t="n">
        <v>45782</v>
      </c>
      <c r="C926" s="1" t="n">
        <v>45831</v>
      </c>
      <c r="D926" t="inlineStr">
        <is>
          <t>VÄSTERNORRLANDS LÄN</t>
        </is>
      </c>
      <c r="E926" t="inlineStr">
        <is>
          <t>TIMRÅ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21764-2025</t>
        </is>
      </c>
      <c r="B927" s="1" t="n">
        <v>45783</v>
      </c>
      <c r="C927" s="1" t="n">
        <v>45831</v>
      </c>
      <c r="D927" t="inlineStr">
        <is>
          <t>VÄSTERNORRLANDS LÄN</t>
        </is>
      </c>
      <c r="E927" t="inlineStr">
        <is>
          <t>TIMRÅ</t>
        </is>
      </c>
      <c r="G927" t="n">
        <v>4.9</v>
      </c>
      <c r="H927" t="n">
        <v>0</v>
      </c>
      <c r="I927" t="n">
        <v>0</v>
      </c>
      <c r="J927" t="n">
        <v>0</v>
      </c>
      <c r="K927" t="n">
        <v>0</v>
      </c>
      <c r="L927" t="n">
        <v>0</v>
      </c>
      <c r="M927" t="n">
        <v>0</v>
      </c>
      <c r="N927" t="n">
        <v>0</v>
      </c>
      <c r="O927" t="n">
        <v>0</v>
      </c>
      <c r="P927" t="n">
        <v>0</v>
      </c>
      <c r="Q927" t="n">
        <v>0</v>
      </c>
      <c r="R927" s="2" t="inlineStr"/>
    </row>
    <row r="928" ht="15" customHeight="1">
      <c r="A928" t="inlineStr">
        <is>
          <t>A 21596-2025</t>
        </is>
      </c>
      <c r="B928" s="1" t="n">
        <v>45783</v>
      </c>
      <c r="C928" s="1" t="n">
        <v>45831</v>
      </c>
      <c r="D928" t="inlineStr">
        <is>
          <t>VÄSTERNORRLANDS LÄN</t>
        </is>
      </c>
      <c r="E928" t="inlineStr">
        <is>
          <t>TIMRÅ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21599-2025</t>
        </is>
      </c>
      <c r="B929" s="1" t="n">
        <v>45783</v>
      </c>
      <c r="C929" s="1" t="n">
        <v>45831</v>
      </c>
      <c r="D929" t="inlineStr">
        <is>
          <t>VÄSTERNORRLANDS LÄN</t>
        </is>
      </c>
      <c r="E929" t="inlineStr">
        <is>
          <t>TIMRÅ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21760-2025</t>
        </is>
      </c>
      <c r="B930" s="1" t="n">
        <v>45783</v>
      </c>
      <c r="C930" s="1" t="n">
        <v>45831</v>
      </c>
      <c r="D930" t="inlineStr">
        <is>
          <t>VÄSTERNORRLANDS LÄN</t>
        </is>
      </c>
      <c r="E930" t="inlineStr">
        <is>
          <t>TIMRÅ</t>
        </is>
      </c>
      <c r="G930" t="n">
        <v>1.5</v>
      </c>
      <c r="H930" t="n">
        <v>0</v>
      </c>
      <c r="I930" t="n">
        <v>0</v>
      </c>
      <c r="J930" t="n">
        <v>0</v>
      </c>
      <c r="K930" t="n">
        <v>0</v>
      </c>
      <c r="L930" t="n">
        <v>0</v>
      </c>
      <c r="M930" t="n">
        <v>0</v>
      </c>
      <c r="N930" t="n">
        <v>0</v>
      </c>
      <c r="O930" t="n">
        <v>0</v>
      </c>
      <c r="P930" t="n">
        <v>0</v>
      </c>
      <c r="Q930" t="n">
        <v>0</v>
      </c>
      <c r="R930" s="2" t="inlineStr"/>
    </row>
    <row r="931" ht="15" customHeight="1">
      <c r="A931" t="inlineStr">
        <is>
          <t>A 21998-2025</t>
        </is>
      </c>
      <c r="B931" s="1" t="n">
        <v>45784</v>
      </c>
      <c r="C931" s="1" t="n">
        <v>45831</v>
      </c>
      <c r="D931" t="inlineStr">
        <is>
          <t>VÄSTERNORRLANDS LÄN</t>
        </is>
      </c>
      <c r="E931" t="inlineStr">
        <is>
          <t>TIMRÅ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21929-2025</t>
        </is>
      </c>
      <c r="B932" s="1" t="n">
        <v>45784</v>
      </c>
      <c r="C932" s="1" t="n">
        <v>45831</v>
      </c>
      <c r="D932" t="inlineStr">
        <is>
          <t>VÄSTERNORRLANDS LÄN</t>
        </is>
      </c>
      <c r="E932" t="inlineStr">
        <is>
          <t>TIMRÅ</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22240-2025</t>
        </is>
      </c>
      <c r="B933" s="1" t="n">
        <v>45785</v>
      </c>
      <c r="C933" s="1" t="n">
        <v>45831</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22389-2025</t>
        </is>
      </c>
      <c r="B934" s="1" t="n">
        <v>45786</v>
      </c>
      <c r="C934" s="1" t="n">
        <v>45831</v>
      </c>
      <c r="D934" t="inlineStr">
        <is>
          <t>VÄSTERNORRLANDS LÄN</t>
        </is>
      </c>
      <c r="E934" t="inlineStr">
        <is>
          <t>TIMRÅ</t>
        </is>
      </c>
      <c r="F934" t="inlineStr">
        <is>
          <t>SCA</t>
        </is>
      </c>
      <c r="G934" t="n">
        <v>36.5</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45831</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22820-2025</t>
        </is>
      </c>
      <c r="B936" s="1" t="n">
        <v>45789</v>
      </c>
      <c r="C936" s="1" t="n">
        <v>45831</v>
      </c>
      <c r="D936" t="inlineStr">
        <is>
          <t>VÄSTERNORRLANDS LÄN</t>
        </is>
      </c>
      <c r="E936" t="inlineStr">
        <is>
          <t>TIMRÅ</t>
        </is>
      </c>
      <c r="G936" t="n">
        <v>1.1</v>
      </c>
      <c r="H936" t="n">
        <v>0</v>
      </c>
      <c r="I936" t="n">
        <v>0</v>
      </c>
      <c r="J936" t="n">
        <v>0</v>
      </c>
      <c r="K936" t="n">
        <v>0</v>
      </c>
      <c r="L936" t="n">
        <v>0</v>
      </c>
      <c r="M936" t="n">
        <v>0</v>
      </c>
      <c r="N936" t="n">
        <v>0</v>
      </c>
      <c r="O936" t="n">
        <v>0</v>
      </c>
      <c r="P936" t="n">
        <v>0</v>
      </c>
      <c r="Q936" t="n">
        <v>0</v>
      </c>
      <c r="R936" s="2" t="inlineStr"/>
    </row>
    <row r="937" ht="15" customHeight="1">
      <c r="A937" t="inlineStr">
        <is>
          <t>A 22821-2025</t>
        </is>
      </c>
      <c r="B937" s="1" t="n">
        <v>45789</v>
      </c>
      <c r="C937" s="1" t="n">
        <v>45831</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22818-2025</t>
        </is>
      </c>
      <c r="B938" s="1" t="n">
        <v>45789</v>
      </c>
      <c r="C938" s="1" t="n">
        <v>45831</v>
      </c>
      <c r="D938" t="inlineStr">
        <is>
          <t>VÄSTERNORRLANDS LÄN</t>
        </is>
      </c>
      <c r="E938" t="inlineStr">
        <is>
          <t>TIMRÅ</t>
        </is>
      </c>
      <c r="G938" t="n">
        <v>2.8</v>
      </c>
      <c r="H938" t="n">
        <v>0</v>
      </c>
      <c r="I938" t="n">
        <v>0</v>
      </c>
      <c r="J938" t="n">
        <v>0</v>
      </c>
      <c r="K938" t="n">
        <v>0</v>
      </c>
      <c r="L938" t="n">
        <v>0</v>
      </c>
      <c r="M938" t="n">
        <v>0</v>
      </c>
      <c r="N938" t="n">
        <v>0</v>
      </c>
      <c r="O938" t="n">
        <v>0</v>
      </c>
      <c r="P938" t="n">
        <v>0</v>
      </c>
      <c r="Q938" t="n">
        <v>0</v>
      </c>
      <c r="R938" s="2" t="inlineStr"/>
    </row>
    <row r="939" ht="15" customHeight="1">
      <c r="A939" t="inlineStr">
        <is>
          <t>A 22855-2025</t>
        </is>
      </c>
      <c r="B939" s="1" t="n">
        <v>45790</v>
      </c>
      <c r="C939" s="1" t="n">
        <v>45831</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23030-2025</t>
        </is>
      </c>
      <c r="B940" s="1" t="n">
        <v>45790</v>
      </c>
      <c r="C940" s="1" t="n">
        <v>45831</v>
      </c>
      <c r="D940" t="inlineStr">
        <is>
          <t>VÄSTERNORRLANDS LÄN</t>
        </is>
      </c>
      <c r="E940" t="inlineStr">
        <is>
          <t>TIMRÅ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23346-2025</t>
        </is>
      </c>
      <c r="B941" s="1" t="n">
        <v>45791</v>
      </c>
      <c r="C941" s="1" t="n">
        <v>45831</v>
      </c>
      <c r="D941" t="inlineStr">
        <is>
          <t>VÄSTERNORRLANDS LÄN</t>
        </is>
      </c>
      <c r="E941" t="inlineStr">
        <is>
          <t>TIMRÅ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23247-2025</t>
        </is>
      </c>
      <c r="B942" s="1" t="n">
        <v>45791</v>
      </c>
      <c r="C942" s="1" t="n">
        <v>45831</v>
      </c>
      <c r="D942" t="inlineStr">
        <is>
          <t>VÄSTERNORRLANDS LÄN</t>
        </is>
      </c>
      <c r="E942" t="inlineStr">
        <is>
          <t>TIMRÅ</t>
        </is>
      </c>
      <c r="G942" t="n">
        <v>0.8</v>
      </c>
      <c r="H942" t="n">
        <v>0</v>
      </c>
      <c r="I942" t="n">
        <v>0</v>
      </c>
      <c r="J942" t="n">
        <v>0</v>
      </c>
      <c r="K942" t="n">
        <v>0</v>
      </c>
      <c r="L942" t="n">
        <v>0</v>
      </c>
      <c r="M942" t="n">
        <v>0</v>
      </c>
      <c r="N942" t="n">
        <v>0</v>
      </c>
      <c r="O942" t="n">
        <v>0</v>
      </c>
      <c r="P942" t="n">
        <v>0</v>
      </c>
      <c r="Q942" t="n">
        <v>0</v>
      </c>
      <c r="R942" s="2" t="inlineStr"/>
    </row>
    <row r="943" ht="15" customHeight="1">
      <c r="A943" t="inlineStr">
        <is>
          <t>A 23248-2025</t>
        </is>
      </c>
      <c r="B943" s="1" t="n">
        <v>45791</v>
      </c>
      <c r="C943" s="1" t="n">
        <v>45831</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23173-2025</t>
        </is>
      </c>
      <c r="B944" s="1" t="n">
        <v>45791</v>
      </c>
      <c r="C944" s="1" t="n">
        <v>45831</v>
      </c>
      <c r="D944" t="inlineStr">
        <is>
          <t>VÄSTERNORRLANDS LÄN</t>
        </is>
      </c>
      <c r="E944" t="inlineStr">
        <is>
          <t>TIMRÅ</t>
        </is>
      </c>
      <c r="G944" t="n">
        <v>2.3</v>
      </c>
      <c r="H944" t="n">
        <v>0</v>
      </c>
      <c r="I944" t="n">
        <v>0</v>
      </c>
      <c r="J944" t="n">
        <v>0</v>
      </c>
      <c r="K944" t="n">
        <v>0</v>
      </c>
      <c r="L944" t="n">
        <v>0</v>
      </c>
      <c r="M944" t="n">
        <v>0</v>
      </c>
      <c r="N944" t="n">
        <v>0</v>
      </c>
      <c r="O944" t="n">
        <v>0</v>
      </c>
      <c r="P944" t="n">
        <v>0</v>
      </c>
      <c r="Q944" t="n">
        <v>0</v>
      </c>
      <c r="R944" s="2" t="inlineStr"/>
      <c r="U944">
        <f>HYPERLINK("https://klasma.github.io/Logging_222262/knärot/A 23173-2025 karta knärot.png", "A 23173-2025")</f>
        <v/>
      </c>
      <c r="V944">
        <f>HYPERLINK("https://klasma.github.io/Logging_222262/klagomål/A 23173-2025 FSC-klagomål.docx", "A 23173-2025")</f>
        <v/>
      </c>
      <c r="W944">
        <f>HYPERLINK("https://klasma.github.io/Logging_222262/klagomålsmail/A 23173-2025 FSC-klagomål mail.docx", "A 23173-2025")</f>
        <v/>
      </c>
      <c r="X944">
        <f>HYPERLINK("https://klasma.github.io/Logging_222262/tillsyn/A 23173-2025 tillsynsbegäran.docx", "A 23173-2025")</f>
        <v/>
      </c>
      <c r="Y944">
        <f>HYPERLINK("https://klasma.github.io/Logging_222262/tillsynsmail/A 23173-2025 tillsynsbegäran mail.docx", "A 23173-2025")</f>
        <v/>
      </c>
    </row>
    <row r="945" ht="15" customHeight="1">
      <c r="A945" t="inlineStr">
        <is>
          <t>A 23839-2025</t>
        </is>
      </c>
      <c r="B945" s="1" t="n">
        <v>45793</v>
      </c>
      <c r="C945" s="1" t="n">
        <v>45831</v>
      </c>
      <c r="D945" t="inlineStr">
        <is>
          <t>VÄSTERNORRLANDS LÄN</t>
        </is>
      </c>
      <c r="E945" t="inlineStr">
        <is>
          <t>TIMRÅ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23957-2025</t>
        </is>
      </c>
      <c r="B946" s="1" t="n">
        <v>45796</v>
      </c>
      <c r="C946" s="1" t="n">
        <v>45831</v>
      </c>
      <c r="D946" t="inlineStr">
        <is>
          <t>VÄSTERNORRLANDS LÄN</t>
        </is>
      </c>
      <c r="E946" t="inlineStr">
        <is>
          <t>TIMRÅ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25190-2025</t>
        </is>
      </c>
      <c r="B947" s="1" t="n">
        <v>45798</v>
      </c>
      <c r="C947" s="1" t="n">
        <v>45831</v>
      </c>
      <c r="D947" t="inlineStr">
        <is>
          <t>VÄSTERNORRLANDS LÄN</t>
        </is>
      </c>
      <c r="E947" t="inlineStr">
        <is>
          <t>TIMRÅ</t>
        </is>
      </c>
      <c r="G947" t="n">
        <v>1.7</v>
      </c>
      <c r="H947" t="n">
        <v>0</v>
      </c>
      <c r="I947" t="n">
        <v>0</v>
      </c>
      <c r="J947" t="n">
        <v>0</v>
      </c>
      <c r="K947" t="n">
        <v>0</v>
      </c>
      <c r="L947" t="n">
        <v>0</v>
      </c>
      <c r="M947" t="n">
        <v>0</v>
      </c>
      <c r="N947" t="n">
        <v>0</v>
      </c>
      <c r="O947" t="n">
        <v>0</v>
      </c>
      <c r="P947" t="n">
        <v>0</v>
      </c>
      <c r="Q947" t="n">
        <v>0</v>
      </c>
      <c r="R947" s="2" t="inlineStr"/>
    </row>
    <row r="948" ht="15" customHeight="1">
      <c r="A948" t="inlineStr">
        <is>
          <t>A 24529-2025</t>
        </is>
      </c>
      <c r="B948" s="1" t="n">
        <v>45798</v>
      </c>
      <c r="C948" s="1" t="n">
        <v>45831</v>
      </c>
      <c r="D948" t="inlineStr">
        <is>
          <t>VÄSTERNORRLANDS LÄN</t>
        </is>
      </c>
      <c r="E948" t="inlineStr">
        <is>
          <t>TIMRÅ</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25427-2025</t>
        </is>
      </c>
      <c r="B949" s="1" t="n">
        <v>45800</v>
      </c>
      <c r="C949" s="1" t="n">
        <v>45831</v>
      </c>
      <c r="D949" t="inlineStr">
        <is>
          <t>VÄSTERNORRLANDS LÄN</t>
        </is>
      </c>
      <c r="E949" t="inlineStr">
        <is>
          <t>TIMRÅ</t>
        </is>
      </c>
      <c r="G949" t="n">
        <v>7.2</v>
      </c>
      <c r="H949" t="n">
        <v>0</v>
      </c>
      <c r="I949" t="n">
        <v>0</v>
      </c>
      <c r="J949" t="n">
        <v>0</v>
      </c>
      <c r="K949" t="n">
        <v>0</v>
      </c>
      <c r="L949" t="n">
        <v>0</v>
      </c>
      <c r="M949" t="n">
        <v>0</v>
      </c>
      <c r="N949" t="n">
        <v>0</v>
      </c>
      <c r="O949" t="n">
        <v>0</v>
      </c>
      <c r="P949" t="n">
        <v>0</v>
      </c>
      <c r="Q949" t="n">
        <v>0</v>
      </c>
      <c r="R949" s="2" t="inlineStr"/>
    </row>
    <row r="950" ht="15" customHeight="1">
      <c r="A950" t="inlineStr">
        <is>
          <t>A 25782-2025</t>
        </is>
      </c>
      <c r="B950" s="1" t="n">
        <v>45804</v>
      </c>
      <c r="C950" s="1" t="n">
        <v>45831</v>
      </c>
      <c r="D950" t="inlineStr">
        <is>
          <t>VÄSTERNORRLANDS LÄN</t>
        </is>
      </c>
      <c r="E950" t="inlineStr">
        <is>
          <t>TIMRÅ</t>
        </is>
      </c>
      <c r="F950" t="inlineStr">
        <is>
          <t>SCA</t>
        </is>
      </c>
      <c r="G950" t="n">
        <v>22.3</v>
      </c>
      <c r="H950" t="n">
        <v>0</v>
      </c>
      <c r="I950" t="n">
        <v>0</v>
      </c>
      <c r="J950" t="n">
        <v>0</v>
      </c>
      <c r="K950" t="n">
        <v>0</v>
      </c>
      <c r="L950" t="n">
        <v>0</v>
      </c>
      <c r="M950" t="n">
        <v>0</v>
      </c>
      <c r="N950" t="n">
        <v>0</v>
      </c>
      <c r="O950" t="n">
        <v>0</v>
      </c>
      <c r="P950" t="n">
        <v>0</v>
      </c>
      <c r="Q950" t="n">
        <v>0</v>
      </c>
      <c r="R950" s="2" t="inlineStr"/>
    </row>
    <row r="951" ht="15" customHeight="1">
      <c r="A951" t="inlineStr">
        <is>
          <t>A 26300-2025</t>
        </is>
      </c>
      <c r="B951" s="1" t="n">
        <v>45805</v>
      </c>
      <c r="C951" s="1" t="n">
        <v>45831</v>
      </c>
      <c r="D951" t="inlineStr">
        <is>
          <t>VÄSTERNORRLANDS LÄN</t>
        </is>
      </c>
      <c r="E951" t="inlineStr">
        <is>
          <t>TIMRÅ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27098-2025</t>
        </is>
      </c>
      <c r="B952" s="1" t="n">
        <v>45811</v>
      </c>
      <c r="C952" s="1" t="n">
        <v>45831</v>
      </c>
      <c r="D952" t="inlineStr">
        <is>
          <t>VÄSTERNORRLANDS LÄN</t>
        </is>
      </c>
      <c r="E952" t="inlineStr">
        <is>
          <t>TIMRÅ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27696-2025</t>
        </is>
      </c>
      <c r="B953" s="1" t="n">
        <v>45813</v>
      </c>
      <c r="C953" s="1" t="n">
        <v>45831</v>
      </c>
      <c r="D953" t="inlineStr">
        <is>
          <t>VÄSTERNORRLANDS LÄN</t>
        </is>
      </c>
      <c r="E953" t="inlineStr">
        <is>
          <t>TIMRÅ</t>
        </is>
      </c>
      <c r="G953" t="n">
        <v>6.3</v>
      </c>
      <c r="H953" t="n">
        <v>0</v>
      </c>
      <c r="I953" t="n">
        <v>0</v>
      </c>
      <c r="J953" t="n">
        <v>0</v>
      </c>
      <c r="K953" t="n">
        <v>0</v>
      </c>
      <c r="L953" t="n">
        <v>0</v>
      </c>
      <c r="M953" t="n">
        <v>0</v>
      </c>
      <c r="N953" t="n">
        <v>0</v>
      </c>
      <c r="O953" t="n">
        <v>0</v>
      </c>
      <c r="P953" t="n">
        <v>0</v>
      </c>
      <c r="Q953" t="n">
        <v>0</v>
      </c>
      <c r="R953" s="2" t="inlineStr"/>
    </row>
    <row r="954" ht="15" customHeight="1">
      <c r="A954" t="inlineStr">
        <is>
          <t>A 28138-2025</t>
        </is>
      </c>
      <c r="B954" s="1" t="n">
        <v>45818</v>
      </c>
      <c r="C954" s="1" t="n">
        <v>45831</v>
      </c>
      <c r="D954" t="inlineStr">
        <is>
          <t>VÄSTERNORRLANDS LÄN</t>
        </is>
      </c>
      <c r="E954" t="inlineStr">
        <is>
          <t>TIMRÅ</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28405-2025</t>
        </is>
      </c>
      <c r="B955" s="1" t="n">
        <v>45819</v>
      </c>
      <c r="C955" s="1" t="n">
        <v>45831</v>
      </c>
      <c r="D955" t="inlineStr">
        <is>
          <t>VÄSTERNORRLANDS LÄN</t>
        </is>
      </c>
      <c r="E955" t="inlineStr">
        <is>
          <t>TIMRÅ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28674-2025</t>
        </is>
      </c>
      <c r="B956" s="1" t="n">
        <v>45819</v>
      </c>
      <c r="C956" s="1" t="n">
        <v>45831</v>
      </c>
      <c r="D956" t="inlineStr">
        <is>
          <t>VÄSTERNORRLANDS LÄN</t>
        </is>
      </c>
      <c r="E956" t="inlineStr">
        <is>
          <t>TIMRÅ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29186-2025</t>
        </is>
      </c>
      <c r="B957" s="1" t="n">
        <v>45821</v>
      </c>
      <c r="C957" s="1" t="n">
        <v>45831</v>
      </c>
      <c r="D957" t="inlineStr">
        <is>
          <t>VÄSTERNORRLANDS LÄN</t>
        </is>
      </c>
      <c r="E957" t="inlineStr">
        <is>
          <t>TIMRÅ</t>
        </is>
      </c>
      <c r="G957" t="n">
        <v>7.1</v>
      </c>
      <c r="H957" t="n">
        <v>0</v>
      </c>
      <c r="I957" t="n">
        <v>0</v>
      </c>
      <c r="J957" t="n">
        <v>0</v>
      </c>
      <c r="K957" t="n">
        <v>0</v>
      </c>
      <c r="L957" t="n">
        <v>0</v>
      </c>
      <c r="M957" t="n">
        <v>0</v>
      </c>
      <c r="N957" t="n">
        <v>0</v>
      </c>
      <c r="O957" t="n">
        <v>0</v>
      </c>
      <c r="P957" t="n">
        <v>0</v>
      </c>
      <c r="Q957" t="n">
        <v>0</v>
      </c>
      <c r="R957" s="2" t="inlineStr"/>
    </row>
    <row r="958" ht="15" customHeight="1">
      <c r="A958" t="inlineStr">
        <is>
          <t>A 29003-2025</t>
        </is>
      </c>
      <c r="B958" s="1" t="n">
        <v>45821</v>
      </c>
      <c r="C958" s="1" t="n">
        <v>45831</v>
      </c>
      <c r="D958" t="inlineStr">
        <is>
          <t>VÄSTERNORRLANDS LÄN</t>
        </is>
      </c>
      <c r="E958" t="inlineStr">
        <is>
          <t>TIMRÅ</t>
        </is>
      </c>
      <c r="G958" t="n">
        <v>1</v>
      </c>
      <c r="H958" t="n">
        <v>0</v>
      </c>
      <c r="I958" t="n">
        <v>0</v>
      </c>
      <c r="J958" t="n">
        <v>0</v>
      </c>
      <c r="K958" t="n">
        <v>0</v>
      </c>
      <c r="L958" t="n">
        <v>0</v>
      </c>
      <c r="M958" t="n">
        <v>0</v>
      </c>
      <c r="N958" t="n">
        <v>0</v>
      </c>
      <c r="O958" t="n">
        <v>0</v>
      </c>
      <c r="P958" t="n">
        <v>0</v>
      </c>
      <c r="Q958" t="n">
        <v>0</v>
      </c>
      <c r="R958" s="2" t="inlineStr"/>
    </row>
    <row r="959" ht="15" customHeight="1">
      <c r="A959" t="inlineStr">
        <is>
          <t>A 29191-2025</t>
        </is>
      </c>
      <c r="B959" s="1" t="n">
        <v>45822</v>
      </c>
      <c r="C959" s="1" t="n">
        <v>45831</v>
      </c>
      <c r="D959" t="inlineStr">
        <is>
          <t>VÄSTERNORRLANDS LÄN</t>
        </is>
      </c>
      <c r="E959" t="inlineStr">
        <is>
          <t>TIMRÅ</t>
        </is>
      </c>
      <c r="F959" t="inlineStr">
        <is>
          <t>SCA</t>
        </is>
      </c>
      <c r="G959" t="n">
        <v>17.5</v>
      </c>
      <c r="H959" t="n">
        <v>0</v>
      </c>
      <c r="I959" t="n">
        <v>0</v>
      </c>
      <c r="J959" t="n">
        <v>0</v>
      </c>
      <c r="K959" t="n">
        <v>0</v>
      </c>
      <c r="L959" t="n">
        <v>0</v>
      </c>
      <c r="M959" t="n">
        <v>0</v>
      </c>
      <c r="N959" t="n">
        <v>0</v>
      </c>
      <c r="O959" t="n">
        <v>0</v>
      </c>
      <c r="P959" t="n">
        <v>0</v>
      </c>
      <c r="Q959" t="n">
        <v>0</v>
      </c>
      <c r="R959" s="2" t="inlineStr"/>
    </row>
    <row r="960" ht="15" customHeight="1">
      <c r="A960" t="inlineStr">
        <is>
          <t>A 29190-2025</t>
        </is>
      </c>
      <c r="B960" s="1" t="n">
        <v>45822</v>
      </c>
      <c r="C960" s="1" t="n">
        <v>45831</v>
      </c>
      <c r="D960" t="inlineStr">
        <is>
          <t>VÄSTERNORRLANDS LÄN</t>
        </is>
      </c>
      <c r="E960" t="inlineStr">
        <is>
          <t>TIMRÅ</t>
        </is>
      </c>
      <c r="F960" t="inlineStr">
        <is>
          <t>SCA</t>
        </is>
      </c>
      <c r="G960" t="n">
        <v>0.8</v>
      </c>
      <c r="H960" t="n">
        <v>0</v>
      </c>
      <c r="I960" t="n">
        <v>0</v>
      </c>
      <c r="J960" t="n">
        <v>0</v>
      </c>
      <c r="K960" t="n">
        <v>0</v>
      </c>
      <c r="L960" t="n">
        <v>0</v>
      </c>
      <c r="M960" t="n">
        <v>0</v>
      </c>
      <c r="N960" t="n">
        <v>0</v>
      </c>
      <c r="O960" t="n">
        <v>0</v>
      </c>
      <c r="P960" t="n">
        <v>0</v>
      </c>
      <c r="Q960" t="n">
        <v>0</v>
      </c>
      <c r="R960" s="2" t="inlineStr"/>
    </row>
    <row r="961" ht="15" customHeight="1">
      <c r="A961" t="inlineStr">
        <is>
          <t>A 29437-2025</t>
        </is>
      </c>
      <c r="B961" s="1" t="n">
        <v>45824</v>
      </c>
      <c r="C961" s="1" t="n">
        <v>45831</v>
      </c>
      <c r="D961" t="inlineStr">
        <is>
          <t>VÄSTERNORRLANDS LÄN</t>
        </is>
      </c>
      <c r="E961" t="inlineStr">
        <is>
          <t>TIMRÅ</t>
        </is>
      </c>
      <c r="G961" t="n">
        <v>4.5</v>
      </c>
      <c r="H961" t="n">
        <v>0</v>
      </c>
      <c r="I961" t="n">
        <v>0</v>
      </c>
      <c r="J961" t="n">
        <v>0</v>
      </c>
      <c r="K961" t="n">
        <v>0</v>
      </c>
      <c r="L961" t="n">
        <v>0</v>
      </c>
      <c r="M961" t="n">
        <v>0</v>
      </c>
      <c r="N961" t="n">
        <v>0</v>
      </c>
      <c r="O961" t="n">
        <v>0</v>
      </c>
      <c r="P961" t="n">
        <v>0</v>
      </c>
      <c r="Q961" t="n">
        <v>0</v>
      </c>
      <c r="R961" s="2" t="inlineStr"/>
    </row>
    <row r="962" ht="15" customHeight="1">
      <c r="A962" t="inlineStr">
        <is>
          <t>A 29480-2025</t>
        </is>
      </c>
      <c r="B962" s="1" t="n">
        <v>45824</v>
      </c>
      <c r="C962" s="1" t="n">
        <v>45831</v>
      </c>
      <c r="D962" t="inlineStr">
        <is>
          <t>VÄSTERNORRLANDS LÄN</t>
        </is>
      </c>
      <c r="E962" t="inlineStr">
        <is>
          <t>TIMRÅ</t>
        </is>
      </c>
      <c r="F962" t="inlineStr">
        <is>
          <t>SCA</t>
        </is>
      </c>
      <c r="G962" t="n">
        <v>4</v>
      </c>
      <c r="H962" t="n">
        <v>0</v>
      </c>
      <c r="I962" t="n">
        <v>0</v>
      </c>
      <c r="J962" t="n">
        <v>0</v>
      </c>
      <c r="K962" t="n">
        <v>0</v>
      </c>
      <c r="L962" t="n">
        <v>0</v>
      </c>
      <c r="M962" t="n">
        <v>0</v>
      </c>
      <c r="N962" t="n">
        <v>0</v>
      </c>
      <c r="O962" t="n">
        <v>0</v>
      </c>
      <c r="P962" t="n">
        <v>0</v>
      </c>
      <c r="Q962" t="n">
        <v>0</v>
      </c>
      <c r="R962" s="2" t="inlineStr"/>
    </row>
    <row r="963">
      <c r="A963" t="inlineStr">
        <is>
          <t>A 30315-2025</t>
        </is>
      </c>
      <c r="B963" s="1" t="n">
        <v>45827</v>
      </c>
      <c r="C963" s="1" t="n">
        <v>45831</v>
      </c>
      <c r="D963" t="inlineStr">
        <is>
          <t>VÄSTERNORRLANDS LÄN</t>
        </is>
      </c>
      <c r="E963" t="inlineStr">
        <is>
          <t>TIMRÅ</t>
        </is>
      </c>
      <c r="F963" t="inlineStr">
        <is>
          <t>SCA</t>
        </is>
      </c>
      <c r="G963" t="n">
        <v>9.800000000000001</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2025-06-23T19:20:00Z</dcterms:created>
  <dcterms:modified xmlns:dcterms="http://purl.org/dc/terms/" xmlns:xsi="http://www.w3.org/2001/XMLSchema-instance" xsi:type="dcterms:W3CDTF">2025-06-23T19:20:01Z</dcterms:modified>
</cp:coreProperties>
</file>