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45348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45348</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45348</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45348</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45348</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45348</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45348</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45348</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45348</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45348</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45348</v>
      </c>
      <c r="D12" t="inlineStr">
        <is>
          <t>VÄSTERNORRLANDS LÄN</t>
        </is>
      </c>
      <c r="E12" t="inlineStr">
        <is>
          <t>TIMRÅ</t>
        </is>
      </c>
      <c r="G12" t="n">
        <v>18</v>
      </c>
      <c r="H12" t="n">
        <v>3</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45348</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45348</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45348</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45348</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45348</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45348</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45348</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45348</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45348</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45348</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45348</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45348</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45348</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45348</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45348</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45348</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45348</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45348</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45348</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45348</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45348</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45348</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45348</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45348</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45348</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45348</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45348</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45348</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16852-2019</t>
        </is>
      </c>
      <c r="B41" s="1" t="n">
        <v>43549</v>
      </c>
      <c r="C41" s="1" t="n">
        <v>45348</v>
      </c>
      <c r="D41" t="inlineStr">
        <is>
          <t>VÄSTERNORRLANDS LÄN</t>
        </is>
      </c>
      <c r="E41" t="inlineStr">
        <is>
          <t>TIMRÅ</t>
        </is>
      </c>
      <c r="G41" t="n">
        <v>1.7</v>
      </c>
      <c r="H41" t="n">
        <v>1</v>
      </c>
      <c r="I41" t="n">
        <v>0</v>
      </c>
      <c r="J41" t="n">
        <v>1</v>
      </c>
      <c r="K41" t="n">
        <v>0</v>
      </c>
      <c r="L41" t="n">
        <v>0</v>
      </c>
      <c r="M41" t="n">
        <v>0</v>
      </c>
      <c r="N41" t="n">
        <v>0</v>
      </c>
      <c r="O41" t="n">
        <v>1</v>
      </c>
      <c r="P41" t="n">
        <v>0</v>
      </c>
      <c r="Q41" t="n">
        <v>1</v>
      </c>
      <c r="R41" s="2" t="inlineStr">
        <is>
          <t>Grönsångare</t>
        </is>
      </c>
      <c r="S41">
        <f>HYPERLINK("https://klasma.github.io/Logging_2262/artfynd/A 16852-2019 artfynd.xlsx", "A 16852-2019")</f>
        <v/>
      </c>
      <c r="T41">
        <f>HYPERLINK("https://klasma.github.io/Logging_2262/kartor/A 16852-2019 karta.png", "A 16852-2019")</f>
        <v/>
      </c>
      <c r="V41">
        <f>HYPERLINK("https://klasma.github.io/Logging_2262/klagomål/A 16852-2019 FSC-klagomål.docx", "A 16852-2019")</f>
        <v/>
      </c>
      <c r="W41">
        <f>HYPERLINK("https://klasma.github.io/Logging_2262/klagomålsmail/A 16852-2019 FSC-klagomål mail.docx", "A 16852-2019")</f>
        <v/>
      </c>
      <c r="X41">
        <f>HYPERLINK("https://klasma.github.io/Logging_2262/tillsyn/A 16852-2019 tillsynsbegäran.docx", "A 16852-2019")</f>
        <v/>
      </c>
      <c r="Y41">
        <f>HYPERLINK("https://klasma.github.io/Logging_2262/tillsynsmail/A 16852-2019 tillsynsbegäran mail.docx", "A 16852-2019")</f>
        <v/>
      </c>
    </row>
    <row r="42" ht="15" customHeight="1">
      <c r="A42" t="inlineStr">
        <is>
          <t>A 16858-2019</t>
        </is>
      </c>
      <c r="B42" s="1" t="n">
        <v>43549</v>
      </c>
      <c r="C42" s="1" t="n">
        <v>45348</v>
      </c>
      <c r="D42" t="inlineStr">
        <is>
          <t>VÄSTERNORRLANDS LÄN</t>
        </is>
      </c>
      <c r="E42" t="inlineStr">
        <is>
          <t>TIMRÅ</t>
        </is>
      </c>
      <c r="G42" t="n">
        <v>3.2</v>
      </c>
      <c r="H42" t="n">
        <v>0</v>
      </c>
      <c r="I42" t="n">
        <v>0</v>
      </c>
      <c r="J42" t="n">
        <v>1</v>
      </c>
      <c r="K42" t="n">
        <v>0</v>
      </c>
      <c r="L42" t="n">
        <v>0</v>
      </c>
      <c r="M42" t="n">
        <v>0</v>
      </c>
      <c r="N42" t="n">
        <v>0</v>
      </c>
      <c r="O42" t="n">
        <v>1</v>
      </c>
      <c r="P42" t="n">
        <v>0</v>
      </c>
      <c r="Q42" t="n">
        <v>1</v>
      </c>
      <c r="R42" s="2" t="inlineStr">
        <is>
          <t>Violettgrå tagellav</t>
        </is>
      </c>
      <c r="S42">
        <f>HYPERLINK("https://klasma.github.io/Logging_2262/artfynd/A 16858-2019 artfynd.xlsx", "A 16858-2019")</f>
        <v/>
      </c>
      <c r="T42">
        <f>HYPERLINK("https://klasma.github.io/Logging_2262/kartor/A 16858-2019 karta.png", "A 16858-2019")</f>
        <v/>
      </c>
      <c r="V42">
        <f>HYPERLINK("https://klasma.github.io/Logging_2262/klagomål/A 16858-2019 FSC-klagomål.docx", "A 16858-2019")</f>
        <v/>
      </c>
      <c r="W42">
        <f>HYPERLINK("https://klasma.github.io/Logging_2262/klagomålsmail/A 16858-2019 FSC-klagomål mail.docx", "A 16858-2019")</f>
        <v/>
      </c>
      <c r="X42">
        <f>HYPERLINK("https://klasma.github.io/Logging_2262/tillsyn/A 16858-2019 tillsynsbegäran.docx", "A 16858-2019")</f>
        <v/>
      </c>
      <c r="Y42">
        <f>HYPERLINK("https://klasma.github.io/Logging_2262/tillsynsmail/A 16858-2019 tillsynsbegäran mail.docx", "A 16858-2019")</f>
        <v/>
      </c>
    </row>
    <row r="43" ht="15" customHeight="1">
      <c r="A43" t="inlineStr">
        <is>
          <t>A 66710-2019</t>
        </is>
      </c>
      <c r="B43" s="1" t="n">
        <v>43809</v>
      </c>
      <c r="C43" s="1" t="n">
        <v>45348</v>
      </c>
      <c r="D43" t="inlineStr">
        <is>
          <t>VÄSTERNORRLANDS LÄN</t>
        </is>
      </c>
      <c r="E43" t="inlineStr">
        <is>
          <t>TIMRÅ</t>
        </is>
      </c>
      <c r="G43" t="n">
        <v>2.9</v>
      </c>
      <c r="H43" t="n">
        <v>0</v>
      </c>
      <c r="I43" t="n">
        <v>0</v>
      </c>
      <c r="J43" t="n">
        <v>1</v>
      </c>
      <c r="K43" t="n">
        <v>0</v>
      </c>
      <c r="L43" t="n">
        <v>0</v>
      </c>
      <c r="M43" t="n">
        <v>0</v>
      </c>
      <c r="N43" t="n">
        <v>0</v>
      </c>
      <c r="O43" t="n">
        <v>1</v>
      </c>
      <c r="P43" t="n">
        <v>0</v>
      </c>
      <c r="Q43" t="n">
        <v>1</v>
      </c>
      <c r="R43" s="2" t="inlineStr">
        <is>
          <t>Ullticka</t>
        </is>
      </c>
      <c r="S43">
        <f>HYPERLINK("https://klasma.github.io/Logging_2262/artfynd/A 66710-2019 artfynd.xlsx", "A 66710-2019")</f>
        <v/>
      </c>
      <c r="T43">
        <f>HYPERLINK("https://klasma.github.io/Logging_2262/kartor/A 66710-2019 karta.png", "A 66710-2019")</f>
        <v/>
      </c>
      <c r="V43">
        <f>HYPERLINK("https://klasma.github.io/Logging_2262/klagomål/A 66710-2019 FSC-klagomål.docx", "A 66710-2019")</f>
        <v/>
      </c>
      <c r="W43">
        <f>HYPERLINK("https://klasma.github.io/Logging_2262/klagomålsmail/A 66710-2019 FSC-klagomål mail.docx", "A 66710-2019")</f>
        <v/>
      </c>
      <c r="X43">
        <f>HYPERLINK("https://klasma.github.io/Logging_2262/tillsyn/A 66710-2019 tillsynsbegäran.docx", "A 66710-2019")</f>
        <v/>
      </c>
      <c r="Y43">
        <f>HYPERLINK("https://klasma.github.io/Logging_2262/tillsynsmail/A 66710-2019 tillsynsbegäran mail.docx", "A 66710-2019")</f>
        <v/>
      </c>
    </row>
    <row r="44" ht="15" customHeight="1">
      <c r="A44" t="inlineStr">
        <is>
          <t>A 24277-2020</t>
        </is>
      </c>
      <c r="B44" s="1" t="n">
        <v>43971</v>
      </c>
      <c r="C44" s="1" t="n">
        <v>45348</v>
      </c>
      <c r="D44" t="inlineStr">
        <is>
          <t>VÄSTERNORRLANDS LÄN</t>
        </is>
      </c>
      <c r="E44" t="inlineStr">
        <is>
          <t>TIMRÅ</t>
        </is>
      </c>
      <c r="G44" t="n">
        <v>6</v>
      </c>
      <c r="H44" t="n">
        <v>1</v>
      </c>
      <c r="I44" t="n">
        <v>0</v>
      </c>
      <c r="J44" t="n">
        <v>0</v>
      </c>
      <c r="K44" t="n">
        <v>1</v>
      </c>
      <c r="L44" t="n">
        <v>0</v>
      </c>
      <c r="M44" t="n">
        <v>0</v>
      </c>
      <c r="N44" t="n">
        <v>0</v>
      </c>
      <c r="O44" t="n">
        <v>1</v>
      </c>
      <c r="P44" t="n">
        <v>1</v>
      </c>
      <c r="Q44" t="n">
        <v>1</v>
      </c>
      <c r="R44" s="2" t="inlineStr">
        <is>
          <t>Bergviol</t>
        </is>
      </c>
      <c r="S44">
        <f>HYPERLINK("https://klasma.github.io/Logging_2262/artfynd/A 24277-2020 artfynd.xlsx", "A 24277-2020")</f>
        <v/>
      </c>
      <c r="T44">
        <f>HYPERLINK("https://klasma.github.io/Logging_2262/kartor/A 24277-2020 karta.png", "A 24277-2020")</f>
        <v/>
      </c>
      <c r="V44">
        <f>HYPERLINK("https://klasma.github.io/Logging_2262/klagomål/A 24277-2020 FSC-klagomål.docx", "A 24277-2020")</f>
        <v/>
      </c>
      <c r="W44">
        <f>HYPERLINK("https://klasma.github.io/Logging_2262/klagomålsmail/A 24277-2020 FSC-klagomål mail.docx", "A 24277-2020")</f>
        <v/>
      </c>
      <c r="X44">
        <f>HYPERLINK("https://klasma.github.io/Logging_2262/tillsyn/A 24277-2020 tillsynsbegäran.docx", "A 24277-2020")</f>
        <v/>
      </c>
      <c r="Y44">
        <f>HYPERLINK("https://klasma.github.io/Logging_2262/tillsynsmail/A 24277-2020 tillsynsbegäran mail.docx", "A 24277-2020")</f>
        <v/>
      </c>
    </row>
    <row r="45" ht="15" customHeight="1">
      <c r="A45" t="inlineStr">
        <is>
          <t>A 27879-2020</t>
        </is>
      </c>
      <c r="B45" s="1" t="n">
        <v>43994</v>
      </c>
      <c r="C45" s="1" t="n">
        <v>45348</v>
      </c>
      <c r="D45" t="inlineStr">
        <is>
          <t>VÄSTERNORRLANDS LÄN</t>
        </is>
      </c>
      <c r="E45" t="inlineStr">
        <is>
          <t>TIMRÅ</t>
        </is>
      </c>
      <c r="G45" t="n">
        <v>5.5</v>
      </c>
      <c r="H45" t="n">
        <v>1</v>
      </c>
      <c r="I45" t="n">
        <v>0</v>
      </c>
      <c r="J45" t="n">
        <v>0</v>
      </c>
      <c r="K45" t="n">
        <v>0</v>
      </c>
      <c r="L45" t="n">
        <v>0</v>
      </c>
      <c r="M45" t="n">
        <v>0</v>
      </c>
      <c r="N45" t="n">
        <v>0</v>
      </c>
      <c r="O45" t="n">
        <v>0</v>
      </c>
      <c r="P45" t="n">
        <v>0</v>
      </c>
      <c r="Q45" t="n">
        <v>1</v>
      </c>
      <c r="R45" s="2" t="inlineStr">
        <is>
          <t>Mindre vattensalamander</t>
        </is>
      </c>
      <c r="S45">
        <f>HYPERLINK("https://klasma.github.io/Logging_2262/artfynd/A 27879-2020 artfynd.xlsx", "A 27879-2020")</f>
        <v/>
      </c>
      <c r="T45">
        <f>HYPERLINK("https://klasma.github.io/Logging_2262/kartor/A 27879-2020 karta.png", "A 27879-2020")</f>
        <v/>
      </c>
      <c r="V45">
        <f>HYPERLINK("https://klasma.github.io/Logging_2262/klagomål/A 27879-2020 FSC-klagomål.docx", "A 27879-2020")</f>
        <v/>
      </c>
      <c r="W45">
        <f>HYPERLINK("https://klasma.github.io/Logging_2262/klagomålsmail/A 27879-2020 FSC-klagomål mail.docx", "A 27879-2020")</f>
        <v/>
      </c>
      <c r="X45">
        <f>HYPERLINK("https://klasma.github.io/Logging_2262/tillsyn/A 27879-2020 tillsynsbegäran.docx", "A 27879-2020")</f>
        <v/>
      </c>
      <c r="Y45">
        <f>HYPERLINK("https://klasma.github.io/Logging_2262/tillsynsmail/A 27879-2020 tillsynsbegäran mail.docx", "A 27879-2020")</f>
        <v/>
      </c>
    </row>
    <row r="46" ht="15" customHeight="1">
      <c r="A46" t="inlineStr">
        <is>
          <t>A 40407-2020</t>
        </is>
      </c>
      <c r="B46" s="1" t="n">
        <v>44068</v>
      </c>
      <c r="C46" s="1" t="n">
        <v>45348</v>
      </c>
      <c r="D46" t="inlineStr">
        <is>
          <t>VÄSTERNORRLANDS LÄN</t>
        </is>
      </c>
      <c r="E46" t="inlineStr">
        <is>
          <t>TIMRÅ</t>
        </is>
      </c>
      <c r="G46" t="n">
        <v>3.6</v>
      </c>
      <c r="H46" t="n">
        <v>0</v>
      </c>
      <c r="I46" t="n">
        <v>0</v>
      </c>
      <c r="J46" t="n">
        <v>1</v>
      </c>
      <c r="K46" t="n">
        <v>0</v>
      </c>
      <c r="L46" t="n">
        <v>0</v>
      </c>
      <c r="M46" t="n">
        <v>0</v>
      </c>
      <c r="N46" t="n">
        <v>0</v>
      </c>
      <c r="O46" t="n">
        <v>1</v>
      </c>
      <c r="P46" t="n">
        <v>0</v>
      </c>
      <c r="Q46" t="n">
        <v>1</v>
      </c>
      <c r="R46" s="2" t="inlineStr">
        <is>
          <t>Ullticka</t>
        </is>
      </c>
      <c r="S46">
        <f>HYPERLINK("https://klasma.github.io/Logging_2262/artfynd/A 40407-2020 artfynd.xlsx", "A 40407-2020")</f>
        <v/>
      </c>
      <c r="T46">
        <f>HYPERLINK("https://klasma.github.io/Logging_2262/kartor/A 40407-2020 karta.png", "A 40407-2020")</f>
        <v/>
      </c>
      <c r="V46">
        <f>HYPERLINK("https://klasma.github.io/Logging_2262/klagomål/A 40407-2020 FSC-klagomål.docx", "A 40407-2020")</f>
        <v/>
      </c>
      <c r="W46">
        <f>HYPERLINK("https://klasma.github.io/Logging_2262/klagomålsmail/A 40407-2020 FSC-klagomål mail.docx", "A 40407-2020")</f>
        <v/>
      </c>
      <c r="X46">
        <f>HYPERLINK("https://klasma.github.io/Logging_2262/tillsyn/A 40407-2020 tillsynsbegäran.docx", "A 40407-2020")</f>
        <v/>
      </c>
      <c r="Y46">
        <f>HYPERLINK("https://klasma.github.io/Logging_2262/tillsynsmail/A 40407-2020 tillsynsbegäran mail.docx", "A 40407-2020")</f>
        <v/>
      </c>
    </row>
    <row r="47" ht="15" customHeight="1">
      <c r="A47" t="inlineStr">
        <is>
          <t>A 69202-2020</t>
        </is>
      </c>
      <c r="B47" s="1" t="n">
        <v>44191</v>
      </c>
      <c r="C47" s="1" t="n">
        <v>45348</v>
      </c>
      <c r="D47" t="inlineStr">
        <is>
          <t>VÄSTERNORRLANDS LÄN</t>
        </is>
      </c>
      <c r="E47" t="inlineStr">
        <is>
          <t>TIMRÅ</t>
        </is>
      </c>
      <c r="F47" t="inlineStr">
        <is>
          <t>SCA</t>
        </is>
      </c>
      <c r="G47" t="n">
        <v>12</v>
      </c>
      <c r="H47" t="n">
        <v>0</v>
      </c>
      <c r="I47" t="n">
        <v>0</v>
      </c>
      <c r="J47" t="n">
        <v>1</v>
      </c>
      <c r="K47" t="n">
        <v>0</v>
      </c>
      <c r="L47" t="n">
        <v>0</v>
      </c>
      <c r="M47" t="n">
        <v>0</v>
      </c>
      <c r="N47" t="n">
        <v>0</v>
      </c>
      <c r="O47" t="n">
        <v>1</v>
      </c>
      <c r="P47" t="n">
        <v>0</v>
      </c>
      <c r="Q47" t="n">
        <v>1</v>
      </c>
      <c r="R47" s="2" t="inlineStr">
        <is>
          <t>Garnlav</t>
        </is>
      </c>
      <c r="S47">
        <f>HYPERLINK("https://klasma.github.io/Logging_2262/artfynd/A 69202-2020 artfynd.xlsx", "A 69202-2020")</f>
        <v/>
      </c>
      <c r="T47">
        <f>HYPERLINK("https://klasma.github.io/Logging_2262/kartor/A 69202-2020 karta.png", "A 69202-2020")</f>
        <v/>
      </c>
      <c r="V47">
        <f>HYPERLINK("https://klasma.github.io/Logging_2262/klagomål/A 69202-2020 FSC-klagomål.docx", "A 69202-2020")</f>
        <v/>
      </c>
      <c r="W47">
        <f>HYPERLINK("https://klasma.github.io/Logging_2262/klagomålsmail/A 69202-2020 FSC-klagomål mail.docx", "A 69202-2020")</f>
        <v/>
      </c>
      <c r="X47">
        <f>HYPERLINK("https://klasma.github.io/Logging_2262/tillsyn/A 69202-2020 tillsynsbegäran.docx", "A 69202-2020")</f>
        <v/>
      </c>
      <c r="Y47">
        <f>HYPERLINK("https://klasma.github.io/Logging_2262/tillsynsmail/A 69202-2020 tillsynsbegäran mail.docx", "A 69202-2020")</f>
        <v/>
      </c>
    </row>
    <row r="48" ht="15" customHeight="1">
      <c r="A48" t="inlineStr">
        <is>
          <t>A 18969-2021</t>
        </is>
      </c>
      <c r="B48" s="1" t="n">
        <v>44308</v>
      </c>
      <c r="C48" s="1" t="n">
        <v>45348</v>
      </c>
      <c r="D48" t="inlineStr">
        <is>
          <t>VÄSTERNORRLANDS LÄN</t>
        </is>
      </c>
      <c r="E48" t="inlineStr">
        <is>
          <t>TIMRÅ</t>
        </is>
      </c>
      <c r="G48" t="n">
        <v>7.4</v>
      </c>
      <c r="H48" t="n">
        <v>0</v>
      </c>
      <c r="I48" t="n">
        <v>1</v>
      </c>
      <c r="J48" t="n">
        <v>0</v>
      </c>
      <c r="K48" t="n">
        <v>0</v>
      </c>
      <c r="L48" t="n">
        <v>0</v>
      </c>
      <c r="M48" t="n">
        <v>0</v>
      </c>
      <c r="N48" t="n">
        <v>0</v>
      </c>
      <c r="O48" t="n">
        <v>0</v>
      </c>
      <c r="P48" t="n">
        <v>0</v>
      </c>
      <c r="Q48" t="n">
        <v>1</v>
      </c>
      <c r="R48" s="2" t="inlineStr">
        <is>
          <t>Strutbräken</t>
        </is>
      </c>
      <c r="S48">
        <f>HYPERLINK("https://klasma.github.io/Logging_2262/artfynd/A 18969-2021 artfynd.xlsx", "A 18969-2021")</f>
        <v/>
      </c>
      <c r="T48">
        <f>HYPERLINK("https://klasma.github.io/Logging_2262/kartor/A 18969-2021 karta.png", "A 18969-2021")</f>
        <v/>
      </c>
      <c r="V48">
        <f>HYPERLINK("https://klasma.github.io/Logging_2262/klagomål/A 18969-2021 FSC-klagomål.docx", "A 18969-2021")</f>
        <v/>
      </c>
      <c r="W48">
        <f>HYPERLINK("https://klasma.github.io/Logging_2262/klagomålsmail/A 18969-2021 FSC-klagomål mail.docx", "A 18969-2021")</f>
        <v/>
      </c>
      <c r="X48">
        <f>HYPERLINK("https://klasma.github.io/Logging_2262/tillsyn/A 18969-2021 tillsynsbegäran.docx", "A 18969-2021")</f>
        <v/>
      </c>
      <c r="Y48">
        <f>HYPERLINK("https://klasma.github.io/Logging_2262/tillsynsmail/A 18969-2021 tillsynsbegäran mail.docx", "A 18969-2021")</f>
        <v/>
      </c>
    </row>
    <row r="49" ht="15" customHeight="1">
      <c r="A49" t="inlineStr">
        <is>
          <t>A 12753-2022</t>
        </is>
      </c>
      <c r="B49" s="1" t="n">
        <v>44641</v>
      </c>
      <c r="C49" s="1" t="n">
        <v>45348</v>
      </c>
      <c r="D49" t="inlineStr">
        <is>
          <t>VÄSTERNORRLANDS LÄN</t>
        </is>
      </c>
      <c r="E49" t="inlineStr">
        <is>
          <t>TIMRÅ</t>
        </is>
      </c>
      <c r="G49" t="n">
        <v>1.6</v>
      </c>
      <c r="H49" t="n">
        <v>0</v>
      </c>
      <c r="I49" t="n">
        <v>1</v>
      </c>
      <c r="J49" t="n">
        <v>0</v>
      </c>
      <c r="K49" t="n">
        <v>0</v>
      </c>
      <c r="L49" t="n">
        <v>0</v>
      </c>
      <c r="M49" t="n">
        <v>0</v>
      </c>
      <c r="N49" t="n">
        <v>0</v>
      </c>
      <c r="O49" t="n">
        <v>0</v>
      </c>
      <c r="P49" t="n">
        <v>0</v>
      </c>
      <c r="Q49" t="n">
        <v>1</v>
      </c>
      <c r="R49" s="2" t="inlineStr">
        <is>
          <t>Strutbräken</t>
        </is>
      </c>
      <c r="S49">
        <f>HYPERLINK("https://klasma.github.io/Logging_2262/artfynd/A 12753-2022 artfynd.xlsx", "A 12753-2022")</f>
        <v/>
      </c>
      <c r="T49">
        <f>HYPERLINK("https://klasma.github.io/Logging_2262/kartor/A 12753-2022 karta.png", "A 12753-2022")</f>
        <v/>
      </c>
      <c r="V49">
        <f>HYPERLINK("https://klasma.github.io/Logging_2262/klagomål/A 12753-2022 FSC-klagomål.docx", "A 12753-2022")</f>
        <v/>
      </c>
      <c r="W49">
        <f>HYPERLINK("https://klasma.github.io/Logging_2262/klagomålsmail/A 12753-2022 FSC-klagomål mail.docx", "A 12753-2022")</f>
        <v/>
      </c>
      <c r="X49">
        <f>HYPERLINK("https://klasma.github.io/Logging_2262/tillsyn/A 12753-2022 tillsynsbegäran.docx", "A 12753-2022")</f>
        <v/>
      </c>
      <c r="Y49">
        <f>HYPERLINK("https://klasma.github.io/Logging_2262/tillsynsmail/A 12753-2022 tillsynsbegäran mail.docx", "A 12753-2022")</f>
        <v/>
      </c>
    </row>
    <row r="50" ht="15" customHeight="1">
      <c r="A50" t="inlineStr">
        <is>
          <t>A 12785-2022</t>
        </is>
      </c>
      <c r="B50" s="1" t="n">
        <v>44641</v>
      </c>
      <c r="C50" s="1" t="n">
        <v>45348</v>
      </c>
      <c r="D50" t="inlineStr">
        <is>
          <t>VÄSTERNORRLANDS LÄN</t>
        </is>
      </c>
      <c r="E50" t="inlineStr">
        <is>
          <t>TIMRÅ</t>
        </is>
      </c>
      <c r="G50" t="n">
        <v>2.2</v>
      </c>
      <c r="H50" t="n">
        <v>0</v>
      </c>
      <c r="I50" t="n">
        <v>1</v>
      </c>
      <c r="J50" t="n">
        <v>0</v>
      </c>
      <c r="K50" t="n">
        <v>0</v>
      </c>
      <c r="L50" t="n">
        <v>0</v>
      </c>
      <c r="M50" t="n">
        <v>0</v>
      </c>
      <c r="N50" t="n">
        <v>0</v>
      </c>
      <c r="O50" t="n">
        <v>0</v>
      </c>
      <c r="P50" t="n">
        <v>0</v>
      </c>
      <c r="Q50" t="n">
        <v>1</v>
      </c>
      <c r="R50" s="2" t="inlineStr">
        <is>
          <t>Ögonpyrola</t>
        </is>
      </c>
      <c r="S50">
        <f>HYPERLINK("https://klasma.github.io/Logging_2262/artfynd/A 12785-2022 artfynd.xlsx", "A 12785-2022")</f>
        <v/>
      </c>
      <c r="T50">
        <f>HYPERLINK("https://klasma.github.io/Logging_2262/kartor/A 12785-2022 karta.png", "A 12785-2022")</f>
        <v/>
      </c>
      <c r="V50">
        <f>HYPERLINK("https://klasma.github.io/Logging_2262/klagomål/A 12785-2022 FSC-klagomål.docx", "A 12785-2022")</f>
        <v/>
      </c>
      <c r="W50">
        <f>HYPERLINK("https://klasma.github.io/Logging_2262/klagomålsmail/A 12785-2022 FSC-klagomål mail.docx", "A 12785-2022")</f>
        <v/>
      </c>
      <c r="X50">
        <f>HYPERLINK("https://klasma.github.io/Logging_2262/tillsyn/A 12785-2022 tillsynsbegäran.docx", "A 12785-2022")</f>
        <v/>
      </c>
      <c r="Y50">
        <f>HYPERLINK("https://klasma.github.io/Logging_2262/tillsynsmail/A 12785-2022 tillsynsbegäran mail.docx", "A 12785-2022")</f>
        <v/>
      </c>
    </row>
    <row r="51" ht="15" customHeight="1">
      <c r="A51" t="inlineStr">
        <is>
          <t>A 23222-2022</t>
        </is>
      </c>
      <c r="B51" s="1" t="n">
        <v>44719</v>
      </c>
      <c r="C51" s="1" t="n">
        <v>45348</v>
      </c>
      <c r="D51" t="inlineStr">
        <is>
          <t>VÄSTERNORRLANDS LÄN</t>
        </is>
      </c>
      <c r="E51" t="inlineStr">
        <is>
          <t>TIMRÅ</t>
        </is>
      </c>
      <c r="F51" t="inlineStr">
        <is>
          <t>SCA</t>
        </is>
      </c>
      <c r="G51" t="n">
        <v>4</v>
      </c>
      <c r="H51" t="n">
        <v>0</v>
      </c>
      <c r="I51" t="n">
        <v>0</v>
      </c>
      <c r="J51" t="n">
        <v>1</v>
      </c>
      <c r="K51" t="n">
        <v>0</v>
      </c>
      <c r="L51" t="n">
        <v>0</v>
      </c>
      <c r="M51" t="n">
        <v>0</v>
      </c>
      <c r="N51" t="n">
        <v>0</v>
      </c>
      <c r="O51" t="n">
        <v>1</v>
      </c>
      <c r="P51" t="n">
        <v>0</v>
      </c>
      <c r="Q51" t="n">
        <v>1</v>
      </c>
      <c r="R51" s="2" t="inlineStr">
        <is>
          <t>Garnlav</t>
        </is>
      </c>
      <c r="S51">
        <f>HYPERLINK("https://klasma.github.io/Logging_2262/artfynd/A 23222-2022 artfynd.xlsx", "A 23222-2022")</f>
        <v/>
      </c>
      <c r="T51">
        <f>HYPERLINK("https://klasma.github.io/Logging_2262/kartor/A 23222-2022 karta.png", "A 23222-2022")</f>
        <v/>
      </c>
      <c r="V51">
        <f>HYPERLINK("https://klasma.github.io/Logging_2262/klagomål/A 23222-2022 FSC-klagomål.docx", "A 23222-2022")</f>
        <v/>
      </c>
      <c r="W51">
        <f>HYPERLINK("https://klasma.github.io/Logging_2262/klagomålsmail/A 23222-2022 FSC-klagomål mail.docx", "A 23222-2022")</f>
        <v/>
      </c>
      <c r="X51">
        <f>HYPERLINK("https://klasma.github.io/Logging_2262/tillsyn/A 23222-2022 tillsynsbegäran.docx", "A 23222-2022")</f>
        <v/>
      </c>
      <c r="Y51">
        <f>HYPERLINK("https://klasma.github.io/Logging_2262/tillsynsmail/A 23222-2022 tillsynsbegäran mail.docx", "A 23222-2022")</f>
        <v/>
      </c>
    </row>
    <row r="52" ht="15" customHeight="1">
      <c r="A52" t="inlineStr">
        <is>
          <t>A 57242-2022</t>
        </is>
      </c>
      <c r="B52" s="1" t="n">
        <v>44889</v>
      </c>
      <c r="C52" s="1" t="n">
        <v>45348</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45348</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45348</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45348</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45348</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45348</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45348</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45348</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45348</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45348</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45348</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63171-2023</t>
        </is>
      </c>
      <c r="B63" s="1" t="n">
        <v>45273</v>
      </c>
      <c r="C63" s="1" t="n">
        <v>45348</v>
      </c>
      <c r="D63" t="inlineStr">
        <is>
          <t>VÄSTERNORRLANDS LÄN</t>
        </is>
      </c>
      <c r="E63" t="inlineStr">
        <is>
          <t>TIMRÅ</t>
        </is>
      </c>
      <c r="F63" t="inlineStr">
        <is>
          <t>Kommuner</t>
        </is>
      </c>
      <c r="G63" t="n">
        <v>8.300000000000001</v>
      </c>
      <c r="H63" t="n">
        <v>0</v>
      </c>
      <c r="I63" t="n">
        <v>0</v>
      </c>
      <c r="J63" t="n">
        <v>1</v>
      </c>
      <c r="K63" t="n">
        <v>0</v>
      </c>
      <c r="L63" t="n">
        <v>0</v>
      </c>
      <c r="M63" t="n">
        <v>0</v>
      </c>
      <c r="N63" t="n">
        <v>0</v>
      </c>
      <c r="O63" t="n">
        <v>1</v>
      </c>
      <c r="P63" t="n">
        <v>0</v>
      </c>
      <c r="Q63" t="n">
        <v>1</v>
      </c>
      <c r="R63" s="2" t="inlineStr">
        <is>
          <t>Rödprick</t>
        </is>
      </c>
      <c r="S63">
        <f>HYPERLINK("https://klasma.github.io/Logging_2262/artfynd/A 63171-2023 artfynd.xlsx", "A 63171-2023")</f>
        <v/>
      </c>
      <c r="T63">
        <f>HYPERLINK("https://klasma.github.io/Logging_2262/kartor/A 63171-2023 karta.png", "A 63171-2023")</f>
        <v/>
      </c>
      <c r="V63">
        <f>HYPERLINK("https://klasma.github.io/Logging_2262/klagomål/A 63171-2023 FSC-klagomål.docx", "A 63171-2023")</f>
        <v/>
      </c>
      <c r="W63">
        <f>HYPERLINK("https://klasma.github.io/Logging_2262/klagomålsmail/A 63171-2023 FSC-klagomål mail.docx", "A 63171-2023")</f>
        <v/>
      </c>
      <c r="X63">
        <f>HYPERLINK("https://klasma.github.io/Logging_2262/tillsyn/A 63171-2023 tillsynsbegäran.docx", "A 63171-2023")</f>
        <v/>
      </c>
      <c r="Y63">
        <f>HYPERLINK("https://klasma.github.io/Logging_2262/tillsynsmail/A 63171-2023 tillsynsbegäran mail.docx", "A 63171-2023")</f>
        <v/>
      </c>
    </row>
    <row r="64" ht="15" customHeight="1">
      <c r="A64" t="inlineStr">
        <is>
          <t>A 54637-2018</t>
        </is>
      </c>
      <c r="B64" s="1" t="n">
        <v>43389</v>
      </c>
      <c r="C64" s="1" t="n">
        <v>45348</v>
      </c>
      <c r="D64" t="inlineStr">
        <is>
          <t>VÄSTERNORRLANDS LÄN</t>
        </is>
      </c>
      <c r="E64" t="inlineStr">
        <is>
          <t>TIMRÅ</t>
        </is>
      </c>
      <c r="G64" t="n">
        <v>1.3</v>
      </c>
      <c r="H64" t="n">
        <v>0</v>
      </c>
      <c r="I64" t="n">
        <v>0</v>
      </c>
      <c r="J64" t="n">
        <v>0</v>
      </c>
      <c r="K64" t="n">
        <v>0</v>
      </c>
      <c r="L64" t="n">
        <v>0</v>
      </c>
      <c r="M64" t="n">
        <v>0</v>
      </c>
      <c r="N64" t="n">
        <v>0</v>
      </c>
      <c r="O64" t="n">
        <v>0</v>
      </c>
      <c r="P64" t="n">
        <v>0</v>
      </c>
      <c r="Q64" t="n">
        <v>0</v>
      </c>
      <c r="R64" s="2" t="inlineStr"/>
    </row>
    <row r="65" ht="15" customHeight="1">
      <c r="A65" t="inlineStr">
        <is>
          <t>A 56900-2018</t>
        </is>
      </c>
      <c r="B65" s="1" t="n">
        <v>43403</v>
      </c>
      <c r="C65" s="1" t="n">
        <v>45348</v>
      </c>
      <c r="D65" t="inlineStr">
        <is>
          <t>VÄSTERNORRLANDS LÄN</t>
        </is>
      </c>
      <c r="E65" t="inlineStr">
        <is>
          <t>TIMRÅ</t>
        </is>
      </c>
      <c r="G65" t="n">
        <v>4.6</v>
      </c>
      <c r="H65" t="n">
        <v>0</v>
      </c>
      <c r="I65" t="n">
        <v>0</v>
      </c>
      <c r="J65" t="n">
        <v>0</v>
      </c>
      <c r="K65" t="n">
        <v>0</v>
      </c>
      <c r="L65" t="n">
        <v>0</v>
      </c>
      <c r="M65" t="n">
        <v>0</v>
      </c>
      <c r="N65" t="n">
        <v>0</v>
      </c>
      <c r="O65" t="n">
        <v>0</v>
      </c>
      <c r="P65" t="n">
        <v>0</v>
      </c>
      <c r="Q65" t="n">
        <v>0</v>
      </c>
      <c r="R65" s="2" t="inlineStr"/>
    </row>
    <row r="66" ht="15" customHeight="1">
      <c r="A66" t="inlineStr">
        <is>
          <t>A 60068-2018</t>
        </is>
      </c>
      <c r="B66" s="1" t="n">
        <v>43412</v>
      </c>
      <c r="C66" s="1" t="n">
        <v>45348</v>
      </c>
      <c r="D66" t="inlineStr">
        <is>
          <t>VÄSTERNORRLANDS LÄN</t>
        </is>
      </c>
      <c r="E66" t="inlineStr">
        <is>
          <t>TIMRÅ</t>
        </is>
      </c>
      <c r="G66" t="n">
        <v>0.8</v>
      </c>
      <c r="H66" t="n">
        <v>0</v>
      </c>
      <c r="I66" t="n">
        <v>0</v>
      </c>
      <c r="J66" t="n">
        <v>0</v>
      </c>
      <c r="K66" t="n">
        <v>0</v>
      </c>
      <c r="L66" t="n">
        <v>0</v>
      </c>
      <c r="M66" t="n">
        <v>0</v>
      </c>
      <c r="N66" t="n">
        <v>0</v>
      </c>
      <c r="O66" t="n">
        <v>0</v>
      </c>
      <c r="P66" t="n">
        <v>0</v>
      </c>
      <c r="Q66" t="n">
        <v>0</v>
      </c>
      <c r="R66" s="2" t="inlineStr"/>
    </row>
    <row r="67" ht="15" customHeight="1">
      <c r="A67" t="inlineStr">
        <is>
          <t>A 60995-2018</t>
        </is>
      </c>
      <c r="B67" s="1" t="n">
        <v>43423</v>
      </c>
      <c r="C67" s="1" t="n">
        <v>45348</v>
      </c>
      <c r="D67" t="inlineStr">
        <is>
          <t>VÄSTERNORRLANDS LÄN</t>
        </is>
      </c>
      <c r="E67" t="inlineStr">
        <is>
          <t>TIMRÅ</t>
        </is>
      </c>
      <c r="G67" t="n">
        <v>1.3</v>
      </c>
      <c r="H67" t="n">
        <v>0</v>
      </c>
      <c r="I67" t="n">
        <v>0</v>
      </c>
      <c r="J67" t="n">
        <v>0</v>
      </c>
      <c r="K67" t="n">
        <v>0</v>
      </c>
      <c r="L67" t="n">
        <v>0</v>
      </c>
      <c r="M67" t="n">
        <v>0</v>
      </c>
      <c r="N67" t="n">
        <v>0</v>
      </c>
      <c r="O67" t="n">
        <v>0</v>
      </c>
      <c r="P67" t="n">
        <v>0</v>
      </c>
      <c r="Q67" t="n">
        <v>0</v>
      </c>
      <c r="R67" s="2" t="inlineStr"/>
    </row>
    <row r="68" ht="15" customHeight="1">
      <c r="A68" t="inlineStr">
        <is>
          <t>A 65661-2018</t>
        </is>
      </c>
      <c r="B68" s="1" t="n">
        <v>43426</v>
      </c>
      <c r="C68" s="1" t="n">
        <v>45348</v>
      </c>
      <c r="D68" t="inlineStr">
        <is>
          <t>VÄSTERNORRLANDS LÄN</t>
        </is>
      </c>
      <c r="E68" t="inlineStr">
        <is>
          <t>TIMRÅ</t>
        </is>
      </c>
      <c r="G68" t="n">
        <v>2.5</v>
      </c>
      <c r="H68" t="n">
        <v>0</v>
      </c>
      <c r="I68" t="n">
        <v>0</v>
      </c>
      <c r="J68" t="n">
        <v>0</v>
      </c>
      <c r="K68" t="n">
        <v>0</v>
      </c>
      <c r="L68" t="n">
        <v>0</v>
      </c>
      <c r="M68" t="n">
        <v>0</v>
      </c>
      <c r="N68" t="n">
        <v>0</v>
      </c>
      <c r="O68" t="n">
        <v>0</v>
      </c>
      <c r="P68" t="n">
        <v>0</v>
      </c>
      <c r="Q68" t="n">
        <v>0</v>
      </c>
      <c r="R68" s="2" t="inlineStr"/>
    </row>
    <row r="69" ht="15" customHeight="1">
      <c r="A69" t="inlineStr">
        <is>
          <t>A 70560-2018</t>
        </is>
      </c>
      <c r="B69" s="1" t="n">
        <v>43451</v>
      </c>
      <c r="C69" s="1" t="n">
        <v>45348</v>
      </c>
      <c r="D69" t="inlineStr">
        <is>
          <t>VÄSTERNORRLANDS LÄN</t>
        </is>
      </c>
      <c r="E69" t="inlineStr">
        <is>
          <t>TIMRÅ</t>
        </is>
      </c>
      <c r="G69" t="n">
        <v>2</v>
      </c>
      <c r="H69" t="n">
        <v>0</v>
      </c>
      <c r="I69" t="n">
        <v>0</v>
      </c>
      <c r="J69" t="n">
        <v>0</v>
      </c>
      <c r="K69" t="n">
        <v>0</v>
      </c>
      <c r="L69" t="n">
        <v>0</v>
      </c>
      <c r="M69" t="n">
        <v>0</v>
      </c>
      <c r="N69" t="n">
        <v>0</v>
      </c>
      <c r="O69" t="n">
        <v>0</v>
      </c>
      <c r="P69" t="n">
        <v>0</v>
      </c>
      <c r="Q69" t="n">
        <v>0</v>
      </c>
      <c r="R69" s="2" t="inlineStr"/>
    </row>
    <row r="70" ht="15" customHeight="1">
      <c r="A70" t="inlineStr">
        <is>
          <t>A 72482-2018</t>
        </is>
      </c>
      <c r="B70" s="1" t="n">
        <v>43461</v>
      </c>
      <c r="C70" s="1" t="n">
        <v>45348</v>
      </c>
      <c r="D70" t="inlineStr">
        <is>
          <t>VÄSTERNORRLANDS LÄN</t>
        </is>
      </c>
      <c r="E70" t="inlineStr">
        <is>
          <t>TIMRÅ</t>
        </is>
      </c>
      <c r="G70" t="n">
        <v>2</v>
      </c>
      <c r="H70" t="n">
        <v>0</v>
      </c>
      <c r="I70" t="n">
        <v>0</v>
      </c>
      <c r="J70" t="n">
        <v>0</v>
      </c>
      <c r="K70" t="n">
        <v>0</v>
      </c>
      <c r="L70" t="n">
        <v>0</v>
      </c>
      <c r="M70" t="n">
        <v>0</v>
      </c>
      <c r="N70" t="n">
        <v>0</v>
      </c>
      <c r="O70" t="n">
        <v>0</v>
      </c>
      <c r="P70" t="n">
        <v>0</v>
      </c>
      <c r="Q70" t="n">
        <v>0</v>
      </c>
      <c r="R70" s="2" t="inlineStr"/>
    </row>
    <row r="71" ht="15" customHeight="1">
      <c r="A71" t="inlineStr">
        <is>
          <t>A 5416-2019</t>
        </is>
      </c>
      <c r="B71" s="1" t="n">
        <v>43488</v>
      </c>
      <c r="C71" s="1" t="n">
        <v>45348</v>
      </c>
      <c r="D71" t="inlineStr">
        <is>
          <t>VÄSTERNORRLANDS LÄN</t>
        </is>
      </c>
      <c r="E71" t="inlineStr">
        <is>
          <t>TIMRÅ</t>
        </is>
      </c>
      <c r="G71" t="n">
        <v>14.5</v>
      </c>
      <c r="H71" t="n">
        <v>0</v>
      </c>
      <c r="I71" t="n">
        <v>0</v>
      </c>
      <c r="J71" t="n">
        <v>0</v>
      </c>
      <c r="K71" t="n">
        <v>0</v>
      </c>
      <c r="L71" t="n">
        <v>0</v>
      </c>
      <c r="M71" t="n">
        <v>0</v>
      </c>
      <c r="N71" t="n">
        <v>0</v>
      </c>
      <c r="O71" t="n">
        <v>0</v>
      </c>
      <c r="P71" t="n">
        <v>0</v>
      </c>
      <c r="Q71" t="n">
        <v>0</v>
      </c>
      <c r="R71" s="2" t="inlineStr"/>
    </row>
    <row r="72" ht="15" customHeight="1">
      <c r="A72" t="inlineStr">
        <is>
          <t>A 5417-2019</t>
        </is>
      </c>
      <c r="B72" s="1" t="n">
        <v>43488</v>
      </c>
      <c r="C72" s="1" t="n">
        <v>45348</v>
      </c>
      <c r="D72" t="inlineStr">
        <is>
          <t>VÄSTERNORRLANDS LÄN</t>
        </is>
      </c>
      <c r="E72" t="inlineStr">
        <is>
          <t>TIMRÅ</t>
        </is>
      </c>
      <c r="G72" t="n">
        <v>4.3</v>
      </c>
      <c r="H72" t="n">
        <v>0</v>
      </c>
      <c r="I72" t="n">
        <v>0</v>
      </c>
      <c r="J72" t="n">
        <v>0</v>
      </c>
      <c r="K72" t="n">
        <v>0</v>
      </c>
      <c r="L72" t="n">
        <v>0</v>
      </c>
      <c r="M72" t="n">
        <v>0</v>
      </c>
      <c r="N72" t="n">
        <v>0</v>
      </c>
      <c r="O72" t="n">
        <v>0</v>
      </c>
      <c r="P72" t="n">
        <v>0</v>
      </c>
      <c r="Q72" t="n">
        <v>0</v>
      </c>
      <c r="R72" s="2" t="inlineStr"/>
    </row>
    <row r="73" ht="15" customHeight="1">
      <c r="A73" t="inlineStr">
        <is>
          <t>A 14388-2019</t>
        </is>
      </c>
      <c r="B73" s="1" t="n">
        <v>43536</v>
      </c>
      <c r="C73" s="1" t="n">
        <v>45348</v>
      </c>
      <c r="D73" t="inlineStr">
        <is>
          <t>VÄSTERNORRLANDS LÄN</t>
        </is>
      </c>
      <c r="E73" t="inlineStr">
        <is>
          <t>TIMRÅ</t>
        </is>
      </c>
      <c r="G73" t="n">
        <v>7.9</v>
      </c>
      <c r="H73" t="n">
        <v>0</v>
      </c>
      <c r="I73" t="n">
        <v>0</v>
      </c>
      <c r="J73" t="n">
        <v>0</v>
      </c>
      <c r="K73" t="n">
        <v>0</v>
      </c>
      <c r="L73" t="n">
        <v>0</v>
      </c>
      <c r="M73" t="n">
        <v>0</v>
      </c>
      <c r="N73" t="n">
        <v>0</v>
      </c>
      <c r="O73" t="n">
        <v>0</v>
      </c>
      <c r="P73" t="n">
        <v>0</v>
      </c>
      <c r="Q73" t="n">
        <v>0</v>
      </c>
      <c r="R73" s="2" t="inlineStr"/>
    </row>
    <row r="74" ht="15" customHeight="1">
      <c r="A74" t="inlineStr">
        <is>
          <t>A 14389-2019</t>
        </is>
      </c>
      <c r="B74" s="1" t="n">
        <v>43536</v>
      </c>
      <c r="C74" s="1" t="n">
        <v>45348</v>
      </c>
      <c r="D74" t="inlineStr">
        <is>
          <t>VÄSTERNORRLANDS LÄN</t>
        </is>
      </c>
      <c r="E74" t="inlineStr">
        <is>
          <t>TIMRÅ</t>
        </is>
      </c>
      <c r="G74" t="n">
        <v>7.9</v>
      </c>
      <c r="H74" t="n">
        <v>0</v>
      </c>
      <c r="I74" t="n">
        <v>0</v>
      </c>
      <c r="J74" t="n">
        <v>0</v>
      </c>
      <c r="K74" t="n">
        <v>0</v>
      </c>
      <c r="L74" t="n">
        <v>0</v>
      </c>
      <c r="M74" t="n">
        <v>0</v>
      </c>
      <c r="N74" t="n">
        <v>0</v>
      </c>
      <c r="O74" t="n">
        <v>0</v>
      </c>
      <c r="P74" t="n">
        <v>0</v>
      </c>
      <c r="Q74" t="n">
        <v>0</v>
      </c>
      <c r="R74" s="2" t="inlineStr"/>
    </row>
    <row r="75" ht="15" customHeight="1">
      <c r="A75" t="inlineStr">
        <is>
          <t>A 16848-2019</t>
        </is>
      </c>
      <c r="B75" s="1" t="n">
        <v>43549</v>
      </c>
      <c r="C75" s="1" t="n">
        <v>45348</v>
      </c>
      <c r="D75" t="inlineStr">
        <is>
          <t>VÄSTERNORRLANDS LÄN</t>
        </is>
      </c>
      <c r="E75" t="inlineStr">
        <is>
          <t>TIMRÅ</t>
        </is>
      </c>
      <c r="G75" t="n">
        <v>6.3</v>
      </c>
      <c r="H75" t="n">
        <v>0</v>
      </c>
      <c r="I75" t="n">
        <v>0</v>
      </c>
      <c r="J75" t="n">
        <v>0</v>
      </c>
      <c r="K75" t="n">
        <v>0</v>
      </c>
      <c r="L75" t="n">
        <v>0</v>
      </c>
      <c r="M75" t="n">
        <v>0</v>
      </c>
      <c r="N75" t="n">
        <v>0</v>
      </c>
      <c r="O75" t="n">
        <v>0</v>
      </c>
      <c r="P75" t="n">
        <v>0</v>
      </c>
      <c r="Q75" t="n">
        <v>0</v>
      </c>
      <c r="R75" s="2" t="inlineStr"/>
    </row>
    <row r="76" ht="15" customHeight="1">
      <c r="A76" t="inlineStr">
        <is>
          <t>A 16857-2019</t>
        </is>
      </c>
      <c r="B76" s="1" t="n">
        <v>43549</v>
      </c>
      <c r="C76" s="1" t="n">
        <v>45348</v>
      </c>
      <c r="D76" t="inlineStr">
        <is>
          <t>VÄSTERNORRLANDS LÄN</t>
        </is>
      </c>
      <c r="E76" t="inlineStr">
        <is>
          <t>TIMRÅ</t>
        </is>
      </c>
      <c r="G76" t="n">
        <v>2.7</v>
      </c>
      <c r="H76" t="n">
        <v>0</v>
      </c>
      <c r="I76" t="n">
        <v>0</v>
      </c>
      <c r="J76" t="n">
        <v>0</v>
      </c>
      <c r="K76" t="n">
        <v>0</v>
      </c>
      <c r="L76" t="n">
        <v>0</v>
      </c>
      <c r="M76" t="n">
        <v>0</v>
      </c>
      <c r="N76" t="n">
        <v>0</v>
      </c>
      <c r="O76" t="n">
        <v>0</v>
      </c>
      <c r="P76" t="n">
        <v>0</v>
      </c>
      <c r="Q76" t="n">
        <v>0</v>
      </c>
      <c r="R76" s="2" t="inlineStr"/>
    </row>
    <row r="77" ht="15" customHeight="1">
      <c r="A77" t="inlineStr">
        <is>
          <t>A 16855-2019</t>
        </is>
      </c>
      <c r="B77" s="1" t="n">
        <v>43549</v>
      </c>
      <c r="C77" s="1" t="n">
        <v>45348</v>
      </c>
      <c r="D77" t="inlineStr">
        <is>
          <t>VÄSTERNORRLANDS LÄN</t>
        </is>
      </c>
      <c r="E77" t="inlineStr">
        <is>
          <t>TIMRÅ</t>
        </is>
      </c>
      <c r="G77" t="n">
        <v>3.7</v>
      </c>
      <c r="H77" t="n">
        <v>0</v>
      </c>
      <c r="I77" t="n">
        <v>0</v>
      </c>
      <c r="J77" t="n">
        <v>0</v>
      </c>
      <c r="K77" t="n">
        <v>0</v>
      </c>
      <c r="L77" t="n">
        <v>0</v>
      </c>
      <c r="M77" t="n">
        <v>0</v>
      </c>
      <c r="N77" t="n">
        <v>0</v>
      </c>
      <c r="O77" t="n">
        <v>0</v>
      </c>
      <c r="P77" t="n">
        <v>0</v>
      </c>
      <c r="Q77" t="n">
        <v>0</v>
      </c>
      <c r="R77" s="2" t="inlineStr"/>
    </row>
    <row r="78" ht="15" customHeight="1">
      <c r="A78" t="inlineStr">
        <is>
          <t>A 16847-2019</t>
        </is>
      </c>
      <c r="B78" s="1" t="n">
        <v>43549</v>
      </c>
      <c r="C78" s="1" t="n">
        <v>45348</v>
      </c>
      <c r="D78" t="inlineStr">
        <is>
          <t>VÄSTERNORRLANDS LÄN</t>
        </is>
      </c>
      <c r="E78" t="inlineStr">
        <is>
          <t>TIMRÅ</t>
        </is>
      </c>
      <c r="G78" t="n">
        <v>3.6</v>
      </c>
      <c r="H78" t="n">
        <v>0</v>
      </c>
      <c r="I78" t="n">
        <v>0</v>
      </c>
      <c r="J78" t="n">
        <v>0</v>
      </c>
      <c r="K78" t="n">
        <v>0</v>
      </c>
      <c r="L78" t="n">
        <v>0</v>
      </c>
      <c r="M78" t="n">
        <v>0</v>
      </c>
      <c r="N78" t="n">
        <v>0</v>
      </c>
      <c r="O78" t="n">
        <v>0</v>
      </c>
      <c r="P78" t="n">
        <v>0</v>
      </c>
      <c r="Q78" t="n">
        <v>0</v>
      </c>
      <c r="R78" s="2" t="inlineStr"/>
    </row>
    <row r="79" ht="15" customHeight="1">
      <c r="A79" t="inlineStr">
        <is>
          <t>A 17405-2019</t>
        </is>
      </c>
      <c r="B79" s="1" t="n">
        <v>43552</v>
      </c>
      <c r="C79" s="1" t="n">
        <v>45348</v>
      </c>
      <c r="D79" t="inlineStr">
        <is>
          <t>VÄSTERNORRLANDS LÄN</t>
        </is>
      </c>
      <c r="E79" t="inlineStr">
        <is>
          <t>TIMRÅ</t>
        </is>
      </c>
      <c r="F79" t="inlineStr">
        <is>
          <t>SCA</t>
        </is>
      </c>
      <c r="G79" t="n">
        <v>41.9</v>
      </c>
      <c r="H79" t="n">
        <v>0</v>
      </c>
      <c r="I79" t="n">
        <v>0</v>
      </c>
      <c r="J79" t="n">
        <v>0</v>
      </c>
      <c r="K79" t="n">
        <v>0</v>
      </c>
      <c r="L79" t="n">
        <v>0</v>
      </c>
      <c r="M79" t="n">
        <v>0</v>
      </c>
      <c r="N79" t="n">
        <v>0</v>
      </c>
      <c r="O79" t="n">
        <v>0</v>
      </c>
      <c r="P79" t="n">
        <v>0</v>
      </c>
      <c r="Q79" t="n">
        <v>0</v>
      </c>
      <c r="R79" s="2" t="inlineStr"/>
    </row>
    <row r="80" ht="15" customHeight="1">
      <c r="A80" t="inlineStr">
        <is>
          <t>A 17592-2019</t>
        </is>
      </c>
      <c r="B80" s="1" t="n">
        <v>43553</v>
      </c>
      <c r="C80" s="1" t="n">
        <v>45348</v>
      </c>
      <c r="D80" t="inlineStr">
        <is>
          <t>VÄSTERNORRLANDS LÄN</t>
        </is>
      </c>
      <c r="E80" t="inlineStr">
        <is>
          <t>TIMRÅ</t>
        </is>
      </c>
      <c r="G80" t="n">
        <v>7.2</v>
      </c>
      <c r="H80" t="n">
        <v>0</v>
      </c>
      <c r="I80" t="n">
        <v>0</v>
      </c>
      <c r="J80" t="n">
        <v>0</v>
      </c>
      <c r="K80" t="n">
        <v>0</v>
      </c>
      <c r="L80" t="n">
        <v>0</v>
      </c>
      <c r="M80" t="n">
        <v>0</v>
      </c>
      <c r="N80" t="n">
        <v>0</v>
      </c>
      <c r="O80" t="n">
        <v>0</v>
      </c>
      <c r="P80" t="n">
        <v>0</v>
      </c>
      <c r="Q80" t="n">
        <v>0</v>
      </c>
      <c r="R80" s="2" t="inlineStr"/>
    </row>
    <row r="81" ht="15" customHeight="1">
      <c r="A81" t="inlineStr">
        <is>
          <t>A 17858-2019</t>
        </is>
      </c>
      <c r="B81" s="1" t="n">
        <v>43556</v>
      </c>
      <c r="C81" s="1" t="n">
        <v>45348</v>
      </c>
      <c r="D81" t="inlineStr">
        <is>
          <t>VÄSTERNORRLANDS LÄN</t>
        </is>
      </c>
      <c r="E81" t="inlineStr">
        <is>
          <t>TIMRÅ</t>
        </is>
      </c>
      <c r="F81" t="inlineStr">
        <is>
          <t>SCA</t>
        </is>
      </c>
      <c r="G81" t="n">
        <v>5.2</v>
      </c>
      <c r="H81" t="n">
        <v>0</v>
      </c>
      <c r="I81" t="n">
        <v>0</v>
      </c>
      <c r="J81" t="n">
        <v>0</v>
      </c>
      <c r="K81" t="n">
        <v>0</v>
      </c>
      <c r="L81" t="n">
        <v>0</v>
      </c>
      <c r="M81" t="n">
        <v>0</v>
      </c>
      <c r="N81" t="n">
        <v>0</v>
      </c>
      <c r="O81" t="n">
        <v>0</v>
      </c>
      <c r="P81" t="n">
        <v>0</v>
      </c>
      <c r="Q81" t="n">
        <v>0</v>
      </c>
      <c r="R81" s="2" t="inlineStr"/>
    </row>
    <row r="82" ht="15" customHeight="1">
      <c r="A82" t="inlineStr">
        <is>
          <t>A 18703-2019</t>
        </is>
      </c>
      <c r="B82" s="1" t="n">
        <v>43559</v>
      </c>
      <c r="C82" s="1" t="n">
        <v>45348</v>
      </c>
      <c r="D82" t="inlineStr">
        <is>
          <t>VÄSTERNORRLANDS LÄN</t>
        </is>
      </c>
      <c r="E82" t="inlineStr">
        <is>
          <t>TIMRÅ</t>
        </is>
      </c>
      <c r="G82" t="n">
        <v>5</v>
      </c>
      <c r="H82" t="n">
        <v>0</v>
      </c>
      <c r="I82" t="n">
        <v>0</v>
      </c>
      <c r="J82" t="n">
        <v>0</v>
      </c>
      <c r="K82" t="n">
        <v>0</v>
      </c>
      <c r="L82" t="n">
        <v>0</v>
      </c>
      <c r="M82" t="n">
        <v>0</v>
      </c>
      <c r="N82" t="n">
        <v>0</v>
      </c>
      <c r="O82" t="n">
        <v>0</v>
      </c>
      <c r="P82" t="n">
        <v>0</v>
      </c>
      <c r="Q82" t="n">
        <v>0</v>
      </c>
      <c r="R82" s="2" t="inlineStr"/>
    </row>
    <row r="83" ht="15" customHeight="1">
      <c r="A83" t="inlineStr">
        <is>
          <t>A 20205-2019</t>
        </is>
      </c>
      <c r="B83" s="1" t="n">
        <v>43570</v>
      </c>
      <c r="C83" s="1" t="n">
        <v>45348</v>
      </c>
      <c r="D83" t="inlineStr">
        <is>
          <t>VÄSTERNORRLANDS LÄN</t>
        </is>
      </c>
      <c r="E83" t="inlineStr">
        <is>
          <t>TIMRÅ</t>
        </is>
      </c>
      <c r="F83" t="inlineStr">
        <is>
          <t>SCA</t>
        </is>
      </c>
      <c r="G83" t="n">
        <v>29.1</v>
      </c>
      <c r="H83" t="n">
        <v>0</v>
      </c>
      <c r="I83" t="n">
        <v>0</v>
      </c>
      <c r="J83" t="n">
        <v>0</v>
      </c>
      <c r="K83" t="n">
        <v>0</v>
      </c>
      <c r="L83" t="n">
        <v>0</v>
      </c>
      <c r="M83" t="n">
        <v>0</v>
      </c>
      <c r="N83" t="n">
        <v>0</v>
      </c>
      <c r="O83" t="n">
        <v>0</v>
      </c>
      <c r="P83" t="n">
        <v>0</v>
      </c>
      <c r="Q83" t="n">
        <v>0</v>
      </c>
      <c r="R83" s="2" t="inlineStr"/>
    </row>
    <row r="84" ht="15" customHeight="1">
      <c r="A84" t="inlineStr">
        <is>
          <t>A 20591-2019</t>
        </is>
      </c>
      <c r="B84" s="1" t="n">
        <v>43572</v>
      </c>
      <c r="C84" s="1" t="n">
        <v>45348</v>
      </c>
      <c r="D84" t="inlineStr">
        <is>
          <t>VÄSTERNORRLANDS LÄN</t>
        </is>
      </c>
      <c r="E84" t="inlineStr">
        <is>
          <t>TIMRÅ</t>
        </is>
      </c>
      <c r="F84" t="inlineStr">
        <is>
          <t>SCA</t>
        </is>
      </c>
      <c r="G84" t="n">
        <v>2.2</v>
      </c>
      <c r="H84" t="n">
        <v>0</v>
      </c>
      <c r="I84" t="n">
        <v>0</v>
      </c>
      <c r="J84" t="n">
        <v>0</v>
      </c>
      <c r="K84" t="n">
        <v>0</v>
      </c>
      <c r="L84" t="n">
        <v>0</v>
      </c>
      <c r="M84" t="n">
        <v>0</v>
      </c>
      <c r="N84" t="n">
        <v>0</v>
      </c>
      <c r="O84" t="n">
        <v>0</v>
      </c>
      <c r="P84" t="n">
        <v>0</v>
      </c>
      <c r="Q84" t="n">
        <v>0</v>
      </c>
      <c r="R84" s="2" t="inlineStr"/>
    </row>
    <row r="85" ht="15" customHeight="1">
      <c r="A85" t="inlineStr">
        <is>
          <t>A 22036-2019</t>
        </is>
      </c>
      <c r="B85" s="1" t="n">
        <v>43584</v>
      </c>
      <c r="C85" s="1" t="n">
        <v>45348</v>
      </c>
      <c r="D85" t="inlineStr">
        <is>
          <t>VÄSTERNORRLANDS LÄN</t>
        </is>
      </c>
      <c r="E85" t="inlineStr">
        <is>
          <t>TIMRÅ</t>
        </is>
      </c>
      <c r="G85" t="n">
        <v>0.4</v>
      </c>
      <c r="H85" t="n">
        <v>0</v>
      </c>
      <c r="I85" t="n">
        <v>0</v>
      </c>
      <c r="J85" t="n">
        <v>0</v>
      </c>
      <c r="K85" t="n">
        <v>0</v>
      </c>
      <c r="L85" t="n">
        <v>0</v>
      </c>
      <c r="M85" t="n">
        <v>0</v>
      </c>
      <c r="N85" t="n">
        <v>0</v>
      </c>
      <c r="O85" t="n">
        <v>0</v>
      </c>
      <c r="P85" t="n">
        <v>0</v>
      </c>
      <c r="Q85" t="n">
        <v>0</v>
      </c>
      <c r="R85" s="2" t="inlineStr"/>
    </row>
    <row r="86" ht="15" customHeight="1">
      <c r="A86" t="inlineStr">
        <is>
          <t>A 22345-2019</t>
        </is>
      </c>
      <c r="B86" s="1" t="n">
        <v>43587</v>
      </c>
      <c r="C86" s="1" t="n">
        <v>45348</v>
      </c>
      <c r="D86" t="inlineStr">
        <is>
          <t>VÄSTERNORRLANDS LÄN</t>
        </is>
      </c>
      <c r="E86" t="inlineStr">
        <is>
          <t>TIMRÅ</t>
        </is>
      </c>
      <c r="G86" t="n">
        <v>0.3</v>
      </c>
      <c r="H86" t="n">
        <v>0</v>
      </c>
      <c r="I86" t="n">
        <v>0</v>
      </c>
      <c r="J86" t="n">
        <v>0</v>
      </c>
      <c r="K86" t="n">
        <v>0</v>
      </c>
      <c r="L86" t="n">
        <v>0</v>
      </c>
      <c r="M86" t="n">
        <v>0</v>
      </c>
      <c r="N86" t="n">
        <v>0</v>
      </c>
      <c r="O86" t="n">
        <v>0</v>
      </c>
      <c r="P86" t="n">
        <v>0</v>
      </c>
      <c r="Q86" t="n">
        <v>0</v>
      </c>
      <c r="R86" s="2" t="inlineStr"/>
    </row>
    <row r="87" ht="15" customHeight="1">
      <c r="A87" t="inlineStr">
        <is>
          <t>A 23074-2019</t>
        </is>
      </c>
      <c r="B87" s="1" t="n">
        <v>43591</v>
      </c>
      <c r="C87" s="1" t="n">
        <v>45348</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24767-2019</t>
        </is>
      </c>
      <c r="B88" s="1" t="n">
        <v>43601</v>
      </c>
      <c r="C88" s="1" t="n">
        <v>45348</v>
      </c>
      <c r="D88" t="inlineStr">
        <is>
          <t>VÄSTERNORRLANDS LÄN</t>
        </is>
      </c>
      <c r="E88" t="inlineStr">
        <is>
          <t>TIMRÅ</t>
        </is>
      </c>
      <c r="G88" t="n">
        <v>6.1</v>
      </c>
      <c r="H88" t="n">
        <v>0</v>
      </c>
      <c r="I88" t="n">
        <v>0</v>
      </c>
      <c r="J88" t="n">
        <v>0</v>
      </c>
      <c r="K88" t="n">
        <v>0</v>
      </c>
      <c r="L88" t="n">
        <v>0</v>
      </c>
      <c r="M88" t="n">
        <v>0</v>
      </c>
      <c r="N88" t="n">
        <v>0</v>
      </c>
      <c r="O88" t="n">
        <v>0</v>
      </c>
      <c r="P88" t="n">
        <v>0</v>
      </c>
      <c r="Q88" t="n">
        <v>0</v>
      </c>
      <c r="R88" s="2" t="inlineStr"/>
    </row>
    <row r="89" ht="15" customHeight="1">
      <c r="A89" t="inlineStr">
        <is>
          <t>A 29163-2019</t>
        </is>
      </c>
      <c r="B89" s="1" t="n">
        <v>43628</v>
      </c>
      <c r="C89" s="1" t="n">
        <v>45348</v>
      </c>
      <c r="D89" t="inlineStr">
        <is>
          <t>VÄSTERNORRLANDS LÄN</t>
        </is>
      </c>
      <c r="E89" t="inlineStr">
        <is>
          <t>TIMRÅ</t>
        </is>
      </c>
      <c r="G89" t="n">
        <v>4.6</v>
      </c>
      <c r="H89" t="n">
        <v>0</v>
      </c>
      <c r="I89" t="n">
        <v>0</v>
      </c>
      <c r="J89" t="n">
        <v>0</v>
      </c>
      <c r="K89" t="n">
        <v>0</v>
      </c>
      <c r="L89" t="n">
        <v>0</v>
      </c>
      <c r="M89" t="n">
        <v>0</v>
      </c>
      <c r="N89" t="n">
        <v>0</v>
      </c>
      <c r="O89" t="n">
        <v>0</v>
      </c>
      <c r="P89" t="n">
        <v>0</v>
      </c>
      <c r="Q89" t="n">
        <v>0</v>
      </c>
      <c r="R89" s="2" t="inlineStr"/>
    </row>
    <row r="90" ht="15" customHeight="1">
      <c r="A90" t="inlineStr">
        <is>
          <t>A 29485-2019</t>
        </is>
      </c>
      <c r="B90" s="1" t="n">
        <v>43629</v>
      </c>
      <c r="C90" s="1" t="n">
        <v>45348</v>
      </c>
      <c r="D90" t="inlineStr">
        <is>
          <t>VÄSTERNORRLANDS LÄN</t>
        </is>
      </c>
      <c r="E90" t="inlineStr">
        <is>
          <t>TIMRÅ</t>
        </is>
      </c>
      <c r="G90" t="n">
        <v>3.4</v>
      </c>
      <c r="H90" t="n">
        <v>0</v>
      </c>
      <c r="I90" t="n">
        <v>0</v>
      </c>
      <c r="J90" t="n">
        <v>0</v>
      </c>
      <c r="K90" t="n">
        <v>0</v>
      </c>
      <c r="L90" t="n">
        <v>0</v>
      </c>
      <c r="M90" t="n">
        <v>0</v>
      </c>
      <c r="N90" t="n">
        <v>0</v>
      </c>
      <c r="O90" t="n">
        <v>0</v>
      </c>
      <c r="P90" t="n">
        <v>0</v>
      </c>
      <c r="Q90" t="n">
        <v>0</v>
      </c>
      <c r="R90" s="2" t="inlineStr"/>
    </row>
    <row r="91" ht="15" customHeight="1">
      <c r="A91" t="inlineStr">
        <is>
          <t>A 29751-2019</t>
        </is>
      </c>
      <c r="B91" s="1" t="n">
        <v>43630</v>
      </c>
      <c r="C91" s="1" t="n">
        <v>45348</v>
      </c>
      <c r="D91" t="inlineStr">
        <is>
          <t>VÄSTERNORRLANDS LÄN</t>
        </is>
      </c>
      <c r="E91" t="inlineStr">
        <is>
          <t>TIMRÅ</t>
        </is>
      </c>
      <c r="G91" t="n">
        <v>3.7</v>
      </c>
      <c r="H91" t="n">
        <v>0</v>
      </c>
      <c r="I91" t="n">
        <v>0</v>
      </c>
      <c r="J91" t="n">
        <v>0</v>
      </c>
      <c r="K91" t="n">
        <v>0</v>
      </c>
      <c r="L91" t="n">
        <v>0</v>
      </c>
      <c r="M91" t="n">
        <v>0</v>
      </c>
      <c r="N91" t="n">
        <v>0</v>
      </c>
      <c r="O91" t="n">
        <v>0</v>
      </c>
      <c r="P91" t="n">
        <v>0</v>
      </c>
      <c r="Q91" t="n">
        <v>0</v>
      </c>
      <c r="R91" s="2" t="inlineStr"/>
    </row>
    <row r="92" ht="15" customHeight="1">
      <c r="A92" t="inlineStr">
        <is>
          <t>A 32982-2019</t>
        </is>
      </c>
      <c r="B92" s="1" t="n">
        <v>43648</v>
      </c>
      <c r="C92" s="1" t="n">
        <v>45348</v>
      </c>
      <c r="D92" t="inlineStr">
        <is>
          <t>VÄSTERNORRLANDS LÄN</t>
        </is>
      </c>
      <c r="E92" t="inlineStr">
        <is>
          <t>TIMRÅ</t>
        </is>
      </c>
      <c r="F92" t="inlineStr">
        <is>
          <t>SCA</t>
        </is>
      </c>
      <c r="G92" t="n">
        <v>1.5</v>
      </c>
      <c r="H92" t="n">
        <v>0</v>
      </c>
      <c r="I92" t="n">
        <v>0</v>
      </c>
      <c r="J92" t="n">
        <v>0</v>
      </c>
      <c r="K92" t="n">
        <v>0</v>
      </c>
      <c r="L92" t="n">
        <v>0</v>
      </c>
      <c r="M92" t="n">
        <v>0</v>
      </c>
      <c r="N92" t="n">
        <v>0</v>
      </c>
      <c r="O92" t="n">
        <v>0</v>
      </c>
      <c r="P92" t="n">
        <v>0</v>
      </c>
      <c r="Q92" t="n">
        <v>0</v>
      </c>
      <c r="R92" s="2" t="inlineStr"/>
    </row>
    <row r="93" ht="15" customHeight="1">
      <c r="A93" t="inlineStr">
        <is>
          <t>A 33835-2019</t>
        </is>
      </c>
      <c r="B93" s="1" t="n">
        <v>43651</v>
      </c>
      <c r="C93" s="1" t="n">
        <v>45348</v>
      </c>
      <c r="D93" t="inlineStr">
        <is>
          <t>VÄSTERNORRLANDS LÄN</t>
        </is>
      </c>
      <c r="E93" t="inlineStr">
        <is>
          <t>TIMRÅ</t>
        </is>
      </c>
      <c r="G93" t="n">
        <v>6.2</v>
      </c>
      <c r="H93" t="n">
        <v>0</v>
      </c>
      <c r="I93" t="n">
        <v>0</v>
      </c>
      <c r="J93" t="n">
        <v>0</v>
      </c>
      <c r="K93" t="n">
        <v>0</v>
      </c>
      <c r="L93" t="n">
        <v>0</v>
      </c>
      <c r="M93" t="n">
        <v>0</v>
      </c>
      <c r="N93" t="n">
        <v>0</v>
      </c>
      <c r="O93" t="n">
        <v>0</v>
      </c>
      <c r="P93" t="n">
        <v>0</v>
      </c>
      <c r="Q93" t="n">
        <v>0</v>
      </c>
      <c r="R93" s="2" t="inlineStr"/>
    </row>
    <row r="94" ht="15" customHeight="1">
      <c r="A94" t="inlineStr">
        <is>
          <t>A 33834-2019</t>
        </is>
      </c>
      <c r="B94" s="1" t="n">
        <v>43651</v>
      </c>
      <c r="C94" s="1" t="n">
        <v>45348</v>
      </c>
      <c r="D94" t="inlineStr">
        <is>
          <t>VÄSTERNORRLANDS LÄN</t>
        </is>
      </c>
      <c r="E94" t="inlineStr">
        <is>
          <t>TIMRÅ</t>
        </is>
      </c>
      <c r="G94" t="n">
        <v>4.5</v>
      </c>
      <c r="H94" t="n">
        <v>0</v>
      </c>
      <c r="I94" t="n">
        <v>0</v>
      </c>
      <c r="J94" t="n">
        <v>0</v>
      </c>
      <c r="K94" t="n">
        <v>0</v>
      </c>
      <c r="L94" t="n">
        <v>0</v>
      </c>
      <c r="M94" t="n">
        <v>0</v>
      </c>
      <c r="N94" t="n">
        <v>0</v>
      </c>
      <c r="O94" t="n">
        <v>0</v>
      </c>
      <c r="P94" t="n">
        <v>0</v>
      </c>
      <c r="Q94" t="n">
        <v>0</v>
      </c>
      <c r="R94" s="2" t="inlineStr"/>
    </row>
    <row r="95" ht="15" customHeight="1">
      <c r="A95" t="inlineStr">
        <is>
          <t>A 34106-2019</t>
        </is>
      </c>
      <c r="B95" s="1" t="n">
        <v>43654</v>
      </c>
      <c r="C95" s="1" t="n">
        <v>45348</v>
      </c>
      <c r="D95" t="inlineStr">
        <is>
          <t>VÄSTERNORRLANDS LÄN</t>
        </is>
      </c>
      <c r="E95" t="inlineStr">
        <is>
          <t>TIMRÅ</t>
        </is>
      </c>
      <c r="G95" t="n">
        <v>1</v>
      </c>
      <c r="H95" t="n">
        <v>0</v>
      </c>
      <c r="I95" t="n">
        <v>0</v>
      </c>
      <c r="J95" t="n">
        <v>0</v>
      </c>
      <c r="K95" t="n">
        <v>0</v>
      </c>
      <c r="L95" t="n">
        <v>0</v>
      </c>
      <c r="M95" t="n">
        <v>0</v>
      </c>
      <c r="N95" t="n">
        <v>0</v>
      </c>
      <c r="O95" t="n">
        <v>0</v>
      </c>
      <c r="P95" t="n">
        <v>0</v>
      </c>
      <c r="Q95" t="n">
        <v>0</v>
      </c>
      <c r="R95" s="2" t="inlineStr"/>
    </row>
    <row r="96" ht="15" customHeight="1">
      <c r="A96" t="inlineStr">
        <is>
          <t>A 35877-2019</t>
        </is>
      </c>
      <c r="B96" s="1" t="n">
        <v>43665</v>
      </c>
      <c r="C96" s="1" t="n">
        <v>45348</v>
      </c>
      <c r="D96" t="inlineStr">
        <is>
          <t>VÄSTERNORRLANDS LÄN</t>
        </is>
      </c>
      <c r="E96" t="inlineStr">
        <is>
          <t>TIMRÅ</t>
        </is>
      </c>
      <c r="G96" t="n">
        <v>3.7</v>
      </c>
      <c r="H96" t="n">
        <v>0</v>
      </c>
      <c r="I96" t="n">
        <v>0</v>
      </c>
      <c r="J96" t="n">
        <v>0</v>
      </c>
      <c r="K96" t="n">
        <v>0</v>
      </c>
      <c r="L96" t="n">
        <v>0</v>
      </c>
      <c r="M96" t="n">
        <v>0</v>
      </c>
      <c r="N96" t="n">
        <v>0</v>
      </c>
      <c r="O96" t="n">
        <v>0</v>
      </c>
      <c r="P96" t="n">
        <v>0</v>
      </c>
      <c r="Q96" t="n">
        <v>0</v>
      </c>
      <c r="R96" s="2" t="inlineStr"/>
    </row>
    <row r="97" ht="15" customHeight="1">
      <c r="A97" t="inlineStr">
        <is>
          <t>A 36176-2019</t>
        </is>
      </c>
      <c r="B97" s="1" t="n">
        <v>43668</v>
      </c>
      <c r="C97" s="1" t="n">
        <v>45348</v>
      </c>
      <c r="D97" t="inlineStr">
        <is>
          <t>VÄSTERNORRLANDS LÄN</t>
        </is>
      </c>
      <c r="E97" t="inlineStr">
        <is>
          <t>TIMRÅ</t>
        </is>
      </c>
      <c r="G97" t="n">
        <v>1.3</v>
      </c>
      <c r="H97" t="n">
        <v>0</v>
      </c>
      <c r="I97" t="n">
        <v>0</v>
      </c>
      <c r="J97" t="n">
        <v>0</v>
      </c>
      <c r="K97" t="n">
        <v>0</v>
      </c>
      <c r="L97" t="n">
        <v>0</v>
      </c>
      <c r="M97" t="n">
        <v>0</v>
      </c>
      <c r="N97" t="n">
        <v>0</v>
      </c>
      <c r="O97" t="n">
        <v>0</v>
      </c>
      <c r="P97" t="n">
        <v>0</v>
      </c>
      <c r="Q97" t="n">
        <v>0</v>
      </c>
      <c r="R97" s="2" t="inlineStr"/>
    </row>
    <row r="98" ht="15" customHeight="1">
      <c r="A98" t="inlineStr">
        <is>
          <t>A 36806-2019</t>
        </is>
      </c>
      <c r="B98" s="1" t="n">
        <v>43672</v>
      </c>
      <c r="C98" s="1" t="n">
        <v>45348</v>
      </c>
      <c r="D98" t="inlineStr">
        <is>
          <t>VÄSTERNORRLANDS LÄN</t>
        </is>
      </c>
      <c r="E98" t="inlineStr">
        <is>
          <t>TIMRÅ</t>
        </is>
      </c>
      <c r="G98" t="n">
        <v>3.8</v>
      </c>
      <c r="H98" t="n">
        <v>0</v>
      </c>
      <c r="I98" t="n">
        <v>0</v>
      </c>
      <c r="J98" t="n">
        <v>0</v>
      </c>
      <c r="K98" t="n">
        <v>0</v>
      </c>
      <c r="L98" t="n">
        <v>0</v>
      </c>
      <c r="M98" t="n">
        <v>0</v>
      </c>
      <c r="N98" t="n">
        <v>0</v>
      </c>
      <c r="O98" t="n">
        <v>0</v>
      </c>
      <c r="P98" t="n">
        <v>0</v>
      </c>
      <c r="Q98" t="n">
        <v>0</v>
      </c>
      <c r="R98" s="2" t="inlineStr"/>
    </row>
    <row r="99" ht="15" customHeight="1">
      <c r="A99" t="inlineStr">
        <is>
          <t>A 40956-2019</t>
        </is>
      </c>
      <c r="B99" s="1" t="n">
        <v>43697</v>
      </c>
      <c r="C99" s="1" t="n">
        <v>45348</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43975-2019</t>
        </is>
      </c>
      <c r="B100" s="1" t="n">
        <v>43708</v>
      </c>
      <c r="C100" s="1" t="n">
        <v>45348</v>
      </c>
      <c r="D100" t="inlineStr">
        <is>
          <t>VÄSTERNORRLANDS LÄN</t>
        </is>
      </c>
      <c r="E100" t="inlineStr">
        <is>
          <t>TIMRÅ</t>
        </is>
      </c>
      <c r="G100" t="n">
        <v>1.4</v>
      </c>
      <c r="H100" t="n">
        <v>0</v>
      </c>
      <c r="I100" t="n">
        <v>0</v>
      </c>
      <c r="J100" t="n">
        <v>0</v>
      </c>
      <c r="K100" t="n">
        <v>0</v>
      </c>
      <c r="L100" t="n">
        <v>0</v>
      </c>
      <c r="M100" t="n">
        <v>0</v>
      </c>
      <c r="N100" t="n">
        <v>0</v>
      </c>
      <c r="O100" t="n">
        <v>0</v>
      </c>
      <c r="P100" t="n">
        <v>0</v>
      </c>
      <c r="Q100" t="n">
        <v>0</v>
      </c>
      <c r="R100" s="2" t="inlineStr"/>
    </row>
    <row r="101" ht="15" customHeight="1">
      <c r="A101" t="inlineStr">
        <is>
          <t>A 44673-2019</t>
        </is>
      </c>
      <c r="B101" s="1" t="n">
        <v>43712</v>
      </c>
      <c r="C101" s="1" t="n">
        <v>45348</v>
      </c>
      <c r="D101" t="inlineStr">
        <is>
          <t>VÄSTERNORRLANDS LÄN</t>
        </is>
      </c>
      <c r="E101" t="inlineStr">
        <is>
          <t>TIMRÅ</t>
        </is>
      </c>
      <c r="G101" t="n">
        <v>1.8</v>
      </c>
      <c r="H101" t="n">
        <v>0</v>
      </c>
      <c r="I101" t="n">
        <v>0</v>
      </c>
      <c r="J101" t="n">
        <v>0</v>
      </c>
      <c r="K101" t="n">
        <v>0</v>
      </c>
      <c r="L101" t="n">
        <v>0</v>
      </c>
      <c r="M101" t="n">
        <v>0</v>
      </c>
      <c r="N101" t="n">
        <v>0</v>
      </c>
      <c r="O101" t="n">
        <v>0</v>
      </c>
      <c r="P101" t="n">
        <v>0</v>
      </c>
      <c r="Q101" t="n">
        <v>0</v>
      </c>
      <c r="R101" s="2" t="inlineStr"/>
    </row>
    <row r="102" ht="15" customHeight="1">
      <c r="A102" t="inlineStr">
        <is>
          <t>A 47656-2019</t>
        </is>
      </c>
      <c r="B102" s="1" t="n">
        <v>43724</v>
      </c>
      <c r="C102" s="1" t="n">
        <v>45348</v>
      </c>
      <c r="D102" t="inlineStr">
        <is>
          <t>VÄSTERNORRLANDS LÄN</t>
        </is>
      </c>
      <c r="E102" t="inlineStr">
        <is>
          <t>TIMRÅ</t>
        </is>
      </c>
      <c r="G102" t="n">
        <v>8</v>
      </c>
      <c r="H102" t="n">
        <v>0</v>
      </c>
      <c r="I102" t="n">
        <v>0</v>
      </c>
      <c r="J102" t="n">
        <v>0</v>
      </c>
      <c r="K102" t="n">
        <v>0</v>
      </c>
      <c r="L102" t="n">
        <v>0</v>
      </c>
      <c r="M102" t="n">
        <v>0</v>
      </c>
      <c r="N102" t="n">
        <v>0</v>
      </c>
      <c r="O102" t="n">
        <v>0</v>
      </c>
      <c r="P102" t="n">
        <v>0</v>
      </c>
      <c r="Q102" t="n">
        <v>0</v>
      </c>
      <c r="R102" s="2" t="inlineStr"/>
    </row>
    <row r="103" ht="15" customHeight="1">
      <c r="A103" t="inlineStr">
        <is>
          <t>A 48964-2019</t>
        </is>
      </c>
      <c r="B103" s="1" t="n">
        <v>43728</v>
      </c>
      <c r="C103" s="1" t="n">
        <v>45348</v>
      </c>
      <c r="D103" t="inlineStr">
        <is>
          <t>VÄSTERNORRLANDS LÄN</t>
        </is>
      </c>
      <c r="E103" t="inlineStr">
        <is>
          <t>TIMRÅ</t>
        </is>
      </c>
      <c r="G103" t="n">
        <v>7.8</v>
      </c>
      <c r="H103" t="n">
        <v>0</v>
      </c>
      <c r="I103" t="n">
        <v>0</v>
      </c>
      <c r="J103" t="n">
        <v>0</v>
      </c>
      <c r="K103" t="n">
        <v>0</v>
      </c>
      <c r="L103" t="n">
        <v>0</v>
      </c>
      <c r="M103" t="n">
        <v>0</v>
      </c>
      <c r="N103" t="n">
        <v>0</v>
      </c>
      <c r="O103" t="n">
        <v>0</v>
      </c>
      <c r="P103" t="n">
        <v>0</v>
      </c>
      <c r="Q103" t="n">
        <v>0</v>
      </c>
      <c r="R103" s="2" t="inlineStr"/>
    </row>
    <row r="104" ht="15" customHeight="1">
      <c r="A104" t="inlineStr">
        <is>
          <t>A 50604-2019</t>
        </is>
      </c>
      <c r="B104" s="1" t="n">
        <v>43735</v>
      </c>
      <c r="C104" s="1" t="n">
        <v>45348</v>
      </c>
      <c r="D104" t="inlineStr">
        <is>
          <t>VÄSTERNORRLANDS LÄN</t>
        </is>
      </c>
      <c r="E104" t="inlineStr">
        <is>
          <t>TIMRÅ</t>
        </is>
      </c>
      <c r="G104" t="n">
        <v>7.7</v>
      </c>
      <c r="H104" t="n">
        <v>0</v>
      </c>
      <c r="I104" t="n">
        <v>0</v>
      </c>
      <c r="J104" t="n">
        <v>0</v>
      </c>
      <c r="K104" t="n">
        <v>0</v>
      </c>
      <c r="L104" t="n">
        <v>0</v>
      </c>
      <c r="M104" t="n">
        <v>0</v>
      </c>
      <c r="N104" t="n">
        <v>0</v>
      </c>
      <c r="O104" t="n">
        <v>0</v>
      </c>
      <c r="P104" t="n">
        <v>0</v>
      </c>
      <c r="Q104" t="n">
        <v>0</v>
      </c>
      <c r="R104" s="2" t="inlineStr"/>
    </row>
    <row r="105" ht="15" customHeight="1">
      <c r="A105" t="inlineStr">
        <is>
          <t>A 51297-2019</t>
        </is>
      </c>
      <c r="B105" s="1" t="n">
        <v>43739</v>
      </c>
      <c r="C105" s="1" t="n">
        <v>45348</v>
      </c>
      <c r="D105" t="inlineStr">
        <is>
          <t>VÄSTERNORRLANDS LÄN</t>
        </is>
      </c>
      <c r="E105" t="inlineStr">
        <is>
          <t>TIMRÅ</t>
        </is>
      </c>
      <c r="G105" t="n">
        <v>2</v>
      </c>
      <c r="H105" t="n">
        <v>0</v>
      </c>
      <c r="I105" t="n">
        <v>0</v>
      </c>
      <c r="J105" t="n">
        <v>0</v>
      </c>
      <c r="K105" t="n">
        <v>0</v>
      </c>
      <c r="L105" t="n">
        <v>0</v>
      </c>
      <c r="M105" t="n">
        <v>0</v>
      </c>
      <c r="N105" t="n">
        <v>0</v>
      </c>
      <c r="O105" t="n">
        <v>0</v>
      </c>
      <c r="P105" t="n">
        <v>0</v>
      </c>
      <c r="Q105" t="n">
        <v>0</v>
      </c>
      <c r="R105" s="2" t="inlineStr"/>
    </row>
    <row r="106" ht="15" customHeight="1">
      <c r="A106" t="inlineStr">
        <is>
          <t>A 52869-2019</t>
        </is>
      </c>
      <c r="B106" s="1" t="n">
        <v>43739</v>
      </c>
      <c r="C106" s="1" t="n">
        <v>45348</v>
      </c>
      <c r="D106" t="inlineStr">
        <is>
          <t>VÄSTERNORRLANDS LÄN</t>
        </is>
      </c>
      <c r="E106" t="inlineStr">
        <is>
          <t>TIMRÅ</t>
        </is>
      </c>
      <c r="G106" t="n">
        <v>4</v>
      </c>
      <c r="H106" t="n">
        <v>0</v>
      </c>
      <c r="I106" t="n">
        <v>0</v>
      </c>
      <c r="J106" t="n">
        <v>0</v>
      </c>
      <c r="K106" t="n">
        <v>0</v>
      </c>
      <c r="L106" t="n">
        <v>0</v>
      </c>
      <c r="M106" t="n">
        <v>0</v>
      </c>
      <c r="N106" t="n">
        <v>0</v>
      </c>
      <c r="O106" t="n">
        <v>0</v>
      </c>
      <c r="P106" t="n">
        <v>0</v>
      </c>
      <c r="Q106" t="n">
        <v>0</v>
      </c>
      <c r="R106" s="2" t="inlineStr"/>
    </row>
    <row r="107" ht="15" customHeight="1">
      <c r="A107" t="inlineStr">
        <is>
          <t>A 51907-2019</t>
        </is>
      </c>
      <c r="B107" s="1" t="n">
        <v>43741</v>
      </c>
      <c r="C107" s="1" t="n">
        <v>45348</v>
      </c>
      <c r="D107" t="inlineStr">
        <is>
          <t>VÄSTERNORRLANDS LÄN</t>
        </is>
      </c>
      <c r="E107" t="inlineStr">
        <is>
          <t>TIMRÅ</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53162-2019</t>
        </is>
      </c>
      <c r="B108" s="1" t="n">
        <v>43747</v>
      </c>
      <c r="C108" s="1" t="n">
        <v>45348</v>
      </c>
      <c r="D108" t="inlineStr">
        <is>
          <t>VÄSTERNORRLANDS LÄN</t>
        </is>
      </c>
      <c r="E108" t="inlineStr">
        <is>
          <t>TIMRÅ</t>
        </is>
      </c>
      <c r="G108" t="n">
        <v>3.4</v>
      </c>
      <c r="H108" t="n">
        <v>0</v>
      </c>
      <c r="I108" t="n">
        <v>0</v>
      </c>
      <c r="J108" t="n">
        <v>0</v>
      </c>
      <c r="K108" t="n">
        <v>0</v>
      </c>
      <c r="L108" t="n">
        <v>0</v>
      </c>
      <c r="M108" t="n">
        <v>0</v>
      </c>
      <c r="N108" t="n">
        <v>0</v>
      </c>
      <c r="O108" t="n">
        <v>0</v>
      </c>
      <c r="P108" t="n">
        <v>0</v>
      </c>
      <c r="Q108" t="n">
        <v>0</v>
      </c>
      <c r="R108" s="2" t="inlineStr"/>
    </row>
    <row r="109" ht="15" customHeight="1">
      <c r="A109" t="inlineStr">
        <is>
          <t>A 54072-2019</t>
        </is>
      </c>
      <c r="B109" s="1" t="n">
        <v>43752</v>
      </c>
      <c r="C109" s="1" t="n">
        <v>45348</v>
      </c>
      <c r="D109" t="inlineStr">
        <is>
          <t>VÄSTERNORRLANDS LÄN</t>
        </is>
      </c>
      <c r="E109" t="inlineStr">
        <is>
          <t>TIMRÅ</t>
        </is>
      </c>
      <c r="G109" t="n">
        <v>12.8</v>
      </c>
      <c r="H109" t="n">
        <v>0</v>
      </c>
      <c r="I109" t="n">
        <v>0</v>
      </c>
      <c r="J109" t="n">
        <v>0</v>
      </c>
      <c r="K109" t="n">
        <v>0</v>
      </c>
      <c r="L109" t="n">
        <v>0</v>
      </c>
      <c r="M109" t="n">
        <v>0</v>
      </c>
      <c r="N109" t="n">
        <v>0</v>
      </c>
      <c r="O109" t="n">
        <v>0</v>
      </c>
      <c r="P109" t="n">
        <v>0</v>
      </c>
      <c r="Q109" t="n">
        <v>0</v>
      </c>
      <c r="R109" s="2" t="inlineStr"/>
    </row>
    <row r="110" ht="15" customHeight="1">
      <c r="A110" t="inlineStr">
        <is>
          <t>A 54365-2019</t>
        </is>
      </c>
      <c r="B110" s="1" t="n">
        <v>43753</v>
      </c>
      <c r="C110" s="1" t="n">
        <v>45348</v>
      </c>
      <c r="D110" t="inlineStr">
        <is>
          <t>VÄSTERNORRLANDS LÄN</t>
        </is>
      </c>
      <c r="E110" t="inlineStr">
        <is>
          <t>TIMRÅ</t>
        </is>
      </c>
      <c r="G110" t="n">
        <v>0.6</v>
      </c>
      <c r="H110" t="n">
        <v>0</v>
      </c>
      <c r="I110" t="n">
        <v>0</v>
      </c>
      <c r="J110" t="n">
        <v>0</v>
      </c>
      <c r="K110" t="n">
        <v>0</v>
      </c>
      <c r="L110" t="n">
        <v>0</v>
      </c>
      <c r="M110" t="n">
        <v>0</v>
      </c>
      <c r="N110" t="n">
        <v>0</v>
      </c>
      <c r="O110" t="n">
        <v>0</v>
      </c>
      <c r="P110" t="n">
        <v>0</v>
      </c>
      <c r="Q110" t="n">
        <v>0</v>
      </c>
      <c r="R110" s="2" t="inlineStr"/>
    </row>
    <row r="111" ht="15" customHeight="1">
      <c r="A111" t="inlineStr">
        <is>
          <t>A 56316-2019</t>
        </is>
      </c>
      <c r="B111" s="1" t="n">
        <v>43756</v>
      </c>
      <c r="C111" s="1" t="n">
        <v>45348</v>
      </c>
      <c r="D111" t="inlineStr">
        <is>
          <t>VÄSTERNORRLANDS LÄN</t>
        </is>
      </c>
      <c r="E111" t="inlineStr">
        <is>
          <t>TIMRÅ</t>
        </is>
      </c>
      <c r="G111" t="n">
        <v>2.6</v>
      </c>
      <c r="H111" t="n">
        <v>0</v>
      </c>
      <c r="I111" t="n">
        <v>0</v>
      </c>
      <c r="J111" t="n">
        <v>0</v>
      </c>
      <c r="K111" t="n">
        <v>0</v>
      </c>
      <c r="L111" t="n">
        <v>0</v>
      </c>
      <c r="M111" t="n">
        <v>0</v>
      </c>
      <c r="N111" t="n">
        <v>0</v>
      </c>
      <c r="O111" t="n">
        <v>0</v>
      </c>
      <c r="P111" t="n">
        <v>0</v>
      </c>
      <c r="Q111" t="n">
        <v>0</v>
      </c>
      <c r="R111" s="2" t="inlineStr"/>
    </row>
    <row r="112" ht="15" customHeight="1">
      <c r="A112" t="inlineStr">
        <is>
          <t>A 55809-2019</t>
        </is>
      </c>
      <c r="B112" s="1" t="n">
        <v>43759</v>
      </c>
      <c r="C112" s="1" t="n">
        <v>45348</v>
      </c>
      <c r="D112" t="inlineStr">
        <is>
          <t>VÄSTERNORRLANDS LÄN</t>
        </is>
      </c>
      <c r="E112" t="inlineStr">
        <is>
          <t>TIMRÅ</t>
        </is>
      </c>
      <c r="G112" t="n">
        <v>5.9</v>
      </c>
      <c r="H112" t="n">
        <v>0</v>
      </c>
      <c r="I112" t="n">
        <v>0</v>
      </c>
      <c r="J112" t="n">
        <v>0</v>
      </c>
      <c r="K112" t="n">
        <v>0</v>
      </c>
      <c r="L112" t="n">
        <v>0</v>
      </c>
      <c r="M112" t="n">
        <v>0</v>
      </c>
      <c r="N112" t="n">
        <v>0</v>
      </c>
      <c r="O112" t="n">
        <v>0</v>
      </c>
      <c r="P112" t="n">
        <v>0</v>
      </c>
      <c r="Q112" t="n">
        <v>0</v>
      </c>
      <c r="R112" s="2" t="inlineStr"/>
    </row>
    <row r="113" ht="15" customHeight="1">
      <c r="A113" t="inlineStr">
        <is>
          <t>A 56065-2019</t>
        </is>
      </c>
      <c r="B113" s="1" t="n">
        <v>43759</v>
      </c>
      <c r="C113" s="1" t="n">
        <v>45348</v>
      </c>
      <c r="D113" t="inlineStr">
        <is>
          <t>VÄSTERNORRLANDS LÄN</t>
        </is>
      </c>
      <c r="E113" t="inlineStr">
        <is>
          <t>TIMRÅ</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56178-2019</t>
        </is>
      </c>
      <c r="B114" s="1" t="n">
        <v>43761</v>
      </c>
      <c r="C114" s="1" t="n">
        <v>45348</v>
      </c>
      <c r="D114" t="inlineStr">
        <is>
          <t>VÄSTERNORRLANDS LÄN</t>
        </is>
      </c>
      <c r="E114" t="inlineStr">
        <is>
          <t>TIMRÅ</t>
        </is>
      </c>
      <c r="G114" t="n">
        <v>0.8</v>
      </c>
      <c r="H114" t="n">
        <v>0</v>
      </c>
      <c r="I114" t="n">
        <v>0</v>
      </c>
      <c r="J114" t="n">
        <v>0</v>
      </c>
      <c r="K114" t="n">
        <v>0</v>
      </c>
      <c r="L114" t="n">
        <v>0</v>
      </c>
      <c r="M114" t="n">
        <v>0</v>
      </c>
      <c r="N114" t="n">
        <v>0</v>
      </c>
      <c r="O114" t="n">
        <v>0</v>
      </c>
      <c r="P114" t="n">
        <v>0</v>
      </c>
      <c r="Q114" t="n">
        <v>0</v>
      </c>
      <c r="R114" s="2" t="inlineStr"/>
    </row>
    <row r="115" ht="15" customHeight="1">
      <c r="A115" t="inlineStr">
        <is>
          <t>A 58711-2019</t>
        </is>
      </c>
      <c r="B115" s="1" t="n">
        <v>43768</v>
      </c>
      <c r="C115" s="1" t="n">
        <v>45348</v>
      </c>
      <c r="D115" t="inlineStr">
        <is>
          <t>VÄSTERNORRLANDS LÄN</t>
        </is>
      </c>
      <c r="E115" t="inlineStr">
        <is>
          <t>TIMRÅ</t>
        </is>
      </c>
      <c r="G115" t="n">
        <v>3.6</v>
      </c>
      <c r="H115" t="n">
        <v>0</v>
      </c>
      <c r="I115" t="n">
        <v>0</v>
      </c>
      <c r="J115" t="n">
        <v>0</v>
      </c>
      <c r="K115" t="n">
        <v>0</v>
      </c>
      <c r="L115" t="n">
        <v>0</v>
      </c>
      <c r="M115" t="n">
        <v>0</v>
      </c>
      <c r="N115" t="n">
        <v>0</v>
      </c>
      <c r="O115" t="n">
        <v>0</v>
      </c>
      <c r="P115" t="n">
        <v>0</v>
      </c>
      <c r="Q115" t="n">
        <v>0</v>
      </c>
      <c r="R115" s="2" t="inlineStr"/>
    </row>
    <row r="116" ht="15" customHeight="1">
      <c r="A116" t="inlineStr">
        <is>
          <t>A 58867-2019</t>
        </is>
      </c>
      <c r="B116" s="1" t="n">
        <v>43774</v>
      </c>
      <c r="C116" s="1" t="n">
        <v>45348</v>
      </c>
      <c r="D116" t="inlineStr">
        <is>
          <t>VÄSTERNORRLANDS LÄN</t>
        </is>
      </c>
      <c r="E116" t="inlineStr">
        <is>
          <t>TIMRÅ</t>
        </is>
      </c>
      <c r="G116" t="n">
        <v>1.7</v>
      </c>
      <c r="H116" t="n">
        <v>0</v>
      </c>
      <c r="I116" t="n">
        <v>0</v>
      </c>
      <c r="J116" t="n">
        <v>0</v>
      </c>
      <c r="K116" t="n">
        <v>0</v>
      </c>
      <c r="L116" t="n">
        <v>0</v>
      </c>
      <c r="M116" t="n">
        <v>0</v>
      </c>
      <c r="N116" t="n">
        <v>0</v>
      </c>
      <c r="O116" t="n">
        <v>0</v>
      </c>
      <c r="P116" t="n">
        <v>0</v>
      </c>
      <c r="Q116" t="n">
        <v>0</v>
      </c>
      <c r="R116" s="2" t="inlineStr"/>
    </row>
    <row r="117" ht="15" customHeight="1">
      <c r="A117" t="inlineStr">
        <is>
          <t>A 60849-2019</t>
        </is>
      </c>
      <c r="B117" s="1" t="n">
        <v>43781</v>
      </c>
      <c r="C117" s="1" t="n">
        <v>45348</v>
      </c>
      <c r="D117" t="inlineStr">
        <is>
          <t>VÄSTERNORRLANDS LÄN</t>
        </is>
      </c>
      <c r="E117" t="inlineStr">
        <is>
          <t>TIMRÅ</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62282-2019</t>
        </is>
      </c>
      <c r="B118" s="1" t="n">
        <v>43782</v>
      </c>
      <c r="C118" s="1" t="n">
        <v>45348</v>
      </c>
      <c r="D118" t="inlineStr">
        <is>
          <t>VÄSTERNORRLANDS LÄN</t>
        </is>
      </c>
      <c r="E118" t="inlineStr">
        <is>
          <t>TIMRÅ</t>
        </is>
      </c>
      <c r="G118" t="n">
        <v>1.1</v>
      </c>
      <c r="H118" t="n">
        <v>0</v>
      </c>
      <c r="I118" t="n">
        <v>0</v>
      </c>
      <c r="J118" t="n">
        <v>0</v>
      </c>
      <c r="K118" t="n">
        <v>0</v>
      </c>
      <c r="L118" t="n">
        <v>0</v>
      </c>
      <c r="M118" t="n">
        <v>0</v>
      </c>
      <c r="N118" t="n">
        <v>0</v>
      </c>
      <c r="O118" t="n">
        <v>0</v>
      </c>
      <c r="P118" t="n">
        <v>0</v>
      </c>
      <c r="Q118" t="n">
        <v>0</v>
      </c>
      <c r="R118" s="2" t="inlineStr"/>
    </row>
    <row r="119" ht="15" customHeight="1">
      <c r="A119" t="inlineStr">
        <is>
          <t>A 63685-2019</t>
        </is>
      </c>
      <c r="B119" s="1" t="n">
        <v>43788</v>
      </c>
      <c r="C119" s="1" t="n">
        <v>45348</v>
      </c>
      <c r="D119" t="inlineStr">
        <is>
          <t>VÄSTERNORRLANDS LÄN</t>
        </is>
      </c>
      <c r="E119" t="inlineStr">
        <is>
          <t>TIMRÅ</t>
        </is>
      </c>
      <c r="G119" t="n">
        <v>1.9</v>
      </c>
      <c r="H119" t="n">
        <v>0</v>
      </c>
      <c r="I119" t="n">
        <v>0</v>
      </c>
      <c r="J119" t="n">
        <v>0</v>
      </c>
      <c r="K119" t="n">
        <v>0</v>
      </c>
      <c r="L119" t="n">
        <v>0</v>
      </c>
      <c r="M119" t="n">
        <v>0</v>
      </c>
      <c r="N119" t="n">
        <v>0</v>
      </c>
      <c r="O119" t="n">
        <v>0</v>
      </c>
      <c r="P119" t="n">
        <v>0</v>
      </c>
      <c r="Q119" t="n">
        <v>0</v>
      </c>
      <c r="R119" s="2" t="inlineStr"/>
    </row>
    <row r="120" ht="15" customHeight="1">
      <c r="A120" t="inlineStr">
        <is>
          <t>A 63836-2019</t>
        </is>
      </c>
      <c r="B120" s="1" t="n">
        <v>43795</v>
      </c>
      <c r="C120" s="1" t="n">
        <v>45348</v>
      </c>
      <c r="D120" t="inlineStr">
        <is>
          <t>VÄSTERNORRLANDS LÄN</t>
        </is>
      </c>
      <c r="E120" t="inlineStr">
        <is>
          <t>TIMRÅ</t>
        </is>
      </c>
      <c r="F120" t="inlineStr">
        <is>
          <t>Kyrkan</t>
        </is>
      </c>
      <c r="G120" t="n">
        <v>4.9</v>
      </c>
      <c r="H120" t="n">
        <v>0</v>
      </c>
      <c r="I120" t="n">
        <v>0</v>
      </c>
      <c r="J120" t="n">
        <v>0</v>
      </c>
      <c r="K120" t="n">
        <v>0</v>
      </c>
      <c r="L120" t="n">
        <v>0</v>
      </c>
      <c r="M120" t="n">
        <v>0</v>
      </c>
      <c r="N120" t="n">
        <v>0</v>
      </c>
      <c r="O120" t="n">
        <v>0</v>
      </c>
      <c r="P120" t="n">
        <v>0</v>
      </c>
      <c r="Q120" t="n">
        <v>0</v>
      </c>
      <c r="R120" s="2" t="inlineStr"/>
    </row>
    <row r="121" ht="15" customHeight="1">
      <c r="A121" t="inlineStr">
        <is>
          <t>A 65954-2019</t>
        </is>
      </c>
      <c r="B121" s="1" t="n">
        <v>43801</v>
      </c>
      <c r="C121" s="1" t="n">
        <v>45348</v>
      </c>
      <c r="D121" t="inlineStr">
        <is>
          <t>VÄSTERNORRLANDS LÄN</t>
        </is>
      </c>
      <c r="E121" t="inlineStr">
        <is>
          <t>TIMRÅ</t>
        </is>
      </c>
      <c r="G121" t="n">
        <v>9.1</v>
      </c>
      <c r="H121" t="n">
        <v>0</v>
      </c>
      <c r="I121" t="n">
        <v>0</v>
      </c>
      <c r="J121" t="n">
        <v>0</v>
      </c>
      <c r="K121" t="n">
        <v>0</v>
      </c>
      <c r="L121" t="n">
        <v>0</v>
      </c>
      <c r="M121" t="n">
        <v>0</v>
      </c>
      <c r="N121" t="n">
        <v>0</v>
      </c>
      <c r="O121" t="n">
        <v>0</v>
      </c>
      <c r="P121" t="n">
        <v>0</v>
      </c>
      <c r="Q121" t="n">
        <v>0</v>
      </c>
      <c r="R121" s="2" t="inlineStr"/>
    </row>
    <row r="122" ht="15" customHeight="1">
      <c r="A122" t="inlineStr">
        <is>
          <t>A 65367-2019</t>
        </is>
      </c>
      <c r="B122" s="1" t="n">
        <v>43803</v>
      </c>
      <c r="C122" s="1" t="n">
        <v>45348</v>
      </c>
      <c r="D122" t="inlineStr">
        <is>
          <t>VÄSTERNORRLANDS LÄN</t>
        </is>
      </c>
      <c r="E122" t="inlineStr">
        <is>
          <t>TIMRÅ</t>
        </is>
      </c>
      <c r="G122" t="n">
        <v>1.7</v>
      </c>
      <c r="H122" t="n">
        <v>0</v>
      </c>
      <c r="I122" t="n">
        <v>0</v>
      </c>
      <c r="J122" t="n">
        <v>0</v>
      </c>
      <c r="K122" t="n">
        <v>0</v>
      </c>
      <c r="L122" t="n">
        <v>0</v>
      </c>
      <c r="M122" t="n">
        <v>0</v>
      </c>
      <c r="N122" t="n">
        <v>0</v>
      </c>
      <c r="O122" t="n">
        <v>0</v>
      </c>
      <c r="P122" t="n">
        <v>0</v>
      </c>
      <c r="Q122" t="n">
        <v>0</v>
      </c>
      <c r="R122" s="2" t="inlineStr"/>
    </row>
    <row r="123" ht="15" customHeight="1">
      <c r="A123" t="inlineStr">
        <is>
          <t>A 66385-2019</t>
        </is>
      </c>
      <c r="B123" s="1" t="n">
        <v>43808</v>
      </c>
      <c r="C123" s="1" t="n">
        <v>45348</v>
      </c>
      <c r="D123" t="inlineStr">
        <is>
          <t>VÄSTERNORRLANDS LÄN</t>
        </is>
      </c>
      <c r="E123" t="inlineStr">
        <is>
          <t>TIMRÅ</t>
        </is>
      </c>
      <c r="G123" t="n">
        <v>1.5</v>
      </c>
      <c r="H123" t="n">
        <v>0</v>
      </c>
      <c r="I123" t="n">
        <v>0</v>
      </c>
      <c r="J123" t="n">
        <v>0</v>
      </c>
      <c r="K123" t="n">
        <v>0</v>
      </c>
      <c r="L123" t="n">
        <v>0</v>
      </c>
      <c r="M123" t="n">
        <v>0</v>
      </c>
      <c r="N123" t="n">
        <v>0</v>
      </c>
      <c r="O123" t="n">
        <v>0</v>
      </c>
      <c r="P123" t="n">
        <v>0</v>
      </c>
      <c r="Q123" t="n">
        <v>0</v>
      </c>
      <c r="R123" s="2" t="inlineStr"/>
    </row>
    <row r="124" ht="15" customHeight="1">
      <c r="A124" t="inlineStr">
        <is>
          <t>A 66415-2019</t>
        </is>
      </c>
      <c r="B124" s="1" t="n">
        <v>43808</v>
      </c>
      <c r="C124" s="1" t="n">
        <v>45348</v>
      </c>
      <c r="D124" t="inlineStr">
        <is>
          <t>VÄSTERNORRLANDS LÄN</t>
        </is>
      </c>
      <c r="E124" t="inlineStr">
        <is>
          <t>TIMRÅ</t>
        </is>
      </c>
      <c r="G124" t="n">
        <v>2.8</v>
      </c>
      <c r="H124" t="n">
        <v>0</v>
      </c>
      <c r="I124" t="n">
        <v>0</v>
      </c>
      <c r="J124" t="n">
        <v>0</v>
      </c>
      <c r="K124" t="n">
        <v>0</v>
      </c>
      <c r="L124" t="n">
        <v>0</v>
      </c>
      <c r="M124" t="n">
        <v>0</v>
      </c>
      <c r="N124" t="n">
        <v>0</v>
      </c>
      <c r="O124" t="n">
        <v>0</v>
      </c>
      <c r="P124" t="n">
        <v>0</v>
      </c>
      <c r="Q124" t="n">
        <v>0</v>
      </c>
      <c r="R124" s="2" t="inlineStr"/>
    </row>
    <row r="125" ht="15" customHeight="1">
      <c r="A125" t="inlineStr">
        <is>
          <t>A 66387-2019</t>
        </is>
      </c>
      <c r="B125" s="1" t="n">
        <v>43808</v>
      </c>
      <c r="C125" s="1" t="n">
        <v>45348</v>
      </c>
      <c r="D125" t="inlineStr">
        <is>
          <t>VÄSTERNORRLANDS LÄN</t>
        </is>
      </c>
      <c r="E125" t="inlineStr">
        <is>
          <t>TIMRÅ</t>
        </is>
      </c>
      <c r="G125" t="n">
        <v>0.5</v>
      </c>
      <c r="H125" t="n">
        <v>0</v>
      </c>
      <c r="I125" t="n">
        <v>0</v>
      </c>
      <c r="J125" t="n">
        <v>0</v>
      </c>
      <c r="K125" t="n">
        <v>0</v>
      </c>
      <c r="L125" t="n">
        <v>0</v>
      </c>
      <c r="M125" t="n">
        <v>0</v>
      </c>
      <c r="N125" t="n">
        <v>0</v>
      </c>
      <c r="O125" t="n">
        <v>0</v>
      </c>
      <c r="P125" t="n">
        <v>0</v>
      </c>
      <c r="Q125" t="n">
        <v>0</v>
      </c>
      <c r="R125" s="2" t="inlineStr"/>
    </row>
    <row r="126" ht="15" customHeight="1">
      <c r="A126" t="inlineStr">
        <is>
          <t>A 67825-2019</t>
        </is>
      </c>
      <c r="B126" s="1" t="n">
        <v>43815</v>
      </c>
      <c r="C126" s="1" t="n">
        <v>45348</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1298-2020</t>
        </is>
      </c>
      <c r="B127" s="1" t="n">
        <v>43842</v>
      </c>
      <c r="C127" s="1" t="n">
        <v>45348</v>
      </c>
      <c r="D127" t="inlineStr">
        <is>
          <t>VÄSTERNORRLANDS LÄN</t>
        </is>
      </c>
      <c r="E127" t="inlineStr">
        <is>
          <t>TIMRÅ</t>
        </is>
      </c>
      <c r="G127" t="n">
        <v>10.8</v>
      </c>
      <c r="H127" t="n">
        <v>0</v>
      </c>
      <c r="I127" t="n">
        <v>0</v>
      </c>
      <c r="J127" t="n">
        <v>0</v>
      </c>
      <c r="K127" t="n">
        <v>0</v>
      </c>
      <c r="L127" t="n">
        <v>0</v>
      </c>
      <c r="M127" t="n">
        <v>0</v>
      </c>
      <c r="N127" t="n">
        <v>0</v>
      </c>
      <c r="O127" t="n">
        <v>0</v>
      </c>
      <c r="P127" t="n">
        <v>0</v>
      </c>
      <c r="Q127" t="n">
        <v>0</v>
      </c>
      <c r="R127" s="2" t="inlineStr"/>
    </row>
    <row r="128" ht="15" customHeight="1">
      <c r="A128" t="inlineStr">
        <is>
          <t>A 3007-2020</t>
        </is>
      </c>
      <c r="B128" s="1" t="n">
        <v>43850</v>
      </c>
      <c r="C128" s="1" t="n">
        <v>45348</v>
      </c>
      <c r="D128" t="inlineStr">
        <is>
          <t>VÄSTERNORRLANDS LÄN</t>
        </is>
      </c>
      <c r="E128" t="inlineStr">
        <is>
          <t>TIMRÅ</t>
        </is>
      </c>
      <c r="G128" t="n">
        <v>1</v>
      </c>
      <c r="H128" t="n">
        <v>0</v>
      </c>
      <c r="I128" t="n">
        <v>0</v>
      </c>
      <c r="J128" t="n">
        <v>0</v>
      </c>
      <c r="K128" t="n">
        <v>0</v>
      </c>
      <c r="L128" t="n">
        <v>0</v>
      </c>
      <c r="M128" t="n">
        <v>0</v>
      </c>
      <c r="N128" t="n">
        <v>0</v>
      </c>
      <c r="O128" t="n">
        <v>0</v>
      </c>
      <c r="P128" t="n">
        <v>0</v>
      </c>
      <c r="Q128" t="n">
        <v>0</v>
      </c>
      <c r="R128" s="2" t="inlineStr"/>
    </row>
    <row r="129" ht="15" customHeight="1">
      <c r="A129" t="inlineStr">
        <is>
          <t>A 3006-2020</t>
        </is>
      </c>
      <c r="B129" s="1" t="n">
        <v>43850</v>
      </c>
      <c r="C129" s="1" t="n">
        <v>45348</v>
      </c>
      <c r="D129" t="inlineStr">
        <is>
          <t>VÄSTERNORRLANDS LÄN</t>
        </is>
      </c>
      <c r="E129" t="inlineStr">
        <is>
          <t>TIMRÅ</t>
        </is>
      </c>
      <c r="G129" t="n">
        <v>1.3</v>
      </c>
      <c r="H129" t="n">
        <v>0</v>
      </c>
      <c r="I129" t="n">
        <v>0</v>
      </c>
      <c r="J129" t="n">
        <v>0</v>
      </c>
      <c r="K129" t="n">
        <v>0</v>
      </c>
      <c r="L129" t="n">
        <v>0</v>
      </c>
      <c r="M129" t="n">
        <v>0</v>
      </c>
      <c r="N129" t="n">
        <v>0</v>
      </c>
      <c r="O129" t="n">
        <v>0</v>
      </c>
      <c r="P129" t="n">
        <v>0</v>
      </c>
      <c r="Q129" t="n">
        <v>0</v>
      </c>
      <c r="R129" s="2" t="inlineStr"/>
    </row>
    <row r="130" ht="15" customHeight="1">
      <c r="A130" t="inlineStr">
        <is>
          <t>A 3010-2020</t>
        </is>
      </c>
      <c r="B130" s="1" t="n">
        <v>43850</v>
      </c>
      <c r="C130" s="1" t="n">
        <v>45348</v>
      </c>
      <c r="D130" t="inlineStr">
        <is>
          <t>VÄSTERNORRLANDS LÄN</t>
        </is>
      </c>
      <c r="E130" t="inlineStr">
        <is>
          <t>TIMRÅ</t>
        </is>
      </c>
      <c r="G130" t="n">
        <v>1.4</v>
      </c>
      <c r="H130" t="n">
        <v>0</v>
      </c>
      <c r="I130" t="n">
        <v>0</v>
      </c>
      <c r="J130" t="n">
        <v>0</v>
      </c>
      <c r="K130" t="n">
        <v>0</v>
      </c>
      <c r="L130" t="n">
        <v>0</v>
      </c>
      <c r="M130" t="n">
        <v>0</v>
      </c>
      <c r="N130" t="n">
        <v>0</v>
      </c>
      <c r="O130" t="n">
        <v>0</v>
      </c>
      <c r="P130" t="n">
        <v>0</v>
      </c>
      <c r="Q130" t="n">
        <v>0</v>
      </c>
      <c r="R130" s="2" t="inlineStr"/>
    </row>
    <row r="131" ht="15" customHeight="1">
      <c r="A131" t="inlineStr">
        <is>
          <t>A 3030-2020</t>
        </is>
      </c>
      <c r="B131" s="1" t="n">
        <v>43851</v>
      </c>
      <c r="C131" s="1" t="n">
        <v>45348</v>
      </c>
      <c r="D131" t="inlineStr">
        <is>
          <t>VÄSTERNORRLANDS LÄN</t>
        </is>
      </c>
      <c r="E131" t="inlineStr">
        <is>
          <t>TIMRÅ</t>
        </is>
      </c>
      <c r="F131" t="inlineStr">
        <is>
          <t>Kyrkan</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3285-2020</t>
        </is>
      </c>
      <c r="B132" s="1" t="n">
        <v>43852</v>
      </c>
      <c r="C132" s="1" t="n">
        <v>45348</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3283-2020</t>
        </is>
      </c>
      <c r="B133" s="1" t="n">
        <v>43852</v>
      </c>
      <c r="C133" s="1" t="n">
        <v>45348</v>
      </c>
      <c r="D133" t="inlineStr">
        <is>
          <t>VÄSTERNORRLANDS LÄN</t>
        </is>
      </c>
      <c r="E133" t="inlineStr">
        <is>
          <t>TIMRÅ</t>
        </is>
      </c>
      <c r="G133" t="n">
        <v>3</v>
      </c>
      <c r="H133" t="n">
        <v>0</v>
      </c>
      <c r="I133" t="n">
        <v>0</v>
      </c>
      <c r="J133" t="n">
        <v>0</v>
      </c>
      <c r="K133" t="n">
        <v>0</v>
      </c>
      <c r="L133" t="n">
        <v>0</v>
      </c>
      <c r="M133" t="n">
        <v>0</v>
      </c>
      <c r="N133" t="n">
        <v>0</v>
      </c>
      <c r="O133" t="n">
        <v>0</v>
      </c>
      <c r="P133" t="n">
        <v>0</v>
      </c>
      <c r="Q133" t="n">
        <v>0</v>
      </c>
      <c r="R133" s="2" t="inlineStr"/>
    </row>
    <row r="134" ht="15" customHeight="1">
      <c r="A134" t="inlineStr">
        <is>
          <t>A 7134-2020</t>
        </is>
      </c>
      <c r="B134" s="1" t="n">
        <v>43868</v>
      </c>
      <c r="C134" s="1" t="n">
        <v>45348</v>
      </c>
      <c r="D134" t="inlineStr">
        <is>
          <t>VÄSTERNORRLANDS LÄN</t>
        </is>
      </c>
      <c r="E134" t="inlineStr">
        <is>
          <t>TIMRÅ</t>
        </is>
      </c>
      <c r="F134" t="inlineStr">
        <is>
          <t>SCA</t>
        </is>
      </c>
      <c r="G134" t="n">
        <v>25.8</v>
      </c>
      <c r="H134" t="n">
        <v>0</v>
      </c>
      <c r="I134" t="n">
        <v>0</v>
      </c>
      <c r="J134" t="n">
        <v>0</v>
      </c>
      <c r="K134" t="n">
        <v>0</v>
      </c>
      <c r="L134" t="n">
        <v>0</v>
      </c>
      <c r="M134" t="n">
        <v>0</v>
      </c>
      <c r="N134" t="n">
        <v>0</v>
      </c>
      <c r="O134" t="n">
        <v>0</v>
      </c>
      <c r="P134" t="n">
        <v>0</v>
      </c>
      <c r="Q134" t="n">
        <v>0</v>
      </c>
      <c r="R134" s="2" t="inlineStr"/>
    </row>
    <row r="135" ht="15" customHeight="1">
      <c r="A135" t="inlineStr">
        <is>
          <t>A 8279-2020</t>
        </is>
      </c>
      <c r="B135" s="1" t="n">
        <v>43874</v>
      </c>
      <c r="C135" s="1" t="n">
        <v>45348</v>
      </c>
      <c r="D135" t="inlineStr">
        <is>
          <t>VÄSTERNORRLANDS LÄN</t>
        </is>
      </c>
      <c r="E135" t="inlineStr">
        <is>
          <t>TIMRÅ</t>
        </is>
      </c>
      <c r="G135" t="n">
        <v>10.9</v>
      </c>
      <c r="H135" t="n">
        <v>0</v>
      </c>
      <c r="I135" t="n">
        <v>0</v>
      </c>
      <c r="J135" t="n">
        <v>0</v>
      </c>
      <c r="K135" t="n">
        <v>0</v>
      </c>
      <c r="L135" t="n">
        <v>0</v>
      </c>
      <c r="M135" t="n">
        <v>0</v>
      </c>
      <c r="N135" t="n">
        <v>0</v>
      </c>
      <c r="O135" t="n">
        <v>0</v>
      </c>
      <c r="P135" t="n">
        <v>0</v>
      </c>
      <c r="Q135" t="n">
        <v>0</v>
      </c>
      <c r="R135" s="2" t="inlineStr"/>
    </row>
    <row r="136" ht="15" customHeight="1">
      <c r="A136" t="inlineStr">
        <is>
          <t>A 9029-2020</t>
        </is>
      </c>
      <c r="B136" s="1" t="n">
        <v>43879</v>
      </c>
      <c r="C136" s="1" t="n">
        <v>45348</v>
      </c>
      <c r="D136" t="inlineStr">
        <is>
          <t>VÄSTERNORRLANDS LÄN</t>
        </is>
      </c>
      <c r="E136" t="inlineStr">
        <is>
          <t>TIMRÅ</t>
        </is>
      </c>
      <c r="G136" t="n">
        <v>6.3</v>
      </c>
      <c r="H136" t="n">
        <v>0</v>
      </c>
      <c r="I136" t="n">
        <v>0</v>
      </c>
      <c r="J136" t="n">
        <v>0</v>
      </c>
      <c r="K136" t="n">
        <v>0</v>
      </c>
      <c r="L136" t="n">
        <v>0</v>
      </c>
      <c r="M136" t="n">
        <v>0</v>
      </c>
      <c r="N136" t="n">
        <v>0</v>
      </c>
      <c r="O136" t="n">
        <v>0</v>
      </c>
      <c r="P136" t="n">
        <v>0</v>
      </c>
      <c r="Q136" t="n">
        <v>0</v>
      </c>
      <c r="R136" s="2" t="inlineStr"/>
    </row>
    <row r="137" ht="15" customHeight="1">
      <c r="A137" t="inlineStr">
        <is>
          <t>A 9097-2020</t>
        </is>
      </c>
      <c r="B137" s="1" t="n">
        <v>43879</v>
      </c>
      <c r="C137" s="1" t="n">
        <v>45348</v>
      </c>
      <c r="D137" t="inlineStr">
        <is>
          <t>VÄSTERNORRLANDS LÄN</t>
        </is>
      </c>
      <c r="E137" t="inlineStr">
        <is>
          <t>TIMRÅ</t>
        </is>
      </c>
      <c r="G137" t="n">
        <v>7.4</v>
      </c>
      <c r="H137" t="n">
        <v>0</v>
      </c>
      <c r="I137" t="n">
        <v>0</v>
      </c>
      <c r="J137" t="n">
        <v>0</v>
      </c>
      <c r="K137" t="n">
        <v>0</v>
      </c>
      <c r="L137" t="n">
        <v>0</v>
      </c>
      <c r="M137" t="n">
        <v>0</v>
      </c>
      <c r="N137" t="n">
        <v>0</v>
      </c>
      <c r="O137" t="n">
        <v>0</v>
      </c>
      <c r="P137" t="n">
        <v>0</v>
      </c>
      <c r="Q137" t="n">
        <v>0</v>
      </c>
      <c r="R137" s="2" t="inlineStr"/>
    </row>
    <row r="138" ht="15" customHeight="1">
      <c r="A138" t="inlineStr">
        <is>
          <t>A 10377-2020</t>
        </is>
      </c>
      <c r="B138" s="1" t="n">
        <v>43885</v>
      </c>
      <c r="C138" s="1" t="n">
        <v>45348</v>
      </c>
      <c r="D138" t="inlineStr">
        <is>
          <t>VÄSTERNORRLANDS LÄN</t>
        </is>
      </c>
      <c r="E138" t="inlineStr">
        <is>
          <t>TIMRÅ</t>
        </is>
      </c>
      <c r="G138" t="n">
        <v>1.6</v>
      </c>
      <c r="H138" t="n">
        <v>0</v>
      </c>
      <c r="I138" t="n">
        <v>0</v>
      </c>
      <c r="J138" t="n">
        <v>0</v>
      </c>
      <c r="K138" t="n">
        <v>0</v>
      </c>
      <c r="L138" t="n">
        <v>0</v>
      </c>
      <c r="M138" t="n">
        <v>0</v>
      </c>
      <c r="N138" t="n">
        <v>0</v>
      </c>
      <c r="O138" t="n">
        <v>0</v>
      </c>
      <c r="P138" t="n">
        <v>0</v>
      </c>
      <c r="Q138" t="n">
        <v>0</v>
      </c>
      <c r="R138" s="2" t="inlineStr"/>
    </row>
    <row r="139" ht="15" customHeight="1">
      <c r="A139" t="inlineStr">
        <is>
          <t>A 13782-2020</t>
        </is>
      </c>
      <c r="B139" s="1" t="n">
        <v>43903</v>
      </c>
      <c r="C139" s="1" t="n">
        <v>45348</v>
      </c>
      <c r="D139" t="inlineStr">
        <is>
          <t>VÄSTERNORRLANDS LÄN</t>
        </is>
      </c>
      <c r="E139" t="inlineStr">
        <is>
          <t>TIMRÅ</t>
        </is>
      </c>
      <c r="G139" t="n">
        <v>4.1</v>
      </c>
      <c r="H139" t="n">
        <v>0</v>
      </c>
      <c r="I139" t="n">
        <v>0</v>
      </c>
      <c r="J139" t="n">
        <v>0</v>
      </c>
      <c r="K139" t="n">
        <v>0</v>
      </c>
      <c r="L139" t="n">
        <v>0</v>
      </c>
      <c r="M139" t="n">
        <v>0</v>
      </c>
      <c r="N139" t="n">
        <v>0</v>
      </c>
      <c r="O139" t="n">
        <v>0</v>
      </c>
      <c r="P139" t="n">
        <v>0</v>
      </c>
      <c r="Q139" t="n">
        <v>0</v>
      </c>
      <c r="R139" s="2" t="inlineStr"/>
    </row>
    <row r="140" ht="15" customHeight="1">
      <c r="A140" t="inlineStr">
        <is>
          <t>A 15631-2020</t>
        </is>
      </c>
      <c r="B140" s="1" t="n">
        <v>43914</v>
      </c>
      <c r="C140" s="1" t="n">
        <v>45348</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17822-2020</t>
        </is>
      </c>
      <c r="B141" s="1" t="n">
        <v>43924</v>
      </c>
      <c r="C141" s="1" t="n">
        <v>45348</v>
      </c>
      <c r="D141" t="inlineStr">
        <is>
          <t>VÄSTERNORRLANDS LÄN</t>
        </is>
      </c>
      <c r="E141" t="inlineStr">
        <is>
          <t>TIMRÅ</t>
        </is>
      </c>
      <c r="G141" t="n">
        <v>0.2</v>
      </c>
      <c r="H141" t="n">
        <v>0</v>
      </c>
      <c r="I141" t="n">
        <v>0</v>
      </c>
      <c r="J141" t="n">
        <v>0</v>
      </c>
      <c r="K141" t="n">
        <v>0</v>
      </c>
      <c r="L141" t="n">
        <v>0</v>
      </c>
      <c r="M141" t="n">
        <v>0</v>
      </c>
      <c r="N141" t="n">
        <v>0</v>
      </c>
      <c r="O141" t="n">
        <v>0</v>
      </c>
      <c r="P141" t="n">
        <v>0</v>
      </c>
      <c r="Q141" t="n">
        <v>0</v>
      </c>
      <c r="R141" s="2" t="inlineStr"/>
    </row>
    <row r="142" ht="15" customHeight="1">
      <c r="A142" t="inlineStr">
        <is>
          <t>A 18107-2020</t>
        </is>
      </c>
      <c r="B142" s="1" t="n">
        <v>43927</v>
      </c>
      <c r="C142" s="1" t="n">
        <v>45348</v>
      </c>
      <c r="D142" t="inlineStr">
        <is>
          <t>VÄSTERNORRLANDS LÄN</t>
        </is>
      </c>
      <c r="E142" t="inlineStr">
        <is>
          <t>TIMRÅ</t>
        </is>
      </c>
      <c r="G142" t="n">
        <v>0.9</v>
      </c>
      <c r="H142" t="n">
        <v>0</v>
      </c>
      <c r="I142" t="n">
        <v>0</v>
      </c>
      <c r="J142" t="n">
        <v>0</v>
      </c>
      <c r="K142" t="n">
        <v>0</v>
      </c>
      <c r="L142" t="n">
        <v>0</v>
      </c>
      <c r="M142" t="n">
        <v>0</v>
      </c>
      <c r="N142" t="n">
        <v>0</v>
      </c>
      <c r="O142" t="n">
        <v>0</v>
      </c>
      <c r="P142" t="n">
        <v>0</v>
      </c>
      <c r="Q142" t="n">
        <v>0</v>
      </c>
      <c r="R142" s="2" t="inlineStr"/>
    </row>
    <row r="143" ht="15" customHeight="1">
      <c r="A143" t="inlineStr">
        <is>
          <t>A 18211-2020</t>
        </is>
      </c>
      <c r="B143" s="1" t="n">
        <v>43927</v>
      </c>
      <c r="C143" s="1" t="n">
        <v>45348</v>
      </c>
      <c r="D143" t="inlineStr">
        <is>
          <t>VÄSTERNORRLANDS LÄN</t>
        </is>
      </c>
      <c r="E143" t="inlineStr">
        <is>
          <t>TIMRÅ</t>
        </is>
      </c>
      <c r="G143" t="n">
        <v>0.5</v>
      </c>
      <c r="H143" t="n">
        <v>0</v>
      </c>
      <c r="I143" t="n">
        <v>0</v>
      </c>
      <c r="J143" t="n">
        <v>0</v>
      </c>
      <c r="K143" t="n">
        <v>0</v>
      </c>
      <c r="L143" t="n">
        <v>0</v>
      </c>
      <c r="M143" t="n">
        <v>0</v>
      </c>
      <c r="N143" t="n">
        <v>0</v>
      </c>
      <c r="O143" t="n">
        <v>0</v>
      </c>
      <c r="P143" t="n">
        <v>0</v>
      </c>
      <c r="Q143" t="n">
        <v>0</v>
      </c>
      <c r="R143" s="2" t="inlineStr"/>
    </row>
    <row r="144" ht="15" customHeight="1">
      <c r="A144" t="inlineStr">
        <is>
          <t>A 18208-2020</t>
        </is>
      </c>
      <c r="B144" s="1" t="n">
        <v>43927</v>
      </c>
      <c r="C144" s="1" t="n">
        <v>45348</v>
      </c>
      <c r="D144" t="inlineStr">
        <is>
          <t>VÄSTERNORRLANDS LÄN</t>
        </is>
      </c>
      <c r="E144" t="inlineStr">
        <is>
          <t>TIMRÅ</t>
        </is>
      </c>
      <c r="G144" t="n">
        <v>8.9</v>
      </c>
      <c r="H144" t="n">
        <v>0</v>
      </c>
      <c r="I144" t="n">
        <v>0</v>
      </c>
      <c r="J144" t="n">
        <v>0</v>
      </c>
      <c r="K144" t="n">
        <v>0</v>
      </c>
      <c r="L144" t="n">
        <v>0</v>
      </c>
      <c r="M144" t="n">
        <v>0</v>
      </c>
      <c r="N144" t="n">
        <v>0</v>
      </c>
      <c r="O144" t="n">
        <v>0</v>
      </c>
      <c r="P144" t="n">
        <v>0</v>
      </c>
      <c r="Q144" t="n">
        <v>0</v>
      </c>
      <c r="R144" s="2" t="inlineStr"/>
    </row>
    <row r="145" ht="15" customHeight="1">
      <c r="A145" t="inlineStr">
        <is>
          <t>A 19769-2020</t>
        </is>
      </c>
      <c r="B145" s="1" t="n">
        <v>43937</v>
      </c>
      <c r="C145" s="1" t="n">
        <v>45348</v>
      </c>
      <c r="D145" t="inlineStr">
        <is>
          <t>VÄSTERNORRLANDS LÄN</t>
        </is>
      </c>
      <c r="E145" t="inlineStr">
        <is>
          <t>TIMRÅ</t>
        </is>
      </c>
      <c r="G145" t="n">
        <v>2.1</v>
      </c>
      <c r="H145" t="n">
        <v>0</v>
      </c>
      <c r="I145" t="n">
        <v>0</v>
      </c>
      <c r="J145" t="n">
        <v>0</v>
      </c>
      <c r="K145" t="n">
        <v>0</v>
      </c>
      <c r="L145" t="n">
        <v>0</v>
      </c>
      <c r="M145" t="n">
        <v>0</v>
      </c>
      <c r="N145" t="n">
        <v>0</v>
      </c>
      <c r="O145" t="n">
        <v>0</v>
      </c>
      <c r="P145" t="n">
        <v>0</v>
      </c>
      <c r="Q145" t="n">
        <v>0</v>
      </c>
      <c r="R145" s="2" t="inlineStr"/>
    </row>
    <row r="146" ht="15" customHeight="1">
      <c r="A146" t="inlineStr">
        <is>
          <t>A 19792-2020</t>
        </is>
      </c>
      <c r="B146" s="1" t="n">
        <v>43937</v>
      </c>
      <c r="C146" s="1" t="n">
        <v>45348</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19311-2020</t>
        </is>
      </c>
      <c r="B147" s="1" t="n">
        <v>43937</v>
      </c>
      <c r="C147" s="1" t="n">
        <v>45348</v>
      </c>
      <c r="D147" t="inlineStr">
        <is>
          <t>VÄSTERNORRLANDS LÄN</t>
        </is>
      </c>
      <c r="E147" t="inlineStr">
        <is>
          <t>TIMRÅ</t>
        </is>
      </c>
      <c r="G147" t="n">
        <v>1.5</v>
      </c>
      <c r="H147" t="n">
        <v>0</v>
      </c>
      <c r="I147" t="n">
        <v>0</v>
      </c>
      <c r="J147" t="n">
        <v>0</v>
      </c>
      <c r="K147" t="n">
        <v>0</v>
      </c>
      <c r="L147" t="n">
        <v>0</v>
      </c>
      <c r="M147" t="n">
        <v>0</v>
      </c>
      <c r="N147" t="n">
        <v>0</v>
      </c>
      <c r="O147" t="n">
        <v>0</v>
      </c>
      <c r="P147" t="n">
        <v>0</v>
      </c>
      <c r="Q147" t="n">
        <v>0</v>
      </c>
      <c r="R147" s="2" t="inlineStr"/>
    </row>
    <row r="148" ht="15" customHeight="1">
      <c r="A148" t="inlineStr">
        <is>
          <t>A 19764-2020</t>
        </is>
      </c>
      <c r="B148" s="1" t="n">
        <v>43937</v>
      </c>
      <c r="C148" s="1" t="n">
        <v>45348</v>
      </c>
      <c r="D148" t="inlineStr">
        <is>
          <t>VÄSTERNORRLANDS LÄN</t>
        </is>
      </c>
      <c r="E148" t="inlineStr">
        <is>
          <t>TIMRÅ</t>
        </is>
      </c>
      <c r="G148" t="n">
        <v>3.1</v>
      </c>
      <c r="H148" t="n">
        <v>0</v>
      </c>
      <c r="I148" t="n">
        <v>0</v>
      </c>
      <c r="J148" t="n">
        <v>0</v>
      </c>
      <c r="K148" t="n">
        <v>0</v>
      </c>
      <c r="L148" t="n">
        <v>0</v>
      </c>
      <c r="M148" t="n">
        <v>0</v>
      </c>
      <c r="N148" t="n">
        <v>0</v>
      </c>
      <c r="O148" t="n">
        <v>0</v>
      </c>
      <c r="P148" t="n">
        <v>0</v>
      </c>
      <c r="Q148" t="n">
        <v>0</v>
      </c>
      <c r="R148" s="2" t="inlineStr"/>
    </row>
    <row r="149" ht="15" customHeight="1">
      <c r="A149" t="inlineStr">
        <is>
          <t>A 19785-2020</t>
        </is>
      </c>
      <c r="B149" s="1" t="n">
        <v>43937</v>
      </c>
      <c r="C149" s="1" t="n">
        <v>45348</v>
      </c>
      <c r="D149" t="inlineStr">
        <is>
          <t>VÄSTERNORRLANDS LÄN</t>
        </is>
      </c>
      <c r="E149" t="inlineStr">
        <is>
          <t>TIMRÅ</t>
        </is>
      </c>
      <c r="G149" t="n">
        <v>2</v>
      </c>
      <c r="H149" t="n">
        <v>0</v>
      </c>
      <c r="I149" t="n">
        <v>0</v>
      </c>
      <c r="J149" t="n">
        <v>0</v>
      </c>
      <c r="K149" t="n">
        <v>0</v>
      </c>
      <c r="L149" t="n">
        <v>0</v>
      </c>
      <c r="M149" t="n">
        <v>0</v>
      </c>
      <c r="N149" t="n">
        <v>0</v>
      </c>
      <c r="O149" t="n">
        <v>0</v>
      </c>
      <c r="P149" t="n">
        <v>0</v>
      </c>
      <c r="Q149" t="n">
        <v>0</v>
      </c>
      <c r="R149" s="2" t="inlineStr"/>
    </row>
    <row r="150" ht="15" customHeight="1">
      <c r="A150" t="inlineStr">
        <is>
          <t>A 19796-2020</t>
        </is>
      </c>
      <c r="B150" s="1" t="n">
        <v>43937</v>
      </c>
      <c r="C150" s="1" t="n">
        <v>45348</v>
      </c>
      <c r="D150" t="inlineStr">
        <is>
          <t>VÄSTERNORRLANDS LÄN</t>
        </is>
      </c>
      <c r="E150" t="inlineStr">
        <is>
          <t>TIMRÅ</t>
        </is>
      </c>
      <c r="G150" t="n">
        <v>1.4</v>
      </c>
      <c r="H150" t="n">
        <v>0</v>
      </c>
      <c r="I150" t="n">
        <v>0</v>
      </c>
      <c r="J150" t="n">
        <v>0</v>
      </c>
      <c r="K150" t="n">
        <v>0</v>
      </c>
      <c r="L150" t="n">
        <v>0</v>
      </c>
      <c r="M150" t="n">
        <v>0</v>
      </c>
      <c r="N150" t="n">
        <v>0</v>
      </c>
      <c r="O150" t="n">
        <v>0</v>
      </c>
      <c r="P150" t="n">
        <v>0</v>
      </c>
      <c r="Q150" t="n">
        <v>0</v>
      </c>
      <c r="R150" s="2" t="inlineStr"/>
    </row>
    <row r="151" ht="15" customHeight="1">
      <c r="A151" t="inlineStr">
        <is>
          <t>A 19809-2020</t>
        </is>
      </c>
      <c r="B151" s="1" t="n">
        <v>43937</v>
      </c>
      <c r="C151" s="1" t="n">
        <v>45348</v>
      </c>
      <c r="D151" t="inlineStr">
        <is>
          <t>VÄSTERNORRLANDS LÄN</t>
        </is>
      </c>
      <c r="E151" t="inlineStr">
        <is>
          <t>TIMRÅ</t>
        </is>
      </c>
      <c r="G151" t="n">
        <v>4.5</v>
      </c>
      <c r="H151" t="n">
        <v>0</v>
      </c>
      <c r="I151" t="n">
        <v>0</v>
      </c>
      <c r="J151" t="n">
        <v>0</v>
      </c>
      <c r="K151" t="n">
        <v>0</v>
      </c>
      <c r="L151" t="n">
        <v>0</v>
      </c>
      <c r="M151" t="n">
        <v>0</v>
      </c>
      <c r="N151" t="n">
        <v>0</v>
      </c>
      <c r="O151" t="n">
        <v>0</v>
      </c>
      <c r="P151" t="n">
        <v>0</v>
      </c>
      <c r="Q151" t="n">
        <v>0</v>
      </c>
      <c r="R151" s="2" t="inlineStr"/>
    </row>
    <row r="152" ht="15" customHeight="1">
      <c r="A152" t="inlineStr">
        <is>
          <t>A 19761-2020</t>
        </is>
      </c>
      <c r="B152" s="1" t="n">
        <v>43937</v>
      </c>
      <c r="C152" s="1" t="n">
        <v>45348</v>
      </c>
      <c r="D152" t="inlineStr">
        <is>
          <t>VÄSTERNORRLANDS LÄN</t>
        </is>
      </c>
      <c r="E152" t="inlineStr">
        <is>
          <t>TIMRÅ</t>
        </is>
      </c>
      <c r="G152" t="n">
        <v>0.4</v>
      </c>
      <c r="H152" t="n">
        <v>0</v>
      </c>
      <c r="I152" t="n">
        <v>0</v>
      </c>
      <c r="J152" t="n">
        <v>0</v>
      </c>
      <c r="K152" t="n">
        <v>0</v>
      </c>
      <c r="L152" t="n">
        <v>0</v>
      </c>
      <c r="M152" t="n">
        <v>0</v>
      </c>
      <c r="N152" t="n">
        <v>0</v>
      </c>
      <c r="O152" t="n">
        <v>0</v>
      </c>
      <c r="P152" t="n">
        <v>0</v>
      </c>
      <c r="Q152" t="n">
        <v>0</v>
      </c>
      <c r="R152" s="2" t="inlineStr"/>
    </row>
    <row r="153" ht="15" customHeight="1">
      <c r="A153" t="inlineStr">
        <is>
          <t>A 19774-2020</t>
        </is>
      </c>
      <c r="B153" s="1" t="n">
        <v>43937</v>
      </c>
      <c r="C153" s="1" t="n">
        <v>45348</v>
      </c>
      <c r="D153" t="inlineStr">
        <is>
          <t>VÄSTERNORRLANDS LÄN</t>
        </is>
      </c>
      <c r="E153" t="inlineStr">
        <is>
          <t>TIMRÅ</t>
        </is>
      </c>
      <c r="G153" t="n">
        <v>6.1</v>
      </c>
      <c r="H153" t="n">
        <v>0</v>
      </c>
      <c r="I153" t="n">
        <v>0</v>
      </c>
      <c r="J153" t="n">
        <v>0</v>
      </c>
      <c r="K153" t="n">
        <v>0</v>
      </c>
      <c r="L153" t="n">
        <v>0</v>
      </c>
      <c r="M153" t="n">
        <v>0</v>
      </c>
      <c r="N153" t="n">
        <v>0</v>
      </c>
      <c r="O153" t="n">
        <v>0</v>
      </c>
      <c r="P153" t="n">
        <v>0</v>
      </c>
      <c r="Q153" t="n">
        <v>0</v>
      </c>
      <c r="R153" s="2" t="inlineStr"/>
    </row>
    <row r="154" ht="15" customHeight="1">
      <c r="A154" t="inlineStr">
        <is>
          <t>A 19794-2020</t>
        </is>
      </c>
      <c r="B154" s="1" t="n">
        <v>43937</v>
      </c>
      <c r="C154" s="1" t="n">
        <v>45348</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19807-2020</t>
        </is>
      </c>
      <c r="B155" s="1" t="n">
        <v>43937</v>
      </c>
      <c r="C155" s="1" t="n">
        <v>45348</v>
      </c>
      <c r="D155" t="inlineStr">
        <is>
          <t>VÄSTERNORRLANDS LÄN</t>
        </is>
      </c>
      <c r="E155" t="inlineStr">
        <is>
          <t>TIMRÅ</t>
        </is>
      </c>
      <c r="G155" t="n">
        <v>3.4</v>
      </c>
      <c r="H155" t="n">
        <v>0</v>
      </c>
      <c r="I155" t="n">
        <v>0</v>
      </c>
      <c r="J155" t="n">
        <v>0</v>
      </c>
      <c r="K155" t="n">
        <v>0</v>
      </c>
      <c r="L155" t="n">
        <v>0</v>
      </c>
      <c r="M155" t="n">
        <v>0</v>
      </c>
      <c r="N155" t="n">
        <v>0</v>
      </c>
      <c r="O155" t="n">
        <v>0</v>
      </c>
      <c r="P155" t="n">
        <v>0</v>
      </c>
      <c r="Q155" t="n">
        <v>0</v>
      </c>
      <c r="R155" s="2" t="inlineStr"/>
    </row>
    <row r="156" ht="15" customHeight="1">
      <c r="A156" t="inlineStr">
        <is>
          <t>A 19765-2020</t>
        </is>
      </c>
      <c r="B156" s="1" t="n">
        <v>43937</v>
      </c>
      <c r="C156" s="1" t="n">
        <v>45348</v>
      </c>
      <c r="D156" t="inlineStr">
        <is>
          <t>VÄSTERNORRLANDS LÄN</t>
        </is>
      </c>
      <c r="E156" t="inlineStr">
        <is>
          <t>TIMRÅ</t>
        </is>
      </c>
      <c r="G156" t="n">
        <v>1.2</v>
      </c>
      <c r="H156" t="n">
        <v>0</v>
      </c>
      <c r="I156" t="n">
        <v>0</v>
      </c>
      <c r="J156" t="n">
        <v>0</v>
      </c>
      <c r="K156" t="n">
        <v>0</v>
      </c>
      <c r="L156" t="n">
        <v>0</v>
      </c>
      <c r="M156" t="n">
        <v>0</v>
      </c>
      <c r="N156" t="n">
        <v>0</v>
      </c>
      <c r="O156" t="n">
        <v>0</v>
      </c>
      <c r="P156" t="n">
        <v>0</v>
      </c>
      <c r="Q156" t="n">
        <v>0</v>
      </c>
      <c r="R156" s="2" t="inlineStr"/>
    </row>
    <row r="157" ht="15" customHeight="1">
      <c r="A157" t="inlineStr">
        <is>
          <t>A 19789-2020</t>
        </is>
      </c>
      <c r="B157" s="1" t="n">
        <v>43937</v>
      </c>
      <c r="C157" s="1" t="n">
        <v>45348</v>
      </c>
      <c r="D157" t="inlineStr">
        <is>
          <t>VÄSTERNORRLANDS LÄN</t>
        </is>
      </c>
      <c r="E157" t="inlineStr">
        <is>
          <t>TIMRÅ</t>
        </is>
      </c>
      <c r="G157" t="n">
        <v>0.3</v>
      </c>
      <c r="H157" t="n">
        <v>0</v>
      </c>
      <c r="I157" t="n">
        <v>0</v>
      </c>
      <c r="J157" t="n">
        <v>0</v>
      </c>
      <c r="K157" t="n">
        <v>0</v>
      </c>
      <c r="L157" t="n">
        <v>0</v>
      </c>
      <c r="M157" t="n">
        <v>0</v>
      </c>
      <c r="N157" t="n">
        <v>0</v>
      </c>
      <c r="O157" t="n">
        <v>0</v>
      </c>
      <c r="P157" t="n">
        <v>0</v>
      </c>
      <c r="Q157" t="n">
        <v>0</v>
      </c>
      <c r="R157" s="2" t="inlineStr"/>
    </row>
    <row r="158" ht="15" customHeight="1">
      <c r="A158" t="inlineStr">
        <is>
          <t>A 21210-2020</t>
        </is>
      </c>
      <c r="B158" s="1" t="n">
        <v>43951</v>
      </c>
      <c r="C158" s="1" t="n">
        <v>45348</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21874-2020</t>
        </is>
      </c>
      <c r="B159" s="1" t="n">
        <v>43955</v>
      </c>
      <c r="C159" s="1" t="n">
        <v>45348</v>
      </c>
      <c r="D159" t="inlineStr">
        <is>
          <t>VÄSTERNORRLANDS LÄN</t>
        </is>
      </c>
      <c r="E159" t="inlineStr">
        <is>
          <t>TIMRÅ</t>
        </is>
      </c>
      <c r="G159" t="n">
        <v>7.5</v>
      </c>
      <c r="H159" t="n">
        <v>0</v>
      </c>
      <c r="I159" t="n">
        <v>0</v>
      </c>
      <c r="J159" t="n">
        <v>0</v>
      </c>
      <c r="K159" t="n">
        <v>0</v>
      </c>
      <c r="L159" t="n">
        <v>0</v>
      </c>
      <c r="M159" t="n">
        <v>0</v>
      </c>
      <c r="N159" t="n">
        <v>0</v>
      </c>
      <c r="O159" t="n">
        <v>0</v>
      </c>
      <c r="P159" t="n">
        <v>0</v>
      </c>
      <c r="Q159" t="n">
        <v>0</v>
      </c>
      <c r="R159" s="2" t="inlineStr"/>
    </row>
    <row r="160" ht="15" customHeight="1">
      <c r="A160" t="inlineStr">
        <is>
          <t>A 21598-2020</t>
        </is>
      </c>
      <c r="B160" s="1" t="n">
        <v>43956</v>
      </c>
      <c r="C160" s="1" t="n">
        <v>45348</v>
      </c>
      <c r="D160" t="inlineStr">
        <is>
          <t>VÄSTERNORRLANDS LÄN</t>
        </is>
      </c>
      <c r="E160" t="inlineStr">
        <is>
          <t>TIMRÅ</t>
        </is>
      </c>
      <c r="G160" t="n">
        <v>5</v>
      </c>
      <c r="H160" t="n">
        <v>0</v>
      </c>
      <c r="I160" t="n">
        <v>0</v>
      </c>
      <c r="J160" t="n">
        <v>0</v>
      </c>
      <c r="K160" t="n">
        <v>0</v>
      </c>
      <c r="L160" t="n">
        <v>0</v>
      </c>
      <c r="M160" t="n">
        <v>0</v>
      </c>
      <c r="N160" t="n">
        <v>0</v>
      </c>
      <c r="O160" t="n">
        <v>0</v>
      </c>
      <c r="P160" t="n">
        <v>0</v>
      </c>
      <c r="Q160" t="n">
        <v>0</v>
      </c>
      <c r="R160" s="2" t="inlineStr"/>
    </row>
    <row r="161" ht="15" customHeight="1">
      <c r="A161" t="inlineStr">
        <is>
          <t>A 24263-2020</t>
        </is>
      </c>
      <c r="B161" s="1" t="n">
        <v>43971</v>
      </c>
      <c r="C161" s="1" t="n">
        <v>45348</v>
      </c>
      <c r="D161" t="inlineStr">
        <is>
          <t>VÄSTERNORRLANDS LÄN</t>
        </is>
      </c>
      <c r="E161" t="inlineStr">
        <is>
          <t>TIMRÅ</t>
        </is>
      </c>
      <c r="G161" t="n">
        <v>1.4</v>
      </c>
      <c r="H161" t="n">
        <v>0</v>
      </c>
      <c r="I161" t="n">
        <v>0</v>
      </c>
      <c r="J161" t="n">
        <v>0</v>
      </c>
      <c r="K161" t="n">
        <v>0</v>
      </c>
      <c r="L161" t="n">
        <v>0</v>
      </c>
      <c r="M161" t="n">
        <v>0</v>
      </c>
      <c r="N161" t="n">
        <v>0</v>
      </c>
      <c r="O161" t="n">
        <v>0</v>
      </c>
      <c r="P161" t="n">
        <v>0</v>
      </c>
      <c r="Q161" t="n">
        <v>0</v>
      </c>
      <c r="R161" s="2" t="inlineStr"/>
    </row>
    <row r="162" ht="15" customHeight="1">
      <c r="A162" t="inlineStr">
        <is>
          <t>A 29475-2020</t>
        </is>
      </c>
      <c r="B162" s="1" t="n">
        <v>44004</v>
      </c>
      <c r="C162" s="1" t="n">
        <v>45348</v>
      </c>
      <c r="D162" t="inlineStr">
        <is>
          <t>VÄSTERNORRLANDS LÄN</t>
        </is>
      </c>
      <c r="E162" t="inlineStr">
        <is>
          <t>TIMRÅ</t>
        </is>
      </c>
      <c r="G162" t="n">
        <v>2.5</v>
      </c>
      <c r="H162" t="n">
        <v>0</v>
      </c>
      <c r="I162" t="n">
        <v>0</v>
      </c>
      <c r="J162" t="n">
        <v>0</v>
      </c>
      <c r="K162" t="n">
        <v>0</v>
      </c>
      <c r="L162" t="n">
        <v>0</v>
      </c>
      <c r="M162" t="n">
        <v>0</v>
      </c>
      <c r="N162" t="n">
        <v>0</v>
      </c>
      <c r="O162" t="n">
        <v>0</v>
      </c>
      <c r="P162" t="n">
        <v>0</v>
      </c>
      <c r="Q162" t="n">
        <v>0</v>
      </c>
      <c r="R162" s="2" t="inlineStr"/>
    </row>
    <row r="163" ht="15" customHeight="1">
      <c r="A163" t="inlineStr">
        <is>
          <t>A 33966-2020</t>
        </is>
      </c>
      <c r="B163" s="1" t="n">
        <v>44028</v>
      </c>
      <c r="C163" s="1" t="n">
        <v>45348</v>
      </c>
      <c r="D163" t="inlineStr">
        <is>
          <t>VÄSTERNORRLANDS LÄN</t>
        </is>
      </c>
      <c r="E163" t="inlineStr">
        <is>
          <t>TIMRÅ</t>
        </is>
      </c>
      <c r="G163" t="n">
        <v>4.9</v>
      </c>
      <c r="H163" t="n">
        <v>0</v>
      </c>
      <c r="I163" t="n">
        <v>0</v>
      </c>
      <c r="J163" t="n">
        <v>0</v>
      </c>
      <c r="K163" t="n">
        <v>0</v>
      </c>
      <c r="L163" t="n">
        <v>0</v>
      </c>
      <c r="M163" t="n">
        <v>0</v>
      </c>
      <c r="N163" t="n">
        <v>0</v>
      </c>
      <c r="O163" t="n">
        <v>0</v>
      </c>
      <c r="P163" t="n">
        <v>0</v>
      </c>
      <c r="Q163" t="n">
        <v>0</v>
      </c>
      <c r="R163" s="2" t="inlineStr"/>
    </row>
    <row r="164" ht="15" customHeight="1">
      <c r="A164" t="inlineStr">
        <is>
          <t>A 35531-2020</t>
        </is>
      </c>
      <c r="B164" s="1" t="n">
        <v>44043</v>
      </c>
      <c r="C164" s="1" t="n">
        <v>45348</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40413-2020</t>
        </is>
      </c>
      <c r="B165" s="1" t="n">
        <v>44068</v>
      </c>
      <c r="C165" s="1" t="n">
        <v>45348</v>
      </c>
      <c r="D165" t="inlineStr">
        <is>
          <t>VÄSTERNORRLANDS LÄN</t>
        </is>
      </c>
      <c r="E165" t="inlineStr">
        <is>
          <t>TIMRÅ</t>
        </is>
      </c>
      <c r="G165" t="n">
        <v>2.5</v>
      </c>
      <c r="H165" t="n">
        <v>0</v>
      </c>
      <c r="I165" t="n">
        <v>0</v>
      </c>
      <c r="J165" t="n">
        <v>0</v>
      </c>
      <c r="K165" t="n">
        <v>0</v>
      </c>
      <c r="L165" t="n">
        <v>0</v>
      </c>
      <c r="M165" t="n">
        <v>0</v>
      </c>
      <c r="N165" t="n">
        <v>0</v>
      </c>
      <c r="O165" t="n">
        <v>0</v>
      </c>
      <c r="P165" t="n">
        <v>0</v>
      </c>
      <c r="Q165" t="n">
        <v>0</v>
      </c>
      <c r="R165" s="2" t="inlineStr"/>
    </row>
    <row r="166" ht="15" customHeight="1">
      <c r="A166" t="inlineStr">
        <is>
          <t>A 40410-2020</t>
        </is>
      </c>
      <c r="B166" s="1" t="n">
        <v>44068</v>
      </c>
      <c r="C166" s="1" t="n">
        <v>45348</v>
      </c>
      <c r="D166" t="inlineStr">
        <is>
          <t>VÄSTERNORRLANDS LÄN</t>
        </is>
      </c>
      <c r="E166" t="inlineStr">
        <is>
          <t>TIMRÅ</t>
        </is>
      </c>
      <c r="G166" t="n">
        <v>0.8</v>
      </c>
      <c r="H166" t="n">
        <v>0</v>
      </c>
      <c r="I166" t="n">
        <v>0</v>
      </c>
      <c r="J166" t="n">
        <v>0</v>
      </c>
      <c r="K166" t="n">
        <v>0</v>
      </c>
      <c r="L166" t="n">
        <v>0</v>
      </c>
      <c r="M166" t="n">
        <v>0</v>
      </c>
      <c r="N166" t="n">
        <v>0</v>
      </c>
      <c r="O166" t="n">
        <v>0</v>
      </c>
      <c r="P166" t="n">
        <v>0</v>
      </c>
      <c r="Q166" t="n">
        <v>0</v>
      </c>
      <c r="R166" s="2" t="inlineStr"/>
    </row>
    <row r="167" ht="15" customHeight="1">
      <c r="A167" t="inlineStr">
        <is>
          <t>A 40737-2020</t>
        </is>
      </c>
      <c r="B167" s="1" t="n">
        <v>44069</v>
      </c>
      <c r="C167" s="1" t="n">
        <v>45348</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42443-2020</t>
        </is>
      </c>
      <c r="B168" s="1" t="n">
        <v>44074</v>
      </c>
      <c r="C168" s="1" t="n">
        <v>45348</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44503-2020</t>
        </is>
      </c>
      <c r="B169" s="1" t="n">
        <v>44084</v>
      </c>
      <c r="C169" s="1" t="n">
        <v>45348</v>
      </c>
      <c r="D169" t="inlineStr">
        <is>
          <t>VÄSTERNORRLANDS LÄN</t>
        </is>
      </c>
      <c r="E169" t="inlineStr">
        <is>
          <t>TIMRÅ</t>
        </is>
      </c>
      <c r="F169" t="inlineStr">
        <is>
          <t>SCA</t>
        </is>
      </c>
      <c r="G169" t="n">
        <v>7.4</v>
      </c>
      <c r="H169" t="n">
        <v>0</v>
      </c>
      <c r="I169" t="n">
        <v>0</v>
      </c>
      <c r="J169" t="n">
        <v>0</v>
      </c>
      <c r="K169" t="n">
        <v>0</v>
      </c>
      <c r="L169" t="n">
        <v>0</v>
      </c>
      <c r="M169" t="n">
        <v>0</v>
      </c>
      <c r="N169" t="n">
        <v>0</v>
      </c>
      <c r="O169" t="n">
        <v>0</v>
      </c>
      <c r="P169" t="n">
        <v>0</v>
      </c>
      <c r="Q169" t="n">
        <v>0</v>
      </c>
      <c r="R169" s="2" t="inlineStr"/>
    </row>
    <row r="170" ht="15" customHeight="1">
      <c r="A170" t="inlineStr">
        <is>
          <t>A 48574-2020</t>
        </is>
      </c>
      <c r="B170" s="1" t="n">
        <v>44103</v>
      </c>
      <c r="C170" s="1" t="n">
        <v>45348</v>
      </c>
      <c r="D170" t="inlineStr">
        <is>
          <t>VÄSTERNORRLANDS LÄN</t>
        </is>
      </c>
      <c r="E170" t="inlineStr">
        <is>
          <t>TIMRÅ</t>
        </is>
      </c>
      <c r="G170" t="n">
        <v>1.1</v>
      </c>
      <c r="H170" t="n">
        <v>0</v>
      </c>
      <c r="I170" t="n">
        <v>0</v>
      </c>
      <c r="J170" t="n">
        <v>0</v>
      </c>
      <c r="K170" t="n">
        <v>0</v>
      </c>
      <c r="L170" t="n">
        <v>0</v>
      </c>
      <c r="M170" t="n">
        <v>0</v>
      </c>
      <c r="N170" t="n">
        <v>0</v>
      </c>
      <c r="O170" t="n">
        <v>0</v>
      </c>
      <c r="P170" t="n">
        <v>0</v>
      </c>
      <c r="Q170" t="n">
        <v>0</v>
      </c>
      <c r="R170" s="2" t="inlineStr"/>
    </row>
    <row r="171" ht="15" customHeight="1">
      <c r="A171" t="inlineStr">
        <is>
          <t>A 50162-2020</t>
        </is>
      </c>
      <c r="B171" s="1" t="n">
        <v>44104</v>
      </c>
      <c r="C171" s="1" t="n">
        <v>45348</v>
      </c>
      <c r="D171" t="inlineStr">
        <is>
          <t>VÄSTERNORRLANDS LÄN</t>
        </is>
      </c>
      <c r="E171" t="inlineStr">
        <is>
          <t>TIMRÅ</t>
        </is>
      </c>
      <c r="G171" t="n">
        <v>6</v>
      </c>
      <c r="H171" t="n">
        <v>0</v>
      </c>
      <c r="I171" t="n">
        <v>0</v>
      </c>
      <c r="J171" t="n">
        <v>0</v>
      </c>
      <c r="K171" t="n">
        <v>0</v>
      </c>
      <c r="L171" t="n">
        <v>0</v>
      </c>
      <c r="M171" t="n">
        <v>0</v>
      </c>
      <c r="N171" t="n">
        <v>0</v>
      </c>
      <c r="O171" t="n">
        <v>0</v>
      </c>
      <c r="P171" t="n">
        <v>0</v>
      </c>
      <c r="Q171" t="n">
        <v>0</v>
      </c>
      <c r="R171" s="2" t="inlineStr"/>
    </row>
    <row r="172" ht="15" customHeight="1">
      <c r="A172" t="inlineStr">
        <is>
          <t>A 51330-2020</t>
        </is>
      </c>
      <c r="B172" s="1" t="n">
        <v>44112</v>
      </c>
      <c r="C172" s="1" t="n">
        <v>45348</v>
      </c>
      <c r="D172" t="inlineStr">
        <is>
          <t>VÄSTERNORRLANDS LÄN</t>
        </is>
      </c>
      <c r="E172" t="inlineStr">
        <is>
          <t>TIMRÅ</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53254-2020</t>
        </is>
      </c>
      <c r="B173" s="1" t="n">
        <v>44123</v>
      </c>
      <c r="C173" s="1" t="n">
        <v>45348</v>
      </c>
      <c r="D173" t="inlineStr">
        <is>
          <t>VÄSTERNORRLANDS LÄN</t>
        </is>
      </c>
      <c r="E173" t="inlineStr">
        <is>
          <t>TIMRÅ</t>
        </is>
      </c>
      <c r="G173" t="n">
        <v>6.1</v>
      </c>
      <c r="H173" t="n">
        <v>0</v>
      </c>
      <c r="I173" t="n">
        <v>0</v>
      </c>
      <c r="J173" t="n">
        <v>0</v>
      </c>
      <c r="K173" t="n">
        <v>0</v>
      </c>
      <c r="L173" t="n">
        <v>0</v>
      </c>
      <c r="M173" t="n">
        <v>0</v>
      </c>
      <c r="N173" t="n">
        <v>0</v>
      </c>
      <c r="O173" t="n">
        <v>0</v>
      </c>
      <c r="P173" t="n">
        <v>0</v>
      </c>
      <c r="Q173" t="n">
        <v>0</v>
      </c>
      <c r="R173" s="2" t="inlineStr"/>
    </row>
    <row r="174" ht="15" customHeight="1">
      <c r="A174" t="inlineStr">
        <is>
          <t>A 54946-2020</t>
        </is>
      </c>
      <c r="B174" s="1" t="n">
        <v>44129</v>
      </c>
      <c r="C174" s="1" t="n">
        <v>45348</v>
      </c>
      <c r="D174" t="inlineStr">
        <is>
          <t>VÄSTERNORRLANDS LÄN</t>
        </is>
      </c>
      <c r="E174" t="inlineStr">
        <is>
          <t>TIMRÅ</t>
        </is>
      </c>
      <c r="G174" t="n">
        <v>0.5</v>
      </c>
      <c r="H174" t="n">
        <v>0</v>
      </c>
      <c r="I174" t="n">
        <v>0</v>
      </c>
      <c r="J174" t="n">
        <v>0</v>
      </c>
      <c r="K174" t="n">
        <v>0</v>
      </c>
      <c r="L174" t="n">
        <v>0</v>
      </c>
      <c r="M174" t="n">
        <v>0</v>
      </c>
      <c r="N174" t="n">
        <v>0</v>
      </c>
      <c r="O174" t="n">
        <v>0</v>
      </c>
      <c r="P174" t="n">
        <v>0</v>
      </c>
      <c r="Q174" t="n">
        <v>0</v>
      </c>
      <c r="R174" s="2" t="inlineStr"/>
    </row>
    <row r="175" ht="15" customHeight="1">
      <c r="A175" t="inlineStr">
        <is>
          <t>A 57007-2020</t>
        </is>
      </c>
      <c r="B175" s="1" t="n">
        <v>44137</v>
      </c>
      <c r="C175" s="1" t="n">
        <v>45348</v>
      </c>
      <c r="D175" t="inlineStr">
        <is>
          <t>VÄSTERNORRLANDS LÄN</t>
        </is>
      </c>
      <c r="E175" t="inlineStr">
        <is>
          <t>TIMRÅ</t>
        </is>
      </c>
      <c r="G175" t="n">
        <v>4.1</v>
      </c>
      <c r="H175" t="n">
        <v>0</v>
      </c>
      <c r="I175" t="n">
        <v>0</v>
      </c>
      <c r="J175" t="n">
        <v>0</v>
      </c>
      <c r="K175" t="n">
        <v>0</v>
      </c>
      <c r="L175" t="n">
        <v>0</v>
      </c>
      <c r="M175" t="n">
        <v>0</v>
      </c>
      <c r="N175" t="n">
        <v>0</v>
      </c>
      <c r="O175" t="n">
        <v>0</v>
      </c>
      <c r="P175" t="n">
        <v>0</v>
      </c>
      <c r="Q175" t="n">
        <v>0</v>
      </c>
      <c r="R175" s="2" t="inlineStr"/>
    </row>
    <row r="176" ht="15" customHeight="1">
      <c r="A176" t="inlineStr">
        <is>
          <t>A 61730-2020</t>
        </is>
      </c>
      <c r="B176" s="1" t="n">
        <v>44158</v>
      </c>
      <c r="C176" s="1" t="n">
        <v>45348</v>
      </c>
      <c r="D176" t="inlineStr">
        <is>
          <t>VÄSTERNORRLANDS LÄN</t>
        </is>
      </c>
      <c r="E176" t="inlineStr">
        <is>
          <t>TIMRÅ</t>
        </is>
      </c>
      <c r="G176" t="n">
        <v>2.8</v>
      </c>
      <c r="H176" t="n">
        <v>0</v>
      </c>
      <c r="I176" t="n">
        <v>0</v>
      </c>
      <c r="J176" t="n">
        <v>0</v>
      </c>
      <c r="K176" t="n">
        <v>0</v>
      </c>
      <c r="L176" t="n">
        <v>0</v>
      </c>
      <c r="M176" t="n">
        <v>0</v>
      </c>
      <c r="N176" t="n">
        <v>0</v>
      </c>
      <c r="O176" t="n">
        <v>0</v>
      </c>
      <c r="P176" t="n">
        <v>0</v>
      </c>
      <c r="Q176" t="n">
        <v>0</v>
      </c>
      <c r="R176" s="2" t="inlineStr"/>
    </row>
    <row r="177" ht="15" customHeight="1">
      <c r="A177" t="inlineStr">
        <is>
          <t>A 63960-2020</t>
        </is>
      </c>
      <c r="B177" s="1" t="n">
        <v>44165</v>
      </c>
      <c r="C177" s="1" t="n">
        <v>45348</v>
      </c>
      <c r="D177" t="inlineStr">
        <is>
          <t>VÄSTERNORRLANDS LÄN</t>
        </is>
      </c>
      <c r="E177" t="inlineStr">
        <is>
          <t>TIMRÅ</t>
        </is>
      </c>
      <c r="G177" t="n">
        <v>3.5</v>
      </c>
      <c r="H177" t="n">
        <v>0</v>
      </c>
      <c r="I177" t="n">
        <v>0</v>
      </c>
      <c r="J177" t="n">
        <v>0</v>
      </c>
      <c r="K177" t="n">
        <v>0</v>
      </c>
      <c r="L177" t="n">
        <v>0</v>
      </c>
      <c r="M177" t="n">
        <v>0</v>
      </c>
      <c r="N177" t="n">
        <v>0</v>
      </c>
      <c r="O177" t="n">
        <v>0</v>
      </c>
      <c r="P177" t="n">
        <v>0</v>
      </c>
      <c r="Q177" t="n">
        <v>0</v>
      </c>
      <c r="R177" s="2" t="inlineStr"/>
    </row>
    <row r="178" ht="15" customHeight="1">
      <c r="A178" t="inlineStr">
        <is>
          <t>A 63927-2020</t>
        </is>
      </c>
      <c r="B178" s="1" t="n">
        <v>44166</v>
      </c>
      <c r="C178" s="1" t="n">
        <v>45348</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64571-2020</t>
        </is>
      </c>
      <c r="B179" s="1" t="n">
        <v>44166</v>
      </c>
      <c r="C179" s="1" t="n">
        <v>45348</v>
      </c>
      <c r="D179" t="inlineStr">
        <is>
          <t>VÄSTERNORRLANDS LÄN</t>
        </is>
      </c>
      <c r="E179" t="inlineStr">
        <is>
          <t>TIMRÅ</t>
        </is>
      </c>
      <c r="G179" t="n">
        <v>0.8</v>
      </c>
      <c r="H179" t="n">
        <v>0</v>
      </c>
      <c r="I179" t="n">
        <v>0</v>
      </c>
      <c r="J179" t="n">
        <v>0</v>
      </c>
      <c r="K179" t="n">
        <v>0</v>
      </c>
      <c r="L179" t="n">
        <v>0</v>
      </c>
      <c r="M179" t="n">
        <v>0</v>
      </c>
      <c r="N179" t="n">
        <v>0</v>
      </c>
      <c r="O179" t="n">
        <v>0</v>
      </c>
      <c r="P179" t="n">
        <v>0</v>
      </c>
      <c r="Q179" t="n">
        <v>0</v>
      </c>
      <c r="R179" s="2" t="inlineStr"/>
    </row>
    <row r="180" ht="15" customHeight="1">
      <c r="A180" t="inlineStr">
        <is>
          <t>A 65001-2020</t>
        </is>
      </c>
      <c r="B180" s="1" t="n">
        <v>44167</v>
      </c>
      <c r="C180" s="1" t="n">
        <v>45348</v>
      </c>
      <c r="D180" t="inlineStr">
        <is>
          <t>VÄSTERNORRLANDS LÄN</t>
        </is>
      </c>
      <c r="E180" t="inlineStr">
        <is>
          <t>TIMRÅ</t>
        </is>
      </c>
      <c r="G180" t="n">
        <v>3.3</v>
      </c>
      <c r="H180" t="n">
        <v>0</v>
      </c>
      <c r="I180" t="n">
        <v>0</v>
      </c>
      <c r="J180" t="n">
        <v>0</v>
      </c>
      <c r="K180" t="n">
        <v>0</v>
      </c>
      <c r="L180" t="n">
        <v>0</v>
      </c>
      <c r="M180" t="n">
        <v>0</v>
      </c>
      <c r="N180" t="n">
        <v>0</v>
      </c>
      <c r="O180" t="n">
        <v>0</v>
      </c>
      <c r="P180" t="n">
        <v>0</v>
      </c>
      <c r="Q180" t="n">
        <v>0</v>
      </c>
      <c r="R180" s="2" t="inlineStr"/>
    </row>
    <row r="181" ht="15" customHeight="1">
      <c r="A181" t="inlineStr">
        <is>
          <t>A 66837-2020</t>
        </is>
      </c>
      <c r="B181" s="1" t="n">
        <v>44179</v>
      </c>
      <c r="C181" s="1" t="n">
        <v>45348</v>
      </c>
      <c r="D181" t="inlineStr">
        <is>
          <t>VÄSTERNORRLANDS LÄN</t>
        </is>
      </c>
      <c r="E181" t="inlineStr">
        <is>
          <t>TIMRÅ</t>
        </is>
      </c>
      <c r="F181" t="inlineStr">
        <is>
          <t>Kommuner</t>
        </is>
      </c>
      <c r="G181" t="n">
        <v>1.9</v>
      </c>
      <c r="H181" t="n">
        <v>0</v>
      </c>
      <c r="I181" t="n">
        <v>0</v>
      </c>
      <c r="J181" t="n">
        <v>0</v>
      </c>
      <c r="K181" t="n">
        <v>0</v>
      </c>
      <c r="L181" t="n">
        <v>0</v>
      </c>
      <c r="M181" t="n">
        <v>0</v>
      </c>
      <c r="N181" t="n">
        <v>0</v>
      </c>
      <c r="O181" t="n">
        <v>0</v>
      </c>
      <c r="P181" t="n">
        <v>0</v>
      </c>
      <c r="Q181" t="n">
        <v>0</v>
      </c>
      <c r="R181" s="2" t="inlineStr"/>
    </row>
    <row r="182" ht="15" customHeight="1">
      <c r="A182" t="inlineStr">
        <is>
          <t>A 67610-2020</t>
        </is>
      </c>
      <c r="B182" s="1" t="n">
        <v>44181</v>
      </c>
      <c r="C182" s="1" t="n">
        <v>45348</v>
      </c>
      <c r="D182" t="inlineStr">
        <is>
          <t>VÄSTERNORRLANDS LÄN</t>
        </is>
      </c>
      <c r="E182" t="inlineStr">
        <is>
          <t>TIMRÅ</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69203-2020</t>
        </is>
      </c>
      <c r="B183" s="1" t="n">
        <v>44191</v>
      </c>
      <c r="C183" s="1" t="n">
        <v>45348</v>
      </c>
      <c r="D183" t="inlineStr">
        <is>
          <t>VÄSTERNORRLANDS LÄN</t>
        </is>
      </c>
      <c r="E183" t="inlineStr">
        <is>
          <t>TIMRÅ</t>
        </is>
      </c>
      <c r="F183" t="inlineStr">
        <is>
          <t>SCA</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731-2021</t>
        </is>
      </c>
      <c r="B184" s="1" t="n">
        <v>44203</v>
      </c>
      <c r="C184" s="1" t="n">
        <v>45348</v>
      </c>
      <c r="D184" t="inlineStr">
        <is>
          <t>VÄSTERNORRLANDS LÄN</t>
        </is>
      </c>
      <c r="E184" t="inlineStr">
        <is>
          <t>TIMRÅ</t>
        </is>
      </c>
      <c r="G184" t="n">
        <v>3.5</v>
      </c>
      <c r="H184" t="n">
        <v>0</v>
      </c>
      <c r="I184" t="n">
        <v>0</v>
      </c>
      <c r="J184" t="n">
        <v>0</v>
      </c>
      <c r="K184" t="n">
        <v>0</v>
      </c>
      <c r="L184" t="n">
        <v>0</v>
      </c>
      <c r="M184" t="n">
        <v>0</v>
      </c>
      <c r="N184" t="n">
        <v>0</v>
      </c>
      <c r="O184" t="n">
        <v>0</v>
      </c>
      <c r="P184" t="n">
        <v>0</v>
      </c>
      <c r="Q184" t="n">
        <v>0</v>
      </c>
      <c r="R184" s="2" t="inlineStr"/>
    </row>
    <row r="185" ht="15" customHeight="1">
      <c r="A185" t="inlineStr">
        <is>
          <t>A 1555-2021</t>
        </is>
      </c>
      <c r="B185" s="1" t="n">
        <v>44209</v>
      </c>
      <c r="C185" s="1" t="n">
        <v>45348</v>
      </c>
      <c r="D185" t="inlineStr">
        <is>
          <t>VÄSTERNORRLANDS LÄN</t>
        </is>
      </c>
      <c r="E185" t="inlineStr">
        <is>
          <t>TIMRÅ</t>
        </is>
      </c>
      <c r="G185" t="n">
        <v>2.9</v>
      </c>
      <c r="H185" t="n">
        <v>0</v>
      </c>
      <c r="I185" t="n">
        <v>0</v>
      </c>
      <c r="J185" t="n">
        <v>0</v>
      </c>
      <c r="K185" t="n">
        <v>0</v>
      </c>
      <c r="L185" t="n">
        <v>0</v>
      </c>
      <c r="M185" t="n">
        <v>0</v>
      </c>
      <c r="N185" t="n">
        <v>0</v>
      </c>
      <c r="O185" t="n">
        <v>0</v>
      </c>
      <c r="P185" t="n">
        <v>0</v>
      </c>
      <c r="Q185" t="n">
        <v>0</v>
      </c>
      <c r="R185" s="2" t="inlineStr"/>
    </row>
    <row r="186" ht="15" customHeight="1">
      <c r="A186" t="inlineStr">
        <is>
          <t>A 1559-2021</t>
        </is>
      </c>
      <c r="B186" s="1" t="n">
        <v>44209</v>
      </c>
      <c r="C186" s="1" t="n">
        <v>45348</v>
      </c>
      <c r="D186" t="inlineStr">
        <is>
          <t>VÄSTERNORRLANDS LÄN</t>
        </is>
      </c>
      <c r="E186" t="inlineStr">
        <is>
          <t>TIMRÅ</t>
        </is>
      </c>
      <c r="G186" t="n">
        <v>6.7</v>
      </c>
      <c r="H186" t="n">
        <v>0</v>
      </c>
      <c r="I186" t="n">
        <v>0</v>
      </c>
      <c r="J186" t="n">
        <v>0</v>
      </c>
      <c r="K186" t="n">
        <v>0</v>
      </c>
      <c r="L186" t="n">
        <v>0</v>
      </c>
      <c r="M186" t="n">
        <v>0</v>
      </c>
      <c r="N186" t="n">
        <v>0</v>
      </c>
      <c r="O186" t="n">
        <v>0</v>
      </c>
      <c r="P186" t="n">
        <v>0</v>
      </c>
      <c r="Q186" t="n">
        <v>0</v>
      </c>
      <c r="R186" s="2" t="inlineStr"/>
    </row>
    <row r="187" ht="15" customHeight="1">
      <c r="A187" t="inlineStr">
        <is>
          <t>A 2284-2021</t>
        </is>
      </c>
      <c r="B187" s="1" t="n">
        <v>44211</v>
      </c>
      <c r="C187" s="1" t="n">
        <v>45348</v>
      </c>
      <c r="D187" t="inlineStr">
        <is>
          <t>VÄSTERNORRLANDS LÄN</t>
        </is>
      </c>
      <c r="E187" t="inlineStr">
        <is>
          <t>TIMRÅ</t>
        </is>
      </c>
      <c r="G187" t="n">
        <v>2.2</v>
      </c>
      <c r="H187" t="n">
        <v>0</v>
      </c>
      <c r="I187" t="n">
        <v>0</v>
      </c>
      <c r="J187" t="n">
        <v>0</v>
      </c>
      <c r="K187" t="n">
        <v>0</v>
      </c>
      <c r="L187" t="n">
        <v>0</v>
      </c>
      <c r="M187" t="n">
        <v>0</v>
      </c>
      <c r="N187" t="n">
        <v>0</v>
      </c>
      <c r="O187" t="n">
        <v>0</v>
      </c>
      <c r="P187" t="n">
        <v>0</v>
      </c>
      <c r="Q187" t="n">
        <v>0</v>
      </c>
      <c r="R187" s="2" t="inlineStr"/>
    </row>
    <row r="188" ht="15" customHeight="1">
      <c r="A188" t="inlineStr">
        <is>
          <t>A 7367-2021</t>
        </is>
      </c>
      <c r="B188" s="1" t="n">
        <v>44237</v>
      </c>
      <c r="C188" s="1" t="n">
        <v>45348</v>
      </c>
      <c r="D188" t="inlineStr">
        <is>
          <t>VÄSTERNORRLANDS LÄN</t>
        </is>
      </c>
      <c r="E188" t="inlineStr">
        <is>
          <t>TIMRÅ</t>
        </is>
      </c>
      <c r="G188" t="n">
        <v>1.6</v>
      </c>
      <c r="H188" t="n">
        <v>0</v>
      </c>
      <c r="I188" t="n">
        <v>0</v>
      </c>
      <c r="J188" t="n">
        <v>0</v>
      </c>
      <c r="K188" t="n">
        <v>0</v>
      </c>
      <c r="L188" t="n">
        <v>0</v>
      </c>
      <c r="M188" t="n">
        <v>0</v>
      </c>
      <c r="N188" t="n">
        <v>0</v>
      </c>
      <c r="O188" t="n">
        <v>0</v>
      </c>
      <c r="P188" t="n">
        <v>0</v>
      </c>
      <c r="Q188" t="n">
        <v>0</v>
      </c>
      <c r="R188" s="2" t="inlineStr"/>
    </row>
    <row r="189" ht="15" customHeight="1">
      <c r="A189" t="inlineStr">
        <is>
          <t>A 9472-2021</t>
        </is>
      </c>
      <c r="B189" s="1" t="n">
        <v>44250</v>
      </c>
      <c r="C189" s="1" t="n">
        <v>45348</v>
      </c>
      <c r="D189" t="inlineStr">
        <is>
          <t>VÄSTERNORRLANDS LÄN</t>
        </is>
      </c>
      <c r="E189" t="inlineStr">
        <is>
          <t>TIMRÅ</t>
        </is>
      </c>
      <c r="G189" t="n">
        <v>4</v>
      </c>
      <c r="H189" t="n">
        <v>0</v>
      </c>
      <c r="I189" t="n">
        <v>0</v>
      </c>
      <c r="J189" t="n">
        <v>0</v>
      </c>
      <c r="K189" t="n">
        <v>0</v>
      </c>
      <c r="L189" t="n">
        <v>0</v>
      </c>
      <c r="M189" t="n">
        <v>0</v>
      </c>
      <c r="N189" t="n">
        <v>0</v>
      </c>
      <c r="O189" t="n">
        <v>0</v>
      </c>
      <c r="P189" t="n">
        <v>0</v>
      </c>
      <c r="Q189" t="n">
        <v>0</v>
      </c>
      <c r="R189" s="2" t="inlineStr"/>
    </row>
    <row r="190" ht="15" customHeight="1">
      <c r="A190" t="inlineStr">
        <is>
          <t>A 9503-2021</t>
        </is>
      </c>
      <c r="B190" s="1" t="n">
        <v>44250</v>
      </c>
      <c r="C190" s="1" t="n">
        <v>45348</v>
      </c>
      <c r="D190" t="inlineStr">
        <is>
          <t>VÄSTERNORRLANDS LÄN</t>
        </is>
      </c>
      <c r="E190" t="inlineStr">
        <is>
          <t>TIMRÅ</t>
        </is>
      </c>
      <c r="G190" t="n">
        <v>1.2</v>
      </c>
      <c r="H190" t="n">
        <v>0</v>
      </c>
      <c r="I190" t="n">
        <v>0</v>
      </c>
      <c r="J190" t="n">
        <v>0</v>
      </c>
      <c r="K190" t="n">
        <v>0</v>
      </c>
      <c r="L190" t="n">
        <v>0</v>
      </c>
      <c r="M190" t="n">
        <v>0</v>
      </c>
      <c r="N190" t="n">
        <v>0</v>
      </c>
      <c r="O190" t="n">
        <v>0</v>
      </c>
      <c r="P190" t="n">
        <v>0</v>
      </c>
      <c r="Q190" t="n">
        <v>0</v>
      </c>
      <c r="R190" s="2" t="inlineStr"/>
    </row>
    <row r="191" ht="15" customHeight="1">
      <c r="A191" t="inlineStr">
        <is>
          <t>A 9480-2021</t>
        </is>
      </c>
      <c r="B191" s="1" t="n">
        <v>44250</v>
      </c>
      <c r="C191" s="1" t="n">
        <v>45348</v>
      </c>
      <c r="D191" t="inlineStr">
        <is>
          <t>VÄSTERNORRLANDS LÄN</t>
        </is>
      </c>
      <c r="E191" t="inlineStr">
        <is>
          <t>TIMRÅ</t>
        </is>
      </c>
      <c r="G191" t="n">
        <v>2.7</v>
      </c>
      <c r="H191" t="n">
        <v>0</v>
      </c>
      <c r="I191" t="n">
        <v>0</v>
      </c>
      <c r="J191" t="n">
        <v>0</v>
      </c>
      <c r="K191" t="n">
        <v>0</v>
      </c>
      <c r="L191" t="n">
        <v>0</v>
      </c>
      <c r="M191" t="n">
        <v>0</v>
      </c>
      <c r="N191" t="n">
        <v>0</v>
      </c>
      <c r="O191" t="n">
        <v>0</v>
      </c>
      <c r="P191" t="n">
        <v>0</v>
      </c>
      <c r="Q191" t="n">
        <v>0</v>
      </c>
      <c r="R191" s="2" t="inlineStr"/>
    </row>
    <row r="192" ht="15" customHeight="1">
      <c r="A192" t="inlineStr">
        <is>
          <t>A 20487-2021</t>
        </is>
      </c>
      <c r="B192" s="1" t="n">
        <v>44315</v>
      </c>
      <c r="C192" s="1" t="n">
        <v>45348</v>
      </c>
      <c r="D192" t="inlineStr">
        <is>
          <t>VÄSTERNORRLANDS LÄN</t>
        </is>
      </c>
      <c r="E192" t="inlineStr">
        <is>
          <t>TIMRÅ</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20679-2021</t>
        </is>
      </c>
      <c r="B193" s="1" t="n">
        <v>44316</v>
      </c>
      <c r="C193" s="1" t="n">
        <v>45348</v>
      </c>
      <c r="D193" t="inlineStr">
        <is>
          <t>VÄSTERNORRLANDS LÄN</t>
        </is>
      </c>
      <c r="E193" t="inlineStr">
        <is>
          <t>TIMRÅ</t>
        </is>
      </c>
      <c r="G193" t="n">
        <v>12.6</v>
      </c>
      <c r="H193" t="n">
        <v>0</v>
      </c>
      <c r="I193" t="n">
        <v>0</v>
      </c>
      <c r="J193" t="n">
        <v>0</v>
      </c>
      <c r="K193" t="n">
        <v>0</v>
      </c>
      <c r="L193" t="n">
        <v>0</v>
      </c>
      <c r="M193" t="n">
        <v>0</v>
      </c>
      <c r="N193" t="n">
        <v>0</v>
      </c>
      <c r="O193" t="n">
        <v>0</v>
      </c>
      <c r="P193" t="n">
        <v>0</v>
      </c>
      <c r="Q193" t="n">
        <v>0</v>
      </c>
      <c r="R193" s="2" t="inlineStr"/>
    </row>
    <row r="194" ht="15" customHeight="1">
      <c r="A194" t="inlineStr">
        <is>
          <t>A 20732-2021</t>
        </is>
      </c>
      <c r="B194" s="1" t="n">
        <v>44316</v>
      </c>
      <c r="C194" s="1" t="n">
        <v>45348</v>
      </c>
      <c r="D194" t="inlineStr">
        <is>
          <t>VÄSTERNORRLANDS LÄN</t>
        </is>
      </c>
      <c r="E194" t="inlineStr">
        <is>
          <t>TIMRÅ</t>
        </is>
      </c>
      <c r="G194" t="n">
        <v>3.8</v>
      </c>
      <c r="H194" t="n">
        <v>0</v>
      </c>
      <c r="I194" t="n">
        <v>0</v>
      </c>
      <c r="J194" t="n">
        <v>0</v>
      </c>
      <c r="K194" t="n">
        <v>0</v>
      </c>
      <c r="L194" t="n">
        <v>0</v>
      </c>
      <c r="M194" t="n">
        <v>0</v>
      </c>
      <c r="N194" t="n">
        <v>0</v>
      </c>
      <c r="O194" t="n">
        <v>0</v>
      </c>
      <c r="P194" t="n">
        <v>0</v>
      </c>
      <c r="Q194" t="n">
        <v>0</v>
      </c>
      <c r="R194" s="2" t="inlineStr"/>
    </row>
    <row r="195" ht="15" customHeight="1">
      <c r="A195" t="inlineStr">
        <is>
          <t>A 23611-2021</t>
        </is>
      </c>
      <c r="B195" s="1" t="n">
        <v>44334</v>
      </c>
      <c r="C195" s="1" t="n">
        <v>45348</v>
      </c>
      <c r="D195" t="inlineStr">
        <is>
          <t>VÄSTERNORRLANDS LÄN</t>
        </is>
      </c>
      <c r="E195" t="inlineStr">
        <is>
          <t>TIMRÅ</t>
        </is>
      </c>
      <c r="G195" t="n">
        <v>13.7</v>
      </c>
      <c r="H195" t="n">
        <v>0</v>
      </c>
      <c r="I195" t="n">
        <v>0</v>
      </c>
      <c r="J195" t="n">
        <v>0</v>
      </c>
      <c r="K195" t="n">
        <v>0</v>
      </c>
      <c r="L195" t="n">
        <v>0</v>
      </c>
      <c r="M195" t="n">
        <v>0</v>
      </c>
      <c r="N195" t="n">
        <v>0</v>
      </c>
      <c r="O195" t="n">
        <v>0</v>
      </c>
      <c r="P195" t="n">
        <v>0</v>
      </c>
      <c r="Q195" t="n">
        <v>0</v>
      </c>
      <c r="R195" s="2" t="inlineStr"/>
    </row>
    <row r="196" ht="15" customHeight="1">
      <c r="A196" t="inlineStr">
        <is>
          <t>A 24513-2021</t>
        </is>
      </c>
      <c r="B196" s="1" t="n">
        <v>44338</v>
      </c>
      <c r="C196" s="1" t="n">
        <v>45348</v>
      </c>
      <c r="D196" t="inlineStr">
        <is>
          <t>VÄSTERNORRLANDS LÄN</t>
        </is>
      </c>
      <c r="E196" t="inlineStr">
        <is>
          <t>TIMRÅ</t>
        </is>
      </c>
      <c r="G196" t="n">
        <v>2.6</v>
      </c>
      <c r="H196" t="n">
        <v>0</v>
      </c>
      <c r="I196" t="n">
        <v>0</v>
      </c>
      <c r="J196" t="n">
        <v>0</v>
      </c>
      <c r="K196" t="n">
        <v>0</v>
      </c>
      <c r="L196" t="n">
        <v>0</v>
      </c>
      <c r="M196" t="n">
        <v>0</v>
      </c>
      <c r="N196" t="n">
        <v>0</v>
      </c>
      <c r="O196" t="n">
        <v>0</v>
      </c>
      <c r="P196" t="n">
        <v>0</v>
      </c>
      <c r="Q196" t="n">
        <v>0</v>
      </c>
      <c r="R196" s="2" t="inlineStr"/>
    </row>
    <row r="197" ht="15" customHeight="1">
      <c r="A197" t="inlineStr">
        <is>
          <t>A 26588-2021</t>
        </is>
      </c>
      <c r="B197" s="1" t="n">
        <v>44348</v>
      </c>
      <c r="C197" s="1" t="n">
        <v>45348</v>
      </c>
      <c r="D197" t="inlineStr">
        <is>
          <t>VÄSTERNORRLANDS LÄN</t>
        </is>
      </c>
      <c r="E197" t="inlineStr">
        <is>
          <t>TIMRÅ</t>
        </is>
      </c>
      <c r="F197" t="inlineStr">
        <is>
          <t>Kyrkan</t>
        </is>
      </c>
      <c r="G197" t="n">
        <v>1.1</v>
      </c>
      <c r="H197" t="n">
        <v>0</v>
      </c>
      <c r="I197" t="n">
        <v>0</v>
      </c>
      <c r="J197" t="n">
        <v>0</v>
      </c>
      <c r="K197" t="n">
        <v>0</v>
      </c>
      <c r="L197" t="n">
        <v>0</v>
      </c>
      <c r="M197" t="n">
        <v>0</v>
      </c>
      <c r="N197" t="n">
        <v>0</v>
      </c>
      <c r="O197" t="n">
        <v>0</v>
      </c>
      <c r="P197" t="n">
        <v>0</v>
      </c>
      <c r="Q197" t="n">
        <v>0</v>
      </c>
      <c r="R197" s="2" t="inlineStr"/>
    </row>
    <row r="198" ht="15" customHeight="1">
      <c r="A198" t="inlineStr">
        <is>
          <t>A 26921-2021</t>
        </is>
      </c>
      <c r="B198" s="1" t="n">
        <v>44349</v>
      </c>
      <c r="C198" s="1" t="n">
        <v>45348</v>
      </c>
      <c r="D198" t="inlineStr">
        <is>
          <t>VÄSTERNORRLANDS LÄN</t>
        </is>
      </c>
      <c r="E198" t="inlineStr">
        <is>
          <t>TIMRÅ</t>
        </is>
      </c>
      <c r="G198" t="n">
        <v>6.6</v>
      </c>
      <c r="H198" t="n">
        <v>0</v>
      </c>
      <c r="I198" t="n">
        <v>0</v>
      </c>
      <c r="J198" t="n">
        <v>0</v>
      </c>
      <c r="K198" t="n">
        <v>0</v>
      </c>
      <c r="L198" t="n">
        <v>0</v>
      </c>
      <c r="M198" t="n">
        <v>0</v>
      </c>
      <c r="N198" t="n">
        <v>0</v>
      </c>
      <c r="O198" t="n">
        <v>0</v>
      </c>
      <c r="P198" t="n">
        <v>0</v>
      </c>
      <c r="Q198" t="n">
        <v>0</v>
      </c>
      <c r="R198" s="2" t="inlineStr"/>
    </row>
    <row r="199" ht="15" customHeight="1">
      <c r="A199" t="inlineStr">
        <is>
          <t>A 26936-2021</t>
        </is>
      </c>
      <c r="B199" s="1" t="n">
        <v>44349</v>
      </c>
      <c r="C199" s="1" t="n">
        <v>45348</v>
      </c>
      <c r="D199" t="inlineStr">
        <is>
          <t>VÄSTERNORRLANDS LÄN</t>
        </is>
      </c>
      <c r="E199" t="inlineStr">
        <is>
          <t>TIMRÅ</t>
        </is>
      </c>
      <c r="G199" t="n">
        <v>4.1</v>
      </c>
      <c r="H199" t="n">
        <v>0</v>
      </c>
      <c r="I199" t="n">
        <v>0</v>
      </c>
      <c r="J199" t="n">
        <v>0</v>
      </c>
      <c r="K199" t="n">
        <v>0</v>
      </c>
      <c r="L199" t="n">
        <v>0</v>
      </c>
      <c r="M199" t="n">
        <v>0</v>
      </c>
      <c r="N199" t="n">
        <v>0</v>
      </c>
      <c r="O199" t="n">
        <v>0</v>
      </c>
      <c r="P199" t="n">
        <v>0</v>
      </c>
      <c r="Q199" t="n">
        <v>0</v>
      </c>
      <c r="R199" s="2" t="inlineStr"/>
    </row>
    <row r="200" ht="15" customHeight="1">
      <c r="A200" t="inlineStr">
        <is>
          <t>A 27243-2021</t>
        </is>
      </c>
      <c r="B200" s="1" t="n">
        <v>44350</v>
      </c>
      <c r="C200" s="1" t="n">
        <v>45348</v>
      </c>
      <c r="D200" t="inlineStr">
        <is>
          <t>VÄSTERNORRLANDS LÄN</t>
        </is>
      </c>
      <c r="E200" t="inlineStr">
        <is>
          <t>TIMRÅ</t>
        </is>
      </c>
      <c r="G200" t="n">
        <v>1.4</v>
      </c>
      <c r="H200" t="n">
        <v>0</v>
      </c>
      <c r="I200" t="n">
        <v>0</v>
      </c>
      <c r="J200" t="n">
        <v>0</v>
      </c>
      <c r="K200" t="n">
        <v>0</v>
      </c>
      <c r="L200" t="n">
        <v>0</v>
      </c>
      <c r="M200" t="n">
        <v>0</v>
      </c>
      <c r="N200" t="n">
        <v>0</v>
      </c>
      <c r="O200" t="n">
        <v>0</v>
      </c>
      <c r="P200" t="n">
        <v>0</v>
      </c>
      <c r="Q200" t="n">
        <v>0</v>
      </c>
      <c r="R200" s="2" t="inlineStr"/>
    </row>
    <row r="201" ht="15" customHeight="1">
      <c r="A201" t="inlineStr">
        <is>
          <t>A 28695-2021</t>
        </is>
      </c>
      <c r="B201" s="1" t="n">
        <v>44357</v>
      </c>
      <c r="C201" s="1" t="n">
        <v>45348</v>
      </c>
      <c r="D201" t="inlineStr">
        <is>
          <t>VÄSTERNORRLANDS LÄN</t>
        </is>
      </c>
      <c r="E201" t="inlineStr">
        <is>
          <t>TIMRÅ</t>
        </is>
      </c>
      <c r="G201" t="n">
        <v>3.6</v>
      </c>
      <c r="H201" t="n">
        <v>0</v>
      </c>
      <c r="I201" t="n">
        <v>0</v>
      </c>
      <c r="J201" t="n">
        <v>0</v>
      </c>
      <c r="K201" t="n">
        <v>0</v>
      </c>
      <c r="L201" t="n">
        <v>0</v>
      </c>
      <c r="M201" t="n">
        <v>0</v>
      </c>
      <c r="N201" t="n">
        <v>0</v>
      </c>
      <c r="O201" t="n">
        <v>0</v>
      </c>
      <c r="P201" t="n">
        <v>0</v>
      </c>
      <c r="Q201" t="n">
        <v>0</v>
      </c>
      <c r="R201" s="2" t="inlineStr"/>
    </row>
    <row r="202" ht="15" customHeight="1">
      <c r="A202" t="inlineStr">
        <is>
          <t>A 28706-2021</t>
        </is>
      </c>
      <c r="B202" s="1" t="n">
        <v>44357</v>
      </c>
      <c r="C202" s="1" t="n">
        <v>45348</v>
      </c>
      <c r="D202" t="inlineStr">
        <is>
          <t>VÄSTERNORRLANDS LÄN</t>
        </is>
      </c>
      <c r="E202" t="inlineStr">
        <is>
          <t>TIMRÅ</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28650-2021</t>
        </is>
      </c>
      <c r="B203" s="1" t="n">
        <v>44357</v>
      </c>
      <c r="C203" s="1" t="n">
        <v>45348</v>
      </c>
      <c r="D203" t="inlineStr">
        <is>
          <t>VÄSTERNORRLANDS LÄN</t>
        </is>
      </c>
      <c r="E203" t="inlineStr">
        <is>
          <t>TIMRÅ</t>
        </is>
      </c>
      <c r="G203" t="n">
        <v>1.7</v>
      </c>
      <c r="H203" t="n">
        <v>0</v>
      </c>
      <c r="I203" t="n">
        <v>0</v>
      </c>
      <c r="J203" t="n">
        <v>0</v>
      </c>
      <c r="K203" t="n">
        <v>0</v>
      </c>
      <c r="L203" t="n">
        <v>0</v>
      </c>
      <c r="M203" t="n">
        <v>0</v>
      </c>
      <c r="N203" t="n">
        <v>0</v>
      </c>
      <c r="O203" t="n">
        <v>0</v>
      </c>
      <c r="P203" t="n">
        <v>0</v>
      </c>
      <c r="Q203" t="n">
        <v>0</v>
      </c>
      <c r="R203" s="2" t="inlineStr"/>
    </row>
    <row r="204" ht="15" customHeight="1">
      <c r="A204" t="inlineStr">
        <is>
          <t>A 28702-2021</t>
        </is>
      </c>
      <c r="B204" s="1" t="n">
        <v>44357</v>
      </c>
      <c r="C204" s="1" t="n">
        <v>45348</v>
      </c>
      <c r="D204" t="inlineStr">
        <is>
          <t>VÄSTERNORRLANDS LÄN</t>
        </is>
      </c>
      <c r="E204" t="inlineStr">
        <is>
          <t>TIMRÅ</t>
        </is>
      </c>
      <c r="G204" t="n">
        <v>3.6</v>
      </c>
      <c r="H204" t="n">
        <v>0</v>
      </c>
      <c r="I204" t="n">
        <v>0</v>
      </c>
      <c r="J204" t="n">
        <v>0</v>
      </c>
      <c r="K204" t="n">
        <v>0</v>
      </c>
      <c r="L204" t="n">
        <v>0</v>
      </c>
      <c r="M204" t="n">
        <v>0</v>
      </c>
      <c r="N204" t="n">
        <v>0</v>
      </c>
      <c r="O204" t="n">
        <v>0</v>
      </c>
      <c r="P204" t="n">
        <v>0</v>
      </c>
      <c r="Q204" t="n">
        <v>0</v>
      </c>
      <c r="R204" s="2" t="inlineStr"/>
    </row>
    <row r="205" ht="15" customHeight="1">
      <c r="A205" t="inlineStr">
        <is>
          <t>A 30098-2021</t>
        </is>
      </c>
      <c r="B205" s="1" t="n">
        <v>44363</v>
      </c>
      <c r="C205" s="1" t="n">
        <v>45348</v>
      </c>
      <c r="D205" t="inlineStr">
        <is>
          <t>VÄSTERNORRLANDS LÄN</t>
        </is>
      </c>
      <c r="E205" t="inlineStr">
        <is>
          <t>TIMRÅ</t>
        </is>
      </c>
      <c r="G205" t="n">
        <v>6.1</v>
      </c>
      <c r="H205" t="n">
        <v>0</v>
      </c>
      <c r="I205" t="n">
        <v>0</v>
      </c>
      <c r="J205" t="n">
        <v>0</v>
      </c>
      <c r="K205" t="n">
        <v>0</v>
      </c>
      <c r="L205" t="n">
        <v>0</v>
      </c>
      <c r="M205" t="n">
        <v>0</v>
      </c>
      <c r="N205" t="n">
        <v>0</v>
      </c>
      <c r="O205" t="n">
        <v>0</v>
      </c>
      <c r="P205" t="n">
        <v>0</v>
      </c>
      <c r="Q205" t="n">
        <v>0</v>
      </c>
      <c r="R205" s="2" t="inlineStr"/>
    </row>
    <row r="206" ht="15" customHeight="1">
      <c r="A206" t="inlineStr">
        <is>
          <t>A 30091-2021</t>
        </is>
      </c>
      <c r="B206" s="1" t="n">
        <v>44363</v>
      </c>
      <c r="C206" s="1" t="n">
        <v>45348</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30591-2021</t>
        </is>
      </c>
      <c r="B207" s="1" t="n">
        <v>44364</v>
      </c>
      <c r="C207" s="1" t="n">
        <v>45348</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32287-2021</t>
        </is>
      </c>
      <c r="B208" s="1" t="n">
        <v>44371</v>
      </c>
      <c r="C208" s="1" t="n">
        <v>45348</v>
      </c>
      <c r="D208" t="inlineStr">
        <is>
          <t>VÄSTERNORRLANDS LÄN</t>
        </is>
      </c>
      <c r="E208" t="inlineStr">
        <is>
          <t>TIMRÅ</t>
        </is>
      </c>
      <c r="F208" t="inlineStr">
        <is>
          <t>Kyrkan</t>
        </is>
      </c>
      <c r="G208" t="n">
        <v>5</v>
      </c>
      <c r="H208" t="n">
        <v>0</v>
      </c>
      <c r="I208" t="n">
        <v>0</v>
      </c>
      <c r="J208" t="n">
        <v>0</v>
      </c>
      <c r="K208" t="n">
        <v>0</v>
      </c>
      <c r="L208" t="n">
        <v>0</v>
      </c>
      <c r="M208" t="n">
        <v>0</v>
      </c>
      <c r="N208" t="n">
        <v>0</v>
      </c>
      <c r="O208" t="n">
        <v>0</v>
      </c>
      <c r="P208" t="n">
        <v>0</v>
      </c>
      <c r="Q208" t="n">
        <v>0</v>
      </c>
      <c r="R208" s="2" t="inlineStr"/>
    </row>
    <row r="209" ht="15" customHeight="1">
      <c r="A209" t="inlineStr">
        <is>
          <t>A 32210-2021</t>
        </is>
      </c>
      <c r="B209" s="1" t="n">
        <v>44371</v>
      </c>
      <c r="C209" s="1" t="n">
        <v>45348</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32484-2021</t>
        </is>
      </c>
      <c r="B210" s="1" t="n">
        <v>44371</v>
      </c>
      <c r="C210" s="1" t="n">
        <v>45348</v>
      </c>
      <c r="D210" t="inlineStr">
        <is>
          <t>VÄSTERNORRLANDS LÄN</t>
        </is>
      </c>
      <c r="E210" t="inlineStr">
        <is>
          <t>TIMRÅ</t>
        </is>
      </c>
      <c r="F210" t="inlineStr">
        <is>
          <t>SCA</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32487-2021</t>
        </is>
      </c>
      <c r="B211" s="1" t="n">
        <v>44371</v>
      </c>
      <c r="C211" s="1" t="n">
        <v>45348</v>
      </c>
      <c r="D211" t="inlineStr">
        <is>
          <t>VÄSTERNORRLANDS LÄN</t>
        </is>
      </c>
      <c r="E211" t="inlineStr">
        <is>
          <t>TIMRÅ</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32483-2021</t>
        </is>
      </c>
      <c r="B212" s="1" t="n">
        <v>44371</v>
      </c>
      <c r="C212" s="1" t="n">
        <v>45348</v>
      </c>
      <c r="D212" t="inlineStr">
        <is>
          <t>VÄSTERNORRLANDS LÄN</t>
        </is>
      </c>
      <c r="E212" t="inlineStr">
        <is>
          <t>TIMRÅ</t>
        </is>
      </c>
      <c r="F212" t="inlineStr">
        <is>
          <t>Kyrkan</t>
        </is>
      </c>
      <c r="G212" t="n">
        <v>6.3</v>
      </c>
      <c r="H212" t="n">
        <v>0</v>
      </c>
      <c r="I212" t="n">
        <v>0</v>
      </c>
      <c r="J212" t="n">
        <v>0</v>
      </c>
      <c r="K212" t="n">
        <v>0</v>
      </c>
      <c r="L212" t="n">
        <v>0</v>
      </c>
      <c r="M212" t="n">
        <v>0</v>
      </c>
      <c r="N212" t="n">
        <v>0</v>
      </c>
      <c r="O212" t="n">
        <v>0</v>
      </c>
      <c r="P212" t="n">
        <v>0</v>
      </c>
      <c r="Q212" t="n">
        <v>0</v>
      </c>
      <c r="R212" s="2" t="inlineStr"/>
    </row>
    <row r="213" ht="15" customHeight="1">
      <c r="A213" t="inlineStr">
        <is>
          <t>A 34035-2021</t>
        </is>
      </c>
      <c r="B213" s="1" t="n">
        <v>44378</v>
      </c>
      <c r="C213" s="1" t="n">
        <v>45348</v>
      </c>
      <c r="D213" t="inlineStr">
        <is>
          <t>VÄSTERNORRLANDS LÄN</t>
        </is>
      </c>
      <c r="E213" t="inlineStr">
        <is>
          <t>TIMRÅ</t>
        </is>
      </c>
      <c r="G213" t="n">
        <v>4</v>
      </c>
      <c r="H213" t="n">
        <v>0</v>
      </c>
      <c r="I213" t="n">
        <v>0</v>
      </c>
      <c r="J213" t="n">
        <v>0</v>
      </c>
      <c r="K213" t="n">
        <v>0</v>
      </c>
      <c r="L213" t="n">
        <v>0</v>
      </c>
      <c r="M213" t="n">
        <v>0</v>
      </c>
      <c r="N213" t="n">
        <v>0</v>
      </c>
      <c r="O213" t="n">
        <v>0</v>
      </c>
      <c r="P213" t="n">
        <v>0</v>
      </c>
      <c r="Q213" t="n">
        <v>0</v>
      </c>
      <c r="R213" s="2" t="inlineStr"/>
    </row>
    <row r="214" ht="15" customHeight="1">
      <c r="A214" t="inlineStr">
        <is>
          <t>A 34767-2021</t>
        </is>
      </c>
      <c r="B214" s="1" t="n">
        <v>44382</v>
      </c>
      <c r="C214" s="1" t="n">
        <v>45348</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35262-2021</t>
        </is>
      </c>
      <c r="B215" s="1" t="n">
        <v>44384</v>
      </c>
      <c r="C215" s="1" t="n">
        <v>45348</v>
      </c>
      <c r="D215" t="inlineStr">
        <is>
          <t>VÄSTERNORRLANDS LÄN</t>
        </is>
      </c>
      <c r="E215" t="inlineStr">
        <is>
          <t>TIMRÅ</t>
        </is>
      </c>
      <c r="G215" t="n">
        <v>2.1</v>
      </c>
      <c r="H215" t="n">
        <v>0</v>
      </c>
      <c r="I215" t="n">
        <v>0</v>
      </c>
      <c r="J215" t="n">
        <v>0</v>
      </c>
      <c r="K215" t="n">
        <v>0</v>
      </c>
      <c r="L215" t="n">
        <v>0</v>
      </c>
      <c r="M215" t="n">
        <v>0</v>
      </c>
      <c r="N215" t="n">
        <v>0</v>
      </c>
      <c r="O215" t="n">
        <v>0</v>
      </c>
      <c r="P215" t="n">
        <v>0</v>
      </c>
      <c r="Q215" t="n">
        <v>0</v>
      </c>
      <c r="R215" s="2" t="inlineStr"/>
    </row>
    <row r="216" ht="15" customHeight="1">
      <c r="A216" t="inlineStr">
        <is>
          <t>A 35413-2021</t>
        </is>
      </c>
      <c r="B216" s="1" t="n">
        <v>44385</v>
      </c>
      <c r="C216" s="1" t="n">
        <v>45348</v>
      </c>
      <c r="D216" t="inlineStr">
        <is>
          <t>VÄSTERNORRLANDS LÄN</t>
        </is>
      </c>
      <c r="E216" t="inlineStr">
        <is>
          <t>TIMRÅ</t>
        </is>
      </c>
      <c r="G216" t="n">
        <v>1</v>
      </c>
      <c r="H216" t="n">
        <v>0</v>
      </c>
      <c r="I216" t="n">
        <v>0</v>
      </c>
      <c r="J216" t="n">
        <v>0</v>
      </c>
      <c r="K216" t="n">
        <v>0</v>
      </c>
      <c r="L216" t="n">
        <v>0</v>
      </c>
      <c r="M216" t="n">
        <v>0</v>
      </c>
      <c r="N216" t="n">
        <v>0</v>
      </c>
      <c r="O216" t="n">
        <v>0</v>
      </c>
      <c r="P216" t="n">
        <v>0</v>
      </c>
      <c r="Q216" t="n">
        <v>0</v>
      </c>
      <c r="R216" s="2" t="inlineStr"/>
    </row>
    <row r="217" ht="15" customHeight="1">
      <c r="A217" t="inlineStr">
        <is>
          <t>A 35417-2021</t>
        </is>
      </c>
      <c r="B217" s="1" t="n">
        <v>44385</v>
      </c>
      <c r="C217" s="1" t="n">
        <v>45348</v>
      </c>
      <c r="D217" t="inlineStr">
        <is>
          <t>VÄSTERNORRLANDS LÄN</t>
        </is>
      </c>
      <c r="E217" t="inlineStr">
        <is>
          <t>TIMRÅ</t>
        </is>
      </c>
      <c r="G217" t="n">
        <v>4.9</v>
      </c>
      <c r="H217" t="n">
        <v>0</v>
      </c>
      <c r="I217" t="n">
        <v>0</v>
      </c>
      <c r="J217" t="n">
        <v>0</v>
      </c>
      <c r="K217" t="n">
        <v>0</v>
      </c>
      <c r="L217" t="n">
        <v>0</v>
      </c>
      <c r="M217" t="n">
        <v>0</v>
      </c>
      <c r="N217" t="n">
        <v>0</v>
      </c>
      <c r="O217" t="n">
        <v>0</v>
      </c>
      <c r="P217" t="n">
        <v>0</v>
      </c>
      <c r="Q217" t="n">
        <v>0</v>
      </c>
      <c r="R217" s="2" t="inlineStr"/>
    </row>
    <row r="218" ht="15" customHeight="1">
      <c r="A218" t="inlineStr">
        <is>
          <t>A 36987-2021</t>
        </is>
      </c>
      <c r="B218" s="1" t="n">
        <v>44393</v>
      </c>
      <c r="C218" s="1" t="n">
        <v>45348</v>
      </c>
      <c r="D218" t="inlineStr">
        <is>
          <t>VÄSTERNORRLANDS LÄN</t>
        </is>
      </c>
      <c r="E218" t="inlineStr">
        <is>
          <t>TIMRÅ</t>
        </is>
      </c>
      <c r="G218" t="n">
        <v>1.6</v>
      </c>
      <c r="H218" t="n">
        <v>0</v>
      </c>
      <c r="I218" t="n">
        <v>0</v>
      </c>
      <c r="J218" t="n">
        <v>0</v>
      </c>
      <c r="K218" t="n">
        <v>0</v>
      </c>
      <c r="L218" t="n">
        <v>0</v>
      </c>
      <c r="M218" t="n">
        <v>0</v>
      </c>
      <c r="N218" t="n">
        <v>0</v>
      </c>
      <c r="O218" t="n">
        <v>0</v>
      </c>
      <c r="P218" t="n">
        <v>0</v>
      </c>
      <c r="Q218" t="n">
        <v>0</v>
      </c>
      <c r="R218" s="2" t="inlineStr"/>
    </row>
    <row r="219" ht="15" customHeight="1">
      <c r="A219" t="inlineStr">
        <is>
          <t>A 37165-2021</t>
        </is>
      </c>
      <c r="B219" s="1" t="n">
        <v>44396</v>
      </c>
      <c r="C219" s="1" t="n">
        <v>45348</v>
      </c>
      <c r="D219" t="inlineStr">
        <is>
          <t>VÄSTERNORRLANDS LÄN</t>
        </is>
      </c>
      <c r="E219" t="inlineStr">
        <is>
          <t>TIMRÅ</t>
        </is>
      </c>
      <c r="G219" t="n">
        <v>6.8</v>
      </c>
      <c r="H219" t="n">
        <v>0</v>
      </c>
      <c r="I219" t="n">
        <v>0</v>
      </c>
      <c r="J219" t="n">
        <v>0</v>
      </c>
      <c r="K219" t="n">
        <v>0</v>
      </c>
      <c r="L219" t="n">
        <v>0</v>
      </c>
      <c r="M219" t="n">
        <v>0</v>
      </c>
      <c r="N219" t="n">
        <v>0</v>
      </c>
      <c r="O219" t="n">
        <v>0</v>
      </c>
      <c r="P219" t="n">
        <v>0</v>
      </c>
      <c r="Q219" t="n">
        <v>0</v>
      </c>
      <c r="R219" s="2" t="inlineStr"/>
    </row>
    <row r="220" ht="15" customHeight="1">
      <c r="A220" t="inlineStr">
        <is>
          <t>A 39534-2021</t>
        </is>
      </c>
      <c r="B220" s="1" t="n">
        <v>44416</v>
      </c>
      <c r="C220" s="1" t="n">
        <v>45348</v>
      </c>
      <c r="D220" t="inlineStr">
        <is>
          <t>VÄSTERNORRLANDS LÄN</t>
        </is>
      </c>
      <c r="E220" t="inlineStr">
        <is>
          <t>TIMRÅ</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39821-2021</t>
        </is>
      </c>
      <c r="B221" s="1" t="n">
        <v>44417</v>
      </c>
      <c r="C221" s="1" t="n">
        <v>45348</v>
      </c>
      <c r="D221" t="inlineStr">
        <is>
          <t>VÄSTERNORRLANDS LÄN</t>
        </is>
      </c>
      <c r="E221" t="inlineStr">
        <is>
          <t>TIMRÅ</t>
        </is>
      </c>
      <c r="G221" t="n">
        <v>0.4</v>
      </c>
      <c r="H221" t="n">
        <v>0</v>
      </c>
      <c r="I221" t="n">
        <v>0</v>
      </c>
      <c r="J221" t="n">
        <v>0</v>
      </c>
      <c r="K221" t="n">
        <v>0</v>
      </c>
      <c r="L221" t="n">
        <v>0</v>
      </c>
      <c r="M221" t="n">
        <v>0</v>
      </c>
      <c r="N221" t="n">
        <v>0</v>
      </c>
      <c r="O221" t="n">
        <v>0</v>
      </c>
      <c r="P221" t="n">
        <v>0</v>
      </c>
      <c r="Q221" t="n">
        <v>0</v>
      </c>
      <c r="R221" s="2" t="inlineStr"/>
    </row>
    <row r="222" ht="15" customHeight="1">
      <c r="A222" t="inlineStr">
        <is>
          <t>A 40519-2021</t>
        </is>
      </c>
      <c r="B222" s="1" t="n">
        <v>44420</v>
      </c>
      <c r="C222" s="1" t="n">
        <v>45348</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43848-2021</t>
        </is>
      </c>
      <c r="B223" s="1" t="n">
        <v>44434</v>
      </c>
      <c r="C223" s="1" t="n">
        <v>45348</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45441-2021</t>
        </is>
      </c>
      <c r="B224" s="1" t="n">
        <v>44440</v>
      </c>
      <c r="C224" s="1" t="n">
        <v>45348</v>
      </c>
      <c r="D224" t="inlineStr">
        <is>
          <t>VÄSTERNORRLANDS LÄN</t>
        </is>
      </c>
      <c r="E224" t="inlineStr">
        <is>
          <t>TIMRÅ</t>
        </is>
      </c>
      <c r="G224" t="n">
        <v>2</v>
      </c>
      <c r="H224" t="n">
        <v>0</v>
      </c>
      <c r="I224" t="n">
        <v>0</v>
      </c>
      <c r="J224" t="n">
        <v>0</v>
      </c>
      <c r="K224" t="n">
        <v>0</v>
      </c>
      <c r="L224" t="n">
        <v>0</v>
      </c>
      <c r="M224" t="n">
        <v>0</v>
      </c>
      <c r="N224" t="n">
        <v>0</v>
      </c>
      <c r="O224" t="n">
        <v>0</v>
      </c>
      <c r="P224" t="n">
        <v>0</v>
      </c>
      <c r="Q224" t="n">
        <v>0</v>
      </c>
      <c r="R224" s="2" t="inlineStr"/>
    </row>
    <row r="225" ht="15" customHeight="1">
      <c r="A225" t="inlineStr">
        <is>
          <t>A 47203-2021</t>
        </is>
      </c>
      <c r="B225" s="1" t="n">
        <v>44447</v>
      </c>
      <c r="C225" s="1" t="n">
        <v>45348</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47569-2021</t>
        </is>
      </c>
      <c r="B226" s="1" t="n">
        <v>44447</v>
      </c>
      <c r="C226" s="1" t="n">
        <v>45348</v>
      </c>
      <c r="D226" t="inlineStr">
        <is>
          <t>VÄSTERNORRLANDS LÄN</t>
        </is>
      </c>
      <c r="E226" t="inlineStr">
        <is>
          <t>TIMRÅ</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47570-2021</t>
        </is>
      </c>
      <c r="B227" s="1" t="n">
        <v>44448</v>
      </c>
      <c r="C227" s="1" t="n">
        <v>45348</v>
      </c>
      <c r="D227" t="inlineStr">
        <is>
          <t>VÄSTERNORRLANDS LÄN</t>
        </is>
      </c>
      <c r="E227" t="inlineStr">
        <is>
          <t>TIMRÅ</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49056-2021</t>
        </is>
      </c>
      <c r="B228" s="1" t="n">
        <v>44453</v>
      </c>
      <c r="C228" s="1" t="n">
        <v>45348</v>
      </c>
      <c r="D228" t="inlineStr">
        <is>
          <t>VÄSTERNORRLANDS LÄN</t>
        </is>
      </c>
      <c r="E228" t="inlineStr">
        <is>
          <t>TIMRÅ</t>
        </is>
      </c>
      <c r="G228" t="n">
        <v>3.4</v>
      </c>
      <c r="H228" t="n">
        <v>0</v>
      </c>
      <c r="I228" t="n">
        <v>0</v>
      </c>
      <c r="J228" t="n">
        <v>0</v>
      </c>
      <c r="K228" t="n">
        <v>0</v>
      </c>
      <c r="L228" t="n">
        <v>0</v>
      </c>
      <c r="M228" t="n">
        <v>0</v>
      </c>
      <c r="N228" t="n">
        <v>0</v>
      </c>
      <c r="O228" t="n">
        <v>0</v>
      </c>
      <c r="P228" t="n">
        <v>0</v>
      </c>
      <c r="Q228" t="n">
        <v>0</v>
      </c>
      <c r="R228" s="2" t="inlineStr"/>
    </row>
    <row r="229" ht="15" customHeight="1">
      <c r="A229" t="inlineStr">
        <is>
          <t>A 49486-2021</t>
        </is>
      </c>
      <c r="B229" s="1" t="n">
        <v>44455</v>
      </c>
      <c r="C229" s="1" t="n">
        <v>45348</v>
      </c>
      <c r="D229" t="inlineStr">
        <is>
          <t>VÄSTERNORRLANDS LÄN</t>
        </is>
      </c>
      <c r="E229" t="inlineStr">
        <is>
          <t>TIMRÅ</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53305-2021</t>
        </is>
      </c>
      <c r="B230" s="1" t="n">
        <v>44467</v>
      </c>
      <c r="C230" s="1" t="n">
        <v>45348</v>
      </c>
      <c r="D230" t="inlineStr">
        <is>
          <t>VÄSTERNORRLANDS LÄN</t>
        </is>
      </c>
      <c r="E230" t="inlineStr">
        <is>
          <t>TIMRÅ</t>
        </is>
      </c>
      <c r="G230" t="n">
        <v>1.7</v>
      </c>
      <c r="H230" t="n">
        <v>0</v>
      </c>
      <c r="I230" t="n">
        <v>0</v>
      </c>
      <c r="J230" t="n">
        <v>0</v>
      </c>
      <c r="K230" t="n">
        <v>0</v>
      </c>
      <c r="L230" t="n">
        <v>0</v>
      </c>
      <c r="M230" t="n">
        <v>0</v>
      </c>
      <c r="N230" t="n">
        <v>0</v>
      </c>
      <c r="O230" t="n">
        <v>0</v>
      </c>
      <c r="P230" t="n">
        <v>0</v>
      </c>
      <c r="Q230" t="n">
        <v>0</v>
      </c>
      <c r="R230" s="2" t="inlineStr"/>
    </row>
    <row r="231" ht="15" customHeight="1">
      <c r="A231" t="inlineStr">
        <is>
          <t>A 53699-2021</t>
        </is>
      </c>
      <c r="B231" s="1" t="n">
        <v>44469</v>
      </c>
      <c r="C231" s="1" t="n">
        <v>45348</v>
      </c>
      <c r="D231" t="inlineStr">
        <is>
          <t>VÄSTERNORRLANDS LÄN</t>
        </is>
      </c>
      <c r="E231" t="inlineStr">
        <is>
          <t>TIMRÅ</t>
        </is>
      </c>
      <c r="G231" t="n">
        <v>2.4</v>
      </c>
      <c r="H231" t="n">
        <v>0</v>
      </c>
      <c r="I231" t="n">
        <v>0</v>
      </c>
      <c r="J231" t="n">
        <v>0</v>
      </c>
      <c r="K231" t="n">
        <v>0</v>
      </c>
      <c r="L231" t="n">
        <v>0</v>
      </c>
      <c r="M231" t="n">
        <v>0</v>
      </c>
      <c r="N231" t="n">
        <v>0</v>
      </c>
      <c r="O231" t="n">
        <v>0</v>
      </c>
      <c r="P231" t="n">
        <v>0</v>
      </c>
      <c r="Q231" t="n">
        <v>0</v>
      </c>
      <c r="R231" s="2" t="inlineStr"/>
    </row>
    <row r="232" ht="15" customHeight="1">
      <c r="A232" t="inlineStr">
        <is>
          <t>A 53703-2021</t>
        </is>
      </c>
      <c r="B232" s="1" t="n">
        <v>44469</v>
      </c>
      <c r="C232" s="1" t="n">
        <v>45348</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57553-2021</t>
        </is>
      </c>
      <c r="B233" s="1" t="n">
        <v>44484</v>
      </c>
      <c r="C233" s="1" t="n">
        <v>45348</v>
      </c>
      <c r="D233" t="inlineStr">
        <is>
          <t>VÄSTERNORRLANDS LÄN</t>
        </is>
      </c>
      <c r="E233" t="inlineStr">
        <is>
          <t>TIMRÅ</t>
        </is>
      </c>
      <c r="F233" t="inlineStr">
        <is>
          <t>SCA</t>
        </is>
      </c>
      <c r="G233" t="n">
        <v>17.9</v>
      </c>
      <c r="H233" t="n">
        <v>0</v>
      </c>
      <c r="I233" t="n">
        <v>0</v>
      </c>
      <c r="J233" t="n">
        <v>0</v>
      </c>
      <c r="K233" t="n">
        <v>0</v>
      </c>
      <c r="L233" t="n">
        <v>0</v>
      </c>
      <c r="M233" t="n">
        <v>0</v>
      </c>
      <c r="N233" t="n">
        <v>0</v>
      </c>
      <c r="O233" t="n">
        <v>0</v>
      </c>
      <c r="P233" t="n">
        <v>0</v>
      </c>
      <c r="Q233" t="n">
        <v>0</v>
      </c>
      <c r="R233" s="2" t="inlineStr"/>
    </row>
    <row r="234" ht="15" customHeight="1">
      <c r="A234" t="inlineStr">
        <is>
          <t>A 59570-2021</t>
        </is>
      </c>
      <c r="B234" s="1" t="n">
        <v>44491</v>
      </c>
      <c r="C234" s="1" t="n">
        <v>45348</v>
      </c>
      <c r="D234" t="inlineStr">
        <is>
          <t>VÄSTERNORRLANDS LÄN</t>
        </is>
      </c>
      <c r="E234" t="inlineStr">
        <is>
          <t>TIMRÅ</t>
        </is>
      </c>
      <c r="G234" t="n">
        <v>1.3</v>
      </c>
      <c r="H234" t="n">
        <v>0</v>
      </c>
      <c r="I234" t="n">
        <v>0</v>
      </c>
      <c r="J234" t="n">
        <v>0</v>
      </c>
      <c r="K234" t="n">
        <v>0</v>
      </c>
      <c r="L234" t="n">
        <v>0</v>
      </c>
      <c r="M234" t="n">
        <v>0</v>
      </c>
      <c r="N234" t="n">
        <v>0</v>
      </c>
      <c r="O234" t="n">
        <v>0</v>
      </c>
      <c r="P234" t="n">
        <v>0</v>
      </c>
      <c r="Q234" t="n">
        <v>0</v>
      </c>
      <c r="R234" s="2" t="inlineStr"/>
    </row>
    <row r="235" ht="15" customHeight="1">
      <c r="A235" t="inlineStr">
        <is>
          <t>A 59964-2021</t>
        </is>
      </c>
      <c r="B235" s="1" t="n">
        <v>44494</v>
      </c>
      <c r="C235" s="1" t="n">
        <v>45348</v>
      </c>
      <c r="D235" t="inlineStr">
        <is>
          <t>VÄSTERNORRLANDS LÄN</t>
        </is>
      </c>
      <c r="E235" t="inlineStr">
        <is>
          <t>TIMRÅ</t>
        </is>
      </c>
      <c r="G235" t="n">
        <v>1</v>
      </c>
      <c r="H235" t="n">
        <v>0</v>
      </c>
      <c r="I235" t="n">
        <v>0</v>
      </c>
      <c r="J235" t="n">
        <v>0</v>
      </c>
      <c r="K235" t="n">
        <v>0</v>
      </c>
      <c r="L235" t="n">
        <v>0</v>
      </c>
      <c r="M235" t="n">
        <v>0</v>
      </c>
      <c r="N235" t="n">
        <v>0</v>
      </c>
      <c r="O235" t="n">
        <v>0</v>
      </c>
      <c r="P235" t="n">
        <v>0</v>
      </c>
      <c r="Q235" t="n">
        <v>0</v>
      </c>
      <c r="R235" s="2" t="inlineStr"/>
    </row>
    <row r="236" ht="15" customHeight="1">
      <c r="A236" t="inlineStr">
        <is>
          <t>A 64433-2021</t>
        </is>
      </c>
      <c r="B236" s="1" t="n">
        <v>44511</v>
      </c>
      <c r="C236" s="1" t="n">
        <v>45348</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66154-2021</t>
        </is>
      </c>
      <c r="B237" s="1" t="n">
        <v>44517</v>
      </c>
      <c r="C237" s="1" t="n">
        <v>45348</v>
      </c>
      <c r="D237" t="inlineStr">
        <is>
          <t>VÄSTERNORRLANDS LÄN</t>
        </is>
      </c>
      <c r="E237" t="inlineStr">
        <is>
          <t>TIMRÅ</t>
        </is>
      </c>
      <c r="G237" t="n">
        <v>5.6</v>
      </c>
      <c r="H237" t="n">
        <v>0</v>
      </c>
      <c r="I237" t="n">
        <v>0</v>
      </c>
      <c r="J237" t="n">
        <v>0</v>
      </c>
      <c r="K237" t="n">
        <v>0</v>
      </c>
      <c r="L237" t="n">
        <v>0</v>
      </c>
      <c r="M237" t="n">
        <v>0</v>
      </c>
      <c r="N237" t="n">
        <v>0</v>
      </c>
      <c r="O237" t="n">
        <v>0</v>
      </c>
      <c r="P237" t="n">
        <v>0</v>
      </c>
      <c r="Q237" t="n">
        <v>0</v>
      </c>
      <c r="R237" s="2" t="inlineStr"/>
    </row>
    <row r="238" ht="15" customHeight="1">
      <c r="A238" t="inlineStr">
        <is>
          <t>A 66409-2021</t>
        </is>
      </c>
      <c r="B238" s="1" t="n">
        <v>44518</v>
      </c>
      <c r="C238" s="1" t="n">
        <v>45348</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67065-2021</t>
        </is>
      </c>
      <c r="B239" s="1" t="n">
        <v>44522</v>
      </c>
      <c r="C239" s="1" t="n">
        <v>45348</v>
      </c>
      <c r="D239" t="inlineStr">
        <is>
          <t>VÄSTERNORRLANDS LÄN</t>
        </is>
      </c>
      <c r="E239" t="inlineStr">
        <is>
          <t>TIMRÅ</t>
        </is>
      </c>
      <c r="G239" t="n">
        <v>2.6</v>
      </c>
      <c r="H239" t="n">
        <v>0</v>
      </c>
      <c r="I239" t="n">
        <v>0</v>
      </c>
      <c r="J239" t="n">
        <v>0</v>
      </c>
      <c r="K239" t="n">
        <v>0</v>
      </c>
      <c r="L239" t="n">
        <v>0</v>
      </c>
      <c r="M239" t="n">
        <v>0</v>
      </c>
      <c r="N239" t="n">
        <v>0</v>
      </c>
      <c r="O239" t="n">
        <v>0</v>
      </c>
      <c r="P239" t="n">
        <v>0</v>
      </c>
      <c r="Q239" t="n">
        <v>0</v>
      </c>
      <c r="R239" s="2" t="inlineStr"/>
    </row>
    <row r="240" ht="15" customHeight="1">
      <c r="A240" t="inlineStr">
        <is>
          <t>A 67063-2021</t>
        </is>
      </c>
      <c r="B240" s="1" t="n">
        <v>44522</v>
      </c>
      <c r="C240" s="1" t="n">
        <v>45348</v>
      </c>
      <c r="D240" t="inlineStr">
        <is>
          <t>VÄSTERNORRLANDS LÄN</t>
        </is>
      </c>
      <c r="E240" t="inlineStr">
        <is>
          <t>TIMRÅ</t>
        </is>
      </c>
      <c r="G240" t="n">
        <v>1.9</v>
      </c>
      <c r="H240" t="n">
        <v>0</v>
      </c>
      <c r="I240" t="n">
        <v>0</v>
      </c>
      <c r="J240" t="n">
        <v>0</v>
      </c>
      <c r="K240" t="n">
        <v>0</v>
      </c>
      <c r="L240" t="n">
        <v>0</v>
      </c>
      <c r="M240" t="n">
        <v>0</v>
      </c>
      <c r="N240" t="n">
        <v>0</v>
      </c>
      <c r="O240" t="n">
        <v>0</v>
      </c>
      <c r="P240" t="n">
        <v>0</v>
      </c>
      <c r="Q240" t="n">
        <v>0</v>
      </c>
      <c r="R240" s="2" t="inlineStr"/>
    </row>
    <row r="241" ht="15" customHeight="1">
      <c r="A241" t="inlineStr">
        <is>
          <t>A 67673-2021</t>
        </is>
      </c>
      <c r="B241" s="1" t="n">
        <v>44524</v>
      </c>
      <c r="C241" s="1" t="n">
        <v>45348</v>
      </c>
      <c r="D241" t="inlineStr">
        <is>
          <t>VÄSTERNORRLANDS LÄN</t>
        </is>
      </c>
      <c r="E241" t="inlineStr">
        <is>
          <t>TIMRÅ</t>
        </is>
      </c>
      <c r="G241" t="n">
        <v>6.8</v>
      </c>
      <c r="H241" t="n">
        <v>0</v>
      </c>
      <c r="I241" t="n">
        <v>0</v>
      </c>
      <c r="J241" t="n">
        <v>0</v>
      </c>
      <c r="K241" t="n">
        <v>0</v>
      </c>
      <c r="L241" t="n">
        <v>0</v>
      </c>
      <c r="M241" t="n">
        <v>0</v>
      </c>
      <c r="N241" t="n">
        <v>0</v>
      </c>
      <c r="O241" t="n">
        <v>0</v>
      </c>
      <c r="P241" t="n">
        <v>0</v>
      </c>
      <c r="Q241" t="n">
        <v>0</v>
      </c>
      <c r="R241" s="2" t="inlineStr"/>
    </row>
    <row r="242" ht="15" customHeight="1">
      <c r="A242" t="inlineStr">
        <is>
          <t>A 68391-2021</t>
        </is>
      </c>
      <c r="B242" s="1" t="n">
        <v>44526</v>
      </c>
      <c r="C242" s="1" t="n">
        <v>45348</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68774-2021</t>
        </is>
      </c>
      <c r="B243" s="1" t="n">
        <v>44529</v>
      </c>
      <c r="C243" s="1" t="n">
        <v>45348</v>
      </c>
      <c r="D243" t="inlineStr">
        <is>
          <t>VÄSTERNORRLANDS LÄN</t>
        </is>
      </c>
      <c r="E243" t="inlineStr">
        <is>
          <t>TIMRÅ</t>
        </is>
      </c>
      <c r="G243" t="n">
        <v>0.5</v>
      </c>
      <c r="H243" t="n">
        <v>0</v>
      </c>
      <c r="I243" t="n">
        <v>0</v>
      </c>
      <c r="J243" t="n">
        <v>0</v>
      </c>
      <c r="K243" t="n">
        <v>0</v>
      </c>
      <c r="L243" t="n">
        <v>0</v>
      </c>
      <c r="M243" t="n">
        <v>0</v>
      </c>
      <c r="N243" t="n">
        <v>0</v>
      </c>
      <c r="O243" t="n">
        <v>0</v>
      </c>
      <c r="P243" t="n">
        <v>0</v>
      </c>
      <c r="Q243" t="n">
        <v>0</v>
      </c>
      <c r="R243" s="2" t="inlineStr"/>
    </row>
    <row r="244" ht="15" customHeight="1">
      <c r="A244" t="inlineStr">
        <is>
          <t>A 69274-2021</t>
        </is>
      </c>
      <c r="B244" s="1" t="n">
        <v>44530</v>
      </c>
      <c r="C244" s="1" t="n">
        <v>45348</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69266-2021</t>
        </is>
      </c>
      <c r="B245" s="1" t="n">
        <v>44530</v>
      </c>
      <c r="C245" s="1" t="n">
        <v>45348</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69278-2021</t>
        </is>
      </c>
      <c r="B246" s="1" t="n">
        <v>44531</v>
      </c>
      <c r="C246" s="1" t="n">
        <v>45348</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69663-2021</t>
        </is>
      </c>
      <c r="B247" s="1" t="n">
        <v>44531</v>
      </c>
      <c r="C247" s="1" t="n">
        <v>45348</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70507-2021</t>
        </is>
      </c>
      <c r="B248" s="1" t="n">
        <v>44536</v>
      </c>
      <c r="C248" s="1" t="n">
        <v>45348</v>
      </c>
      <c r="D248" t="inlineStr">
        <is>
          <t>VÄSTERNORRLANDS LÄN</t>
        </is>
      </c>
      <c r="E248" t="inlineStr">
        <is>
          <t>TIMRÅ</t>
        </is>
      </c>
      <c r="G248" t="n">
        <v>2.5</v>
      </c>
      <c r="H248" t="n">
        <v>0</v>
      </c>
      <c r="I248" t="n">
        <v>0</v>
      </c>
      <c r="J248" t="n">
        <v>0</v>
      </c>
      <c r="K248" t="n">
        <v>0</v>
      </c>
      <c r="L248" t="n">
        <v>0</v>
      </c>
      <c r="M248" t="n">
        <v>0</v>
      </c>
      <c r="N248" t="n">
        <v>0</v>
      </c>
      <c r="O248" t="n">
        <v>0</v>
      </c>
      <c r="P248" t="n">
        <v>0</v>
      </c>
      <c r="Q248" t="n">
        <v>0</v>
      </c>
      <c r="R248" s="2" t="inlineStr"/>
    </row>
    <row r="249" ht="15" customHeight="1">
      <c r="A249" t="inlineStr">
        <is>
          <t>A 70906-2021</t>
        </is>
      </c>
      <c r="B249" s="1" t="n">
        <v>44537</v>
      </c>
      <c r="C249" s="1" t="n">
        <v>45348</v>
      </c>
      <c r="D249" t="inlineStr">
        <is>
          <t>VÄSTERNORRLANDS LÄN</t>
        </is>
      </c>
      <c r="E249" t="inlineStr">
        <is>
          <t>TIMRÅ</t>
        </is>
      </c>
      <c r="G249" t="n">
        <v>3.9</v>
      </c>
      <c r="H249" t="n">
        <v>0</v>
      </c>
      <c r="I249" t="n">
        <v>0</v>
      </c>
      <c r="J249" t="n">
        <v>0</v>
      </c>
      <c r="K249" t="n">
        <v>0</v>
      </c>
      <c r="L249" t="n">
        <v>0</v>
      </c>
      <c r="M249" t="n">
        <v>0</v>
      </c>
      <c r="N249" t="n">
        <v>0</v>
      </c>
      <c r="O249" t="n">
        <v>0</v>
      </c>
      <c r="P249" t="n">
        <v>0</v>
      </c>
      <c r="Q249" t="n">
        <v>0</v>
      </c>
      <c r="R249" s="2" t="inlineStr"/>
    </row>
    <row r="250" ht="15" customHeight="1">
      <c r="A250" t="inlineStr">
        <is>
          <t>A 71213-2021</t>
        </is>
      </c>
      <c r="B250" s="1" t="n">
        <v>44539</v>
      </c>
      <c r="C250" s="1" t="n">
        <v>45348</v>
      </c>
      <c r="D250" t="inlineStr">
        <is>
          <t>VÄSTERNORRLANDS LÄN</t>
        </is>
      </c>
      <c r="E250" t="inlineStr">
        <is>
          <t>TIMRÅ</t>
        </is>
      </c>
      <c r="G250" t="n">
        <v>0.8</v>
      </c>
      <c r="H250" t="n">
        <v>0</v>
      </c>
      <c r="I250" t="n">
        <v>0</v>
      </c>
      <c r="J250" t="n">
        <v>0</v>
      </c>
      <c r="K250" t="n">
        <v>0</v>
      </c>
      <c r="L250" t="n">
        <v>0</v>
      </c>
      <c r="M250" t="n">
        <v>0</v>
      </c>
      <c r="N250" t="n">
        <v>0</v>
      </c>
      <c r="O250" t="n">
        <v>0</v>
      </c>
      <c r="P250" t="n">
        <v>0</v>
      </c>
      <c r="Q250" t="n">
        <v>0</v>
      </c>
      <c r="R250" s="2" t="inlineStr"/>
    </row>
    <row r="251" ht="15" customHeight="1">
      <c r="A251" t="inlineStr">
        <is>
          <t>A 73225-2021</t>
        </is>
      </c>
      <c r="B251" s="1" t="n">
        <v>44550</v>
      </c>
      <c r="C251" s="1" t="n">
        <v>45348</v>
      </c>
      <c r="D251" t="inlineStr">
        <is>
          <t>VÄSTERNORRLANDS LÄN</t>
        </is>
      </c>
      <c r="E251" t="inlineStr">
        <is>
          <t>TIMRÅ</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74020-2021</t>
        </is>
      </c>
      <c r="B252" s="1" t="n">
        <v>44557</v>
      </c>
      <c r="C252" s="1" t="n">
        <v>45348</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74043-2021</t>
        </is>
      </c>
      <c r="B253" s="1" t="n">
        <v>44557</v>
      </c>
      <c r="C253" s="1" t="n">
        <v>45348</v>
      </c>
      <c r="D253" t="inlineStr">
        <is>
          <t>VÄSTERNORRLANDS LÄN</t>
        </is>
      </c>
      <c r="E253" t="inlineStr">
        <is>
          <t>TIMRÅ</t>
        </is>
      </c>
      <c r="G253" t="n">
        <v>0.1</v>
      </c>
      <c r="H253" t="n">
        <v>0</v>
      </c>
      <c r="I253" t="n">
        <v>0</v>
      </c>
      <c r="J253" t="n">
        <v>0</v>
      </c>
      <c r="K253" t="n">
        <v>0</v>
      </c>
      <c r="L253" t="n">
        <v>0</v>
      </c>
      <c r="M253" t="n">
        <v>0</v>
      </c>
      <c r="N253" t="n">
        <v>0</v>
      </c>
      <c r="O253" t="n">
        <v>0</v>
      </c>
      <c r="P253" t="n">
        <v>0</v>
      </c>
      <c r="Q253" t="n">
        <v>0</v>
      </c>
      <c r="R253" s="2" t="inlineStr"/>
    </row>
    <row r="254" ht="15" customHeight="1">
      <c r="A254" t="inlineStr">
        <is>
          <t>A 74044-2021</t>
        </is>
      </c>
      <c r="B254" s="1" t="n">
        <v>44557</v>
      </c>
      <c r="C254" s="1" t="n">
        <v>45348</v>
      </c>
      <c r="D254" t="inlineStr">
        <is>
          <t>VÄSTERNORRLANDS LÄN</t>
        </is>
      </c>
      <c r="E254" t="inlineStr">
        <is>
          <t>TIMRÅ</t>
        </is>
      </c>
      <c r="G254" t="n">
        <v>0.2</v>
      </c>
      <c r="H254" t="n">
        <v>0</v>
      </c>
      <c r="I254" t="n">
        <v>0</v>
      </c>
      <c r="J254" t="n">
        <v>0</v>
      </c>
      <c r="K254" t="n">
        <v>0</v>
      </c>
      <c r="L254" t="n">
        <v>0</v>
      </c>
      <c r="M254" t="n">
        <v>0</v>
      </c>
      <c r="N254" t="n">
        <v>0</v>
      </c>
      <c r="O254" t="n">
        <v>0</v>
      </c>
      <c r="P254" t="n">
        <v>0</v>
      </c>
      <c r="Q254" t="n">
        <v>0</v>
      </c>
      <c r="R254" s="2" t="inlineStr"/>
    </row>
    <row r="255" ht="15" customHeight="1">
      <c r="A255" t="inlineStr">
        <is>
          <t>A 74148-2021</t>
        </is>
      </c>
      <c r="B255" s="1" t="n">
        <v>44557</v>
      </c>
      <c r="C255" s="1" t="n">
        <v>45348</v>
      </c>
      <c r="D255" t="inlineStr">
        <is>
          <t>VÄSTERNORRLANDS LÄN</t>
        </is>
      </c>
      <c r="E255" t="inlineStr">
        <is>
          <t>TIMRÅ</t>
        </is>
      </c>
      <c r="G255" t="n">
        <v>0.7</v>
      </c>
      <c r="H255" t="n">
        <v>0</v>
      </c>
      <c r="I255" t="n">
        <v>0</v>
      </c>
      <c r="J255" t="n">
        <v>0</v>
      </c>
      <c r="K255" t="n">
        <v>0</v>
      </c>
      <c r="L255" t="n">
        <v>0</v>
      </c>
      <c r="M255" t="n">
        <v>0</v>
      </c>
      <c r="N255" t="n">
        <v>0</v>
      </c>
      <c r="O255" t="n">
        <v>0</v>
      </c>
      <c r="P255" t="n">
        <v>0</v>
      </c>
      <c r="Q255" t="n">
        <v>0</v>
      </c>
      <c r="R255" s="2" t="inlineStr"/>
    </row>
    <row r="256" ht="15" customHeight="1">
      <c r="A256" t="inlineStr">
        <is>
          <t>A 74150-2021</t>
        </is>
      </c>
      <c r="B256" s="1" t="n">
        <v>44557</v>
      </c>
      <c r="C256" s="1" t="n">
        <v>45348</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74177-2021</t>
        </is>
      </c>
      <c r="B257" s="1" t="n">
        <v>44558</v>
      </c>
      <c r="C257" s="1" t="n">
        <v>45348</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580-2022</t>
        </is>
      </c>
      <c r="B258" s="1" t="n">
        <v>44566</v>
      </c>
      <c r="C258" s="1" t="n">
        <v>45348</v>
      </c>
      <c r="D258" t="inlineStr">
        <is>
          <t>VÄSTERNORRLANDS LÄN</t>
        </is>
      </c>
      <c r="E258" t="inlineStr">
        <is>
          <t>TIMRÅ</t>
        </is>
      </c>
      <c r="F258" t="inlineStr">
        <is>
          <t>SCA</t>
        </is>
      </c>
      <c r="G258" t="n">
        <v>5.9</v>
      </c>
      <c r="H258" t="n">
        <v>0</v>
      </c>
      <c r="I258" t="n">
        <v>0</v>
      </c>
      <c r="J258" t="n">
        <v>0</v>
      </c>
      <c r="K258" t="n">
        <v>0</v>
      </c>
      <c r="L258" t="n">
        <v>0</v>
      </c>
      <c r="M258" t="n">
        <v>0</v>
      </c>
      <c r="N258" t="n">
        <v>0</v>
      </c>
      <c r="O258" t="n">
        <v>0</v>
      </c>
      <c r="P258" t="n">
        <v>0</v>
      </c>
      <c r="Q258" t="n">
        <v>0</v>
      </c>
      <c r="R258" s="2" t="inlineStr"/>
    </row>
    <row r="259" ht="15" customHeight="1">
      <c r="A259" t="inlineStr">
        <is>
          <t>A 1078-2022</t>
        </is>
      </c>
      <c r="B259" s="1" t="n">
        <v>44571</v>
      </c>
      <c r="C259" s="1" t="n">
        <v>45348</v>
      </c>
      <c r="D259" t="inlineStr">
        <is>
          <t>VÄSTERNORRLANDS LÄN</t>
        </is>
      </c>
      <c r="E259" t="inlineStr">
        <is>
          <t>TIMRÅ</t>
        </is>
      </c>
      <c r="G259" t="n">
        <v>1.6</v>
      </c>
      <c r="H259" t="n">
        <v>0</v>
      </c>
      <c r="I259" t="n">
        <v>0</v>
      </c>
      <c r="J259" t="n">
        <v>0</v>
      </c>
      <c r="K259" t="n">
        <v>0</v>
      </c>
      <c r="L259" t="n">
        <v>0</v>
      </c>
      <c r="M259" t="n">
        <v>0</v>
      </c>
      <c r="N259" t="n">
        <v>0</v>
      </c>
      <c r="O259" t="n">
        <v>0</v>
      </c>
      <c r="P259" t="n">
        <v>0</v>
      </c>
      <c r="Q259" t="n">
        <v>0</v>
      </c>
      <c r="R259" s="2" t="inlineStr"/>
    </row>
    <row r="260" ht="15" customHeight="1">
      <c r="A260" t="inlineStr">
        <is>
          <t>A 1855-2022</t>
        </is>
      </c>
      <c r="B260" s="1" t="n">
        <v>44574</v>
      </c>
      <c r="C260" s="1" t="n">
        <v>45348</v>
      </c>
      <c r="D260" t="inlineStr">
        <is>
          <t>VÄSTERNORRLANDS LÄN</t>
        </is>
      </c>
      <c r="E260" t="inlineStr">
        <is>
          <t>TIMRÅ</t>
        </is>
      </c>
      <c r="G260" t="n">
        <v>3.1</v>
      </c>
      <c r="H260" t="n">
        <v>0</v>
      </c>
      <c r="I260" t="n">
        <v>0</v>
      </c>
      <c r="J260" t="n">
        <v>0</v>
      </c>
      <c r="K260" t="n">
        <v>0</v>
      </c>
      <c r="L260" t="n">
        <v>0</v>
      </c>
      <c r="M260" t="n">
        <v>0</v>
      </c>
      <c r="N260" t="n">
        <v>0</v>
      </c>
      <c r="O260" t="n">
        <v>0</v>
      </c>
      <c r="P260" t="n">
        <v>0</v>
      </c>
      <c r="Q260" t="n">
        <v>0</v>
      </c>
      <c r="R260" s="2" t="inlineStr"/>
    </row>
    <row r="261" ht="15" customHeight="1">
      <c r="A261" t="inlineStr">
        <is>
          <t>A 2073-2022</t>
        </is>
      </c>
      <c r="B261" s="1" t="n">
        <v>44575</v>
      </c>
      <c r="C261" s="1" t="n">
        <v>45348</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2226-2022</t>
        </is>
      </c>
      <c r="B262" s="1" t="n">
        <v>44578</v>
      </c>
      <c r="C262" s="1" t="n">
        <v>45348</v>
      </c>
      <c r="D262" t="inlineStr">
        <is>
          <t>VÄSTERNORRLANDS LÄN</t>
        </is>
      </c>
      <c r="E262" t="inlineStr">
        <is>
          <t>TIMRÅ</t>
        </is>
      </c>
      <c r="G262" t="n">
        <v>2.9</v>
      </c>
      <c r="H262" t="n">
        <v>0</v>
      </c>
      <c r="I262" t="n">
        <v>0</v>
      </c>
      <c r="J262" t="n">
        <v>0</v>
      </c>
      <c r="K262" t="n">
        <v>0</v>
      </c>
      <c r="L262" t="n">
        <v>0</v>
      </c>
      <c r="M262" t="n">
        <v>0</v>
      </c>
      <c r="N262" t="n">
        <v>0</v>
      </c>
      <c r="O262" t="n">
        <v>0</v>
      </c>
      <c r="P262" t="n">
        <v>0</v>
      </c>
      <c r="Q262" t="n">
        <v>0</v>
      </c>
      <c r="R262" s="2" t="inlineStr"/>
    </row>
    <row r="263" ht="15" customHeight="1">
      <c r="A263" t="inlineStr">
        <is>
          <t>A 5649-2022</t>
        </is>
      </c>
      <c r="B263" s="1" t="n">
        <v>44595</v>
      </c>
      <c r="C263" s="1" t="n">
        <v>45348</v>
      </c>
      <c r="D263" t="inlineStr">
        <is>
          <t>VÄSTERNORRLANDS LÄN</t>
        </is>
      </c>
      <c r="E263" t="inlineStr">
        <is>
          <t>TIMRÅ</t>
        </is>
      </c>
      <c r="G263" t="n">
        <v>1.5</v>
      </c>
      <c r="H263" t="n">
        <v>0</v>
      </c>
      <c r="I263" t="n">
        <v>0</v>
      </c>
      <c r="J263" t="n">
        <v>0</v>
      </c>
      <c r="K263" t="n">
        <v>0</v>
      </c>
      <c r="L263" t="n">
        <v>0</v>
      </c>
      <c r="M263" t="n">
        <v>0</v>
      </c>
      <c r="N263" t="n">
        <v>0</v>
      </c>
      <c r="O263" t="n">
        <v>0</v>
      </c>
      <c r="P263" t="n">
        <v>0</v>
      </c>
      <c r="Q263" t="n">
        <v>0</v>
      </c>
      <c r="R263" s="2" t="inlineStr"/>
    </row>
    <row r="264" ht="15" customHeight="1">
      <c r="A264" t="inlineStr">
        <is>
          <t>A 7152-2022</t>
        </is>
      </c>
      <c r="B264" s="1" t="n">
        <v>44603</v>
      </c>
      <c r="C264" s="1" t="n">
        <v>45348</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7670-2022</t>
        </is>
      </c>
      <c r="B265" s="1" t="n">
        <v>44607</v>
      </c>
      <c r="C265" s="1" t="n">
        <v>45348</v>
      </c>
      <c r="D265" t="inlineStr">
        <is>
          <t>VÄSTERNORRLANDS LÄN</t>
        </is>
      </c>
      <c r="E265" t="inlineStr">
        <is>
          <t>TIMRÅ</t>
        </is>
      </c>
      <c r="G265" t="n">
        <v>3.6</v>
      </c>
      <c r="H265" t="n">
        <v>0</v>
      </c>
      <c r="I265" t="n">
        <v>0</v>
      </c>
      <c r="J265" t="n">
        <v>0</v>
      </c>
      <c r="K265" t="n">
        <v>0</v>
      </c>
      <c r="L265" t="n">
        <v>0</v>
      </c>
      <c r="M265" t="n">
        <v>0</v>
      </c>
      <c r="N265" t="n">
        <v>0</v>
      </c>
      <c r="O265" t="n">
        <v>0</v>
      </c>
      <c r="P265" t="n">
        <v>0</v>
      </c>
      <c r="Q265" t="n">
        <v>0</v>
      </c>
      <c r="R265" s="2" t="inlineStr"/>
    </row>
    <row r="266" ht="15" customHeight="1">
      <c r="A266" t="inlineStr">
        <is>
          <t>A 7966-2022</t>
        </is>
      </c>
      <c r="B266" s="1" t="n">
        <v>44608</v>
      </c>
      <c r="C266" s="1" t="n">
        <v>45348</v>
      </c>
      <c r="D266" t="inlineStr">
        <is>
          <t>VÄSTERNORRLANDS LÄN</t>
        </is>
      </c>
      <c r="E266" t="inlineStr">
        <is>
          <t>TIMRÅ</t>
        </is>
      </c>
      <c r="F266" t="inlineStr">
        <is>
          <t>SCA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8336-2022</t>
        </is>
      </c>
      <c r="B267" s="1" t="n">
        <v>44610</v>
      </c>
      <c r="C267" s="1" t="n">
        <v>45348</v>
      </c>
      <c r="D267" t="inlineStr">
        <is>
          <t>VÄSTERNORRLANDS LÄN</t>
        </is>
      </c>
      <c r="E267" t="inlineStr">
        <is>
          <t>TIMRÅ</t>
        </is>
      </c>
      <c r="F267" t="inlineStr">
        <is>
          <t>Kommuner</t>
        </is>
      </c>
      <c r="G267" t="n">
        <v>1.2</v>
      </c>
      <c r="H267" t="n">
        <v>0</v>
      </c>
      <c r="I267" t="n">
        <v>0</v>
      </c>
      <c r="J267" t="n">
        <v>0</v>
      </c>
      <c r="K267" t="n">
        <v>0</v>
      </c>
      <c r="L267" t="n">
        <v>0</v>
      </c>
      <c r="M267" t="n">
        <v>0</v>
      </c>
      <c r="N267" t="n">
        <v>0</v>
      </c>
      <c r="O267" t="n">
        <v>0</v>
      </c>
      <c r="P267" t="n">
        <v>0</v>
      </c>
      <c r="Q267" t="n">
        <v>0</v>
      </c>
      <c r="R267" s="2" t="inlineStr"/>
    </row>
    <row r="268" ht="15" customHeight="1">
      <c r="A268" t="inlineStr">
        <is>
          <t>A 9203-2022</t>
        </is>
      </c>
      <c r="B268" s="1" t="n">
        <v>44615</v>
      </c>
      <c r="C268" s="1" t="n">
        <v>45348</v>
      </c>
      <c r="D268" t="inlineStr">
        <is>
          <t>VÄSTERNORRLANDS LÄN</t>
        </is>
      </c>
      <c r="E268" t="inlineStr">
        <is>
          <t>TIMRÅ</t>
        </is>
      </c>
      <c r="G268" t="n">
        <v>5.5</v>
      </c>
      <c r="H268" t="n">
        <v>0</v>
      </c>
      <c r="I268" t="n">
        <v>0</v>
      </c>
      <c r="J268" t="n">
        <v>0</v>
      </c>
      <c r="K268" t="n">
        <v>0</v>
      </c>
      <c r="L268" t="n">
        <v>0</v>
      </c>
      <c r="M268" t="n">
        <v>0</v>
      </c>
      <c r="N268" t="n">
        <v>0</v>
      </c>
      <c r="O268" t="n">
        <v>0</v>
      </c>
      <c r="P268" t="n">
        <v>0</v>
      </c>
      <c r="Q268" t="n">
        <v>0</v>
      </c>
      <c r="R268" s="2" t="inlineStr"/>
    </row>
    <row r="269" ht="15" customHeight="1">
      <c r="A269" t="inlineStr">
        <is>
          <t>A 9202-2022</t>
        </is>
      </c>
      <c r="B269" s="1" t="n">
        <v>44615</v>
      </c>
      <c r="C269" s="1" t="n">
        <v>45348</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9256-2022</t>
        </is>
      </c>
      <c r="B270" s="1" t="n">
        <v>44616</v>
      </c>
      <c r="C270" s="1" t="n">
        <v>45348</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9317-2022</t>
        </is>
      </c>
      <c r="B271" s="1" t="n">
        <v>44616</v>
      </c>
      <c r="C271" s="1" t="n">
        <v>45348</v>
      </c>
      <c r="D271" t="inlineStr">
        <is>
          <t>VÄSTERNORRLANDS LÄN</t>
        </is>
      </c>
      <c r="E271" t="inlineStr">
        <is>
          <t>TIMRÅ</t>
        </is>
      </c>
      <c r="G271" t="n">
        <v>1.1</v>
      </c>
      <c r="H271" t="n">
        <v>0</v>
      </c>
      <c r="I271" t="n">
        <v>0</v>
      </c>
      <c r="J271" t="n">
        <v>0</v>
      </c>
      <c r="K271" t="n">
        <v>0</v>
      </c>
      <c r="L271" t="n">
        <v>0</v>
      </c>
      <c r="M271" t="n">
        <v>0</v>
      </c>
      <c r="N271" t="n">
        <v>0</v>
      </c>
      <c r="O271" t="n">
        <v>0</v>
      </c>
      <c r="P271" t="n">
        <v>0</v>
      </c>
      <c r="Q271" t="n">
        <v>0</v>
      </c>
      <c r="R271" s="2" t="inlineStr"/>
    </row>
    <row r="272" ht="15" customHeight="1">
      <c r="A272" t="inlineStr">
        <is>
          <t>A 11269-2022</t>
        </is>
      </c>
      <c r="B272" s="1" t="n">
        <v>44629</v>
      </c>
      <c r="C272" s="1" t="n">
        <v>45348</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11479-2022</t>
        </is>
      </c>
      <c r="B273" s="1" t="n">
        <v>44630</v>
      </c>
      <c r="C273" s="1" t="n">
        <v>45348</v>
      </c>
      <c r="D273" t="inlineStr">
        <is>
          <t>VÄSTERNORRLANDS LÄN</t>
        </is>
      </c>
      <c r="E273" t="inlineStr">
        <is>
          <t>TIMRÅ</t>
        </is>
      </c>
      <c r="G273" t="n">
        <v>2.9</v>
      </c>
      <c r="H273" t="n">
        <v>0</v>
      </c>
      <c r="I273" t="n">
        <v>0</v>
      </c>
      <c r="J273" t="n">
        <v>0</v>
      </c>
      <c r="K273" t="n">
        <v>0</v>
      </c>
      <c r="L273" t="n">
        <v>0</v>
      </c>
      <c r="M273" t="n">
        <v>0</v>
      </c>
      <c r="N273" t="n">
        <v>0</v>
      </c>
      <c r="O273" t="n">
        <v>0</v>
      </c>
      <c r="P273" t="n">
        <v>0</v>
      </c>
      <c r="Q273" t="n">
        <v>0</v>
      </c>
      <c r="R273" s="2" t="inlineStr"/>
    </row>
    <row r="274" ht="15" customHeight="1">
      <c r="A274" t="inlineStr">
        <is>
          <t>A 12205-2022</t>
        </is>
      </c>
      <c r="B274" s="1" t="n">
        <v>44636</v>
      </c>
      <c r="C274" s="1" t="n">
        <v>45348</v>
      </c>
      <c r="D274" t="inlineStr">
        <is>
          <t>VÄSTERNORRLANDS LÄN</t>
        </is>
      </c>
      <c r="E274" t="inlineStr">
        <is>
          <t>TIMRÅ</t>
        </is>
      </c>
      <c r="F274" t="inlineStr">
        <is>
          <t>SCA</t>
        </is>
      </c>
      <c r="G274" t="n">
        <v>4.1</v>
      </c>
      <c r="H274" t="n">
        <v>0</v>
      </c>
      <c r="I274" t="n">
        <v>0</v>
      </c>
      <c r="J274" t="n">
        <v>0</v>
      </c>
      <c r="K274" t="n">
        <v>0</v>
      </c>
      <c r="L274" t="n">
        <v>0</v>
      </c>
      <c r="M274" t="n">
        <v>0</v>
      </c>
      <c r="N274" t="n">
        <v>0</v>
      </c>
      <c r="O274" t="n">
        <v>0</v>
      </c>
      <c r="P274" t="n">
        <v>0</v>
      </c>
      <c r="Q274" t="n">
        <v>0</v>
      </c>
      <c r="R274" s="2" t="inlineStr"/>
    </row>
    <row r="275" ht="15" customHeight="1">
      <c r="A275" t="inlineStr">
        <is>
          <t>A 12782-2022</t>
        </is>
      </c>
      <c r="B275" s="1" t="n">
        <v>44641</v>
      </c>
      <c r="C275" s="1" t="n">
        <v>45348</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12780-2022</t>
        </is>
      </c>
      <c r="B276" s="1" t="n">
        <v>44641</v>
      </c>
      <c r="C276" s="1" t="n">
        <v>45348</v>
      </c>
      <c r="D276" t="inlineStr">
        <is>
          <t>VÄSTERNORRLANDS LÄN</t>
        </is>
      </c>
      <c r="E276" t="inlineStr">
        <is>
          <t>TIMRÅ</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12779-2022</t>
        </is>
      </c>
      <c r="B277" s="1" t="n">
        <v>44641</v>
      </c>
      <c r="C277" s="1" t="n">
        <v>45348</v>
      </c>
      <c r="D277" t="inlineStr">
        <is>
          <t>VÄSTERNORRLANDS LÄN</t>
        </is>
      </c>
      <c r="E277" t="inlineStr">
        <is>
          <t>TIMRÅ</t>
        </is>
      </c>
      <c r="G277" t="n">
        <v>0.9</v>
      </c>
      <c r="H277" t="n">
        <v>0</v>
      </c>
      <c r="I277" t="n">
        <v>0</v>
      </c>
      <c r="J277" t="n">
        <v>0</v>
      </c>
      <c r="K277" t="n">
        <v>0</v>
      </c>
      <c r="L277" t="n">
        <v>0</v>
      </c>
      <c r="M277" t="n">
        <v>0</v>
      </c>
      <c r="N277" t="n">
        <v>0</v>
      </c>
      <c r="O277" t="n">
        <v>0</v>
      </c>
      <c r="P277" t="n">
        <v>0</v>
      </c>
      <c r="Q277" t="n">
        <v>0</v>
      </c>
      <c r="R277" s="2" t="inlineStr"/>
    </row>
    <row r="278" ht="15" customHeight="1">
      <c r="A278" t="inlineStr">
        <is>
          <t>A 12882-2022</t>
        </is>
      </c>
      <c r="B278" s="1" t="n">
        <v>44642</v>
      </c>
      <c r="C278" s="1" t="n">
        <v>45348</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12880-2022</t>
        </is>
      </c>
      <c r="B279" s="1" t="n">
        <v>44642</v>
      </c>
      <c r="C279" s="1" t="n">
        <v>45348</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12885-2022</t>
        </is>
      </c>
      <c r="B280" s="1" t="n">
        <v>44642</v>
      </c>
      <c r="C280" s="1" t="n">
        <v>45348</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14680-2022</t>
        </is>
      </c>
      <c r="B281" s="1" t="n">
        <v>44655</v>
      </c>
      <c r="C281" s="1" t="n">
        <v>45348</v>
      </c>
      <c r="D281" t="inlineStr">
        <is>
          <t>VÄSTERNORRLANDS LÄN</t>
        </is>
      </c>
      <c r="E281" t="inlineStr">
        <is>
          <t>TIMRÅ</t>
        </is>
      </c>
      <c r="G281" t="n">
        <v>8.9</v>
      </c>
      <c r="H281" t="n">
        <v>0</v>
      </c>
      <c r="I281" t="n">
        <v>0</v>
      </c>
      <c r="J281" t="n">
        <v>0</v>
      </c>
      <c r="K281" t="n">
        <v>0</v>
      </c>
      <c r="L281" t="n">
        <v>0</v>
      </c>
      <c r="M281" t="n">
        <v>0</v>
      </c>
      <c r="N281" t="n">
        <v>0</v>
      </c>
      <c r="O281" t="n">
        <v>0</v>
      </c>
      <c r="P281" t="n">
        <v>0</v>
      </c>
      <c r="Q281" t="n">
        <v>0</v>
      </c>
      <c r="R281" s="2" t="inlineStr"/>
    </row>
    <row r="282" ht="15" customHeight="1">
      <c r="A282" t="inlineStr">
        <is>
          <t>A 16519-2022</t>
        </is>
      </c>
      <c r="B282" s="1" t="n">
        <v>44672</v>
      </c>
      <c r="C282" s="1" t="n">
        <v>45348</v>
      </c>
      <c r="D282" t="inlineStr">
        <is>
          <t>VÄSTERNORRLANDS LÄN</t>
        </is>
      </c>
      <c r="E282" t="inlineStr">
        <is>
          <t>TIMRÅ</t>
        </is>
      </c>
      <c r="G282" t="n">
        <v>3</v>
      </c>
      <c r="H282" t="n">
        <v>0</v>
      </c>
      <c r="I282" t="n">
        <v>0</v>
      </c>
      <c r="J282" t="n">
        <v>0</v>
      </c>
      <c r="K282" t="n">
        <v>0</v>
      </c>
      <c r="L282" t="n">
        <v>0</v>
      </c>
      <c r="M282" t="n">
        <v>0</v>
      </c>
      <c r="N282" t="n">
        <v>0</v>
      </c>
      <c r="O282" t="n">
        <v>0</v>
      </c>
      <c r="P282" t="n">
        <v>0</v>
      </c>
      <c r="Q282" t="n">
        <v>0</v>
      </c>
      <c r="R282" s="2" t="inlineStr"/>
    </row>
    <row r="283" ht="15" customHeight="1">
      <c r="A283" t="inlineStr">
        <is>
          <t>A 17040-2022</t>
        </is>
      </c>
      <c r="B283" s="1" t="n">
        <v>44676</v>
      </c>
      <c r="C283" s="1" t="n">
        <v>45348</v>
      </c>
      <c r="D283" t="inlineStr">
        <is>
          <t>VÄSTERNORRLANDS LÄN</t>
        </is>
      </c>
      <c r="E283" t="inlineStr">
        <is>
          <t>TIMRÅ</t>
        </is>
      </c>
      <c r="G283" t="n">
        <v>3.5</v>
      </c>
      <c r="H283" t="n">
        <v>0</v>
      </c>
      <c r="I283" t="n">
        <v>0</v>
      </c>
      <c r="J283" t="n">
        <v>0</v>
      </c>
      <c r="K283" t="n">
        <v>0</v>
      </c>
      <c r="L283" t="n">
        <v>0</v>
      </c>
      <c r="M283" t="n">
        <v>0</v>
      </c>
      <c r="N283" t="n">
        <v>0</v>
      </c>
      <c r="O283" t="n">
        <v>0</v>
      </c>
      <c r="P283" t="n">
        <v>0</v>
      </c>
      <c r="Q283" t="n">
        <v>0</v>
      </c>
      <c r="R283" s="2" t="inlineStr"/>
    </row>
    <row r="284" ht="15" customHeight="1">
      <c r="A284" t="inlineStr">
        <is>
          <t>A 22194-2022</t>
        </is>
      </c>
      <c r="B284" s="1" t="n">
        <v>44712</v>
      </c>
      <c r="C284" s="1" t="n">
        <v>45348</v>
      </c>
      <c r="D284" t="inlineStr">
        <is>
          <t>VÄSTERNORRLANDS LÄN</t>
        </is>
      </c>
      <c r="E284" t="inlineStr">
        <is>
          <t>TIMRÅ</t>
        </is>
      </c>
      <c r="G284" t="n">
        <v>0.9</v>
      </c>
      <c r="H284" t="n">
        <v>0</v>
      </c>
      <c r="I284" t="n">
        <v>0</v>
      </c>
      <c r="J284" t="n">
        <v>0</v>
      </c>
      <c r="K284" t="n">
        <v>0</v>
      </c>
      <c r="L284" t="n">
        <v>0</v>
      </c>
      <c r="M284" t="n">
        <v>0</v>
      </c>
      <c r="N284" t="n">
        <v>0</v>
      </c>
      <c r="O284" t="n">
        <v>0</v>
      </c>
      <c r="P284" t="n">
        <v>0</v>
      </c>
      <c r="Q284" t="n">
        <v>0</v>
      </c>
      <c r="R284" s="2" t="inlineStr"/>
    </row>
    <row r="285" ht="15" customHeight="1">
      <c r="A285" t="inlineStr">
        <is>
          <t>A 23670-2022</t>
        </is>
      </c>
      <c r="B285" s="1" t="n">
        <v>44722</v>
      </c>
      <c r="C285" s="1" t="n">
        <v>45348</v>
      </c>
      <c r="D285" t="inlineStr">
        <is>
          <t>VÄSTERNORRLANDS LÄN</t>
        </is>
      </c>
      <c r="E285" t="inlineStr">
        <is>
          <t>TIMRÅ</t>
        </is>
      </c>
      <c r="G285" t="n">
        <v>4.9</v>
      </c>
      <c r="H285" t="n">
        <v>0</v>
      </c>
      <c r="I285" t="n">
        <v>0</v>
      </c>
      <c r="J285" t="n">
        <v>0</v>
      </c>
      <c r="K285" t="n">
        <v>0</v>
      </c>
      <c r="L285" t="n">
        <v>0</v>
      </c>
      <c r="M285" t="n">
        <v>0</v>
      </c>
      <c r="N285" t="n">
        <v>0</v>
      </c>
      <c r="O285" t="n">
        <v>0</v>
      </c>
      <c r="P285" t="n">
        <v>0</v>
      </c>
      <c r="Q285" t="n">
        <v>0</v>
      </c>
      <c r="R285" s="2" t="inlineStr"/>
    </row>
    <row r="286" ht="15" customHeight="1">
      <c r="A286" t="inlineStr">
        <is>
          <t>A 23693-2022</t>
        </is>
      </c>
      <c r="B286" s="1" t="n">
        <v>44721</v>
      </c>
      <c r="C286" s="1" t="n">
        <v>45348</v>
      </c>
      <c r="D286" t="inlineStr">
        <is>
          <t>VÄSTERNORRLANDS LÄN</t>
        </is>
      </c>
      <c r="E286" t="inlineStr">
        <is>
          <t>TIMRÅ</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23676-2022</t>
        </is>
      </c>
      <c r="B287" s="1" t="n">
        <v>44721</v>
      </c>
      <c r="C287" s="1" t="n">
        <v>45348</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24304-2022</t>
        </is>
      </c>
      <c r="B288" s="1" t="n">
        <v>44725</v>
      </c>
      <c r="C288" s="1" t="n">
        <v>45348</v>
      </c>
      <c r="D288" t="inlineStr">
        <is>
          <t>VÄSTERNORRLANDS LÄN</t>
        </is>
      </c>
      <c r="E288" t="inlineStr">
        <is>
          <t>TIMRÅ</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24306-2022</t>
        </is>
      </c>
      <c r="B289" s="1" t="n">
        <v>44726</v>
      </c>
      <c r="C289" s="1" t="n">
        <v>45348</v>
      </c>
      <c r="D289" t="inlineStr">
        <is>
          <t>VÄSTERNORRLANDS LÄN</t>
        </is>
      </c>
      <c r="E289" t="inlineStr">
        <is>
          <t>TIMRÅ</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24305-2022</t>
        </is>
      </c>
      <c r="B290" s="1" t="n">
        <v>44726</v>
      </c>
      <c r="C290" s="1" t="n">
        <v>45348</v>
      </c>
      <c r="D290" t="inlineStr">
        <is>
          <t>VÄSTERNORRLANDS LÄN</t>
        </is>
      </c>
      <c r="E290" t="inlineStr">
        <is>
          <t>TIMRÅ</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24988-2022</t>
        </is>
      </c>
      <c r="B291" s="1" t="n">
        <v>44728</v>
      </c>
      <c r="C291" s="1" t="n">
        <v>45348</v>
      </c>
      <c r="D291" t="inlineStr">
        <is>
          <t>VÄSTERNORRLANDS LÄN</t>
        </is>
      </c>
      <c r="E291" t="inlineStr">
        <is>
          <t>TIMRÅ</t>
        </is>
      </c>
      <c r="G291" t="n">
        <v>1.7</v>
      </c>
      <c r="H291" t="n">
        <v>0</v>
      </c>
      <c r="I291" t="n">
        <v>0</v>
      </c>
      <c r="J291" t="n">
        <v>0</v>
      </c>
      <c r="K291" t="n">
        <v>0</v>
      </c>
      <c r="L291" t="n">
        <v>0</v>
      </c>
      <c r="M291" t="n">
        <v>0</v>
      </c>
      <c r="N291" t="n">
        <v>0</v>
      </c>
      <c r="O291" t="n">
        <v>0</v>
      </c>
      <c r="P291" t="n">
        <v>0</v>
      </c>
      <c r="Q291" t="n">
        <v>0</v>
      </c>
      <c r="R291" s="2" t="inlineStr"/>
    </row>
    <row r="292" ht="15" customHeight="1">
      <c r="A292" t="inlineStr">
        <is>
          <t>A 25414-2022</t>
        </is>
      </c>
      <c r="B292" s="1" t="n">
        <v>44732</v>
      </c>
      <c r="C292" s="1" t="n">
        <v>45348</v>
      </c>
      <c r="D292" t="inlineStr">
        <is>
          <t>VÄSTERNORRLANDS LÄN</t>
        </is>
      </c>
      <c r="E292" t="inlineStr">
        <is>
          <t>TIMRÅ</t>
        </is>
      </c>
      <c r="G292" t="n">
        <v>7.7</v>
      </c>
      <c r="H292" t="n">
        <v>0</v>
      </c>
      <c r="I292" t="n">
        <v>0</v>
      </c>
      <c r="J292" t="n">
        <v>0</v>
      </c>
      <c r="K292" t="n">
        <v>0</v>
      </c>
      <c r="L292" t="n">
        <v>0</v>
      </c>
      <c r="M292" t="n">
        <v>0</v>
      </c>
      <c r="N292" t="n">
        <v>0</v>
      </c>
      <c r="O292" t="n">
        <v>0</v>
      </c>
      <c r="P292" t="n">
        <v>0</v>
      </c>
      <c r="Q292" t="n">
        <v>0</v>
      </c>
      <c r="R292" s="2" t="inlineStr"/>
    </row>
    <row r="293" ht="15" customHeight="1">
      <c r="A293" t="inlineStr">
        <is>
          <t>A 25644-2022</t>
        </is>
      </c>
      <c r="B293" s="1" t="n">
        <v>44732</v>
      </c>
      <c r="C293" s="1" t="n">
        <v>45348</v>
      </c>
      <c r="D293" t="inlineStr">
        <is>
          <t>VÄSTERNORRLANDS LÄN</t>
        </is>
      </c>
      <c r="E293" t="inlineStr">
        <is>
          <t>TIMRÅ</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29308-2022</t>
        </is>
      </c>
      <c r="B294" s="1" t="n">
        <v>44750</v>
      </c>
      <c r="C294" s="1" t="n">
        <v>45348</v>
      </c>
      <c r="D294" t="inlineStr">
        <is>
          <t>VÄSTERNORRLANDS LÄN</t>
        </is>
      </c>
      <c r="E294" t="inlineStr">
        <is>
          <t>TIMRÅ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29306-2022</t>
        </is>
      </c>
      <c r="B295" s="1" t="n">
        <v>44751</v>
      </c>
      <c r="C295" s="1" t="n">
        <v>45348</v>
      </c>
      <c r="D295" t="inlineStr">
        <is>
          <t>VÄSTERNORRLANDS LÄN</t>
        </is>
      </c>
      <c r="E295" t="inlineStr">
        <is>
          <t>TIMRÅ</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31489-2022</t>
        </is>
      </c>
      <c r="B296" s="1" t="n">
        <v>44774</v>
      </c>
      <c r="C296" s="1" t="n">
        <v>45348</v>
      </c>
      <c r="D296" t="inlineStr">
        <is>
          <t>VÄSTERNORRLANDS LÄN</t>
        </is>
      </c>
      <c r="E296" t="inlineStr">
        <is>
          <t>TIMRÅ</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31981-2022</t>
        </is>
      </c>
      <c r="B297" s="1" t="n">
        <v>44778</v>
      </c>
      <c r="C297" s="1" t="n">
        <v>45348</v>
      </c>
      <c r="D297" t="inlineStr">
        <is>
          <t>VÄSTERNORRLANDS LÄN</t>
        </is>
      </c>
      <c r="E297" t="inlineStr">
        <is>
          <t>TIMRÅ</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32519-2022</t>
        </is>
      </c>
      <c r="B298" s="1" t="n">
        <v>44782</v>
      </c>
      <c r="C298" s="1" t="n">
        <v>45348</v>
      </c>
      <c r="D298" t="inlineStr">
        <is>
          <t>VÄSTERNORRLANDS LÄN</t>
        </is>
      </c>
      <c r="E298" t="inlineStr">
        <is>
          <t>TIMRÅ</t>
        </is>
      </c>
      <c r="G298" t="n">
        <v>1.5</v>
      </c>
      <c r="H298" t="n">
        <v>0</v>
      </c>
      <c r="I298" t="n">
        <v>0</v>
      </c>
      <c r="J298" t="n">
        <v>0</v>
      </c>
      <c r="K298" t="n">
        <v>0</v>
      </c>
      <c r="L298" t="n">
        <v>0</v>
      </c>
      <c r="M298" t="n">
        <v>0</v>
      </c>
      <c r="N298" t="n">
        <v>0</v>
      </c>
      <c r="O298" t="n">
        <v>0</v>
      </c>
      <c r="P298" t="n">
        <v>0</v>
      </c>
      <c r="Q298" t="n">
        <v>0</v>
      </c>
      <c r="R298" s="2" t="inlineStr"/>
    </row>
    <row r="299" ht="15" customHeight="1">
      <c r="A299" t="inlineStr">
        <is>
          <t>A 33719-2022</t>
        </is>
      </c>
      <c r="B299" s="1" t="n">
        <v>44790</v>
      </c>
      <c r="C299" s="1" t="n">
        <v>45348</v>
      </c>
      <c r="D299" t="inlineStr">
        <is>
          <t>VÄSTERNORRLANDS LÄN</t>
        </is>
      </c>
      <c r="E299" t="inlineStr">
        <is>
          <t>TIMRÅ</t>
        </is>
      </c>
      <c r="G299" t="n">
        <v>2.3</v>
      </c>
      <c r="H299" t="n">
        <v>0</v>
      </c>
      <c r="I299" t="n">
        <v>0</v>
      </c>
      <c r="J299" t="n">
        <v>0</v>
      </c>
      <c r="K299" t="n">
        <v>0</v>
      </c>
      <c r="L299" t="n">
        <v>0</v>
      </c>
      <c r="M299" t="n">
        <v>0</v>
      </c>
      <c r="N299" t="n">
        <v>0</v>
      </c>
      <c r="O299" t="n">
        <v>0</v>
      </c>
      <c r="P299" t="n">
        <v>0</v>
      </c>
      <c r="Q299" t="n">
        <v>0</v>
      </c>
      <c r="R299" s="2" t="inlineStr"/>
    </row>
    <row r="300" ht="15" customHeight="1">
      <c r="A300" t="inlineStr">
        <is>
          <t>A 34041-2022</t>
        </is>
      </c>
      <c r="B300" s="1" t="n">
        <v>44790</v>
      </c>
      <c r="C300" s="1" t="n">
        <v>45348</v>
      </c>
      <c r="D300" t="inlineStr">
        <is>
          <t>VÄSTERNORRLANDS LÄN</t>
        </is>
      </c>
      <c r="E300" t="inlineStr">
        <is>
          <t>TIMRÅ</t>
        </is>
      </c>
      <c r="G300" t="n">
        <v>1.8</v>
      </c>
      <c r="H300" t="n">
        <v>0</v>
      </c>
      <c r="I300" t="n">
        <v>0</v>
      </c>
      <c r="J300" t="n">
        <v>0</v>
      </c>
      <c r="K300" t="n">
        <v>0</v>
      </c>
      <c r="L300" t="n">
        <v>0</v>
      </c>
      <c r="M300" t="n">
        <v>0</v>
      </c>
      <c r="N300" t="n">
        <v>0</v>
      </c>
      <c r="O300" t="n">
        <v>0</v>
      </c>
      <c r="P300" t="n">
        <v>0</v>
      </c>
      <c r="Q300" t="n">
        <v>0</v>
      </c>
      <c r="R300" s="2" t="inlineStr"/>
    </row>
    <row r="301" ht="15" customHeight="1">
      <c r="A301" t="inlineStr">
        <is>
          <t>A 34053-2022</t>
        </is>
      </c>
      <c r="B301" s="1" t="n">
        <v>44790</v>
      </c>
      <c r="C301" s="1" t="n">
        <v>45348</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34038-2022</t>
        </is>
      </c>
      <c r="B302" s="1" t="n">
        <v>44791</v>
      </c>
      <c r="C302" s="1" t="n">
        <v>45348</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34099-2022</t>
        </is>
      </c>
      <c r="B303" s="1" t="n">
        <v>44791</v>
      </c>
      <c r="C303" s="1" t="n">
        <v>45348</v>
      </c>
      <c r="D303" t="inlineStr">
        <is>
          <t>VÄSTERNORRLANDS LÄN</t>
        </is>
      </c>
      <c r="E303" t="inlineStr">
        <is>
          <t>TIMRÅ</t>
        </is>
      </c>
      <c r="G303" t="n">
        <v>2.7</v>
      </c>
      <c r="H303" t="n">
        <v>0</v>
      </c>
      <c r="I303" t="n">
        <v>0</v>
      </c>
      <c r="J303" t="n">
        <v>0</v>
      </c>
      <c r="K303" t="n">
        <v>0</v>
      </c>
      <c r="L303" t="n">
        <v>0</v>
      </c>
      <c r="M303" t="n">
        <v>0</v>
      </c>
      <c r="N303" t="n">
        <v>0</v>
      </c>
      <c r="O303" t="n">
        <v>0</v>
      </c>
      <c r="P303" t="n">
        <v>0</v>
      </c>
      <c r="Q303" t="n">
        <v>0</v>
      </c>
      <c r="R303" s="2" t="inlineStr"/>
    </row>
    <row r="304" ht="15" customHeight="1">
      <c r="A304" t="inlineStr">
        <is>
          <t>A 34246-2022</t>
        </is>
      </c>
      <c r="B304" s="1" t="n">
        <v>44791</v>
      </c>
      <c r="C304" s="1" t="n">
        <v>45348</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35477-2022</t>
        </is>
      </c>
      <c r="B305" s="1" t="n">
        <v>44799</v>
      </c>
      <c r="C305" s="1" t="n">
        <v>45348</v>
      </c>
      <c r="D305" t="inlineStr">
        <is>
          <t>VÄSTERNORRLANDS LÄN</t>
        </is>
      </c>
      <c r="E305" t="inlineStr">
        <is>
          <t>TIMRÅ</t>
        </is>
      </c>
      <c r="G305" t="n">
        <v>1</v>
      </c>
      <c r="H305" t="n">
        <v>0</v>
      </c>
      <c r="I305" t="n">
        <v>0</v>
      </c>
      <c r="J305" t="n">
        <v>0</v>
      </c>
      <c r="K305" t="n">
        <v>0</v>
      </c>
      <c r="L305" t="n">
        <v>0</v>
      </c>
      <c r="M305" t="n">
        <v>0</v>
      </c>
      <c r="N305" t="n">
        <v>0</v>
      </c>
      <c r="O305" t="n">
        <v>0</v>
      </c>
      <c r="P305" t="n">
        <v>0</v>
      </c>
      <c r="Q305" t="n">
        <v>0</v>
      </c>
      <c r="R305" s="2" t="inlineStr"/>
    </row>
    <row r="306" ht="15" customHeight="1">
      <c r="A306" t="inlineStr">
        <is>
          <t>A 35448-2022</t>
        </is>
      </c>
      <c r="B306" s="1" t="n">
        <v>44798</v>
      </c>
      <c r="C306" s="1" t="n">
        <v>45348</v>
      </c>
      <c r="D306" t="inlineStr">
        <is>
          <t>VÄSTERNORRLANDS LÄN</t>
        </is>
      </c>
      <c r="E306" t="inlineStr">
        <is>
          <t>TIMRÅ</t>
        </is>
      </c>
      <c r="G306" t="n">
        <v>2.8</v>
      </c>
      <c r="H306" t="n">
        <v>0</v>
      </c>
      <c r="I306" t="n">
        <v>0</v>
      </c>
      <c r="J306" t="n">
        <v>0</v>
      </c>
      <c r="K306" t="n">
        <v>0</v>
      </c>
      <c r="L306" t="n">
        <v>0</v>
      </c>
      <c r="M306" t="n">
        <v>0</v>
      </c>
      <c r="N306" t="n">
        <v>0</v>
      </c>
      <c r="O306" t="n">
        <v>0</v>
      </c>
      <c r="P306" t="n">
        <v>0</v>
      </c>
      <c r="Q306" t="n">
        <v>0</v>
      </c>
      <c r="R306" s="2" t="inlineStr"/>
    </row>
    <row r="307" ht="15" customHeight="1">
      <c r="A307" t="inlineStr">
        <is>
          <t>A 35758-2022</t>
        </is>
      </c>
      <c r="B307" s="1" t="n">
        <v>44799</v>
      </c>
      <c r="C307" s="1" t="n">
        <v>45348</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36564-2022</t>
        </is>
      </c>
      <c r="B308" s="1" t="n">
        <v>44804</v>
      </c>
      <c r="C308" s="1" t="n">
        <v>45348</v>
      </c>
      <c r="D308" t="inlineStr">
        <is>
          <t>VÄSTERNORRLANDS LÄN</t>
        </is>
      </c>
      <c r="E308" t="inlineStr">
        <is>
          <t>TIMRÅ</t>
        </is>
      </c>
      <c r="G308" t="n">
        <v>16.6</v>
      </c>
      <c r="H308" t="n">
        <v>0</v>
      </c>
      <c r="I308" t="n">
        <v>0</v>
      </c>
      <c r="J308" t="n">
        <v>0</v>
      </c>
      <c r="K308" t="n">
        <v>0</v>
      </c>
      <c r="L308" t="n">
        <v>0</v>
      </c>
      <c r="M308" t="n">
        <v>0</v>
      </c>
      <c r="N308" t="n">
        <v>0</v>
      </c>
      <c r="O308" t="n">
        <v>0</v>
      </c>
      <c r="P308" t="n">
        <v>0</v>
      </c>
      <c r="Q308" t="n">
        <v>0</v>
      </c>
      <c r="R308" s="2" t="inlineStr"/>
    </row>
    <row r="309" ht="15" customHeight="1">
      <c r="A309" t="inlineStr">
        <is>
          <t>A 38445-2022</t>
        </is>
      </c>
      <c r="B309" s="1" t="n">
        <v>44813</v>
      </c>
      <c r="C309" s="1" t="n">
        <v>45348</v>
      </c>
      <c r="D309" t="inlineStr">
        <is>
          <t>VÄSTERNORRLANDS LÄN</t>
        </is>
      </c>
      <c r="E309" t="inlineStr">
        <is>
          <t>TIMRÅ</t>
        </is>
      </c>
      <c r="G309" t="n">
        <v>0.7</v>
      </c>
      <c r="H309" t="n">
        <v>0</v>
      </c>
      <c r="I309" t="n">
        <v>0</v>
      </c>
      <c r="J309" t="n">
        <v>0</v>
      </c>
      <c r="K309" t="n">
        <v>0</v>
      </c>
      <c r="L309" t="n">
        <v>0</v>
      </c>
      <c r="M309" t="n">
        <v>0</v>
      </c>
      <c r="N309" t="n">
        <v>0</v>
      </c>
      <c r="O309" t="n">
        <v>0</v>
      </c>
      <c r="P309" t="n">
        <v>0</v>
      </c>
      <c r="Q309" t="n">
        <v>0</v>
      </c>
      <c r="R309" s="2" t="inlineStr"/>
    </row>
    <row r="310" ht="15" customHeight="1">
      <c r="A310" t="inlineStr">
        <is>
          <t>A 39108-2022</t>
        </is>
      </c>
      <c r="B310" s="1" t="n">
        <v>44817</v>
      </c>
      <c r="C310" s="1" t="n">
        <v>45348</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39691-2022</t>
        </is>
      </c>
      <c r="B311" s="1" t="n">
        <v>44819</v>
      </c>
      <c r="C311" s="1" t="n">
        <v>45348</v>
      </c>
      <c r="D311" t="inlineStr">
        <is>
          <t>VÄSTERNORRLANDS LÄN</t>
        </is>
      </c>
      <c r="E311" t="inlineStr">
        <is>
          <t>TIMRÅ</t>
        </is>
      </c>
      <c r="G311" t="n">
        <v>1.4</v>
      </c>
      <c r="H311" t="n">
        <v>0</v>
      </c>
      <c r="I311" t="n">
        <v>0</v>
      </c>
      <c r="J311" t="n">
        <v>0</v>
      </c>
      <c r="K311" t="n">
        <v>0</v>
      </c>
      <c r="L311" t="n">
        <v>0</v>
      </c>
      <c r="M311" t="n">
        <v>0</v>
      </c>
      <c r="N311" t="n">
        <v>0</v>
      </c>
      <c r="O311" t="n">
        <v>0</v>
      </c>
      <c r="P311" t="n">
        <v>0</v>
      </c>
      <c r="Q311" t="n">
        <v>0</v>
      </c>
      <c r="R311" s="2" t="inlineStr"/>
    </row>
    <row r="312" ht="15" customHeight="1">
      <c r="A312" t="inlineStr">
        <is>
          <t>A 40270-2022</t>
        </is>
      </c>
      <c r="B312" s="1" t="n">
        <v>44821</v>
      </c>
      <c r="C312" s="1" t="n">
        <v>45348</v>
      </c>
      <c r="D312" t="inlineStr">
        <is>
          <t>VÄSTERNORRLANDS LÄN</t>
        </is>
      </c>
      <c r="E312" t="inlineStr">
        <is>
          <t>TIMRÅ</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41465-2022</t>
        </is>
      </c>
      <c r="B313" s="1" t="n">
        <v>44827</v>
      </c>
      <c r="C313" s="1" t="n">
        <v>45348</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41457-2022</t>
        </is>
      </c>
      <c r="B314" s="1" t="n">
        <v>44826</v>
      </c>
      <c r="C314" s="1" t="n">
        <v>45348</v>
      </c>
      <c r="D314" t="inlineStr">
        <is>
          <t>VÄSTERNORRLANDS LÄN</t>
        </is>
      </c>
      <c r="E314" t="inlineStr">
        <is>
          <t>TIMRÅ</t>
        </is>
      </c>
      <c r="G314" t="n">
        <v>2.9</v>
      </c>
      <c r="H314" t="n">
        <v>0</v>
      </c>
      <c r="I314" t="n">
        <v>0</v>
      </c>
      <c r="J314" t="n">
        <v>0</v>
      </c>
      <c r="K314" t="n">
        <v>0</v>
      </c>
      <c r="L314" t="n">
        <v>0</v>
      </c>
      <c r="M314" t="n">
        <v>0</v>
      </c>
      <c r="N314" t="n">
        <v>0</v>
      </c>
      <c r="O314" t="n">
        <v>0</v>
      </c>
      <c r="P314" t="n">
        <v>0</v>
      </c>
      <c r="Q314" t="n">
        <v>0</v>
      </c>
      <c r="R314" s="2" t="inlineStr"/>
    </row>
    <row r="315" ht="15" customHeight="1">
      <c r="A315" t="inlineStr">
        <is>
          <t>A 42281-2022</t>
        </is>
      </c>
      <c r="B315" s="1" t="n">
        <v>44830</v>
      </c>
      <c r="C315" s="1" t="n">
        <v>45348</v>
      </c>
      <c r="D315" t="inlineStr">
        <is>
          <t>VÄSTERNORRLANDS LÄN</t>
        </is>
      </c>
      <c r="E315" t="inlineStr">
        <is>
          <t>TIMRÅ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43233-2022</t>
        </is>
      </c>
      <c r="B316" s="1" t="n">
        <v>44833</v>
      </c>
      <c r="C316" s="1" t="n">
        <v>45348</v>
      </c>
      <c r="D316" t="inlineStr">
        <is>
          <t>VÄSTERNORRLANDS LÄN</t>
        </is>
      </c>
      <c r="E316" t="inlineStr">
        <is>
          <t>TIMRÅ</t>
        </is>
      </c>
      <c r="G316" t="n">
        <v>1.7</v>
      </c>
      <c r="H316" t="n">
        <v>0</v>
      </c>
      <c r="I316" t="n">
        <v>0</v>
      </c>
      <c r="J316" t="n">
        <v>0</v>
      </c>
      <c r="K316" t="n">
        <v>0</v>
      </c>
      <c r="L316" t="n">
        <v>0</v>
      </c>
      <c r="M316" t="n">
        <v>0</v>
      </c>
      <c r="N316" t="n">
        <v>0</v>
      </c>
      <c r="O316" t="n">
        <v>0</v>
      </c>
      <c r="P316" t="n">
        <v>0</v>
      </c>
      <c r="Q316" t="n">
        <v>0</v>
      </c>
      <c r="R316" s="2" t="inlineStr"/>
    </row>
    <row r="317" ht="15" customHeight="1">
      <c r="A317" t="inlineStr">
        <is>
          <t>A 43135-2022</t>
        </is>
      </c>
      <c r="B317" s="1" t="n">
        <v>44833</v>
      </c>
      <c r="C317" s="1" t="n">
        <v>45348</v>
      </c>
      <c r="D317" t="inlineStr">
        <is>
          <t>VÄSTERNORRLANDS LÄN</t>
        </is>
      </c>
      <c r="E317" t="inlineStr">
        <is>
          <t>TIMRÅ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43162-2022</t>
        </is>
      </c>
      <c r="B318" s="1" t="n">
        <v>44834</v>
      </c>
      <c r="C318" s="1" t="n">
        <v>45348</v>
      </c>
      <c r="D318" t="inlineStr">
        <is>
          <t>VÄSTERNORRLANDS LÄN</t>
        </is>
      </c>
      <c r="E318" t="inlineStr">
        <is>
          <t>TIMRÅ</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43237-2022</t>
        </is>
      </c>
      <c r="B319" s="1" t="n">
        <v>44833</v>
      </c>
      <c r="C319" s="1" t="n">
        <v>45348</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44432-2022</t>
        </is>
      </c>
      <c r="B320" s="1" t="n">
        <v>44839</v>
      </c>
      <c r="C320" s="1" t="n">
        <v>45348</v>
      </c>
      <c r="D320" t="inlineStr">
        <is>
          <t>VÄSTERNORRLANDS LÄN</t>
        </is>
      </c>
      <c r="E320" t="inlineStr">
        <is>
          <t>TIMRÅ</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44759-2022</t>
        </is>
      </c>
      <c r="B321" s="1" t="n">
        <v>44840</v>
      </c>
      <c r="C321" s="1" t="n">
        <v>45348</v>
      </c>
      <c r="D321" t="inlineStr">
        <is>
          <t>VÄSTERNORRLANDS LÄN</t>
        </is>
      </c>
      <c r="E321" t="inlineStr">
        <is>
          <t>TIMRÅ</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45688-2022</t>
        </is>
      </c>
      <c r="B322" s="1" t="n">
        <v>44845</v>
      </c>
      <c r="C322" s="1" t="n">
        <v>45348</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45695-2022</t>
        </is>
      </c>
      <c r="B323" s="1" t="n">
        <v>44846</v>
      </c>
      <c r="C323" s="1" t="n">
        <v>45348</v>
      </c>
      <c r="D323" t="inlineStr">
        <is>
          <t>VÄSTERNORRLANDS LÄN</t>
        </is>
      </c>
      <c r="E323" t="inlineStr">
        <is>
          <t>TIMRÅ</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46021-2022</t>
        </is>
      </c>
      <c r="B324" s="1" t="n">
        <v>44846</v>
      </c>
      <c r="C324" s="1" t="n">
        <v>45348</v>
      </c>
      <c r="D324" t="inlineStr">
        <is>
          <t>VÄSTERNORRLANDS LÄN</t>
        </is>
      </c>
      <c r="E324" t="inlineStr">
        <is>
          <t>TIMRÅ</t>
        </is>
      </c>
      <c r="F324" t="inlineStr">
        <is>
          <t>Kyrkan</t>
        </is>
      </c>
      <c r="G324" t="n">
        <v>18</v>
      </c>
      <c r="H324" t="n">
        <v>0</v>
      </c>
      <c r="I324" t="n">
        <v>0</v>
      </c>
      <c r="J324" t="n">
        <v>0</v>
      </c>
      <c r="K324" t="n">
        <v>0</v>
      </c>
      <c r="L324" t="n">
        <v>0</v>
      </c>
      <c r="M324" t="n">
        <v>0</v>
      </c>
      <c r="N324" t="n">
        <v>0</v>
      </c>
      <c r="O324" t="n">
        <v>0</v>
      </c>
      <c r="P324" t="n">
        <v>0</v>
      </c>
      <c r="Q324" t="n">
        <v>0</v>
      </c>
      <c r="R324" s="2" t="inlineStr"/>
    </row>
    <row r="325" ht="15" customHeight="1">
      <c r="A325" t="inlineStr">
        <is>
          <t>A 46028-2022</t>
        </is>
      </c>
      <c r="B325" s="1" t="n">
        <v>44846</v>
      </c>
      <c r="C325" s="1" t="n">
        <v>45348</v>
      </c>
      <c r="D325" t="inlineStr">
        <is>
          <t>VÄSTERNORRLANDS LÄN</t>
        </is>
      </c>
      <c r="E325" t="inlineStr">
        <is>
          <t>TIMRÅ</t>
        </is>
      </c>
      <c r="F325" t="inlineStr">
        <is>
          <t>Kyrkan</t>
        </is>
      </c>
      <c r="G325" t="n">
        <v>7.9</v>
      </c>
      <c r="H325" t="n">
        <v>0</v>
      </c>
      <c r="I325" t="n">
        <v>0</v>
      </c>
      <c r="J325" t="n">
        <v>0</v>
      </c>
      <c r="K325" t="n">
        <v>0</v>
      </c>
      <c r="L325" t="n">
        <v>0</v>
      </c>
      <c r="M325" t="n">
        <v>0</v>
      </c>
      <c r="N325" t="n">
        <v>0</v>
      </c>
      <c r="O325" t="n">
        <v>0</v>
      </c>
      <c r="P325" t="n">
        <v>0</v>
      </c>
      <c r="Q325" t="n">
        <v>0</v>
      </c>
      <c r="R325" s="2" t="inlineStr"/>
    </row>
    <row r="326" ht="15" customHeight="1">
      <c r="A326" t="inlineStr">
        <is>
          <t>A 46650-2022</t>
        </is>
      </c>
      <c r="B326" s="1" t="n">
        <v>44849</v>
      </c>
      <c r="C326" s="1" t="n">
        <v>45348</v>
      </c>
      <c r="D326" t="inlineStr">
        <is>
          <t>VÄSTERNORRLANDS LÄN</t>
        </is>
      </c>
      <c r="E326" t="inlineStr">
        <is>
          <t>TIMRÅ</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46971-2022</t>
        </is>
      </c>
      <c r="B327" s="1" t="n">
        <v>44852</v>
      </c>
      <c r="C327" s="1" t="n">
        <v>45348</v>
      </c>
      <c r="D327" t="inlineStr">
        <is>
          <t>VÄSTERNORRLANDS LÄN</t>
        </is>
      </c>
      <c r="E327" t="inlineStr">
        <is>
          <t>TIMRÅ</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47293-2022</t>
        </is>
      </c>
      <c r="B328" s="1" t="n">
        <v>44853</v>
      </c>
      <c r="C328" s="1" t="n">
        <v>45348</v>
      </c>
      <c r="D328" t="inlineStr">
        <is>
          <t>VÄSTERNORRLANDS LÄN</t>
        </is>
      </c>
      <c r="E328" t="inlineStr">
        <is>
          <t>TIMRÅ</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47347-2022</t>
        </is>
      </c>
      <c r="B329" s="1" t="n">
        <v>44852</v>
      </c>
      <c r="C329" s="1" t="n">
        <v>45348</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47562-2022</t>
        </is>
      </c>
      <c r="B330" s="1" t="n">
        <v>44853</v>
      </c>
      <c r="C330" s="1" t="n">
        <v>45348</v>
      </c>
      <c r="D330" t="inlineStr">
        <is>
          <t>VÄSTERNORRLANDS LÄN</t>
        </is>
      </c>
      <c r="E330" t="inlineStr">
        <is>
          <t>TIMRÅ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47588-2022</t>
        </is>
      </c>
      <c r="B331" s="1" t="n">
        <v>44854</v>
      </c>
      <c r="C331" s="1" t="n">
        <v>45348</v>
      </c>
      <c r="D331" t="inlineStr">
        <is>
          <t>VÄSTERNORRLANDS LÄN</t>
        </is>
      </c>
      <c r="E331" t="inlineStr">
        <is>
          <t>TIMRÅ</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47697-2022</t>
        </is>
      </c>
      <c r="B332" s="1" t="n">
        <v>44854</v>
      </c>
      <c r="C332" s="1" t="n">
        <v>45348</v>
      </c>
      <c r="D332" t="inlineStr">
        <is>
          <t>VÄSTERNORRLANDS LÄN</t>
        </is>
      </c>
      <c r="E332" t="inlineStr">
        <is>
          <t>TIMRÅ</t>
        </is>
      </c>
      <c r="G332" t="n">
        <v>3.4</v>
      </c>
      <c r="H332" t="n">
        <v>0</v>
      </c>
      <c r="I332" t="n">
        <v>0</v>
      </c>
      <c r="J332" t="n">
        <v>0</v>
      </c>
      <c r="K332" t="n">
        <v>0</v>
      </c>
      <c r="L332" t="n">
        <v>0</v>
      </c>
      <c r="M332" t="n">
        <v>0</v>
      </c>
      <c r="N332" t="n">
        <v>0</v>
      </c>
      <c r="O332" t="n">
        <v>0</v>
      </c>
      <c r="P332" t="n">
        <v>0</v>
      </c>
      <c r="Q332" t="n">
        <v>0</v>
      </c>
      <c r="R332" s="2" t="inlineStr"/>
    </row>
    <row r="333" ht="15" customHeight="1">
      <c r="A333" t="inlineStr">
        <is>
          <t>A 47815-2022</t>
        </is>
      </c>
      <c r="B333" s="1" t="n">
        <v>44854</v>
      </c>
      <c r="C333" s="1" t="n">
        <v>45348</v>
      </c>
      <c r="D333" t="inlineStr">
        <is>
          <t>VÄSTERNORRLANDS LÄN</t>
        </is>
      </c>
      <c r="E333" t="inlineStr">
        <is>
          <t>TIMRÅ</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48083-2022</t>
        </is>
      </c>
      <c r="B334" s="1" t="n">
        <v>44855</v>
      </c>
      <c r="C334" s="1" t="n">
        <v>45348</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48916-2022</t>
        </is>
      </c>
      <c r="B335" s="1" t="n">
        <v>44860</v>
      </c>
      <c r="C335" s="1" t="n">
        <v>45348</v>
      </c>
      <c r="D335" t="inlineStr">
        <is>
          <t>VÄSTERNORRLANDS LÄN</t>
        </is>
      </c>
      <c r="E335" t="inlineStr">
        <is>
          <t>TIMRÅ</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48918-2022</t>
        </is>
      </c>
      <c r="B336" s="1" t="n">
        <v>44859</v>
      </c>
      <c r="C336" s="1" t="n">
        <v>45348</v>
      </c>
      <c r="D336" t="inlineStr">
        <is>
          <t>VÄSTERNORRLANDS LÄN</t>
        </is>
      </c>
      <c r="E336" t="inlineStr">
        <is>
          <t>TIMRÅ</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49203-2022</t>
        </is>
      </c>
      <c r="B337" s="1" t="n">
        <v>44860</v>
      </c>
      <c r="C337" s="1" t="n">
        <v>45348</v>
      </c>
      <c r="D337" t="inlineStr">
        <is>
          <t>VÄSTERNORRLANDS LÄN</t>
        </is>
      </c>
      <c r="E337" t="inlineStr">
        <is>
          <t>TIMRÅ</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50660-2022</t>
        </is>
      </c>
      <c r="B338" s="1" t="n">
        <v>44866</v>
      </c>
      <c r="C338" s="1" t="n">
        <v>45348</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52096-2022</t>
        </is>
      </c>
      <c r="B339" s="1" t="n">
        <v>44868</v>
      </c>
      <c r="C339" s="1" t="n">
        <v>45348</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51564-2022</t>
        </is>
      </c>
      <c r="B340" s="1" t="n">
        <v>44869</v>
      </c>
      <c r="C340" s="1" t="n">
        <v>45348</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51546-2022</t>
        </is>
      </c>
      <c r="B341" s="1" t="n">
        <v>44869</v>
      </c>
      <c r="C341" s="1" t="n">
        <v>45348</v>
      </c>
      <c r="D341" t="inlineStr">
        <is>
          <t>VÄSTERNORRLANDS LÄN</t>
        </is>
      </c>
      <c r="E341" t="inlineStr">
        <is>
          <t>TIMRÅ</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52213-2022</t>
        </is>
      </c>
      <c r="B342" s="1" t="n">
        <v>44869</v>
      </c>
      <c r="C342" s="1" t="n">
        <v>45348</v>
      </c>
      <c r="D342" t="inlineStr">
        <is>
          <t>VÄSTERNORRLANDS LÄN</t>
        </is>
      </c>
      <c r="E342" t="inlineStr">
        <is>
          <t>TIMRÅ</t>
        </is>
      </c>
      <c r="G342" t="n">
        <v>11.4</v>
      </c>
      <c r="H342" t="n">
        <v>0</v>
      </c>
      <c r="I342" t="n">
        <v>0</v>
      </c>
      <c r="J342" t="n">
        <v>0</v>
      </c>
      <c r="K342" t="n">
        <v>0</v>
      </c>
      <c r="L342" t="n">
        <v>0</v>
      </c>
      <c r="M342" t="n">
        <v>0</v>
      </c>
      <c r="N342" t="n">
        <v>0</v>
      </c>
      <c r="O342" t="n">
        <v>0</v>
      </c>
      <c r="P342" t="n">
        <v>0</v>
      </c>
      <c r="Q342" t="n">
        <v>0</v>
      </c>
      <c r="R342" s="2" t="inlineStr"/>
    </row>
    <row r="343" ht="15" customHeight="1">
      <c r="A343" t="inlineStr">
        <is>
          <t>A 52232-2022</t>
        </is>
      </c>
      <c r="B343" s="1" t="n">
        <v>44869</v>
      </c>
      <c r="C343" s="1" t="n">
        <v>45348</v>
      </c>
      <c r="D343" t="inlineStr">
        <is>
          <t>VÄSTERNORRLANDS LÄN</t>
        </is>
      </c>
      <c r="E343" t="inlineStr">
        <is>
          <t>TIMRÅ</t>
        </is>
      </c>
      <c r="G343" t="n">
        <v>7.9</v>
      </c>
      <c r="H343" t="n">
        <v>0</v>
      </c>
      <c r="I343" t="n">
        <v>0</v>
      </c>
      <c r="J343" t="n">
        <v>0</v>
      </c>
      <c r="K343" t="n">
        <v>0</v>
      </c>
      <c r="L343" t="n">
        <v>0</v>
      </c>
      <c r="M343" t="n">
        <v>0</v>
      </c>
      <c r="N343" t="n">
        <v>0</v>
      </c>
      <c r="O343" t="n">
        <v>0</v>
      </c>
      <c r="P343" t="n">
        <v>0</v>
      </c>
      <c r="Q343" t="n">
        <v>0</v>
      </c>
      <c r="R343" s="2" t="inlineStr"/>
    </row>
    <row r="344" ht="15" customHeight="1">
      <c r="A344" t="inlineStr">
        <is>
          <t>A 52220-2022</t>
        </is>
      </c>
      <c r="B344" s="1" t="n">
        <v>44869</v>
      </c>
      <c r="C344" s="1" t="n">
        <v>45348</v>
      </c>
      <c r="D344" t="inlineStr">
        <is>
          <t>VÄSTERNORRLANDS LÄN</t>
        </is>
      </c>
      <c r="E344" t="inlineStr">
        <is>
          <t>TIMRÅ</t>
        </is>
      </c>
      <c r="G344" t="n">
        <v>5.5</v>
      </c>
      <c r="H344" t="n">
        <v>0</v>
      </c>
      <c r="I344" t="n">
        <v>0</v>
      </c>
      <c r="J344" t="n">
        <v>0</v>
      </c>
      <c r="K344" t="n">
        <v>0</v>
      </c>
      <c r="L344" t="n">
        <v>0</v>
      </c>
      <c r="M344" t="n">
        <v>0</v>
      </c>
      <c r="N344" t="n">
        <v>0</v>
      </c>
      <c r="O344" t="n">
        <v>0</v>
      </c>
      <c r="P344" t="n">
        <v>0</v>
      </c>
      <c r="Q344" t="n">
        <v>0</v>
      </c>
      <c r="R344" s="2" t="inlineStr"/>
    </row>
    <row r="345" ht="15" customHeight="1">
      <c r="A345" t="inlineStr">
        <is>
          <t>A 51999-2022</t>
        </is>
      </c>
      <c r="B345" s="1" t="n">
        <v>44872</v>
      </c>
      <c r="C345" s="1" t="n">
        <v>45348</v>
      </c>
      <c r="D345" t="inlineStr">
        <is>
          <t>VÄSTERNORRLANDS LÄN</t>
        </is>
      </c>
      <c r="E345" t="inlineStr">
        <is>
          <t>TIMRÅ</t>
        </is>
      </c>
      <c r="G345" t="n">
        <v>4.7</v>
      </c>
      <c r="H345" t="n">
        <v>0</v>
      </c>
      <c r="I345" t="n">
        <v>0</v>
      </c>
      <c r="J345" t="n">
        <v>0</v>
      </c>
      <c r="K345" t="n">
        <v>0</v>
      </c>
      <c r="L345" t="n">
        <v>0</v>
      </c>
      <c r="M345" t="n">
        <v>0</v>
      </c>
      <c r="N345" t="n">
        <v>0</v>
      </c>
      <c r="O345" t="n">
        <v>0</v>
      </c>
      <c r="P345" t="n">
        <v>0</v>
      </c>
      <c r="Q345" t="n">
        <v>0</v>
      </c>
      <c r="R345" s="2" t="inlineStr"/>
    </row>
    <row r="346" ht="15" customHeight="1">
      <c r="A346" t="inlineStr">
        <is>
          <t>A 52010-2022</t>
        </is>
      </c>
      <c r="B346" s="1" t="n">
        <v>44872</v>
      </c>
      <c r="C346" s="1" t="n">
        <v>45348</v>
      </c>
      <c r="D346" t="inlineStr">
        <is>
          <t>VÄSTERNORRLANDS LÄN</t>
        </is>
      </c>
      <c r="E346" t="inlineStr">
        <is>
          <t>TIMRÅ</t>
        </is>
      </c>
      <c r="G346" t="n">
        <v>1.4</v>
      </c>
      <c r="H346" t="n">
        <v>0</v>
      </c>
      <c r="I346" t="n">
        <v>0</v>
      </c>
      <c r="J346" t="n">
        <v>0</v>
      </c>
      <c r="K346" t="n">
        <v>0</v>
      </c>
      <c r="L346" t="n">
        <v>0</v>
      </c>
      <c r="M346" t="n">
        <v>0</v>
      </c>
      <c r="N346" t="n">
        <v>0</v>
      </c>
      <c r="O346" t="n">
        <v>0</v>
      </c>
      <c r="P346" t="n">
        <v>0</v>
      </c>
      <c r="Q346" t="n">
        <v>0</v>
      </c>
      <c r="R346" s="2" t="inlineStr"/>
    </row>
    <row r="347" ht="15" customHeight="1">
      <c r="A347" t="inlineStr">
        <is>
          <t>A 52474-2022</t>
        </is>
      </c>
      <c r="B347" s="1" t="n">
        <v>44874</v>
      </c>
      <c r="C347" s="1" t="n">
        <v>45348</v>
      </c>
      <c r="D347" t="inlineStr">
        <is>
          <t>VÄSTERNORRLANDS LÄN</t>
        </is>
      </c>
      <c r="E347" t="inlineStr">
        <is>
          <t>TIMRÅ</t>
        </is>
      </c>
      <c r="G347" t="n">
        <v>0.7</v>
      </c>
      <c r="H347" t="n">
        <v>0</v>
      </c>
      <c r="I347" t="n">
        <v>0</v>
      </c>
      <c r="J347" t="n">
        <v>0</v>
      </c>
      <c r="K347" t="n">
        <v>0</v>
      </c>
      <c r="L347" t="n">
        <v>0</v>
      </c>
      <c r="M347" t="n">
        <v>0</v>
      </c>
      <c r="N347" t="n">
        <v>0</v>
      </c>
      <c r="O347" t="n">
        <v>0</v>
      </c>
      <c r="P347" t="n">
        <v>0</v>
      </c>
      <c r="Q347" t="n">
        <v>0</v>
      </c>
      <c r="R347" s="2" t="inlineStr"/>
    </row>
    <row r="348" ht="15" customHeight="1">
      <c r="A348" t="inlineStr">
        <is>
          <t>A 52448-2022</t>
        </is>
      </c>
      <c r="B348" s="1" t="n">
        <v>44874</v>
      </c>
      <c r="C348" s="1" t="n">
        <v>45348</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52705-2022</t>
        </is>
      </c>
      <c r="B349" s="1" t="n">
        <v>44874</v>
      </c>
      <c r="C349" s="1" t="n">
        <v>45348</v>
      </c>
      <c r="D349" t="inlineStr">
        <is>
          <t>VÄSTERNORRLANDS LÄN</t>
        </is>
      </c>
      <c r="E349" t="inlineStr">
        <is>
          <t>TIMRÅ</t>
        </is>
      </c>
      <c r="G349" t="n">
        <v>1.6</v>
      </c>
      <c r="H349" t="n">
        <v>0</v>
      </c>
      <c r="I349" t="n">
        <v>0</v>
      </c>
      <c r="J349" t="n">
        <v>0</v>
      </c>
      <c r="K349" t="n">
        <v>0</v>
      </c>
      <c r="L349" t="n">
        <v>0</v>
      </c>
      <c r="M349" t="n">
        <v>0</v>
      </c>
      <c r="N349" t="n">
        <v>0</v>
      </c>
      <c r="O349" t="n">
        <v>0</v>
      </c>
      <c r="P349" t="n">
        <v>0</v>
      </c>
      <c r="Q349" t="n">
        <v>0</v>
      </c>
      <c r="R349" s="2" t="inlineStr"/>
    </row>
    <row r="350" ht="15" customHeight="1">
      <c r="A350" t="inlineStr">
        <is>
          <t>A 53659-2022</t>
        </is>
      </c>
      <c r="B350" s="1" t="n">
        <v>44879</v>
      </c>
      <c r="C350" s="1" t="n">
        <v>45348</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53957-2022</t>
        </is>
      </c>
      <c r="B351" s="1" t="n">
        <v>44880</v>
      </c>
      <c r="C351" s="1" t="n">
        <v>45348</v>
      </c>
      <c r="D351" t="inlineStr">
        <is>
          <t>VÄSTERNORRLANDS LÄN</t>
        </is>
      </c>
      <c r="E351" t="inlineStr">
        <is>
          <t>TIMRÅ</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55357-2022</t>
        </is>
      </c>
      <c r="B352" s="1" t="n">
        <v>44882</v>
      </c>
      <c r="C352" s="1" t="n">
        <v>45348</v>
      </c>
      <c r="D352" t="inlineStr">
        <is>
          <t>VÄSTERNORRLANDS LÄN</t>
        </is>
      </c>
      <c r="E352" t="inlineStr">
        <is>
          <t>TIMRÅ</t>
        </is>
      </c>
      <c r="G352" t="n">
        <v>17.3</v>
      </c>
      <c r="H352" t="n">
        <v>0</v>
      </c>
      <c r="I352" t="n">
        <v>0</v>
      </c>
      <c r="J352" t="n">
        <v>0</v>
      </c>
      <c r="K352" t="n">
        <v>0</v>
      </c>
      <c r="L352" t="n">
        <v>0</v>
      </c>
      <c r="M352" t="n">
        <v>0</v>
      </c>
      <c r="N352" t="n">
        <v>0</v>
      </c>
      <c r="O352" t="n">
        <v>0</v>
      </c>
      <c r="P352" t="n">
        <v>0</v>
      </c>
      <c r="Q352" t="n">
        <v>0</v>
      </c>
      <c r="R352" s="2" t="inlineStr"/>
    </row>
    <row r="353" ht="15" customHeight="1">
      <c r="A353" t="inlineStr">
        <is>
          <t>A 54747-2022</t>
        </is>
      </c>
      <c r="B353" s="1" t="n">
        <v>44883</v>
      </c>
      <c r="C353" s="1" t="n">
        <v>45348</v>
      </c>
      <c r="D353" t="inlineStr">
        <is>
          <t>VÄSTERNORRLANDS LÄN</t>
        </is>
      </c>
      <c r="E353" t="inlineStr">
        <is>
          <t>TIMRÅ</t>
        </is>
      </c>
      <c r="G353" t="n">
        <v>0.9</v>
      </c>
      <c r="H353" t="n">
        <v>0</v>
      </c>
      <c r="I353" t="n">
        <v>0</v>
      </c>
      <c r="J353" t="n">
        <v>0</v>
      </c>
      <c r="K353" t="n">
        <v>0</v>
      </c>
      <c r="L353" t="n">
        <v>0</v>
      </c>
      <c r="M353" t="n">
        <v>0</v>
      </c>
      <c r="N353" t="n">
        <v>0</v>
      </c>
      <c r="O353" t="n">
        <v>0</v>
      </c>
      <c r="P353" t="n">
        <v>0</v>
      </c>
      <c r="Q353" t="n">
        <v>0</v>
      </c>
      <c r="R353" s="2" t="inlineStr"/>
    </row>
    <row r="354" ht="15" customHeight="1">
      <c r="A354" t="inlineStr">
        <is>
          <t>A 55179-2022</t>
        </is>
      </c>
      <c r="B354" s="1" t="n">
        <v>44886</v>
      </c>
      <c r="C354" s="1" t="n">
        <v>45348</v>
      </c>
      <c r="D354" t="inlineStr">
        <is>
          <t>VÄSTERNORRLANDS LÄN</t>
        </is>
      </c>
      <c r="E354" t="inlineStr">
        <is>
          <t>TIMRÅ</t>
        </is>
      </c>
      <c r="G354" t="n">
        <v>0.4</v>
      </c>
      <c r="H354" t="n">
        <v>0</v>
      </c>
      <c r="I354" t="n">
        <v>0</v>
      </c>
      <c r="J354" t="n">
        <v>0</v>
      </c>
      <c r="K354" t="n">
        <v>0</v>
      </c>
      <c r="L354" t="n">
        <v>0</v>
      </c>
      <c r="M354" t="n">
        <v>0</v>
      </c>
      <c r="N354" t="n">
        <v>0</v>
      </c>
      <c r="O354" t="n">
        <v>0</v>
      </c>
      <c r="P354" t="n">
        <v>0</v>
      </c>
      <c r="Q354" t="n">
        <v>0</v>
      </c>
      <c r="R354" s="2" t="inlineStr"/>
    </row>
    <row r="355" ht="15" customHeight="1">
      <c r="A355" t="inlineStr">
        <is>
          <t>A 55240-2022</t>
        </is>
      </c>
      <c r="B355" s="1" t="n">
        <v>44887</v>
      </c>
      <c r="C355" s="1" t="n">
        <v>45348</v>
      </c>
      <c r="D355" t="inlineStr">
        <is>
          <t>VÄSTERNORRLANDS LÄN</t>
        </is>
      </c>
      <c r="E355" t="inlineStr">
        <is>
          <t>TIMRÅ</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55521-2022</t>
        </is>
      </c>
      <c r="B356" s="1" t="n">
        <v>44887</v>
      </c>
      <c r="C356" s="1" t="n">
        <v>45348</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55511-2022</t>
        </is>
      </c>
      <c r="B357" s="1" t="n">
        <v>44887</v>
      </c>
      <c r="C357" s="1" t="n">
        <v>45348</v>
      </c>
      <c r="D357" t="inlineStr">
        <is>
          <t>VÄSTERNORRLANDS LÄN</t>
        </is>
      </c>
      <c r="E357" t="inlineStr">
        <is>
          <t>TIMRÅ</t>
        </is>
      </c>
      <c r="G357" t="n">
        <v>0.5</v>
      </c>
      <c r="H357" t="n">
        <v>0</v>
      </c>
      <c r="I357" t="n">
        <v>0</v>
      </c>
      <c r="J357" t="n">
        <v>0</v>
      </c>
      <c r="K357" t="n">
        <v>0</v>
      </c>
      <c r="L357" t="n">
        <v>0</v>
      </c>
      <c r="M357" t="n">
        <v>0</v>
      </c>
      <c r="N357" t="n">
        <v>0</v>
      </c>
      <c r="O357" t="n">
        <v>0</v>
      </c>
      <c r="P357" t="n">
        <v>0</v>
      </c>
      <c r="Q357" t="n">
        <v>0</v>
      </c>
      <c r="R357" s="2" t="inlineStr"/>
    </row>
    <row r="358" ht="15" customHeight="1">
      <c r="A358" t="inlineStr">
        <is>
          <t>A 55510-2022</t>
        </is>
      </c>
      <c r="B358" s="1" t="n">
        <v>44887</v>
      </c>
      <c r="C358" s="1" t="n">
        <v>45348</v>
      </c>
      <c r="D358" t="inlineStr">
        <is>
          <t>VÄSTERNORRLANDS LÄN</t>
        </is>
      </c>
      <c r="E358" t="inlineStr">
        <is>
          <t>TIMRÅ</t>
        </is>
      </c>
      <c r="G358" t="n">
        <v>0.8</v>
      </c>
      <c r="H358" t="n">
        <v>0</v>
      </c>
      <c r="I358" t="n">
        <v>0</v>
      </c>
      <c r="J358" t="n">
        <v>0</v>
      </c>
      <c r="K358" t="n">
        <v>0</v>
      </c>
      <c r="L358" t="n">
        <v>0</v>
      </c>
      <c r="M358" t="n">
        <v>0</v>
      </c>
      <c r="N358" t="n">
        <v>0</v>
      </c>
      <c r="O358" t="n">
        <v>0</v>
      </c>
      <c r="P358" t="n">
        <v>0</v>
      </c>
      <c r="Q358" t="n">
        <v>0</v>
      </c>
      <c r="R358" s="2" t="inlineStr"/>
    </row>
    <row r="359" ht="15" customHeight="1">
      <c r="A359" t="inlineStr">
        <is>
          <t>A 55517-2022</t>
        </is>
      </c>
      <c r="B359" s="1" t="n">
        <v>44887</v>
      </c>
      <c r="C359" s="1" t="n">
        <v>45348</v>
      </c>
      <c r="D359" t="inlineStr">
        <is>
          <t>VÄSTERNORRLANDS LÄN</t>
        </is>
      </c>
      <c r="E359" t="inlineStr">
        <is>
          <t>TIMRÅ</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55872-2022</t>
        </is>
      </c>
      <c r="B360" s="1" t="n">
        <v>44888</v>
      </c>
      <c r="C360" s="1" t="n">
        <v>45348</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55886-2022</t>
        </is>
      </c>
      <c r="B361" s="1" t="n">
        <v>44888</v>
      </c>
      <c r="C361" s="1" t="n">
        <v>45348</v>
      </c>
      <c r="D361" t="inlineStr">
        <is>
          <t>VÄSTERNORRLANDS LÄN</t>
        </is>
      </c>
      <c r="E361" t="inlineStr">
        <is>
          <t>TIMRÅ</t>
        </is>
      </c>
      <c r="G361" t="n">
        <v>0.6</v>
      </c>
      <c r="H361" t="n">
        <v>0</v>
      </c>
      <c r="I361" t="n">
        <v>0</v>
      </c>
      <c r="J361" t="n">
        <v>0</v>
      </c>
      <c r="K361" t="n">
        <v>0</v>
      </c>
      <c r="L361" t="n">
        <v>0</v>
      </c>
      <c r="M361" t="n">
        <v>0</v>
      </c>
      <c r="N361" t="n">
        <v>0</v>
      </c>
      <c r="O361" t="n">
        <v>0</v>
      </c>
      <c r="P361" t="n">
        <v>0</v>
      </c>
      <c r="Q361" t="n">
        <v>0</v>
      </c>
      <c r="R361" s="2" t="inlineStr"/>
    </row>
    <row r="362" ht="15" customHeight="1">
      <c r="A362" t="inlineStr">
        <is>
          <t>A 56170-2022</t>
        </is>
      </c>
      <c r="B362" s="1" t="n">
        <v>44889</v>
      </c>
      <c r="C362" s="1" t="n">
        <v>45348</v>
      </c>
      <c r="D362" t="inlineStr">
        <is>
          <t>VÄSTERNORRLANDS LÄN</t>
        </is>
      </c>
      <c r="E362" t="inlineStr">
        <is>
          <t>TIMRÅ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57403-2022</t>
        </is>
      </c>
      <c r="B363" s="1" t="n">
        <v>44889</v>
      </c>
      <c r="C363" s="1" t="n">
        <v>45348</v>
      </c>
      <c r="D363" t="inlineStr">
        <is>
          <t>VÄSTERNORRLANDS LÄN</t>
        </is>
      </c>
      <c r="E363" t="inlineStr">
        <is>
          <t>TIMRÅ</t>
        </is>
      </c>
      <c r="G363" t="n">
        <v>9.6</v>
      </c>
      <c r="H363" t="n">
        <v>0</v>
      </c>
      <c r="I363" t="n">
        <v>0</v>
      </c>
      <c r="J363" t="n">
        <v>0</v>
      </c>
      <c r="K363" t="n">
        <v>0</v>
      </c>
      <c r="L363" t="n">
        <v>0</v>
      </c>
      <c r="M363" t="n">
        <v>0</v>
      </c>
      <c r="N363" t="n">
        <v>0</v>
      </c>
      <c r="O363" t="n">
        <v>0</v>
      </c>
      <c r="P363" t="n">
        <v>0</v>
      </c>
      <c r="Q363" t="n">
        <v>0</v>
      </c>
      <c r="R363" s="2" t="inlineStr"/>
    </row>
    <row r="364" ht="15" customHeight="1">
      <c r="A364" t="inlineStr">
        <is>
          <t>A 57380-2022</t>
        </is>
      </c>
      <c r="B364" s="1" t="n">
        <v>44889</v>
      </c>
      <c r="C364" s="1" t="n">
        <v>45348</v>
      </c>
      <c r="D364" t="inlineStr">
        <is>
          <t>VÄSTERNORRLANDS LÄN</t>
        </is>
      </c>
      <c r="E364" t="inlineStr">
        <is>
          <t>TIMRÅ</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56410-2022</t>
        </is>
      </c>
      <c r="B365" s="1" t="n">
        <v>44890</v>
      </c>
      <c r="C365" s="1" t="n">
        <v>45348</v>
      </c>
      <c r="D365" t="inlineStr">
        <is>
          <t>VÄSTERNORRLANDS LÄN</t>
        </is>
      </c>
      <c r="E365" t="inlineStr">
        <is>
          <t>TIMRÅ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56723-2022</t>
        </is>
      </c>
      <c r="B366" s="1" t="n">
        <v>44893</v>
      </c>
      <c r="C366" s="1" t="n">
        <v>45348</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57268-2022</t>
        </is>
      </c>
      <c r="B367" s="1" t="n">
        <v>44895</v>
      </c>
      <c r="C367" s="1" t="n">
        <v>45348</v>
      </c>
      <c r="D367" t="inlineStr">
        <is>
          <t>VÄSTERNORRLANDS LÄN</t>
        </is>
      </c>
      <c r="E367" t="inlineStr">
        <is>
          <t>TIMRÅ</t>
        </is>
      </c>
      <c r="G367" t="n">
        <v>0.6</v>
      </c>
      <c r="H367" t="n">
        <v>0</v>
      </c>
      <c r="I367" t="n">
        <v>0</v>
      </c>
      <c r="J367" t="n">
        <v>0</v>
      </c>
      <c r="K367" t="n">
        <v>0</v>
      </c>
      <c r="L367" t="n">
        <v>0</v>
      </c>
      <c r="M367" t="n">
        <v>0</v>
      </c>
      <c r="N367" t="n">
        <v>0</v>
      </c>
      <c r="O367" t="n">
        <v>0</v>
      </c>
      <c r="P367" t="n">
        <v>0</v>
      </c>
      <c r="Q367" t="n">
        <v>0</v>
      </c>
      <c r="R367" s="2" t="inlineStr"/>
    </row>
    <row r="368" ht="15" customHeight="1">
      <c r="A368" t="inlineStr">
        <is>
          <t>A 57841-2022</t>
        </is>
      </c>
      <c r="B368" s="1" t="n">
        <v>44897</v>
      </c>
      <c r="C368" s="1" t="n">
        <v>45348</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57840-2022</t>
        </is>
      </c>
      <c r="B369" s="1" t="n">
        <v>44897</v>
      </c>
      <c r="C369" s="1" t="n">
        <v>45348</v>
      </c>
      <c r="D369" t="inlineStr">
        <is>
          <t>VÄSTERNORRLANDS LÄN</t>
        </is>
      </c>
      <c r="E369" t="inlineStr">
        <is>
          <t>TIMRÅ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58188-2022</t>
        </is>
      </c>
      <c r="B370" s="1" t="n">
        <v>44900</v>
      </c>
      <c r="C370" s="1" t="n">
        <v>45348</v>
      </c>
      <c r="D370" t="inlineStr">
        <is>
          <t>VÄSTERNORRLANDS LÄN</t>
        </is>
      </c>
      <c r="E370" t="inlineStr">
        <is>
          <t>TIMRÅ</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59942-2022</t>
        </is>
      </c>
      <c r="B371" s="1" t="n">
        <v>44901</v>
      </c>
      <c r="C371" s="1" t="n">
        <v>45348</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59128-2022</t>
        </is>
      </c>
      <c r="B372" s="1" t="n">
        <v>44904</v>
      </c>
      <c r="C372" s="1" t="n">
        <v>45348</v>
      </c>
      <c r="D372" t="inlineStr">
        <is>
          <t>VÄSTERNORRLANDS LÄN</t>
        </is>
      </c>
      <c r="E372" t="inlineStr">
        <is>
          <t>TIMRÅ</t>
        </is>
      </c>
      <c r="G372" t="n">
        <v>9</v>
      </c>
      <c r="H372" t="n">
        <v>0</v>
      </c>
      <c r="I372" t="n">
        <v>0</v>
      </c>
      <c r="J372" t="n">
        <v>0</v>
      </c>
      <c r="K372" t="n">
        <v>0</v>
      </c>
      <c r="L372" t="n">
        <v>0</v>
      </c>
      <c r="M372" t="n">
        <v>0</v>
      </c>
      <c r="N372" t="n">
        <v>0</v>
      </c>
      <c r="O372" t="n">
        <v>0</v>
      </c>
      <c r="P372" t="n">
        <v>0</v>
      </c>
      <c r="Q372" t="n">
        <v>0</v>
      </c>
      <c r="R372" s="2" t="inlineStr"/>
    </row>
    <row r="373" ht="15" customHeight="1">
      <c r="A373" t="inlineStr">
        <is>
          <t>A 60166-2022</t>
        </is>
      </c>
      <c r="B373" s="1" t="n">
        <v>44909</v>
      </c>
      <c r="C373" s="1" t="n">
        <v>45348</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61576-2022</t>
        </is>
      </c>
      <c r="B374" s="1" t="n">
        <v>44910</v>
      </c>
      <c r="C374" s="1" t="n">
        <v>45348</v>
      </c>
      <c r="D374" t="inlineStr">
        <is>
          <t>VÄSTERNORRLANDS LÄN</t>
        </is>
      </c>
      <c r="E374" t="inlineStr">
        <is>
          <t>TIMRÅ</t>
        </is>
      </c>
      <c r="G374" t="n">
        <v>4</v>
      </c>
      <c r="H374" t="n">
        <v>0</v>
      </c>
      <c r="I374" t="n">
        <v>0</v>
      </c>
      <c r="J374" t="n">
        <v>0</v>
      </c>
      <c r="K374" t="n">
        <v>0</v>
      </c>
      <c r="L374" t="n">
        <v>0</v>
      </c>
      <c r="M374" t="n">
        <v>0</v>
      </c>
      <c r="N374" t="n">
        <v>0</v>
      </c>
      <c r="O374" t="n">
        <v>0</v>
      </c>
      <c r="P374" t="n">
        <v>0</v>
      </c>
      <c r="Q374" t="n">
        <v>0</v>
      </c>
      <c r="R374" s="2" t="inlineStr"/>
    </row>
    <row r="375" ht="15" customHeight="1">
      <c r="A375" t="inlineStr">
        <is>
          <t>A 61373-2022</t>
        </is>
      </c>
      <c r="B375" s="1" t="n">
        <v>44915</v>
      </c>
      <c r="C375" s="1" t="n">
        <v>45348</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62113-2022</t>
        </is>
      </c>
      <c r="B376" s="1" t="n">
        <v>44921</v>
      </c>
      <c r="C376" s="1" t="n">
        <v>45348</v>
      </c>
      <c r="D376" t="inlineStr">
        <is>
          <t>VÄSTERNORRLANDS LÄN</t>
        </is>
      </c>
      <c r="E376" t="inlineStr">
        <is>
          <t>TIMRÅ</t>
        </is>
      </c>
      <c r="G376" t="n">
        <v>1</v>
      </c>
      <c r="H376" t="n">
        <v>0</v>
      </c>
      <c r="I376" t="n">
        <v>0</v>
      </c>
      <c r="J376" t="n">
        <v>0</v>
      </c>
      <c r="K376" t="n">
        <v>0</v>
      </c>
      <c r="L376" t="n">
        <v>0</v>
      </c>
      <c r="M376" t="n">
        <v>0</v>
      </c>
      <c r="N376" t="n">
        <v>0</v>
      </c>
      <c r="O376" t="n">
        <v>0</v>
      </c>
      <c r="P376" t="n">
        <v>0</v>
      </c>
      <c r="Q376" t="n">
        <v>0</v>
      </c>
      <c r="R376" s="2" t="inlineStr"/>
    </row>
    <row r="377" ht="15" customHeight="1">
      <c r="A377" t="inlineStr">
        <is>
          <t>A 528-2023</t>
        </is>
      </c>
      <c r="B377" s="1" t="n">
        <v>44924</v>
      </c>
      <c r="C377" s="1" t="n">
        <v>45348</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524-2023</t>
        </is>
      </c>
      <c r="B378" s="1" t="n">
        <v>44924</v>
      </c>
      <c r="C378" s="1" t="n">
        <v>45348</v>
      </c>
      <c r="D378" t="inlineStr">
        <is>
          <t>VÄSTERNORRLANDS LÄN</t>
        </is>
      </c>
      <c r="E378" t="inlineStr">
        <is>
          <t>TIMRÅ</t>
        </is>
      </c>
      <c r="G378" t="n">
        <v>3</v>
      </c>
      <c r="H378" t="n">
        <v>0</v>
      </c>
      <c r="I378" t="n">
        <v>0</v>
      </c>
      <c r="J378" t="n">
        <v>0</v>
      </c>
      <c r="K378" t="n">
        <v>0</v>
      </c>
      <c r="L378" t="n">
        <v>0</v>
      </c>
      <c r="M378" t="n">
        <v>0</v>
      </c>
      <c r="N378" t="n">
        <v>0</v>
      </c>
      <c r="O378" t="n">
        <v>0</v>
      </c>
      <c r="P378" t="n">
        <v>0</v>
      </c>
      <c r="Q378" t="n">
        <v>0</v>
      </c>
      <c r="R378" s="2" t="inlineStr"/>
    </row>
    <row r="379" ht="15" customHeight="1">
      <c r="A379" t="inlineStr">
        <is>
          <t>A 704-2023</t>
        </is>
      </c>
      <c r="B379" s="1" t="n">
        <v>44930</v>
      </c>
      <c r="C379" s="1" t="n">
        <v>45348</v>
      </c>
      <c r="D379" t="inlineStr">
        <is>
          <t>VÄSTERNORRLANDS LÄN</t>
        </is>
      </c>
      <c r="E379" t="inlineStr">
        <is>
          <t>TIMRÅ</t>
        </is>
      </c>
      <c r="G379" t="n">
        <v>1.6</v>
      </c>
      <c r="H379" t="n">
        <v>0</v>
      </c>
      <c r="I379" t="n">
        <v>0</v>
      </c>
      <c r="J379" t="n">
        <v>0</v>
      </c>
      <c r="K379" t="n">
        <v>0</v>
      </c>
      <c r="L379" t="n">
        <v>0</v>
      </c>
      <c r="M379" t="n">
        <v>0</v>
      </c>
      <c r="N379" t="n">
        <v>0</v>
      </c>
      <c r="O379" t="n">
        <v>0</v>
      </c>
      <c r="P379" t="n">
        <v>0</v>
      </c>
      <c r="Q379" t="n">
        <v>0</v>
      </c>
      <c r="R379" s="2" t="inlineStr"/>
    </row>
    <row r="380" ht="15" customHeight="1">
      <c r="A380" t="inlineStr">
        <is>
          <t>A 1416-2023</t>
        </is>
      </c>
      <c r="B380" s="1" t="n">
        <v>44936</v>
      </c>
      <c r="C380" s="1" t="n">
        <v>45348</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1415-2023</t>
        </is>
      </c>
      <c r="B381" s="1" t="n">
        <v>44936</v>
      </c>
      <c r="C381" s="1" t="n">
        <v>45348</v>
      </c>
      <c r="D381" t="inlineStr">
        <is>
          <t>VÄSTERNORRLANDS LÄN</t>
        </is>
      </c>
      <c r="E381" t="inlineStr">
        <is>
          <t>TIMRÅ</t>
        </is>
      </c>
      <c r="G381" t="n">
        <v>1.4</v>
      </c>
      <c r="H381" t="n">
        <v>0</v>
      </c>
      <c r="I381" t="n">
        <v>0</v>
      </c>
      <c r="J381" t="n">
        <v>0</v>
      </c>
      <c r="K381" t="n">
        <v>0</v>
      </c>
      <c r="L381" t="n">
        <v>0</v>
      </c>
      <c r="M381" t="n">
        <v>0</v>
      </c>
      <c r="N381" t="n">
        <v>0</v>
      </c>
      <c r="O381" t="n">
        <v>0</v>
      </c>
      <c r="P381" t="n">
        <v>0</v>
      </c>
      <c r="Q381" t="n">
        <v>0</v>
      </c>
      <c r="R381" s="2" t="inlineStr"/>
    </row>
    <row r="382" ht="15" customHeight="1">
      <c r="A382" t="inlineStr">
        <is>
          <t>A 1896-2023</t>
        </is>
      </c>
      <c r="B382" s="1" t="n">
        <v>44939</v>
      </c>
      <c r="C382" s="1" t="n">
        <v>45348</v>
      </c>
      <c r="D382" t="inlineStr">
        <is>
          <t>VÄSTERNORRLANDS LÄN</t>
        </is>
      </c>
      <c r="E382" t="inlineStr">
        <is>
          <t>TIMRÅ</t>
        </is>
      </c>
      <c r="G382" t="n">
        <v>7.6</v>
      </c>
      <c r="H382" t="n">
        <v>0</v>
      </c>
      <c r="I382" t="n">
        <v>0</v>
      </c>
      <c r="J382" t="n">
        <v>0</v>
      </c>
      <c r="K382" t="n">
        <v>0</v>
      </c>
      <c r="L382" t="n">
        <v>0</v>
      </c>
      <c r="M382" t="n">
        <v>0</v>
      </c>
      <c r="N382" t="n">
        <v>0</v>
      </c>
      <c r="O382" t="n">
        <v>0</v>
      </c>
      <c r="P382" t="n">
        <v>0</v>
      </c>
      <c r="Q382" t="n">
        <v>0</v>
      </c>
      <c r="R382" s="2" t="inlineStr"/>
    </row>
    <row r="383" ht="15" customHeight="1">
      <c r="A383" t="inlineStr">
        <is>
          <t>A 1935-2023</t>
        </is>
      </c>
      <c r="B383" s="1" t="n">
        <v>44939</v>
      </c>
      <c r="C383" s="1" t="n">
        <v>45348</v>
      </c>
      <c r="D383" t="inlineStr">
        <is>
          <t>VÄSTERNORRLANDS LÄN</t>
        </is>
      </c>
      <c r="E383" t="inlineStr">
        <is>
          <t>TIMRÅ</t>
        </is>
      </c>
      <c r="G383" t="n">
        <v>5</v>
      </c>
      <c r="H383" t="n">
        <v>0</v>
      </c>
      <c r="I383" t="n">
        <v>0</v>
      </c>
      <c r="J383" t="n">
        <v>0</v>
      </c>
      <c r="K383" t="n">
        <v>0</v>
      </c>
      <c r="L383" t="n">
        <v>0</v>
      </c>
      <c r="M383" t="n">
        <v>0</v>
      </c>
      <c r="N383" t="n">
        <v>0</v>
      </c>
      <c r="O383" t="n">
        <v>0</v>
      </c>
      <c r="P383" t="n">
        <v>0</v>
      </c>
      <c r="Q383" t="n">
        <v>0</v>
      </c>
      <c r="R383" s="2" t="inlineStr"/>
    </row>
    <row r="384" ht="15" customHeight="1">
      <c r="A384" t="inlineStr">
        <is>
          <t>A 2434-2023</t>
        </is>
      </c>
      <c r="B384" s="1" t="n">
        <v>44943</v>
      </c>
      <c r="C384" s="1" t="n">
        <v>45348</v>
      </c>
      <c r="D384" t="inlineStr">
        <is>
          <t>VÄSTERNORRLANDS LÄN</t>
        </is>
      </c>
      <c r="E384" t="inlineStr">
        <is>
          <t>TIMRÅ</t>
        </is>
      </c>
      <c r="G384" t="n">
        <v>6.6</v>
      </c>
      <c r="H384" t="n">
        <v>0</v>
      </c>
      <c r="I384" t="n">
        <v>0</v>
      </c>
      <c r="J384" t="n">
        <v>0</v>
      </c>
      <c r="K384" t="n">
        <v>0</v>
      </c>
      <c r="L384" t="n">
        <v>0</v>
      </c>
      <c r="M384" t="n">
        <v>0</v>
      </c>
      <c r="N384" t="n">
        <v>0</v>
      </c>
      <c r="O384" t="n">
        <v>0</v>
      </c>
      <c r="P384" t="n">
        <v>0</v>
      </c>
      <c r="Q384" t="n">
        <v>0</v>
      </c>
      <c r="R384" s="2" t="inlineStr"/>
    </row>
    <row r="385" ht="15" customHeight="1">
      <c r="A385" t="inlineStr">
        <is>
          <t>A 4124-2023</t>
        </is>
      </c>
      <c r="B385" s="1" t="n">
        <v>44952</v>
      </c>
      <c r="C385" s="1" t="n">
        <v>45348</v>
      </c>
      <c r="D385" t="inlineStr">
        <is>
          <t>VÄSTERNORRLANDS LÄN</t>
        </is>
      </c>
      <c r="E385" t="inlineStr">
        <is>
          <t>TIMRÅ</t>
        </is>
      </c>
      <c r="G385" t="n">
        <v>4.4</v>
      </c>
      <c r="H385" t="n">
        <v>0</v>
      </c>
      <c r="I385" t="n">
        <v>0</v>
      </c>
      <c r="J385" t="n">
        <v>0</v>
      </c>
      <c r="K385" t="n">
        <v>0</v>
      </c>
      <c r="L385" t="n">
        <v>0</v>
      </c>
      <c r="M385" t="n">
        <v>0</v>
      </c>
      <c r="N385" t="n">
        <v>0</v>
      </c>
      <c r="O385" t="n">
        <v>0</v>
      </c>
      <c r="P385" t="n">
        <v>0</v>
      </c>
      <c r="Q385" t="n">
        <v>0</v>
      </c>
      <c r="R385" s="2" t="inlineStr"/>
    </row>
    <row r="386" ht="15" customHeight="1">
      <c r="A386" t="inlineStr">
        <is>
          <t>A 4123-2023</t>
        </is>
      </c>
      <c r="B386" s="1" t="n">
        <v>44952</v>
      </c>
      <c r="C386" s="1" t="n">
        <v>45348</v>
      </c>
      <c r="D386" t="inlineStr">
        <is>
          <t>VÄSTERNORRLANDS LÄN</t>
        </is>
      </c>
      <c r="E386" t="inlineStr">
        <is>
          <t>TIMRÅ</t>
        </is>
      </c>
      <c r="G386" t="n">
        <v>9.5</v>
      </c>
      <c r="H386" t="n">
        <v>0</v>
      </c>
      <c r="I386" t="n">
        <v>0</v>
      </c>
      <c r="J386" t="n">
        <v>0</v>
      </c>
      <c r="K386" t="n">
        <v>0</v>
      </c>
      <c r="L386" t="n">
        <v>0</v>
      </c>
      <c r="M386" t="n">
        <v>0</v>
      </c>
      <c r="N386" t="n">
        <v>0</v>
      </c>
      <c r="O386" t="n">
        <v>0</v>
      </c>
      <c r="P386" t="n">
        <v>0</v>
      </c>
      <c r="Q386" t="n">
        <v>0</v>
      </c>
      <c r="R386" s="2" t="inlineStr"/>
    </row>
    <row r="387" ht="15" customHeight="1">
      <c r="A387" t="inlineStr">
        <is>
          <t>A 4126-2023</t>
        </is>
      </c>
      <c r="B387" s="1" t="n">
        <v>44952</v>
      </c>
      <c r="C387" s="1" t="n">
        <v>45348</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4125-2023</t>
        </is>
      </c>
      <c r="B388" s="1" t="n">
        <v>44952</v>
      </c>
      <c r="C388" s="1" t="n">
        <v>45348</v>
      </c>
      <c r="D388" t="inlineStr">
        <is>
          <t>VÄSTERNORRLANDS LÄN</t>
        </is>
      </c>
      <c r="E388" t="inlineStr">
        <is>
          <t>TIMRÅ</t>
        </is>
      </c>
      <c r="G388" t="n">
        <v>2.3</v>
      </c>
      <c r="H388" t="n">
        <v>0</v>
      </c>
      <c r="I388" t="n">
        <v>0</v>
      </c>
      <c r="J388" t="n">
        <v>0</v>
      </c>
      <c r="K388" t="n">
        <v>0</v>
      </c>
      <c r="L388" t="n">
        <v>0</v>
      </c>
      <c r="M388" t="n">
        <v>0</v>
      </c>
      <c r="N388" t="n">
        <v>0</v>
      </c>
      <c r="O388" t="n">
        <v>0</v>
      </c>
      <c r="P388" t="n">
        <v>0</v>
      </c>
      <c r="Q388" t="n">
        <v>0</v>
      </c>
      <c r="R388" s="2" t="inlineStr"/>
    </row>
    <row r="389" ht="15" customHeight="1">
      <c r="A389" t="inlineStr">
        <is>
          <t>A 4129-2023</t>
        </is>
      </c>
      <c r="B389" s="1" t="n">
        <v>44952</v>
      </c>
      <c r="C389" s="1" t="n">
        <v>45348</v>
      </c>
      <c r="D389" t="inlineStr">
        <is>
          <t>VÄSTERNORRLANDS LÄN</t>
        </is>
      </c>
      <c r="E389" t="inlineStr">
        <is>
          <t>TIMRÅ</t>
        </is>
      </c>
      <c r="G389" t="n">
        <v>13.3</v>
      </c>
      <c r="H389" t="n">
        <v>0</v>
      </c>
      <c r="I389" t="n">
        <v>0</v>
      </c>
      <c r="J389" t="n">
        <v>0</v>
      </c>
      <c r="K389" t="n">
        <v>0</v>
      </c>
      <c r="L389" t="n">
        <v>0</v>
      </c>
      <c r="M389" t="n">
        <v>0</v>
      </c>
      <c r="N389" t="n">
        <v>0</v>
      </c>
      <c r="O389" t="n">
        <v>0</v>
      </c>
      <c r="P389" t="n">
        <v>0</v>
      </c>
      <c r="Q389" t="n">
        <v>0</v>
      </c>
      <c r="R389" s="2" t="inlineStr"/>
    </row>
    <row r="390" ht="15" customHeight="1">
      <c r="A390" t="inlineStr">
        <is>
          <t>A 6772-2023</t>
        </is>
      </c>
      <c r="B390" s="1" t="n">
        <v>44966</v>
      </c>
      <c r="C390" s="1" t="n">
        <v>45348</v>
      </c>
      <c r="D390" t="inlineStr">
        <is>
          <t>VÄSTERNORRLANDS LÄN</t>
        </is>
      </c>
      <c r="E390" t="inlineStr">
        <is>
          <t>TIMRÅ</t>
        </is>
      </c>
      <c r="G390" t="n">
        <v>1.9</v>
      </c>
      <c r="H390" t="n">
        <v>0</v>
      </c>
      <c r="I390" t="n">
        <v>0</v>
      </c>
      <c r="J390" t="n">
        <v>0</v>
      </c>
      <c r="K390" t="n">
        <v>0</v>
      </c>
      <c r="L390" t="n">
        <v>0</v>
      </c>
      <c r="M390" t="n">
        <v>0</v>
      </c>
      <c r="N390" t="n">
        <v>0</v>
      </c>
      <c r="O390" t="n">
        <v>0</v>
      </c>
      <c r="P390" t="n">
        <v>0</v>
      </c>
      <c r="Q390" t="n">
        <v>0</v>
      </c>
      <c r="R390" s="2" t="inlineStr"/>
    </row>
    <row r="391" ht="15" customHeight="1">
      <c r="A391" t="inlineStr">
        <is>
          <t>A 6770-2023</t>
        </is>
      </c>
      <c r="B391" s="1" t="n">
        <v>44966</v>
      </c>
      <c r="C391" s="1" t="n">
        <v>45348</v>
      </c>
      <c r="D391" t="inlineStr">
        <is>
          <t>VÄSTERNORRLANDS LÄN</t>
        </is>
      </c>
      <c r="E391" t="inlineStr">
        <is>
          <t>TIMRÅ</t>
        </is>
      </c>
      <c r="G391" t="n">
        <v>3.3</v>
      </c>
      <c r="H391" t="n">
        <v>0</v>
      </c>
      <c r="I391" t="n">
        <v>0</v>
      </c>
      <c r="J391" t="n">
        <v>0</v>
      </c>
      <c r="K391" t="n">
        <v>0</v>
      </c>
      <c r="L391" t="n">
        <v>0</v>
      </c>
      <c r="M391" t="n">
        <v>0</v>
      </c>
      <c r="N391" t="n">
        <v>0</v>
      </c>
      <c r="O391" t="n">
        <v>0</v>
      </c>
      <c r="P391" t="n">
        <v>0</v>
      </c>
      <c r="Q391" t="n">
        <v>0</v>
      </c>
      <c r="R391" s="2" t="inlineStr"/>
    </row>
    <row r="392" ht="15" customHeight="1">
      <c r="A392" t="inlineStr">
        <is>
          <t>A 6771-2023</t>
        </is>
      </c>
      <c r="B392" s="1" t="n">
        <v>44966</v>
      </c>
      <c r="C392" s="1" t="n">
        <v>45348</v>
      </c>
      <c r="D392" t="inlineStr">
        <is>
          <t>VÄSTERNORRLANDS LÄN</t>
        </is>
      </c>
      <c r="E392" t="inlineStr">
        <is>
          <t>TIMRÅ</t>
        </is>
      </c>
      <c r="G392" t="n">
        <v>3</v>
      </c>
      <c r="H392" t="n">
        <v>0</v>
      </c>
      <c r="I392" t="n">
        <v>0</v>
      </c>
      <c r="J392" t="n">
        <v>0</v>
      </c>
      <c r="K392" t="n">
        <v>0</v>
      </c>
      <c r="L392" t="n">
        <v>0</v>
      </c>
      <c r="M392" t="n">
        <v>0</v>
      </c>
      <c r="N392" t="n">
        <v>0</v>
      </c>
      <c r="O392" t="n">
        <v>0</v>
      </c>
      <c r="P392" t="n">
        <v>0</v>
      </c>
      <c r="Q392" t="n">
        <v>0</v>
      </c>
      <c r="R392" s="2" t="inlineStr"/>
    </row>
    <row r="393" ht="15" customHeight="1">
      <c r="A393" t="inlineStr">
        <is>
          <t>A 8632-2023</t>
        </is>
      </c>
      <c r="B393" s="1" t="n">
        <v>44977</v>
      </c>
      <c r="C393" s="1" t="n">
        <v>45348</v>
      </c>
      <c r="D393" t="inlineStr">
        <is>
          <t>VÄSTERNORRLANDS LÄN</t>
        </is>
      </c>
      <c r="E393" t="inlineStr">
        <is>
          <t>TIMRÅ</t>
        </is>
      </c>
      <c r="G393" t="n">
        <v>0.8</v>
      </c>
      <c r="H393" t="n">
        <v>0</v>
      </c>
      <c r="I393" t="n">
        <v>0</v>
      </c>
      <c r="J393" t="n">
        <v>0</v>
      </c>
      <c r="K393" t="n">
        <v>0</v>
      </c>
      <c r="L393" t="n">
        <v>0</v>
      </c>
      <c r="M393" t="n">
        <v>0</v>
      </c>
      <c r="N393" t="n">
        <v>0</v>
      </c>
      <c r="O393" t="n">
        <v>0</v>
      </c>
      <c r="P393" t="n">
        <v>0</v>
      </c>
      <c r="Q393" t="n">
        <v>0</v>
      </c>
      <c r="R393" s="2" t="inlineStr"/>
    </row>
    <row r="394" ht="15" customHeight="1">
      <c r="A394" t="inlineStr">
        <is>
          <t>A 9612-2023</t>
        </is>
      </c>
      <c r="B394" s="1" t="n">
        <v>44983</v>
      </c>
      <c r="C394" s="1" t="n">
        <v>45348</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9880-2023</t>
        </is>
      </c>
      <c r="B395" s="1" t="n">
        <v>44984</v>
      </c>
      <c r="C395" s="1" t="n">
        <v>45348</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10103-2023</t>
        </is>
      </c>
      <c r="B396" s="1" t="n">
        <v>44985</v>
      </c>
      <c r="C396" s="1" t="n">
        <v>45348</v>
      </c>
      <c r="D396" t="inlineStr">
        <is>
          <t>VÄSTERNORRLANDS LÄN</t>
        </is>
      </c>
      <c r="E396" t="inlineStr">
        <is>
          <t>TIMRÅ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10104-2023</t>
        </is>
      </c>
      <c r="B397" s="1" t="n">
        <v>44985</v>
      </c>
      <c r="C397" s="1" t="n">
        <v>45348</v>
      </c>
      <c r="D397" t="inlineStr">
        <is>
          <t>VÄSTERNORRLANDS LÄN</t>
        </is>
      </c>
      <c r="E397" t="inlineStr">
        <is>
          <t>TIMRÅ</t>
        </is>
      </c>
      <c r="F397" t="inlineStr">
        <is>
          <t>SCA</t>
        </is>
      </c>
      <c r="G397" t="n">
        <v>10.5</v>
      </c>
      <c r="H397" t="n">
        <v>0</v>
      </c>
      <c r="I397" t="n">
        <v>0</v>
      </c>
      <c r="J397" t="n">
        <v>0</v>
      </c>
      <c r="K397" t="n">
        <v>0</v>
      </c>
      <c r="L397" t="n">
        <v>0</v>
      </c>
      <c r="M397" t="n">
        <v>0</v>
      </c>
      <c r="N397" t="n">
        <v>0</v>
      </c>
      <c r="O397" t="n">
        <v>0</v>
      </c>
      <c r="P397" t="n">
        <v>0</v>
      </c>
      <c r="Q397" t="n">
        <v>0</v>
      </c>
      <c r="R397" s="2" t="inlineStr"/>
    </row>
    <row r="398" ht="15" customHeight="1">
      <c r="A398" t="inlineStr">
        <is>
          <t>A 10312-2023</t>
        </is>
      </c>
      <c r="B398" s="1" t="n">
        <v>44986</v>
      </c>
      <c r="C398" s="1" t="n">
        <v>45348</v>
      </c>
      <c r="D398" t="inlineStr">
        <is>
          <t>VÄSTERNORRLANDS LÄN</t>
        </is>
      </c>
      <c r="E398" t="inlineStr">
        <is>
          <t>TIMRÅ</t>
        </is>
      </c>
      <c r="F398" t="inlineStr">
        <is>
          <t>SCA</t>
        </is>
      </c>
      <c r="G398" t="n">
        <v>38.4</v>
      </c>
      <c r="H398" t="n">
        <v>0</v>
      </c>
      <c r="I398" t="n">
        <v>0</v>
      </c>
      <c r="J398" t="n">
        <v>0</v>
      </c>
      <c r="K398" t="n">
        <v>0</v>
      </c>
      <c r="L398" t="n">
        <v>0</v>
      </c>
      <c r="M398" t="n">
        <v>0</v>
      </c>
      <c r="N398" t="n">
        <v>0</v>
      </c>
      <c r="O398" t="n">
        <v>0</v>
      </c>
      <c r="P398" t="n">
        <v>0</v>
      </c>
      <c r="Q398" t="n">
        <v>0</v>
      </c>
      <c r="R398" s="2" t="inlineStr"/>
    </row>
    <row r="399" ht="15" customHeight="1">
      <c r="A399" t="inlineStr">
        <is>
          <t>A 10556-2023</t>
        </is>
      </c>
      <c r="B399" s="1" t="n">
        <v>44987</v>
      </c>
      <c r="C399" s="1" t="n">
        <v>45348</v>
      </c>
      <c r="D399" t="inlineStr">
        <is>
          <t>VÄSTERNORRLANDS LÄN</t>
        </is>
      </c>
      <c r="E399" t="inlineStr">
        <is>
          <t>TIMRÅ</t>
        </is>
      </c>
      <c r="F399" t="inlineStr">
        <is>
          <t>SCA</t>
        </is>
      </c>
      <c r="G399" t="n">
        <v>9.5</v>
      </c>
      <c r="H399" t="n">
        <v>0</v>
      </c>
      <c r="I399" t="n">
        <v>0</v>
      </c>
      <c r="J399" t="n">
        <v>0</v>
      </c>
      <c r="K399" t="n">
        <v>0</v>
      </c>
      <c r="L399" t="n">
        <v>0</v>
      </c>
      <c r="M399" t="n">
        <v>0</v>
      </c>
      <c r="N399" t="n">
        <v>0</v>
      </c>
      <c r="O399" t="n">
        <v>0</v>
      </c>
      <c r="P399" t="n">
        <v>0</v>
      </c>
      <c r="Q399" t="n">
        <v>0</v>
      </c>
      <c r="R399" s="2" t="inlineStr"/>
    </row>
    <row r="400" ht="15" customHeight="1">
      <c r="A400" t="inlineStr">
        <is>
          <t>A 10773-2023</t>
        </is>
      </c>
      <c r="B400" s="1" t="n">
        <v>44988</v>
      </c>
      <c r="C400" s="1" t="n">
        <v>45348</v>
      </c>
      <c r="D400" t="inlineStr">
        <is>
          <t>VÄSTERNORRLANDS LÄN</t>
        </is>
      </c>
      <c r="E400" t="inlineStr">
        <is>
          <t>TIMRÅ</t>
        </is>
      </c>
      <c r="F400" t="inlineStr">
        <is>
          <t>SCA</t>
        </is>
      </c>
      <c r="G400" t="n">
        <v>17.3</v>
      </c>
      <c r="H400" t="n">
        <v>0</v>
      </c>
      <c r="I400" t="n">
        <v>0</v>
      </c>
      <c r="J400" t="n">
        <v>0</v>
      </c>
      <c r="K400" t="n">
        <v>0</v>
      </c>
      <c r="L400" t="n">
        <v>0</v>
      </c>
      <c r="M400" t="n">
        <v>0</v>
      </c>
      <c r="N400" t="n">
        <v>0</v>
      </c>
      <c r="O400" t="n">
        <v>0</v>
      </c>
      <c r="P400" t="n">
        <v>0</v>
      </c>
      <c r="Q400" t="n">
        <v>0</v>
      </c>
      <c r="R400" s="2" t="inlineStr"/>
    </row>
    <row r="401" ht="15" customHeight="1">
      <c r="A401" t="inlineStr">
        <is>
          <t>A 13256-2023</t>
        </is>
      </c>
      <c r="B401" s="1" t="n">
        <v>45002</v>
      </c>
      <c r="C401" s="1" t="n">
        <v>45348</v>
      </c>
      <c r="D401" t="inlineStr">
        <is>
          <t>VÄSTERNORRLANDS LÄN</t>
        </is>
      </c>
      <c r="E401" t="inlineStr">
        <is>
          <t>TIMRÅ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13254-2023</t>
        </is>
      </c>
      <c r="B402" s="1" t="n">
        <v>45002</v>
      </c>
      <c r="C402" s="1" t="n">
        <v>45348</v>
      </c>
      <c r="D402" t="inlineStr">
        <is>
          <t>VÄSTERNORRLANDS LÄN</t>
        </is>
      </c>
      <c r="E402" t="inlineStr">
        <is>
          <t>TIMRÅ</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13255-2023</t>
        </is>
      </c>
      <c r="B403" s="1" t="n">
        <v>45002</v>
      </c>
      <c r="C403" s="1" t="n">
        <v>45348</v>
      </c>
      <c r="D403" t="inlineStr">
        <is>
          <t>VÄSTERNORRLANDS LÄN</t>
        </is>
      </c>
      <c r="E403" t="inlineStr">
        <is>
          <t>TIMRÅ</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13253-2023</t>
        </is>
      </c>
      <c r="B404" s="1" t="n">
        <v>45002</v>
      </c>
      <c r="C404" s="1" t="n">
        <v>45348</v>
      </c>
      <c r="D404" t="inlineStr">
        <is>
          <t>VÄSTERNORRLANDS LÄN</t>
        </is>
      </c>
      <c r="E404" t="inlineStr">
        <is>
          <t>TIMRÅ</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13446-2023</t>
        </is>
      </c>
      <c r="B405" s="1" t="n">
        <v>45005</v>
      </c>
      <c r="C405" s="1" t="n">
        <v>45348</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14865-2023</t>
        </is>
      </c>
      <c r="B406" s="1" t="n">
        <v>45015</v>
      </c>
      <c r="C406" s="1" t="n">
        <v>45348</v>
      </c>
      <c r="D406" t="inlineStr">
        <is>
          <t>VÄSTERNORRLANDS LÄN</t>
        </is>
      </c>
      <c r="E406" t="inlineStr">
        <is>
          <t>TIMRÅ</t>
        </is>
      </c>
      <c r="F406" t="inlineStr">
        <is>
          <t>SCA</t>
        </is>
      </c>
      <c r="G406" t="n">
        <v>20.1</v>
      </c>
      <c r="H406" t="n">
        <v>0</v>
      </c>
      <c r="I406" t="n">
        <v>0</v>
      </c>
      <c r="J406" t="n">
        <v>0</v>
      </c>
      <c r="K406" t="n">
        <v>0</v>
      </c>
      <c r="L406" t="n">
        <v>0</v>
      </c>
      <c r="M406" t="n">
        <v>0</v>
      </c>
      <c r="N406" t="n">
        <v>0</v>
      </c>
      <c r="O406" t="n">
        <v>0</v>
      </c>
      <c r="P406" t="n">
        <v>0</v>
      </c>
      <c r="Q406" t="n">
        <v>0</v>
      </c>
      <c r="R406" s="2" t="inlineStr"/>
    </row>
    <row r="407" ht="15" customHeight="1">
      <c r="A407" t="inlineStr">
        <is>
          <t>A 14863-2023</t>
        </is>
      </c>
      <c r="B407" s="1" t="n">
        <v>45015</v>
      </c>
      <c r="C407" s="1" t="n">
        <v>45348</v>
      </c>
      <c r="D407" t="inlineStr">
        <is>
          <t>VÄSTERNORRLANDS LÄN</t>
        </is>
      </c>
      <c r="E407" t="inlineStr">
        <is>
          <t>TIMRÅ</t>
        </is>
      </c>
      <c r="F407" t="inlineStr">
        <is>
          <t>SCA</t>
        </is>
      </c>
      <c r="G407" t="n">
        <v>19.8</v>
      </c>
      <c r="H407" t="n">
        <v>0</v>
      </c>
      <c r="I407" t="n">
        <v>0</v>
      </c>
      <c r="J407" t="n">
        <v>0</v>
      </c>
      <c r="K407" t="n">
        <v>0</v>
      </c>
      <c r="L407" t="n">
        <v>0</v>
      </c>
      <c r="M407" t="n">
        <v>0</v>
      </c>
      <c r="N407" t="n">
        <v>0</v>
      </c>
      <c r="O407" t="n">
        <v>0</v>
      </c>
      <c r="P407" t="n">
        <v>0</v>
      </c>
      <c r="Q407" t="n">
        <v>0</v>
      </c>
      <c r="R407" s="2" t="inlineStr"/>
    </row>
    <row r="408" ht="15" customHeight="1">
      <c r="A408" t="inlineStr">
        <is>
          <t>A 14864-2023</t>
        </is>
      </c>
      <c r="B408" s="1" t="n">
        <v>45015</v>
      </c>
      <c r="C408" s="1" t="n">
        <v>45348</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15815-2023</t>
        </is>
      </c>
      <c r="B409" s="1" t="n">
        <v>45022</v>
      </c>
      <c r="C409" s="1" t="n">
        <v>45348</v>
      </c>
      <c r="D409" t="inlineStr">
        <is>
          <t>VÄSTERNORRLANDS LÄN</t>
        </is>
      </c>
      <c r="E409" t="inlineStr">
        <is>
          <t>TIMRÅ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15820-2023</t>
        </is>
      </c>
      <c r="B410" s="1" t="n">
        <v>45022</v>
      </c>
      <c r="C410" s="1" t="n">
        <v>45348</v>
      </c>
      <c r="D410" t="inlineStr">
        <is>
          <t>VÄSTERNORRLANDS LÄN</t>
        </is>
      </c>
      <c r="E410" t="inlineStr">
        <is>
          <t>TIMRÅ</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15816-2023</t>
        </is>
      </c>
      <c r="B411" s="1" t="n">
        <v>45021</v>
      </c>
      <c r="C411" s="1" t="n">
        <v>45348</v>
      </c>
      <c r="D411" t="inlineStr">
        <is>
          <t>VÄSTERNORRLANDS LÄN</t>
        </is>
      </c>
      <c r="E411" t="inlineStr">
        <is>
          <t>TIMRÅ</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15821-2023</t>
        </is>
      </c>
      <c r="B412" s="1" t="n">
        <v>45022</v>
      </c>
      <c r="C412" s="1" t="n">
        <v>45348</v>
      </c>
      <c r="D412" t="inlineStr">
        <is>
          <t>VÄSTERNORRLANDS LÄN</t>
        </is>
      </c>
      <c r="E412" t="inlineStr">
        <is>
          <t>TIMRÅ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15823-2023</t>
        </is>
      </c>
      <c r="B413" s="1" t="n">
        <v>45021</v>
      </c>
      <c r="C413" s="1" t="n">
        <v>45348</v>
      </c>
      <c r="D413" t="inlineStr">
        <is>
          <t>VÄSTERNORRLANDS LÄN</t>
        </is>
      </c>
      <c r="E413" t="inlineStr">
        <is>
          <t>TIMRÅ</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16554-2023</t>
        </is>
      </c>
      <c r="B414" s="1" t="n">
        <v>45029</v>
      </c>
      <c r="C414" s="1" t="n">
        <v>45348</v>
      </c>
      <c r="D414" t="inlineStr">
        <is>
          <t>VÄSTERNORRLANDS LÄN</t>
        </is>
      </c>
      <c r="E414" t="inlineStr">
        <is>
          <t>TIMRÅ</t>
        </is>
      </c>
      <c r="G414" t="n">
        <v>3.8</v>
      </c>
      <c r="H414" t="n">
        <v>0</v>
      </c>
      <c r="I414" t="n">
        <v>0</v>
      </c>
      <c r="J414" t="n">
        <v>0</v>
      </c>
      <c r="K414" t="n">
        <v>0</v>
      </c>
      <c r="L414" t="n">
        <v>0</v>
      </c>
      <c r="M414" t="n">
        <v>0</v>
      </c>
      <c r="N414" t="n">
        <v>0</v>
      </c>
      <c r="O414" t="n">
        <v>0</v>
      </c>
      <c r="P414" t="n">
        <v>0</v>
      </c>
      <c r="Q414" t="n">
        <v>0</v>
      </c>
      <c r="R414" s="2" t="inlineStr"/>
    </row>
    <row r="415" ht="15" customHeight="1">
      <c r="A415" t="inlineStr">
        <is>
          <t>A 16555-2023</t>
        </is>
      </c>
      <c r="B415" s="1" t="n">
        <v>45029</v>
      </c>
      <c r="C415" s="1" t="n">
        <v>45348</v>
      </c>
      <c r="D415" t="inlineStr">
        <is>
          <t>VÄSTERNORRLANDS LÄN</t>
        </is>
      </c>
      <c r="E415" t="inlineStr">
        <is>
          <t>TIMRÅ</t>
        </is>
      </c>
      <c r="G415" t="n">
        <v>0.7</v>
      </c>
      <c r="H415" t="n">
        <v>0</v>
      </c>
      <c r="I415" t="n">
        <v>0</v>
      </c>
      <c r="J415" t="n">
        <v>0</v>
      </c>
      <c r="K415" t="n">
        <v>0</v>
      </c>
      <c r="L415" t="n">
        <v>0</v>
      </c>
      <c r="M415" t="n">
        <v>0</v>
      </c>
      <c r="N415" t="n">
        <v>0</v>
      </c>
      <c r="O415" t="n">
        <v>0</v>
      </c>
      <c r="P415" t="n">
        <v>0</v>
      </c>
      <c r="Q415" t="n">
        <v>0</v>
      </c>
      <c r="R415" s="2" t="inlineStr"/>
    </row>
    <row r="416" ht="15" customHeight="1">
      <c r="A416" t="inlineStr">
        <is>
          <t>A 16786-2023</t>
        </is>
      </c>
      <c r="B416" s="1" t="n">
        <v>45032</v>
      </c>
      <c r="C416" s="1" t="n">
        <v>45348</v>
      </c>
      <c r="D416" t="inlineStr">
        <is>
          <t>VÄSTERNORRLANDS LÄN</t>
        </is>
      </c>
      <c r="E416" t="inlineStr">
        <is>
          <t>TIMRÅ</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17002-2023</t>
        </is>
      </c>
      <c r="B417" s="1" t="n">
        <v>45033</v>
      </c>
      <c r="C417" s="1" t="n">
        <v>45348</v>
      </c>
      <c r="D417" t="inlineStr">
        <is>
          <t>VÄSTERNORRLANDS LÄN</t>
        </is>
      </c>
      <c r="E417" t="inlineStr">
        <is>
          <t>TIMRÅ</t>
        </is>
      </c>
      <c r="F417" t="inlineStr">
        <is>
          <t>SCA</t>
        </is>
      </c>
      <c r="G417" t="n">
        <v>12.7</v>
      </c>
      <c r="H417" t="n">
        <v>0</v>
      </c>
      <c r="I417" t="n">
        <v>0</v>
      </c>
      <c r="J417" t="n">
        <v>0</v>
      </c>
      <c r="K417" t="n">
        <v>0</v>
      </c>
      <c r="L417" t="n">
        <v>0</v>
      </c>
      <c r="M417" t="n">
        <v>0</v>
      </c>
      <c r="N417" t="n">
        <v>0</v>
      </c>
      <c r="O417" t="n">
        <v>0</v>
      </c>
      <c r="P417" t="n">
        <v>0</v>
      </c>
      <c r="Q417" t="n">
        <v>0</v>
      </c>
      <c r="R417" s="2" t="inlineStr"/>
    </row>
    <row r="418" ht="15" customHeight="1">
      <c r="A418" t="inlineStr">
        <is>
          <t>A 17441-2023</t>
        </is>
      </c>
      <c r="B418" s="1" t="n">
        <v>45036</v>
      </c>
      <c r="C418" s="1" t="n">
        <v>45348</v>
      </c>
      <c r="D418" t="inlineStr">
        <is>
          <t>VÄSTERNORRLANDS LÄN</t>
        </is>
      </c>
      <c r="E418" t="inlineStr">
        <is>
          <t>TIMRÅ</t>
        </is>
      </c>
      <c r="F418" t="inlineStr">
        <is>
          <t>SCA</t>
        </is>
      </c>
      <c r="G418" t="n">
        <v>7.4</v>
      </c>
      <c r="H418" t="n">
        <v>0</v>
      </c>
      <c r="I418" t="n">
        <v>0</v>
      </c>
      <c r="J418" t="n">
        <v>0</v>
      </c>
      <c r="K418" t="n">
        <v>0</v>
      </c>
      <c r="L418" t="n">
        <v>0</v>
      </c>
      <c r="M418" t="n">
        <v>0</v>
      </c>
      <c r="N418" t="n">
        <v>0</v>
      </c>
      <c r="O418" t="n">
        <v>0</v>
      </c>
      <c r="P418" t="n">
        <v>0</v>
      </c>
      <c r="Q418" t="n">
        <v>0</v>
      </c>
      <c r="R418" s="2" t="inlineStr"/>
    </row>
    <row r="419" ht="15" customHeight="1">
      <c r="A419" t="inlineStr">
        <is>
          <t>A 17865-2023</t>
        </is>
      </c>
      <c r="B419" s="1" t="n">
        <v>45038</v>
      </c>
      <c r="C419" s="1" t="n">
        <v>45348</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17936-2023</t>
        </is>
      </c>
      <c r="B420" s="1" t="n">
        <v>45040</v>
      </c>
      <c r="C420" s="1" t="n">
        <v>45348</v>
      </c>
      <c r="D420" t="inlineStr">
        <is>
          <t>VÄSTERNORRLANDS LÄN</t>
        </is>
      </c>
      <c r="E420" t="inlineStr">
        <is>
          <t>TIMRÅ</t>
        </is>
      </c>
      <c r="G420" t="n">
        <v>4.8</v>
      </c>
      <c r="H420" t="n">
        <v>0</v>
      </c>
      <c r="I420" t="n">
        <v>0</v>
      </c>
      <c r="J420" t="n">
        <v>0</v>
      </c>
      <c r="K420" t="n">
        <v>0</v>
      </c>
      <c r="L420" t="n">
        <v>0</v>
      </c>
      <c r="M420" t="n">
        <v>0</v>
      </c>
      <c r="N420" t="n">
        <v>0</v>
      </c>
      <c r="O420" t="n">
        <v>0</v>
      </c>
      <c r="P420" t="n">
        <v>0</v>
      </c>
      <c r="Q420" t="n">
        <v>0</v>
      </c>
      <c r="R420" s="2" t="inlineStr"/>
    </row>
    <row r="421" ht="15" customHeight="1">
      <c r="A421" t="inlineStr">
        <is>
          <t>A 18289-2023</t>
        </is>
      </c>
      <c r="B421" s="1" t="n">
        <v>45040</v>
      </c>
      <c r="C421" s="1" t="n">
        <v>45348</v>
      </c>
      <c r="D421" t="inlineStr">
        <is>
          <t>VÄSTERNORRLANDS LÄN</t>
        </is>
      </c>
      <c r="E421" t="inlineStr">
        <is>
          <t>TIMRÅ</t>
        </is>
      </c>
      <c r="G421" t="n">
        <v>4.5</v>
      </c>
      <c r="H421" t="n">
        <v>0</v>
      </c>
      <c r="I421" t="n">
        <v>0</v>
      </c>
      <c r="J421" t="n">
        <v>0</v>
      </c>
      <c r="K421" t="n">
        <v>0</v>
      </c>
      <c r="L421" t="n">
        <v>0</v>
      </c>
      <c r="M421" t="n">
        <v>0</v>
      </c>
      <c r="N421" t="n">
        <v>0</v>
      </c>
      <c r="O421" t="n">
        <v>0</v>
      </c>
      <c r="P421" t="n">
        <v>0</v>
      </c>
      <c r="Q421" t="n">
        <v>0</v>
      </c>
      <c r="R421" s="2" t="inlineStr"/>
    </row>
    <row r="422" ht="15" customHeight="1">
      <c r="A422" t="inlineStr">
        <is>
          <t>A 18684-2023</t>
        </is>
      </c>
      <c r="B422" s="1" t="n">
        <v>45042</v>
      </c>
      <c r="C422" s="1" t="n">
        <v>45348</v>
      </c>
      <c r="D422" t="inlineStr">
        <is>
          <t>VÄSTERNORRLANDS LÄN</t>
        </is>
      </c>
      <c r="E422" t="inlineStr">
        <is>
          <t>TIMRÅ</t>
        </is>
      </c>
      <c r="G422" t="n">
        <v>5.7</v>
      </c>
      <c r="H422" t="n">
        <v>0</v>
      </c>
      <c r="I422" t="n">
        <v>0</v>
      </c>
      <c r="J422" t="n">
        <v>0</v>
      </c>
      <c r="K422" t="n">
        <v>0</v>
      </c>
      <c r="L422" t="n">
        <v>0</v>
      </c>
      <c r="M422" t="n">
        <v>0</v>
      </c>
      <c r="N422" t="n">
        <v>0</v>
      </c>
      <c r="O422" t="n">
        <v>0</v>
      </c>
      <c r="P422" t="n">
        <v>0</v>
      </c>
      <c r="Q422" t="n">
        <v>0</v>
      </c>
      <c r="R422" s="2" t="inlineStr"/>
    </row>
    <row r="423" ht="15" customHeight="1">
      <c r="A423" t="inlineStr">
        <is>
          <t>A 18778-2023</t>
        </is>
      </c>
      <c r="B423" s="1" t="n">
        <v>45043</v>
      </c>
      <c r="C423" s="1" t="n">
        <v>45348</v>
      </c>
      <c r="D423" t="inlineStr">
        <is>
          <t>VÄSTERNORRLANDS LÄN</t>
        </is>
      </c>
      <c r="E423" t="inlineStr">
        <is>
          <t>TIMRÅ</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19244-2023</t>
        </is>
      </c>
      <c r="B424" s="1" t="n">
        <v>45048</v>
      </c>
      <c r="C424" s="1" t="n">
        <v>45348</v>
      </c>
      <c r="D424" t="inlineStr">
        <is>
          <t>VÄSTERNORRLANDS LÄN</t>
        </is>
      </c>
      <c r="E424" t="inlineStr">
        <is>
          <t>TIMRÅ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19440-2023</t>
        </is>
      </c>
      <c r="B425" s="1" t="n">
        <v>45049</v>
      </c>
      <c r="C425" s="1" t="n">
        <v>45348</v>
      </c>
      <c r="D425" t="inlineStr">
        <is>
          <t>VÄSTERNORRLANDS LÄN</t>
        </is>
      </c>
      <c r="E425" t="inlineStr">
        <is>
          <t>TIMRÅ</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20097-2023</t>
        </is>
      </c>
      <c r="B426" s="1" t="n">
        <v>45055</v>
      </c>
      <c r="C426" s="1" t="n">
        <v>45348</v>
      </c>
      <c r="D426" t="inlineStr">
        <is>
          <t>VÄSTERNORRLANDS LÄN</t>
        </is>
      </c>
      <c r="E426" t="inlineStr">
        <is>
          <t>TIMRÅ</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20835-2023</t>
        </is>
      </c>
      <c r="B427" s="1" t="n">
        <v>45058</v>
      </c>
      <c r="C427" s="1" t="n">
        <v>45348</v>
      </c>
      <c r="D427" t="inlineStr">
        <is>
          <t>VÄSTERNORRLANDS LÄN</t>
        </is>
      </c>
      <c r="E427" t="inlineStr">
        <is>
          <t>TIMRÅ</t>
        </is>
      </c>
      <c r="G427" t="n">
        <v>4.4</v>
      </c>
      <c r="H427" t="n">
        <v>0</v>
      </c>
      <c r="I427" t="n">
        <v>0</v>
      </c>
      <c r="J427" t="n">
        <v>0</v>
      </c>
      <c r="K427" t="n">
        <v>0</v>
      </c>
      <c r="L427" t="n">
        <v>0</v>
      </c>
      <c r="M427" t="n">
        <v>0</v>
      </c>
      <c r="N427" t="n">
        <v>0</v>
      </c>
      <c r="O427" t="n">
        <v>0</v>
      </c>
      <c r="P427" t="n">
        <v>0</v>
      </c>
      <c r="Q427" t="n">
        <v>0</v>
      </c>
      <c r="R427" s="2" t="inlineStr"/>
    </row>
    <row r="428" ht="15" customHeight="1">
      <c r="A428" t="inlineStr">
        <is>
          <t>A 20839-2023</t>
        </is>
      </c>
      <c r="B428" s="1" t="n">
        <v>45058</v>
      </c>
      <c r="C428" s="1" t="n">
        <v>45348</v>
      </c>
      <c r="D428" t="inlineStr">
        <is>
          <t>VÄSTERNORRLANDS LÄN</t>
        </is>
      </c>
      <c r="E428" t="inlineStr">
        <is>
          <t>TIMRÅ</t>
        </is>
      </c>
      <c r="G428" t="n">
        <v>7.2</v>
      </c>
      <c r="H428" t="n">
        <v>0</v>
      </c>
      <c r="I428" t="n">
        <v>0</v>
      </c>
      <c r="J428" t="n">
        <v>0</v>
      </c>
      <c r="K428" t="n">
        <v>0</v>
      </c>
      <c r="L428" t="n">
        <v>0</v>
      </c>
      <c r="M428" t="n">
        <v>0</v>
      </c>
      <c r="N428" t="n">
        <v>0</v>
      </c>
      <c r="O428" t="n">
        <v>0</v>
      </c>
      <c r="P428" t="n">
        <v>0</v>
      </c>
      <c r="Q428" t="n">
        <v>0</v>
      </c>
      <c r="R428" s="2" t="inlineStr"/>
    </row>
    <row r="429" ht="15" customHeight="1">
      <c r="A429" t="inlineStr">
        <is>
          <t>A 20837-2023</t>
        </is>
      </c>
      <c r="B429" s="1" t="n">
        <v>45058</v>
      </c>
      <c r="C429" s="1" t="n">
        <v>45348</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20841-2023</t>
        </is>
      </c>
      <c r="B430" s="1" t="n">
        <v>45058</v>
      </c>
      <c r="C430" s="1" t="n">
        <v>45348</v>
      </c>
      <c r="D430" t="inlineStr">
        <is>
          <t>VÄSTERNORRLANDS LÄN</t>
        </is>
      </c>
      <c r="E430" t="inlineStr">
        <is>
          <t>TIMRÅ</t>
        </is>
      </c>
      <c r="G430" t="n">
        <v>2.1</v>
      </c>
      <c r="H430" t="n">
        <v>0</v>
      </c>
      <c r="I430" t="n">
        <v>0</v>
      </c>
      <c r="J430" t="n">
        <v>0</v>
      </c>
      <c r="K430" t="n">
        <v>0</v>
      </c>
      <c r="L430" t="n">
        <v>0</v>
      </c>
      <c r="M430" t="n">
        <v>0</v>
      </c>
      <c r="N430" t="n">
        <v>0</v>
      </c>
      <c r="O430" t="n">
        <v>0</v>
      </c>
      <c r="P430" t="n">
        <v>0</v>
      </c>
      <c r="Q430" t="n">
        <v>0</v>
      </c>
      <c r="R430" s="2" t="inlineStr"/>
    </row>
    <row r="431" ht="15" customHeight="1">
      <c r="A431" t="inlineStr">
        <is>
          <t>A 20834-2023</t>
        </is>
      </c>
      <c r="B431" s="1" t="n">
        <v>45058</v>
      </c>
      <c r="C431" s="1" t="n">
        <v>45348</v>
      </c>
      <c r="D431" t="inlineStr">
        <is>
          <t>VÄSTERNORRLANDS LÄN</t>
        </is>
      </c>
      <c r="E431" t="inlineStr">
        <is>
          <t>TIMRÅ</t>
        </is>
      </c>
      <c r="G431" t="n">
        <v>5</v>
      </c>
      <c r="H431" t="n">
        <v>0</v>
      </c>
      <c r="I431" t="n">
        <v>0</v>
      </c>
      <c r="J431" t="n">
        <v>0</v>
      </c>
      <c r="K431" t="n">
        <v>0</v>
      </c>
      <c r="L431" t="n">
        <v>0</v>
      </c>
      <c r="M431" t="n">
        <v>0</v>
      </c>
      <c r="N431" t="n">
        <v>0</v>
      </c>
      <c r="O431" t="n">
        <v>0</v>
      </c>
      <c r="P431" t="n">
        <v>0</v>
      </c>
      <c r="Q431" t="n">
        <v>0</v>
      </c>
      <c r="R431" s="2" t="inlineStr"/>
    </row>
    <row r="432" ht="15" customHeight="1">
      <c r="A432" t="inlineStr">
        <is>
          <t>A 20843-2023</t>
        </is>
      </c>
      <c r="B432" s="1" t="n">
        <v>45058</v>
      </c>
      <c r="C432" s="1" t="n">
        <v>45348</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20840-2023</t>
        </is>
      </c>
      <c r="B433" s="1" t="n">
        <v>45058</v>
      </c>
      <c r="C433" s="1" t="n">
        <v>45348</v>
      </c>
      <c r="D433" t="inlineStr">
        <is>
          <t>VÄSTERNORRLANDS LÄN</t>
        </is>
      </c>
      <c r="E433" t="inlineStr">
        <is>
          <t>TIMRÅ</t>
        </is>
      </c>
      <c r="G433" t="n">
        <v>3.1</v>
      </c>
      <c r="H433" t="n">
        <v>0</v>
      </c>
      <c r="I433" t="n">
        <v>0</v>
      </c>
      <c r="J433" t="n">
        <v>0</v>
      </c>
      <c r="K433" t="n">
        <v>0</v>
      </c>
      <c r="L433" t="n">
        <v>0</v>
      </c>
      <c r="M433" t="n">
        <v>0</v>
      </c>
      <c r="N433" t="n">
        <v>0</v>
      </c>
      <c r="O433" t="n">
        <v>0</v>
      </c>
      <c r="P433" t="n">
        <v>0</v>
      </c>
      <c r="Q433" t="n">
        <v>0</v>
      </c>
      <c r="R433" s="2" t="inlineStr"/>
    </row>
    <row r="434" ht="15" customHeight="1">
      <c r="A434" t="inlineStr">
        <is>
          <t>A 20844-2023</t>
        </is>
      </c>
      <c r="B434" s="1" t="n">
        <v>45058</v>
      </c>
      <c r="C434" s="1" t="n">
        <v>45348</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20880-2023</t>
        </is>
      </c>
      <c r="B435" s="1" t="n">
        <v>45058</v>
      </c>
      <c r="C435" s="1" t="n">
        <v>45348</v>
      </c>
      <c r="D435" t="inlineStr">
        <is>
          <t>VÄSTERNORRLANDS LÄN</t>
        </is>
      </c>
      <c r="E435" t="inlineStr">
        <is>
          <t>TIMRÅ</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21356-2023</t>
        </is>
      </c>
      <c r="B436" s="1" t="n">
        <v>45063</v>
      </c>
      <c r="C436" s="1" t="n">
        <v>45348</v>
      </c>
      <c r="D436" t="inlineStr">
        <is>
          <t>VÄSTERNORRLANDS LÄN</t>
        </is>
      </c>
      <c r="E436" t="inlineStr">
        <is>
          <t>TIMRÅ</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24305-2023</t>
        </is>
      </c>
      <c r="B437" s="1" t="n">
        <v>45080</v>
      </c>
      <c r="C437" s="1" t="n">
        <v>45348</v>
      </c>
      <c r="D437" t="inlineStr">
        <is>
          <t>VÄSTERNORRLANDS LÄN</t>
        </is>
      </c>
      <c r="E437" t="inlineStr">
        <is>
          <t>TIMRÅ</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24304-2023</t>
        </is>
      </c>
      <c r="B438" s="1" t="n">
        <v>45079</v>
      </c>
      <c r="C438" s="1" t="n">
        <v>45348</v>
      </c>
      <c r="D438" t="inlineStr">
        <is>
          <t>VÄSTERNORRLANDS LÄN</t>
        </is>
      </c>
      <c r="E438" t="inlineStr">
        <is>
          <t>TIMRÅ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25301-2023</t>
        </is>
      </c>
      <c r="B439" s="1" t="n">
        <v>45086</v>
      </c>
      <c r="C439" s="1" t="n">
        <v>45348</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27495-2023</t>
        </is>
      </c>
      <c r="B440" s="1" t="n">
        <v>45092</v>
      </c>
      <c r="C440" s="1" t="n">
        <v>45348</v>
      </c>
      <c r="D440" t="inlineStr">
        <is>
          <t>VÄSTERNORRLANDS LÄN</t>
        </is>
      </c>
      <c r="E440" t="inlineStr">
        <is>
          <t>TIMRÅ</t>
        </is>
      </c>
      <c r="G440" t="n">
        <v>2.6</v>
      </c>
      <c r="H440" t="n">
        <v>0</v>
      </c>
      <c r="I440" t="n">
        <v>0</v>
      </c>
      <c r="J440" t="n">
        <v>0</v>
      </c>
      <c r="K440" t="n">
        <v>0</v>
      </c>
      <c r="L440" t="n">
        <v>0</v>
      </c>
      <c r="M440" t="n">
        <v>0</v>
      </c>
      <c r="N440" t="n">
        <v>0</v>
      </c>
      <c r="O440" t="n">
        <v>0</v>
      </c>
      <c r="P440" t="n">
        <v>0</v>
      </c>
      <c r="Q440" t="n">
        <v>0</v>
      </c>
      <c r="R440" s="2" t="inlineStr"/>
    </row>
    <row r="441" ht="15" customHeight="1">
      <c r="A441" t="inlineStr">
        <is>
          <t>A 27489-2023</t>
        </is>
      </c>
      <c r="B441" s="1" t="n">
        <v>45092</v>
      </c>
      <c r="C441" s="1" t="n">
        <v>45348</v>
      </c>
      <c r="D441" t="inlineStr">
        <is>
          <t>VÄSTERNORRLANDS LÄN</t>
        </is>
      </c>
      <c r="E441" t="inlineStr">
        <is>
          <t>TIMRÅ</t>
        </is>
      </c>
      <c r="G441" t="n">
        <v>1.1</v>
      </c>
      <c r="H441" t="n">
        <v>0</v>
      </c>
      <c r="I441" t="n">
        <v>0</v>
      </c>
      <c r="J441" t="n">
        <v>0</v>
      </c>
      <c r="K441" t="n">
        <v>0</v>
      </c>
      <c r="L441" t="n">
        <v>0</v>
      </c>
      <c r="M441" t="n">
        <v>0</v>
      </c>
      <c r="N441" t="n">
        <v>0</v>
      </c>
      <c r="O441" t="n">
        <v>0</v>
      </c>
      <c r="P441" t="n">
        <v>0</v>
      </c>
      <c r="Q441" t="n">
        <v>0</v>
      </c>
      <c r="R441" s="2" t="inlineStr"/>
    </row>
    <row r="442" ht="15" customHeight="1">
      <c r="A442" t="inlineStr">
        <is>
          <t>A 26996-2023</t>
        </is>
      </c>
      <c r="B442" s="1" t="n">
        <v>45093</v>
      </c>
      <c r="C442" s="1" t="n">
        <v>45348</v>
      </c>
      <c r="D442" t="inlineStr">
        <is>
          <t>VÄSTERNORRLANDS LÄN</t>
        </is>
      </c>
      <c r="E442" t="inlineStr">
        <is>
          <t>TIMRÅ</t>
        </is>
      </c>
      <c r="G442" t="n">
        <v>8.4</v>
      </c>
      <c r="H442" t="n">
        <v>0</v>
      </c>
      <c r="I442" t="n">
        <v>0</v>
      </c>
      <c r="J442" t="n">
        <v>0</v>
      </c>
      <c r="K442" t="n">
        <v>0</v>
      </c>
      <c r="L442" t="n">
        <v>0</v>
      </c>
      <c r="M442" t="n">
        <v>0</v>
      </c>
      <c r="N442" t="n">
        <v>0</v>
      </c>
      <c r="O442" t="n">
        <v>0</v>
      </c>
      <c r="P442" t="n">
        <v>0</v>
      </c>
      <c r="Q442" t="n">
        <v>0</v>
      </c>
      <c r="R442" s="2" t="inlineStr"/>
    </row>
    <row r="443" ht="15" customHeight="1">
      <c r="A443" t="inlineStr">
        <is>
          <t>A 28007-2023</t>
        </is>
      </c>
      <c r="B443" s="1" t="n">
        <v>45098</v>
      </c>
      <c r="C443" s="1" t="n">
        <v>45348</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28373-2023</t>
        </is>
      </c>
      <c r="B444" s="1" t="n">
        <v>45100</v>
      </c>
      <c r="C444" s="1" t="n">
        <v>45348</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28372-2023</t>
        </is>
      </c>
      <c r="B445" s="1" t="n">
        <v>45100</v>
      </c>
      <c r="C445" s="1" t="n">
        <v>45348</v>
      </c>
      <c r="D445" t="inlineStr">
        <is>
          <t>VÄSTERNORRLANDS LÄN</t>
        </is>
      </c>
      <c r="E445" t="inlineStr">
        <is>
          <t>TIMRÅ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28370-2023</t>
        </is>
      </c>
      <c r="B446" s="1" t="n">
        <v>45100</v>
      </c>
      <c r="C446" s="1" t="n">
        <v>45348</v>
      </c>
      <c r="D446" t="inlineStr">
        <is>
          <t>VÄSTERNORRLANDS LÄN</t>
        </is>
      </c>
      <c r="E446" t="inlineStr">
        <is>
          <t>TIMRÅ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28381-2023</t>
        </is>
      </c>
      <c r="B447" s="1" t="n">
        <v>45099</v>
      </c>
      <c r="C447" s="1" t="n">
        <v>45348</v>
      </c>
      <c r="D447" t="inlineStr">
        <is>
          <t>VÄSTERNORRLANDS LÄN</t>
        </is>
      </c>
      <c r="E447" t="inlineStr">
        <is>
          <t>TIMRÅ</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28369-2023</t>
        </is>
      </c>
      <c r="B448" s="1" t="n">
        <v>45099</v>
      </c>
      <c r="C448" s="1" t="n">
        <v>45348</v>
      </c>
      <c r="D448" t="inlineStr">
        <is>
          <t>VÄSTERNORRLANDS LÄN</t>
        </is>
      </c>
      <c r="E448" t="inlineStr">
        <is>
          <t>TIMRÅ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28371-2023</t>
        </is>
      </c>
      <c r="B449" s="1" t="n">
        <v>45100</v>
      </c>
      <c r="C449" s="1" t="n">
        <v>45348</v>
      </c>
      <c r="D449" t="inlineStr">
        <is>
          <t>VÄSTERNORRLANDS LÄN</t>
        </is>
      </c>
      <c r="E449" t="inlineStr">
        <is>
          <t>TIMRÅ</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28734-2023</t>
        </is>
      </c>
      <c r="B450" s="1" t="n">
        <v>45104</v>
      </c>
      <c r="C450" s="1" t="n">
        <v>45348</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28750-2023</t>
        </is>
      </c>
      <c r="B451" s="1" t="n">
        <v>45104</v>
      </c>
      <c r="C451" s="1" t="n">
        <v>45348</v>
      </c>
      <c r="D451" t="inlineStr">
        <is>
          <t>VÄSTERNORRLANDS LÄN</t>
        </is>
      </c>
      <c r="E451" t="inlineStr">
        <is>
          <t>TIMRÅ</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31148-2023</t>
        </is>
      </c>
      <c r="B452" s="1" t="n">
        <v>45103</v>
      </c>
      <c r="C452" s="1" t="n">
        <v>45348</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31150-2023</t>
        </is>
      </c>
      <c r="B453" s="1" t="n">
        <v>45103</v>
      </c>
      <c r="C453" s="1" t="n">
        <v>45348</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31154-2023</t>
        </is>
      </c>
      <c r="B454" s="1" t="n">
        <v>45103</v>
      </c>
      <c r="C454" s="1" t="n">
        <v>45348</v>
      </c>
      <c r="D454" t="inlineStr">
        <is>
          <t>VÄSTERNORRLANDS LÄN</t>
        </is>
      </c>
      <c r="E454" t="inlineStr">
        <is>
          <t>TIMRÅ</t>
        </is>
      </c>
      <c r="G454" t="n">
        <v>0.6</v>
      </c>
      <c r="H454" t="n">
        <v>0</v>
      </c>
      <c r="I454" t="n">
        <v>0</v>
      </c>
      <c r="J454" t="n">
        <v>0</v>
      </c>
      <c r="K454" t="n">
        <v>0</v>
      </c>
      <c r="L454" t="n">
        <v>0</v>
      </c>
      <c r="M454" t="n">
        <v>0</v>
      </c>
      <c r="N454" t="n">
        <v>0</v>
      </c>
      <c r="O454" t="n">
        <v>0</v>
      </c>
      <c r="P454" t="n">
        <v>0</v>
      </c>
      <c r="Q454" t="n">
        <v>0</v>
      </c>
      <c r="R454" s="2" t="inlineStr"/>
    </row>
    <row r="455" ht="15" customHeight="1">
      <c r="A455" t="inlineStr">
        <is>
          <t>A 31381-2023</t>
        </is>
      </c>
      <c r="B455" s="1" t="n">
        <v>45104</v>
      </c>
      <c r="C455" s="1" t="n">
        <v>45348</v>
      </c>
      <c r="D455" t="inlineStr">
        <is>
          <t>VÄSTERNORRLANDS LÄN</t>
        </is>
      </c>
      <c r="E455" t="inlineStr">
        <is>
          <t>TIMRÅ</t>
        </is>
      </c>
      <c r="G455" t="n">
        <v>5.6</v>
      </c>
      <c r="H455" t="n">
        <v>0</v>
      </c>
      <c r="I455" t="n">
        <v>0</v>
      </c>
      <c r="J455" t="n">
        <v>0</v>
      </c>
      <c r="K455" t="n">
        <v>0</v>
      </c>
      <c r="L455" t="n">
        <v>0</v>
      </c>
      <c r="M455" t="n">
        <v>0</v>
      </c>
      <c r="N455" t="n">
        <v>0</v>
      </c>
      <c r="O455" t="n">
        <v>0</v>
      </c>
      <c r="P455" t="n">
        <v>0</v>
      </c>
      <c r="Q455" t="n">
        <v>0</v>
      </c>
      <c r="R455" s="2" t="inlineStr"/>
    </row>
    <row r="456" ht="15" customHeight="1">
      <c r="A456" t="inlineStr">
        <is>
          <t>A 31474-2023</t>
        </is>
      </c>
      <c r="B456" s="1" t="n">
        <v>45104</v>
      </c>
      <c r="C456" s="1" t="n">
        <v>45348</v>
      </c>
      <c r="D456" t="inlineStr">
        <is>
          <t>VÄSTERNORRLANDS LÄN</t>
        </is>
      </c>
      <c r="E456" t="inlineStr">
        <is>
          <t>TIMRÅ</t>
        </is>
      </c>
      <c r="G456" t="n">
        <v>1.3</v>
      </c>
      <c r="H456" t="n">
        <v>0</v>
      </c>
      <c r="I456" t="n">
        <v>0</v>
      </c>
      <c r="J456" t="n">
        <v>0</v>
      </c>
      <c r="K456" t="n">
        <v>0</v>
      </c>
      <c r="L456" t="n">
        <v>0</v>
      </c>
      <c r="M456" t="n">
        <v>0</v>
      </c>
      <c r="N456" t="n">
        <v>0</v>
      </c>
      <c r="O456" t="n">
        <v>0</v>
      </c>
      <c r="P456" t="n">
        <v>0</v>
      </c>
      <c r="Q456" t="n">
        <v>0</v>
      </c>
      <c r="R456" s="2" t="inlineStr"/>
    </row>
    <row r="457" ht="15" customHeight="1">
      <c r="A457" t="inlineStr">
        <is>
          <t>A 31378-2023</t>
        </is>
      </c>
      <c r="B457" s="1" t="n">
        <v>45104</v>
      </c>
      <c r="C457" s="1" t="n">
        <v>45348</v>
      </c>
      <c r="D457" t="inlineStr">
        <is>
          <t>VÄSTERNORRLANDS LÄN</t>
        </is>
      </c>
      <c r="E457" t="inlineStr">
        <is>
          <t>TIMRÅ</t>
        </is>
      </c>
      <c r="G457" t="n">
        <v>2.8</v>
      </c>
      <c r="H457" t="n">
        <v>0</v>
      </c>
      <c r="I457" t="n">
        <v>0</v>
      </c>
      <c r="J457" t="n">
        <v>0</v>
      </c>
      <c r="K457" t="n">
        <v>0</v>
      </c>
      <c r="L457" t="n">
        <v>0</v>
      </c>
      <c r="M457" t="n">
        <v>0</v>
      </c>
      <c r="N457" t="n">
        <v>0</v>
      </c>
      <c r="O457" t="n">
        <v>0</v>
      </c>
      <c r="P457" t="n">
        <v>0</v>
      </c>
      <c r="Q457" t="n">
        <v>0</v>
      </c>
      <c r="R457" s="2" t="inlineStr"/>
    </row>
    <row r="458" ht="15" customHeight="1">
      <c r="A458" t="inlineStr">
        <is>
          <t>A 31343-2023</t>
        </is>
      </c>
      <c r="B458" s="1" t="n">
        <v>45104</v>
      </c>
      <c r="C458" s="1" t="n">
        <v>45348</v>
      </c>
      <c r="D458" t="inlineStr">
        <is>
          <t>VÄSTERNORRLANDS LÄN</t>
        </is>
      </c>
      <c r="E458" t="inlineStr">
        <is>
          <t>TIMRÅ</t>
        </is>
      </c>
      <c r="G458" t="n">
        <v>7.1</v>
      </c>
      <c r="H458" t="n">
        <v>0</v>
      </c>
      <c r="I458" t="n">
        <v>0</v>
      </c>
      <c r="J458" t="n">
        <v>0</v>
      </c>
      <c r="K458" t="n">
        <v>0</v>
      </c>
      <c r="L458" t="n">
        <v>0</v>
      </c>
      <c r="M458" t="n">
        <v>0</v>
      </c>
      <c r="N458" t="n">
        <v>0</v>
      </c>
      <c r="O458" t="n">
        <v>0</v>
      </c>
      <c r="P458" t="n">
        <v>0</v>
      </c>
      <c r="Q458" t="n">
        <v>0</v>
      </c>
      <c r="R458" s="2" t="inlineStr"/>
    </row>
    <row r="459" ht="15" customHeight="1">
      <c r="A459" t="inlineStr">
        <is>
          <t>A 31472-2023</t>
        </is>
      </c>
      <c r="B459" s="1" t="n">
        <v>45104</v>
      </c>
      <c r="C459" s="1" t="n">
        <v>45348</v>
      </c>
      <c r="D459" t="inlineStr">
        <is>
          <t>VÄSTERNORRLANDS LÄN</t>
        </is>
      </c>
      <c r="E459" t="inlineStr">
        <is>
          <t>TIMRÅ</t>
        </is>
      </c>
      <c r="G459" t="n">
        <v>2.1</v>
      </c>
      <c r="H459" t="n">
        <v>0</v>
      </c>
      <c r="I459" t="n">
        <v>0</v>
      </c>
      <c r="J459" t="n">
        <v>0</v>
      </c>
      <c r="K459" t="n">
        <v>0</v>
      </c>
      <c r="L459" t="n">
        <v>0</v>
      </c>
      <c r="M459" t="n">
        <v>0</v>
      </c>
      <c r="N459" t="n">
        <v>0</v>
      </c>
      <c r="O459" t="n">
        <v>0</v>
      </c>
      <c r="P459" t="n">
        <v>0</v>
      </c>
      <c r="Q459" t="n">
        <v>0</v>
      </c>
      <c r="R459" s="2" t="inlineStr"/>
    </row>
    <row r="460" ht="15" customHeight="1">
      <c r="A460" t="inlineStr">
        <is>
          <t>A 29599-2023</t>
        </is>
      </c>
      <c r="B460" s="1" t="n">
        <v>45106</v>
      </c>
      <c r="C460" s="1" t="n">
        <v>45348</v>
      </c>
      <c r="D460" t="inlineStr">
        <is>
          <t>VÄSTERNORRLANDS LÄN</t>
        </is>
      </c>
      <c r="E460" t="inlineStr">
        <is>
          <t>TIMRÅ</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29948-2023</t>
        </is>
      </c>
      <c r="B461" s="1" t="n">
        <v>45107</v>
      </c>
      <c r="C461" s="1" t="n">
        <v>45348</v>
      </c>
      <c r="D461" t="inlineStr">
        <is>
          <t>VÄSTERNORRLANDS LÄN</t>
        </is>
      </c>
      <c r="E461" t="inlineStr">
        <is>
          <t>TIMRÅ</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32070-2023</t>
        </is>
      </c>
      <c r="B462" s="1" t="n">
        <v>45107</v>
      </c>
      <c r="C462" s="1" t="n">
        <v>45348</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30315-2023</t>
        </is>
      </c>
      <c r="B463" s="1" t="n">
        <v>45110</v>
      </c>
      <c r="C463" s="1" t="n">
        <v>45348</v>
      </c>
      <c r="D463" t="inlineStr">
        <is>
          <t>VÄSTERNORRLANDS LÄN</t>
        </is>
      </c>
      <c r="E463" t="inlineStr">
        <is>
          <t>TIMRÅ</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30298-2023</t>
        </is>
      </c>
      <c r="B464" s="1" t="n">
        <v>45110</v>
      </c>
      <c r="C464" s="1" t="n">
        <v>45348</v>
      </c>
      <c r="D464" t="inlineStr">
        <is>
          <t>VÄSTERNORRLANDS LÄN</t>
        </is>
      </c>
      <c r="E464" t="inlineStr">
        <is>
          <t>TIMRÅ</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30850-2023</t>
        </is>
      </c>
      <c r="B465" s="1" t="n">
        <v>45112</v>
      </c>
      <c r="C465" s="1" t="n">
        <v>45348</v>
      </c>
      <c r="D465" t="inlineStr">
        <is>
          <t>VÄSTERNORRLANDS LÄN</t>
        </is>
      </c>
      <c r="E465" t="inlineStr">
        <is>
          <t>TIMRÅ</t>
        </is>
      </c>
      <c r="F465" t="inlineStr">
        <is>
          <t>SCA</t>
        </is>
      </c>
      <c r="G465" t="n">
        <v>16.1</v>
      </c>
      <c r="H465" t="n">
        <v>0</v>
      </c>
      <c r="I465" t="n">
        <v>0</v>
      </c>
      <c r="J465" t="n">
        <v>0</v>
      </c>
      <c r="K465" t="n">
        <v>0</v>
      </c>
      <c r="L465" t="n">
        <v>0</v>
      </c>
      <c r="M465" t="n">
        <v>0</v>
      </c>
      <c r="N465" t="n">
        <v>0</v>
      </c>
      <c r="O465" t="n">
        <v>0</v>
      </c>
      <c r="P465" t="n">
        <v>0</v>
      </c>
      <c r="Q465" t="n">
        <v>0</v>
      </c>
      <c r="R465" s="2" t="inlineStr"/>
    </row>
    <row r="466" ht="15" customHeight="1">
      <c r="A466" t="inlineStr">
        <is>
          <t>A 30835-2023</t>
        </is>
      </c>
      <c r="B466" s="1" t="n">
        <v>45113</v>
      </c>
      <c r="C466" s="1" t="n">
        <v>45348</v>
      </c>
      <c r="D466" t="inlineStr">
        <is>
          <t>VÄSTERNORRLANDS LÄN</t>
        </is>
      </c>
      <c r="E466" t="inlineStr">
        <is>
          <t>TIMRÅ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31562-2023</t>
        </is>
      </c>
      <c r="B467" s="1" t="n">
        <v>45117</v>
      </c>
      <c r="C467" s="1" t="n">
        <v>45348</v>
      </c>
      <c r="D467" t="inlineStr">
        <is>
          <t>VÄSTERNORRLANDS LÄN</t>
        </is>
      </c>
      <c r="E467" t="inlineStr">
        <is>
          <t>TIMRÅ</t>
        </is>
      </c>
      <c r="G467" t="n">
        <v>3.7</v>
      </c>
      <c r="H467" t="n">
        <v>0</v>
      </c>
      <c r="I467" t="n">
        <v>0</v>
      </c>
      <c r="J467" t="n">
        <v>0</v>
      </c>
      <c r="K467" t="n">
        <v>0</v>
      </c>
      <c r="L467" t="n">
        <v>0</v>
      </c>
      <c r="M467" t="n">
        <v>0</v>
      </c>
      <c r="N467" t="n">
        <v>0</v>
      </c>
      <c r="O467" t="n">
        <v>0</v>
      </c>
      <c r="P467" t="n">
        <v>0</v>
      </c>
      <c r="Q467" t="n">
        <v>0</v>
      </c>
      <c r="R467" s="2" t="inlineStr"/>
    </row>
    <row r="468" ht="15" customHeight="1">
      <c r="A468" t="inlineStr">
        <is>
          <t>A 31736-2023</t>
        </is>
      </c>
      <c r="B468" s="1" t="n">
        <v>45117</v>
      </c>
      <c r="C468" s="1" t="n">
        <v>45348</v>
      </c>
      <c r="D468" t="inlineStr">
        <is>
          <t>VÄSTERNORRLANDS LÄN</t>
        </is>
      </c>
      <c r="E468" t="inlineStr">
        <is>
          <t>TIMRÅ</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31741-2023</t>
        </is>
      </c>
      <c r="B469" s="1" t="n">
        <v>45117</v>
      </c>
      <c r="C469" s="1" t="n">
        <v>45348</v>
      </c>
      <c r="D469" t="inlineStr">
        <is>
          <t>VÄSTERNORRLANDS LÄN</t>
        </is>
      </c>
      <c r="E469" t="inlineStr">
        <is>
          <t>TIMRÅ</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32224-2023</t>
        </is>
      </c>
      <c r="B470" s="1" t="n">
        <v>45119</v>
      </c>
      <c r="C470" s="1" t="n">
        <v>45348</v>
      </c>
      <c r="D470" t="inlineStr">
        <is>
          <t>VÄSTERNORRLANDS LÄN</t>
        </is>
      </c>
      <c r="E470" t="inlineStr">
        <is>
          <t>TIMRÅ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32225-2023</t>
        </is>
      </c>
      <c r="B471" s="1" t="n">
        <v>45119</v>
      </c>
      <c r="C471" s="1" t="n">
        <v>45348</v>
      </c>
      <c r="D471" t="inlineStr">
        <is>
          <t>VÄSTERNORRLANDS LÄN</t>
        </is>
      </c>
      <c r="E471" t="inlineStr">
        <is>
          <t>TIMRÅ</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32223-2023</t>
        </is>
      </c>
      <c r="B472" s="1" t="n">
        <v>45119</v>
      </c>
      <c r="C472" s="1" t="n">
        <v>45348</v>
      </c>
      <c r="D472" t="inlineStr">
        <is>
          <t>VÄSTERNORRLANDS LÄN</t>
        </is>
      </c>
      <c r="E472" t="inlineStr">
        <is>
          <t>TIMRÅ</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32226-2023</t>
        </is>
      </c>
      <c r="B473" s="1" t="n">
        <v>45119</v>
      </c>
      <c r="C473" s="1" t="n">
        <v>45348</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32230-2023</t>
        </is>
      </c>
      <c r="B474" s="1" t="n">
        <v>45120</v>
      </c>
      <c r="C474" s="1" t="n">
        <v>45348</v>
      </c>
      <c r="D474" t="inlineStr">
        <is>
          <t>VÄSTERNORRLANDS LÄN</t>
        </is>
      </c>
      <c r="E474" t="inlineStr">
        <is>
          <t>TIMRÅ</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33667-2023</t>
        </is>
      </c>
      <c r="B475" s="1" t="n">
        <v>45119</v>
      </c>
      <c r="C475" s="1" t="n">
        <v>45348</v>
      </c>
      <c r="D475" t="inlineStr">
        <is>
          <t>VÄSTERNORRLANDS LÄN</t>
        </is>
      </c>
      <c r="E475" t="inlineStr">
        <is>
          <t>TIMRÅ</t>
        </is>
      </c>
      <c r="G475" t="n">
        <v>4.8</v>
      </c>
      <c r="H475" t="n">
        <v>0</v>
      </c>
      <c r="I475" t="n">
        <v>0</v>
      </c>
      <c r="J475" t="n">
        <v>0</v>
      </c>
      <c r="K475" t="n">
        <v>0</v>
      </c>
      <c r="L475" t="n">
        <v>0</v>
      </c>
      <c r="M475" t="n">
        <v>0</v>
      </c>
      <c r="N475" t="n">
        <v>0</v>
      </c>
      <c r="O475" t="n">
        <v>0</v>
      </c>
      <c r="P475" t="n">
        <v>0</v>
      </c>
      <c r="Q475" t="n">
        <v>0</v>
      </c>
      <c r="R475" s="2" t="inlineStr"/>
    </row>
    <row r="476" ht="15" customHeight="1">
      <c r="A476" t="inlineStr">
        <is>
          <t>A 33756-2023</t>
        </is>
      </c>
      <c r="B476" s="1" t="n">
        <v>45120</v>
      </c>
      <c r="C476" s="1" t="n">
        <v>45348</v>
      </c>
      <c r="D476" t="inlineStr">
        <is>
          <t>VÄSTERNORRLANDS LÄN</t>
        </is>
      </c>
      <c r="E476" t="inlineStr">
        <is>
          <t>TIMRÅ</t>
        </is>
      </c>
      <c r="G476" t="n">
        <v>10.5</v>
      </c>
      <c r="H476" t="n">
        <v>0</v>
      </c>
      <c r="I476" t="n">
        <v>0</v>
      </c>
      <c r="J476" t="n">
        <v>0</v>
      </c>
      <c r="K476" t="n">
        <v>0</v>
      </c>
      <c r="L476" t="n">
        <v>0</v>
      </c>
      <c r="M476" t="n">
        <v>0</v>
      </c>
      <c r="N476" t="n">
        <v>0</v>
      </c>
      <c r="O476" t="n">
        <v>0</v>
      </c>
      <c r="P476" t="n">
        <v>0</v>
      </c>
      <c r="Q476" t="n">
        <v>0</v>
      </c>
      <c r="R476" s="2" t="inlineStr"/>
    </row>
    <row r="477" ht="15" customHeight="1">
      <c r="A477" t="inlineStr">
        <is>
          <t>A 33043-2023</t>
        </is>
      </c>
      <c r="B477" s="1" t="n">
        <v>45125</v>
      </c>
      <c r="C477" s="1" t="n">
        <v>45348</v>
      </c>
      <c r="D477" t="inlineStr">
        <is>
          <t>VÄSTERNORRLANDS LÄN</t>
        </is>
      </c>
      <c r="E477" t="inlineStr">
        <is>
          <t>TIMRÅ</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34172-2023</t>
        </is>
      </c>
      <c r="B478" s="1" t="n">
        <v>45126</v>
      </c>
      <c r="C478" s="1" t="n">
        <v>45348</v>
      </c>
      <c r="D478" t="inlineStr">
        <is>
          <t>VÄSTERNORRLANDS LÄN</t>
        </is>
      </c>
      <c r="E478" t="inlineStr">
        <is>
          <t>TIMRÅ</t>
        </is>
      </c>
      <c r="G478" t="n">
        <v>4</v>
      </c>
      <c r="H478" t="n">
        <v>0</v>
      </c>
      <c r="I478" t="n">
        <v>0</v>
      </c>
      <c r="J478" t="n">
        <v>0</v>
      </c>
      <c r="K478" t="n">
        <v>0</v>
      </c>
      <c r="L478" t="n">
        <v>0</v>
      </c>
      <c r="M478" t="n">
        <v>0</v>
      </c>
      <c r="N478" t="n">
        <v>0</v>
      </c>
      <c r="O478" t="n">
        <v>0</v>
      </c>
      <c r="P478" t="n">
        <v>0</v>
      </c>
      <c r="Q478" t="n">
        <v>0</v>
      </c>
      <c r="R478" s="2" t="inlineStr"/>
    </row>
    <row r="479" ht="15" customHeight="1">
      <c r="A479" t="inlineStr">
        <is>
          <t>A 35342-2023</t>
        </is>
      </c>
      <c r="B479" s="1" t="n">
        <v>45145</v>
      </c>
      <c r="C479" s="1" t="n">
        <v>45348</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35568-2023</t>
        </is>
      </c>
      <c r="B480" s="1" t="n">
        <v>45146</v>
      </c>
      <c r="C480" s="1" t="n">
        <v>45348</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35763-2023</t>
        </is>
      </c>
      <c r="B481" s="1" t="n">
        <v>45147</v>
      </c>
      <c r="C481" s="1" t="n">
        <v>45348</v>
      </c>
      <c r="D481" t="inlineStr">
        <is>
          <t>VÄSTERNORRLANDS LÄN</t>
        </is>
      </c>
      <c r="E481" t="inlineStr">
        <is>
          <t>TIMRÅ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35939-2023</t>
        </is>
      </c>
      <c r="B482" s="1" t="n">
        <v>45148</v>
      </c>
      <c r="C482" s="1" t="n">
        <v>45348</v>
      </c>
      <c r="D482" t="inlineStr">
        <is>
          <t>VÄSTERNORRLANDS LÄN</t>
        </is>
      </c>
      <c r="E482" t="inlineStr">
        <is>
          <t>TIMRÅ</t>
        </is>
      </c>
      <c r="G482" t="n">
        <v>1.1</v>
      </c>
      <c r="H482" t="n">
        <v>0</v>
      </c>
      <c r="I482" t="n">
        <v>0</v>
      </c>
      <c r="J482" t="n">
        <v>0</v>
      </c>
      <c r="K482" t="n">
        <v>0</v>
      </c>
      <c r="L482" t="n">
        <v>0</v>
      </c>
      <c r="M482" t="n">
        <v>0</v>
      </c>
      <c r="N482" t="n">
        <v>0</v>
      </c>
      <c r="O482" t="n">
        <v>0</v>
      </c>
      <c r="P482" t="n">
        <v>0</v>
      </c>
      <c r="Q482" t="n">
        <v>0</v>
      </c>
      <c r="R482" s="2" t="inlineStr"/>
    </row>
    <row r="483" ht="15" customHeight="1">
      <c r="A483" t="inlineStr">
        <is>
          <t>A 36228-2023</t>
        </is>
      </c>
      <c r="B483" s="1" t="n">
        <v>45149</v>
      </c>
      <c r="C483" s="1" t="n">
        <v>45348</v>
      </c>
      <c r="D483" t="inlineStr">
        <is>
          <t>VÄSTERNORRLANDS LÄN</t>
        </is>
      </c>
      <c r="E483" t="inlineStr">
        <is>
          <t>TIMRÅ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36992-2023</t>
        </is>
      </c>
      <c r="B484" s="1" t="n">
        <v>45154</v>
      </c>
      <c r="C484" s="1" t="n">
        <v>45348</v>
      </c>
      <c r="D484" t="inlineStr">
        <is>
          <t>VÄSTERNORRLANDS LÄN</t>
        </is>
      </c>
      <c r="E484" t="inlineStr">
        <is>
          <t>TIMRÅ</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36997-2023</t>
        </is>
      </c>
      <c r="B485" s="1" t="n">
        <v>45154</v>
      </c>
      <c r="C485" s="1" t="n">
        <v>45348</v>
      </c>
      <c r="D485" t="inlineStr">
        <is>
          <t>VÄSTERNORRLANDS LÄN</t>
        </is>
      </c>
      <c r="E485" t="inlineStr">
        <is>
          <t>TIMRÅ</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37259-2023</t>
        </is>
      </c>
      <c r="B486" s="1" t="n">
        <v>45156</v>
      </c>
      <c r="C486" s="1" t="n">
        <v>45348</v>
      </c>
      <c r="D486" t="inlineStr">
        <is>
          <t>VÄSTERNORRLANDS LÄN</t>
        </is>
      </c>
      <c r="E486" t="inlineStr">
        <is>
          <t>TIMRÅ</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37808-2023</t>
        </is>
      </c>
      <c r="B487" s="1" t="n">
        <v>45160</v>
      </c>
      <c r="C487" s="1" t="n">
        <v>45348</v>
      </c>
      <c r="D487" t="inlineStr">
        <is>
          <t>VÄSTERNORRLANDS LÄN</t>
        </is>
      </c>
      <c r="E487" t="inlineStr">
        <is>
          <t>TIMRÅ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38423-2023</t>
        </is>
      </c>
      <c r="B488" s="1" t="n">
        <v>45160</v>
      </c>
      <c r="C488" s="1" t="n">
        <v>45348</v>
      </c>
      <c r="D488" t="inlineStr">
        <is>
          <t>VÄSTERNORRLANDS LÄN</t>
        </is>
      </c>
      <c r="E488" t="inlineStr">
        <is>
          <t>TIMRÅ</t>
        </is>
      </c>
      <c r="G488" t="n">
        <v>6.4</v>
      </c>
      <c r="H488" t="n">
        <v>0</v>
      </c>
      <c r="I488" t="n">
        <v>0</v>
      </c>
      <c r="J488" t="n">
        <v>0</v>
      </c>
      <c r="K488" t="n">
        <v>0</v>
      </c>
      <c r="L488" t="n">
        <v>0</v>
      </c>
      <c r="M488" t="n">
        <v>0</v>
      </c>
      <c r="N488" t="n">
        <v>0</v>
      </c>
      <c r="O488" t="n">
        <v>0</v>
      </c>
      <c r="P488" t="n">
        <v>0</v>
      </c>
      <c r="Q488" t="n">
        <v>0</v>
      </c>
      <c r="R488" s="2" t="inlineStr"/>
    </row>
    <row r="489" ht="15" customHeight="1">
      <c r="A489" t="inlineStr">
        <is>
          <t>A 38360-2023</t>
        </is>
      </c>
      <c r="B489" s="1" t="n">
        <v>45162</v>
      </c>
      <c r="C489" s="1" t="n">
        <v>45348</v>
      </c>
      <c r="D489" t="inlineStr">
        <is>
          <t>VÄSTERNORRLANDS LÄN</t>
        </is>
      </c>
      <c r="E489" t="inlineStr">
        <is>
          <t>TIMRÅ</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39073-2023</t>
        </is>
      </c>
      <c r="B490" s="1" t="n">
        <v>45163</v>
      </c>
      <c r="C490" s="1" t="n">
        <v>45348</v>
      </c>
      <c r="D490" t="inlineStr">
        <is>
          <t>VÄSTERNORRLANDS LÄN</t>
        </is>
      </c>
      <c r="E490" t="inlineStr">
        <is>
          <t>TIMRÅ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39081-2023</t>
        </is>
      </c>
      <c r="B491" s="1" t="n">
        <v>45163</v>
      </c>
      <c r="C491" s="1" t="n">
        <v>45348</v>
      </c>
      <c r="D491" t="inlineStr">
        <is>
          <t>VÄSTERNORRLANDS LÄN</t>
        </is>
      </c>
      <c r="E491" t="inlineStr">
        <is>
          <t>TIMRÅ</t>
        </is>
      </c>
      <c r="F491" t="inlineStr">
        <is>
          <t>SCA</t>
        </is>
      </c>
      <c r="G491" t="n">
        <v>11.6</v>
      </c>
      <c r="H491" t="n">
        <v>0</v>
      </c>
      <c r="I491" t="n">
        <v>0</v>
      </c>
      <c r="J491" t="n">
        <v>0</v>
      </c>
      <c r="K491" t="n">
        <v>0</v>
      </c>
      <c r="L491" t="n">
        <v>0</v>
      </c>
      <c r="M491" t="n">
        <v>0</v>
      </c>
      <c r="N491" t="n">
        <v>0</v>
      </c>
      <c r="O491" t="n">
        <v>0</v>
      </c>
      <c r="P491" t="n">
        <v>0</v>
      </c>
      <c r="Q491" t="n">
        <v>0</v>
      </c>
      <c r="R491" s="2" t="inlineStr"/>
    </row>
    <row r="492" ht="15" customHeight="1">
      <c r="A492" t="inlineStr">
        <is>
          <t>A 39046-2023</t>
        </is>
      </c>
      <c r="B492" s="1" t="n">
        <v>45163</v>
      </c>
      <c r="C492" s="1" t="n">
        <v>45348</v>
      </c>
      <c r="D492" t="inlineStr">
        <is>
          <t>VÄSTERNORRLANDS LÄN</t>
        </is>
      </c>
      <c r="E492" t="inlineStr">
        <is>
          <t>TIMRÅ</t>
        </is>
      </c>
      <c r="G492" t="n">
        <v>1.8</v>
      </c>
      <c r="H492" t="n">
        <v>0</v>
      </c>
      <c r="I492" t="n">
        <v>0</v>
      </c>
      <c r="J492" t="n">
        <v>0</v>
      </c>
      <c r="K492" t="n">
        <v>0</v>
      </c>
      <c r="L492" t="n">
        <v>0</v>
      </c>
      <c r="M492" t="n">
        <v>0</v>
      </c>
      <c r="N492" t="n">
        <v>0</v>
      </c>
      <c r="O492" t="n">
        <v>0</v>
      </c>
      <c r="P492" t="n">
        <v>0</v>
      </c>
      <c r="Q492" t="n">
        <v>0</v>
      </c>
      <c r="R492" s="2" t="inlineStr"/>
    </row>
    <row r="493" ht="15" customHeight="1">
      <c r="A493" t="inlineStr">
        <is>
          <t>A 39048-2023</t>
        </is>
      </c>
      <c r="B493" s="1" t="n">
        <v>45164</v>
      </c>
      <c r="C493" s="1" t="n">
        <v>45348</v>
      </c>
      <c r="D493" t="inlineStr">
        <is>
          <t>VÄSTERNORRLANDS LÄN</t>
        </is>
      </c>
      <c r="E493" t="inlineStr">
        <is>
          <t>TIMRÅ</t>
        </is>
      </c>
      <c r="G493" t="n">
        <v>5.1</v>
      </c>
      <c r="H493" t="n">
        <v>0</v>
      </c>
      <c r="I493" t="n">
        <v>0</v>
      </c>
      <c r="J493" t="n">
        <v>0</v>
      </c>
      <c r="K493" t="n">
        <v>0</v>
      </c>
      <c r="L493" t="n">
        <v>0</v>
      </c>
      <c r="M493" t="n">
        <v>0</v>
      </c>
      <c r="N493" t="n">
        <v>0</v>
      </c>
      <c r="O493" t="n">
        <v>0</v>
      </c>
      <c r="P493" t="n">
        <v>0</v>
      </c>
      <c r="Q493" t="n">
        <v>0</v>
      </c>
      <c r="R493" s="2" t="inlineStr"/>
    </row>
    <row r="494" ht="15" customHeight="1">
      <c r="A494" t="inlineStr">
        <is>
          <t>A 39072-2023</t>
        </is>
      </c>
      <c r="B494" s="1" t="n">
        <v>45163</v>
      </c>
      <c r="C494" s="1" t="n">
        <v>45348</v>
      </c>
      <c r="D494" t="inlineStr">
        <is>
          <t>VÄSTERNORRLANDS LÄN</t>
        </is>
      </c>
      <c r="E494" t="inlineStr">
        <is>
          <t>TIMRÅ</t>
        </is>
      </c>
      <c r="F494" t="inlineStr">
        <is>
          <t>SCA</t>
        </is>
      </c>
      <c r="G494" t="n">
        <v>10.1</v>
      </c>
      <c r="H494" t="n">
        <v>0</v>
      </c>
      <c r="I494" t="n">
        <v>0</v>
      </c>
      <c r="J494" t="n">
        <v>0</v>
      </c>
      <c r="K494" t="n">
        <v>0</v>
      </c>
      <c r="L494" t="n">
        <v>0</v>
      </c>
      <c r="M494" t="n">
        <v>0</v>
      </c>
      <c r="N494" t="n">
        <v>0</v>
      </c>
      <c r="O494" t="n">
        <v>0</v>
      </c>
      <c r="P494" t="n">
        <v>0</v>
      </c>
      <c r="Q494" t="n">
        <v>0</v>
      </c>
      <c r="R494" s="2" t="inlineStr"/>
    </row>
    <row r="495" ht="15" customHeight="1">
      <c r="A495" t="inlineStr">
        <is>
          <t>A 39143-2023</t>
        </is>
      </c>
      <c r="B495" s="1" t="n">
        <v>45165</v>
      </c>
      <c r="C495" s="1" t="n">
        <v>45348</v>
      </c>
      <c r="D495" t="inlineStr">
        <is>
          <t>VÄSTERNORRLANDS LÄN</t>
        </is>
      </c>
      <c r="E495" t="inlineStr">
        <is>
          <t>TIMRÅ</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39142-2023</t>
        </is>
      </c>
      <c r="B496" s="1" t="n">
        <v>45165</v>
      </c>
      <c r="C496" s="1" t="n">
        <v>45348</v>
      </c>
      <c r="D496" t="inlineStr">
        <is>
          <t>VÄSTERNORRLANDS LÄN</t>
        </is>
      </c>
      <c r="E496" t="inlineStr">
        <is>
          <t>TIMRÅ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39693-2023</t>
        </is>
      </c>
      <c r="B497" s="1" t="n">
        <v>45166</v>
      </c>
      <c r="C497" s="1" t="n">
        <v>45348</v>
      </c>
      <c r="D497" t="inlineStr">
        <is>
          <t>VÄSTERNORRLANDS LÄN</t>
        </is>
      </c>
      <c r="E497" t="inlineStr">
        <is>
          <t>TIMRÅ</t>
        </is>
      </c>
      <c r="G497" t="n">
        <v>5.8</v>
      </c>
      <c r="H497" t="n">
        <v>0</v>
      </c>
      <c r="I497" t="n">
        <v>0</v>
      </c>
      <c r="J497" t="n">
        <v>0</v>
      </c>
      <c r="K497" t="n">
        <v>0</v>
      </c>
      <c r="L497" t="n">
        <v>0</v>
      </c>
      <c r="M497" t="n">
        <v>0</v>
      </c>
      <c r="N497" t="n">
        <v>0</v>
      </c>
      <c r="O497" t="n">
        <v>0</v>
      </c>
      <c r="P497" t="n">
        <v>0</v>
      </c>
      <c r="Q497" t="n">
        <v>0</v>
      </c>
      <c r="R497" s="2" t="inlineStr"/>
    </row>
    <row r="498" ht="15" customHeight="1">
      <c r="A498" t="inlineStr">
        <is>
          <t>A 39819-2023</t>
        </is>
      </c>
      <c r="B498" s="1" t="n">
        <v>45167</v>
      </c>
      <c r="C498" s="1" t="n">
        <v>45348</v>
      </c>
      <c r="D498" t="inlineStr">
        <is>
          <t>VÄSTERNORRLANDS LÄN</t>
        </is>
      </c>
      <c r="E498" t="inlineStr">
        <is>
          <t>TIMRÅ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40112-2023</t>
        </is>
      </c>
      <c r="B499" s="1" t="n">
        <v>45168</v>
      </c>
      <c r="C499" s="1" t="n">
        <v>45348</v>
      </c>
      <c r="D499" t="inlineStr">
        <is>
          <t>VÄSTERNORRLANDS LÄN</t>
        </is>
      </c>
      <c r="E499" t="inlineStr">
        <is>
          <t>TIMRÅ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40769-2023</t>
        </is>
      </c>
      <c r="B500" s="1" t="n">
        <v>45170</v>
      </c>
      <c r="C500" s="1" t="n">
        <v>45348</v>
      </c>
      <c r="D500" t="inlineStr">
        <is>
          <t>VÄSTERNORRLANDS LÄN</t>
        </is>
      </c>
      <c r="E500" t="inlineStr">
        <is>
          <t>TIMRÅ</t>
        </is>
      </c>
      <c r="F500" t="inlineStr">
        <is>
          <t>SCA</t>
        </is>
      </c>
      <c r="G500" t="n">
        <v>10.9</v>
      </c>
      <c r="H500" t="n">
        <v>0</v>
      </c>
      <c r="I500" t="n">
        <v>0</v>
      </c>
      <c r="J500" t="n">
        <v>0</v>
      </c>
      <c r="K500" t="n">
        <v>0</v>
      </c>
      <c r="L500" t="n">
        <v>0</v>
      </c>
      <c r="M500" t="n">
        <v>0</v>
      </c>
      <c r="N500" t="n">
        <v>0</v>
      </c>
      <c r="O500" t="n">
        <v>0</v>
      </c>
      <c r="P500" t="n">
        <v>0</v>
      </c>
      <c r="Q500" t="n">
        <v>0</v>
      </c>
      <c r="R500" s="2" t="inlineStr"/>
    </row>
    <row r="501" ht="15" customHeight="1">
      <c r="A501" t="inlineStr">
        <is>
          <t>A 40773-2023</t>
        </is>
      </c>
      <c r="B501" s="1" t="n">
        <v>45171</v>
      </c>
      <c r="C501" s="1" t="n">
        <v>45348</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40774-2023</t>
        </is>
      </c>
      <c r="B502" s="1" t="n">
        <v>45171</v>
      </c>
      <c r="C502" s="1" t="n">
        <v>45348</v>
      </c>
      <c r="D502" t="inlineStr">
        <is>
          <t>VÄSTERNORRLANDS LÄN</t>
        </is>
      </c>
      <c r="E502" t="inlineStr">
        <is>
          <t>TIMRÅ</t>
        </is>
      </c>
      <c r="F502" t="inlineStr">
        <is>
          <t>SCA</t>
        </is>
      </c>
      <c r="G502" t="n">
        <v>12.6</v>
      </c>
      <c r="H502" t="n">
        <v>0</v>
      </c>
      <c r="I502" t="n">
        <v>0</v>
      </c>
      <c r="J502" t="n">
        <v>0</v>
      </c>
      <c r="K502" t="n">
        <v>0</v>
      </c>
      <c r="L502" t="n">
        <v>0</v>
      </c>
      <c r="M502" t="n">
        <v>0</v>
      </c>
      <c r="N502" t="n">
        <v>0</v>
      </c>
      <c r="O502" t="n">
        <v>0</v>
      </c>
      <c r="P502" t="n">
        <v>0</v>
      </c>
      <c r="Q502" t="n">
        <v>0</v>
      </c>
      <c r="R502" s="2" t="inlineStr"/>
    </row>
    <row r="503" ht="15" customHeight="1">
      <c r="A503" t="inlineStr">
        <is>
          <t>A 40767-2023</t>
        </is>
      </c>
      <c r="B503" s="1" t="n">
        <v>45171</v>
      </c>
      <c r="C503" s="1" t="n">
        <v>45348</v>
      </c>
      <c r="D503" t="inlineStr">
        <is>
          <t>VÄSTERNORRLANDS LÄN</t>
        </is>
      </c>
      <c r="E503" t="inlineStr">
        <is>
          <t>TIMRÅ</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40768-2023</t>
        </is>
      </c>
      <c r="B504" s="1" t="n">
        <v>45171</v>
      </c>
      <c r="C504" s="1" t="n">
        <v>45348</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41605-2023</t>
        </is>
      </c>
      <c r="B505" s="1" t="n">
        <v>45175</v>
      </c>
      <c r="C505" s="1" t="n">
        <v>45348</v>
      </c>
      <c r="D505" t="inlineStr">
        <is>
          <t>VÄSTERNORRLANDS LÄN</t>
        </is>
      </c>
      <c r="E505" t="inlineStr">
        <is>
          <t>TIMRÅ</t>
        </is>
      </c>
      <c r="G505" t="n">
        <v>1.6</v>
      </c>
      <c r="H505" t="n">
        <v>0</v>
      </c>
      <c r="I505" t="n">
        <v>0</v>
      </c>
      <c r="J505" t="n">
        <v>0</v>
      </c>
      <c r="K505" t="n">
        <v>0</v>
      </c>
      <c r="L505" t="n">
        <v>0</v>
      </c>
      <c r="M505" t="n">
        <v>0</v>
      </c>
      <c r="N505" t="n">
        <v>0</v>
      </c>
      <c r="O505" t="n">
        <v>0</v>
      </c>
      <c r="P505" t="n">
        <v>0</v>
      </c>
      <c r="Q505" t="n">
        <v>0</v>
      </c>
      <c r="R505" s="2" t="inlineStr"/>
    </row>
    <row r="506" ht="15" customHeight="1">
      <c r="A506" t="inlineStr">
        <is>
          <t>A 42161-2023</t>
        </is>
      </c>
      <c r="B506" s="1" t="n">
        <v>45178</v>
      </c>
      <c r="C506" s="1" t="n">
        <v>45348</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42513-2023</t>
        </is>
      </c>
      <c r="B507" s="1" t="n">
        <v>45180</v>
      </c>
      <c r="C507" s="1" t="n">
        <v>45348</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42516-2023</t>
        </is>
      </c>
      <c r="B508" s="1" t="n">
        <v>45180</v>
      </c>
      <c r="C508" s="1" t="n">
        <v>45348</v>
      </c>
      <c r="D508" t="inlineStr">
        <is>
          <t>VÄSTERNORRLANDS LÄN</t>
        </is>
      </c>
      <c r="E508" t="inlineStr">
        <is>
          <t>TIMRÅ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43124-2023</t>
        </is>
      </c>
      <c r="B509" s="1" t="n">
        <v>45182</v>
      </c>
      <c r="C509" s="1" t="n">
        <v>45348</v>
      </c>
      <c r="D509" t="inlineStr">
        <is>
          <t>VÄSTERNORRLANDS LÄN</t>
        </is>
      </c>
      <c r="E509" t="inlineStr">
        <is>
          <t>TIMRÅ</t>
        </is>
      </c>
      <c r="F509" t="inlineStr">
        <is>
          <t>SCA</t>
        </is>
      </c>
      <c r="G509" t="n">
        <v>6.8</v>
      </c>
      <c r="H509" t="n">
        <v>0</v>
      </c>
      <c r="I509" t="n">
        <v>0</v>
      </c>
      <c r="J509" t="n">
        <v>0</v>
      </c>
      <c r="K509" t="n">
        <v>0</v>
      </c>
      <c r="L509" t="n">
        <v>0</v>
      </c>
      <c r="M509" t="n">
        <v>0</v>
      </c>
      <c r="N509" t="n">
        <v>0</v>
      </c>
      <c r="O509" t="n">
        <v>0</v>
      </c>
      <c r="P509" t="n">
        <v>0</v>
      </c>
      <c r="Q509" t="n">
        <v>0</v>
      </c>
      <c r="R509" s="2" t="inlineStr"/>
    </row>
    <row r="510" ht="15" customHeight="1">
      <c r="A510" t="inlineStr">
        <is>
          <t>A 43130-2023</t>
        </is>
      </c>
      <c r="B510" s="1" t="n">
        <v>45183</v>
      </c>
      <c r="C510" s="1" t="n">
        <v>45348</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43128-2023</t>
        </is>
      </c>
      <c r="B511" s="1" t="n">
        <v>45182</v>
      </c>
      <c r="C511" s="1" t="n">
        <v>45348</v>
      </c>
      <c r="D511" t="inlineStr">
        <is>
          <t>VÄSTERNORRLANDS LÄN</t>
        </is>
      </c>
      <c r="E511" t="inlineStr">
        <is>
          <t>TIMRÅ</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43113-2023</t>
        </is>
      </c>
      <c r="B512" s="1" t="n">
        <v>45182</v>
      </c>
      <c r="C512" s="1" t="n">
        <v>45348</v>
      </c>
      <c r="D512" t="inlineStr">
        <is>
          <t>VÄSTERNORRLANDS LÄN</t>
        </is>
      </c>
      <c r="E512" t="inlineStr">
        <is>
          <t>TIMRÅ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43129-2023</t>
        </is>
      </c>
      <c r="B513" s="1" t="n">
        <v>45182</v>
      </c>
      <c r="C513" s="1" t="n">
        <v>45348</v>
      </c>
      <c r="D513" t="inlineStr">
        <is>
          <t>VÄSTERNORRLANDS LÄN</t>
        </is>
      </c>
      <c r="E513" t="inlineStr">
        <is>
          <t>TIMRÅ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43411-2023</t>
        </is>
      </c>
      <c r="B514" s="1" t="n">
        <v>45183</v>
      </c>
      <c r="C514" s="1" t="n">
        <v>45348</v>
      </c>
      <c r="D514" t="inlineStr">
        <is>
          <t>VÄSTERNORRLANDS LÄN</t>
        </is>
      </c>
      <c r="E514" t="inlineStr">
        <is>
          <t>TIMRÅ</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43412-2023</t>
        </is>
      </c>
      <c r="B515" s="1" t="n">
        <v>45184</v>
      </c>
      <c r="C515" s="1" t="n">
        <v>45348</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43959-2023</t>
        </is>
      </c>
      <c r="B516" s="1" t="n">
        <v>45188</v>
      </c>
      <c r="C516" s="1" t="n">
        <v>45348</v>
      </c>
      <c r="D516" t="inlineStr">
        <is>
          <t>VÄSTERNORRLANDS LÄN</t>
        </is>
      </c>
      <c r="E516" t="inlineStr">
        <is>
          <t>TIMRÅ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43964-2023</t>
        </is>
      </c>
      <c r="B517" s="1" t="n">
        <v>45187</v>
      </c>
      <c r="C517" s="1" t="n">
        <v>45348</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43983-2023</t>
        </is>
      </c>
      <c r="B518" s="1" t="n">
        <v>45188</v>
      </c>
      <c r="C518" s="1" t="n">
        <v>45348</v>
      </c>
      <c r="D518" t="inlineStr">
        <is>
          <t>VÄSTERNORRLANDS LÄN</t>
        </is>
      </c>
      <c r="E518" t="inlineStr">
        <is>
          <t>TIMRÅ</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43962-2023</t>
        </is>
      </c>
      <c r="B519" s="1" t="n">
        <v>45187</v>
      </c>
      <c r="C519" s="1" t="n">
        <v>45348</v>
      </c>
      <c r="D519" t="inlineStr">
        <is>
          <t>VÄSTERNORRLANDS LÄN</t>
        </is>
      </c>
      <c r="E519" t="inlineStr">
        <is>
          <t>TIMRÅ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43994-2023</t>
        </is>
      </c>
      <c r="B520" s="1" t="n">
        <v>45187</v>
      </c>
      <c r="C520" s="1" t="n">
        <v>45348</v>
      </c>
      <c r="D520" t="inlineStr">
        <is>
          <t>VÄSTERNORRLANDS LÄN</t>
        </is>
      </c>
      <c r="E520" t="inlineStr">
        <is>
          <t>TIMRÅ</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44405-2023</t>
        </is>
      </c>
      <c r="B521" s="1" t="n">
        <v>45188</v>
      </c>
      <c r="C521" s="1" t="n">
        <v>45348</v>
      </c>
      <c r="D521" t="inlineStr">
        <is>
          <t>VÄSTERNORRLANDS LÄN</t>
        </is>
      </c>
      <c r="E521" t="inlineStr">
        <is>
          <t>TIMRÅ</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44404-2023</t>
        </is>
      </c>
      <c r="B522" s="1" t="n">
        <v>45188</v>
      </c>
      <c r="C522" s="1" t="n">
        <v>45348</v>
      </c>
      <c r="D522" t="inlineStr">
        <is>
          <t>VÄSTERNORRLANDS LÄN</t>
        </is>
      </c>
      <c r="E522" t="inlineStr">
        <is>
          <t>TIMRÅ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44379-2023</t>
        </is>
      </c>
      <c r="B523" s="1" t="n">
        <v>45188</v>
      </c>
      <c r="C523" s="1" t="n">
        <v>45348</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44378-2023</t>
        </is>
      </c>
      <c r="B524" s="1" t="n">
        <v>45189</v>
      </c>
      <c r="C524" s="1" t="n">
        <v>45348</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45774-2023</t>
        </is>
      </c>
      <c r="B525" s="1" t="n">
        <v>45189</v>
      </c>
      <c r="C525" s="1" t="n">
        <v>45348</v>
      </c>
      <c r="D525" t="inlineStr">
        <is>
          <t>VÄSTERNORRLANDS LÄN</t>
        </is>
      </c>
      <c r="E525" t="inlineStr">
        <is>
          <t>TIMRÅ</t>
        </is>
      </c>
      <c r="G525" t="n">
        <v>2.8</v>
      </c>
      <c r="H525" t="n">
        <v>0</v>
      </c>
      <c r="I525" t="n">
        <v>0</v>
      </c>
      <c r="J525" t="n">
        <v>0</v>
      </c>
      <c r="K525" t="n">
        <v>0</v>
      </c>
      <c r="L525" t="n">
        <v>0</v>
      </c>
      <c r="M525" t="n">
        <v>0</v>
      </c>
      <c r="N525" t="n">
        <v>0</v>
      </c>
      <c r="O525" t="n">
        <v>0</v>
      </c>
      <c r="P525" t="n">
        <v>0</v>
      </c>
      <c r="Q525" t="n">
        <v>0</v>
      </c>
      <c r="R525" s="2" t="inlineStr"/>
    </row>
    <row r="526" ht="15" customHeight="1">
      <c r="A526" t="inlineStr">
        <is>
          <t>A 44991-2023</t>
        </is>
      </c>
      <c r="B526" s="1" t="n">
        <v>45190</v>
      </c>
      <c r="C526" s="1" t="n">
        <v>45348</v>
      </c>
      <c r="D526" t="inlineStr">
        <is>
          <t>VÄSTERNORRLANDS LÄN</t>
        </is>
      </c>
      <c r="E526" t="inlineStr">
        <is>
          <t>TIMRÅ</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44990-2023</t>
        </is>
      </c>
      <c r="B527" s="1" t="n">
        <v>45190</v>
      </c>
      <c r="C527" s="1" t="n">
        <v>45348</v>
      </c>
      <c r="D527" t="inlineStr">
        <is>
          <t>VÄSTERNORRLANDS LÄN</t>
        </is>
      </c>
      <c r="E527" t="inlineStr">
        <is>
          <t>TIMRÅ</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45723-2023</t>
        </is>
      </c>
      <c r="B528" s="1" t="n">
        <v>45195</v>
      </c>
      <c r="C528" s="1" t="n">
        <v>45348</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45739-2023</t>
        </is>
      </c>
      <c r="B529" s="1" t="n">
        <v>45195</v>
      </c>
      <c r="C529" s="1" t="n">
        <v>45348</v>
      </c>
      <c r="D529" t="inlineStr">
        <is>
          <t>VÄSTERNORRLANDS LÄN</t>
        </is>
      </c>
      <c r="E529" t="inlineStr">
        <is>
          <t>TIMRÅ</t>
        </is>
      </c>
      <c r="G529" t="n">
        <v>1.5</v>
      </c>
      <c r="H529" t="n">
        <v>0</v>
      </c>
      <c r="I529" t="n">
        <v>0</v>
      </c>
      <c r="J529" t="n">
        <v>0</v>
      </c>
      <c r="K529" t="n">
        <v>0</v>
      </c>
      <c r="L529" t="n">
        <v>0</v>
      </c>
      <c r="M529" t="n">
        <v>0</v>
      </c>
      <c r="N529" t="n">
        <v>0</v>
      </c>
      <c r="O529" t="n">
        <v>0</v>
      </c>
      <c r="P529" t="n">
        <v>0</v>
      </c>
      <c r="Q529" t="n">
        <v>0</v>
      </c>
      <c r="R529" s="2" t="inlineStr"/>
    </row>
    <row r="530" ht="15" customHeight="1">
      <c r="A530" t="inlineStr">
        <is>
          <t>A 47147-2023</t>
        </is>
      </c>
      <c r="B530" s="1" t="n">
        <v>45201</v>
      </c>
      <c r="C530" s="1" t="n">
        <v>45348</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47150-2023</t>
        </is>
      </c>
      <c r="B531" s="1" t="n">
        <v>45201</v>
      </c>
      <c r="C531" s="1" t="n">
        <v>45348</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48769-2023</t>
        </is>
      </c>
      <c r="B532" s="1" t="n">
        <v>45208</v>
      </c>
      <c r="C532" s="1" t="n">
        <v>45348</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48786-2023</t>
        </is>
      </c>
      <c r="B533" s="1" t="n">
        <v>45208</v>
      </c>
      <c r="C533" s="1" t="n">
        <v>45348</v>
      </c>
      <c r="D533" t="inlineStr">
        <is>
          <t>VÄSTERNORRLANDS LÄN</t>
        </is>
      </c>
      <c r="E533" t="inlineStr">
        <is>
          <t>TIMRÅ</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48768-2023</t>
        </is>
      </c>
      <c r="B534" s="1" t="n">
        <v>45208</v>
      </c>
      <c r="C534" s="1" t="n">
        <v>45348</v>
      </c>
      <c r="D534" t="inlineStr">
        <is>
          <t>VÄSTERNORRLANDS LÄN</t>
        </is>
      </c>
      <c r="E534" t="inlineStr">
        <is>
          <t>TIMRÅ</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48785-2023</t>
        </is>
      </c>
      <c r="B535" s="1" t="n">
        <v>45208</v>
      </c>
      <c r="C535" s="1" t="n">
        <v>45348</v>
      </c>
      <c r="D535" t="inlineStr">
        <is>
          <t>VÄSTERNORRLANDS LÄN</t>
        </is>
      </c>
      <c r="E535" t="inlineStr">
        <is>
          <t>TIMRÅ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48784-2023</t>
        </is>
      </c>
      <c r="B536" s="1" t="n">
        <v>45208</v>
      </c>
      <c r="C536" s="1" t="n">
        <v>45348</v>
      </c>
      <c r="D536" t="inlineStr">
        <is>
          <t>VÄSTERNORRLANDS LÄN</t>
        </is>
      </c>
      <c r="E536" t="inlineStr">
        <is>
          <t>TIMRÅ</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50355-2023</t>
        </is>
      </c>
      <c r="B537" s="1" t="n">
        <v>45209</v>
      </c>
      <c r="C537" s="1" t="n">
        <v>45348</v>
      </c>
      <c r="D537" t="inlineStr">
        <is>
          <t>VÄSTERNORRLANDS LÄN</t>
        </is>
      </c>
      <c r="E537" t="inlineStr">
        <is>
          <t>TIMRÅ</t>
        </is>
      </c>
      <c r="G537" t="n">
        <v>1</v>
      </c>
      <c r="H537" t="n">
        <v>0</v>
      </c>
      <c r="I537" t="n">
        <v>0</v>
      </c>
      <c r="J537" t="n">
        <v>0</v>
      </c>
      <c r="K537" t="n">
        <v>0</v>
      </c>
      <c r="L537" t="n">
        <v>0</v>
      </c>
      <c r="M537" t="n">
        <v>0</v>
      </c>
      <c r="N537" t="n">
        <v>0</v>
      </c>
      <c r="O537" t="n">
        <v>0</v>
      </c>
      <c r="P537" t="n">
        <v>0</v>
      </c>
      <c r="Q537" t="n">
        <v>0</v>
      </c>
      <c r="R537" s="2" t="inlineStr"/>
    </row>
    <row r="538" ht="15" customHeight="1">
      <c r="A538" t="inlineStr">
        <is>
          <t>A 50638-2023</t>
        </is>
      </c>
      <c r="B538" s="1" t="n">
        <v>45210</v>
      </c>
      <c r="C538" s="1" t="n">
        <v>45348</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50230-2023</t>
        </is>
      </c>
      <c r="B539" s="1" t="n">
        <v>45215</v>
      </c>
      <c r="C539" s="1" t="n">
        <v>45348</v>
      </c>
      <c r="D539" t="inlineStr">
        <is>
          <t>VÄSTERNORRLANDS LÄN</t>
        </is>
      </c>
      <c r="E539" t="inlineStr">
        <is>
          <t>TIMRÅ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51735-2023</t>
        </is>
      </c>
      <c r="B540" s="1" t="n">
        <v>45215</v>
      </c>
      <c r="C540" s="1" t="n">
        <v>45348</v>
      </c>
      <c r="D540" t="inlineStr">
        <is>
          <t>VÄSTERNORRLANDS LÄN</t>
        </is>
      </c>
      <c r="E540" t="inlineStr">
        <is>
          <t>TIMRÅ</t>
        </is>
      </c>
      <c r="G540" t="n">
        <v>8.5</v>
      </c>
      <c r="H540" t="n">
        <v>0</v>
      </c>
      <c r="I540" t="n">
        <v>0</v>
      </c>
      <c r="J540" t="n">
        <v>0</v>
      </c>
      <c r="K540" t="n">
        <v>0</v>
      </c>
      <c r="L540" t="n">
        <v>0</v>
      </c>
      <c r="M540" t="n">
        <v>0</v>
      </c>
      <c r="N540" t="n">
        <v>0</v>
      </c>
      <c r="O540" t="n">
        <v>0</v>
      </c>
      <c r="P540" t="n">
        <v>0</v>
      </c>
      <c r="Q540" t="n">
        <v>0</v>
      </c>
      <c r="R540" s="2" t="inlineStr"/>
    </row>
    <row r="541" ht="15" customHeight="1">
      <c r="A541" t="inlineStr">
        <is>
          <t>A 51871-2023</t>
        </is>
      </c>
      <c r="B541" s="1" t="n">
        <v>45215</v>
      </c>
      <c r="C541" s="1" t="n">
        <v>45348</v>
      </c>
      <c r="D541" t="inlineStr">
        <is>
          <t>VÄSTERNORRLANDS LÄN</t>
        </is>
      </c>
      <c r="E541" t="inlineStr">
        <is>
          <t>TIMRÅ</t>
        </is>
      </c>
      <c r="G541" t="n">
        <v>7.3</v>
      </c>
      <c r="H541" t="n">
        <v>0</v>
      </c>
      <c r="I541" t="n">
        <v>0</v>
      </c>
      <c r="J541" t="n">
        <v>0</v>
      </c>
      <c r="K541" t="n">
        <v>0</v>
      </c>
      <c r="L541" t="n">
        <v>0</v>
      </c>
      <c r="M541" t="n">
        <v>0</v>
      </c>
      <c r="N541" t="n">
        <v>0</v>
      </c>
      <c r="O541" t="n">
        <v>0</v>
      </c>
      <c r="P541" t="n">
        <v>0</v>
      </c>
      <c r="Q541" t="n">
        <v>0</v>
      </c>
      <c r="R541" s="2" t="inlineStr"/>
    </row>
    <row r="542" ht="15" customHeight="1">
      <c r="A542" t="inlineStr">
        <is>
          <t>A 51113-2023</t>
        </is>
      </c>
      <c r="B542" s="1" t="n">
        <v>45218</v>
      </c>
      <c r="C542" s="1" t="n">
        <v>45348</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53033-2023</t>
        </is>
      </c>
      <c r="B543" s="1" t="n">
        <v>45227</v>
      </c>
      <c r="C543" s="1" t="n">
        <v>45348</v>
      </c>
      <c r="D543" t="inlineStr">
        <is>
          <t>VÄSTERNORRLANDS LÄN</t>
        </is>
      </c>
      <c r="E543" t="inlineStr">
        <is>
          <t>TIMRÅ</t>
        </is>
      </c>
      <c r="G543" t="n">
        <v>3.4</v>
      </c>
      <c r="H543" t="n">
        <v>0</v>
      </c>
      <c r="I543" t="n">
        <v>0</v>
      </c>
      <c r="J543" t="n">
        <v>0</v>
      </c>
      <c r="K543" t="n">
        <v>0</v>
      </c>
      <c r="L543" t="n">
        <v>0</v>
      </c>
      <c r="M543" t="n">
        <v>0</v>
      </c>
      <c r="N543" t="n">
        <v>0</v>
      </c>
      <c r="O543" t="n">
        <v>0</v>
      </c>
      <c r="P543" t="n">
        <v>0</v>
      </c>
      <c r="Q543" t="n">
        <v>0</v>
      </c>
      <c r="R543" s="2" t="inlineStr"/>
    </row>
    <row r="544" ht="15" customHeight="1">
      <c r="A544" t="inlineStr">
        <is>
          <t>A 53448-2023</t>
        </is>
      </c>
      <c r="B544" s="1" t="n">
        <v>45230</v>
      </c>
      <c r="C544" s="1" t="n">
        <v>45348</v>
      </c>
      <c r="D544" t="inlineStr">
        <is>
          <t>VÄSTERNORRLANDS LÄN</t>
        </is>
      </c>
      <c r="E544" t="inlineStr">
        <is>
          <t>TIMRÅ</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53430-2023</t>
        </is>
      </c>
      <c r="B545" s="1" t="n">
        <v>45229</v>
      </c>
      <c r="C545" s="1" t="n">
        <v>45348</v>
      </c>
      <c r="D545" t="inlineStr">
        <is>
          <t>VÄSTERNORRLANDS LÄN</t>
        </is>
      </c>
      <c r="E545" t="inlineStr">
        <is>
          <t>TIMRÅ</t>
        </is>
      </c>
      <c r="G545" t="n">
        <v>2.6</v>
      </c>
      <c r="H545" t="n">
        <v>0</v>
      </c>
      <c r="I545" t="n">
        <v>0</v>
      </c>
      <c r="J545" t="n">
        <v>0</v>
      </c>
      <c r="K545" t="n">
        <v>0</v>
      </c>
      <c r="L545" t="n">
        <v>0</v>
      </c>
      <c r="M545" t="n">
        <v>0</v>
      </c>
      <c r="N545" t="n">
        <v>0</v>
      </c>
      <c r="O545" t="n">
        <v>0</v>
      </c>
      <c r="P545" t="n">
        <v>0</v>
      </c>
      <c r="Q545" t="n">
        <v>0</v>
      </c>
      <c r="R545" s="2" t="inlineStr"/>
    </row>
    <row r="546" ht="15" customHeight="1">
      <c r="A546" t="inlineStr">
        <is>
          <t>A 53755-2023</t>
        </is>
      </c>
      <c r="B546" s="1" t="n">
        <v>45230</v>
      </c>
      <c r="C546" s="1" t="n">
        <v>45348</v>
      </c>
      <c r="D546" t="inlineStr">
        <is>
          <t>VÄSTERNORRLANDS LÄN</t>
        </is>
      </c>
      <c r="E546" t="inlineStr">
        <is>
          <t>TIMRÅ</t>
        </is>
      </c>
      <c r="G546" t="n">
        <v>6.5</v>
      </c>
      <c r="H546" t="n">
        <v>0</v>
      </c>
      <c r="I546" t="n">
        <v>0</v>
      </c>
      <c r="J546" t="n">
        <v>0</v>
      </c>
      <c r="K546" t="n">
        <v>0</v>
      </c>
      <c r="L546" t="n">
        <v>0</v>
      </c>
      <c r="M546" t="n">
        <v>0</v>
      </c>
      <c r="N546" t="n">
        <v>0</v>
      </c>
      <c r="O546" t="n">
        <v>0</v>
      </c>
      <c r="P546" t="n">
        <v>0</v>
      </c>
      <c r="Q546" t="n">
        <v>0</v>
      </c>
      <c r="R546" s="2" t="inlineStr"/>
    </row>
    <row r="547" ht="15" customHeight="1">
      <c r="A547" t="inlineStr">
        <is>
          <t>A 54040-2023</t>
        </is>
      </c>
      <c r="B547" s="1" t="n">
        <v>45231</v>
      </c>
      <c r="C547" s="1" t="n">
        <v>45348</v>
      </c>
      <c r="D547" t="inlineStr">
        <is>
          <t>VÄSTERNORRLANDS LÄN</t>
        </is>
      </c>
      <c r="E547" t="inlineStr">
        <is>
          <t>TIMRÅ</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54041-2023</t>
        </is>
      </c>
      <c r="B548" s="1" t="n">
        <v>45231</v>
      </c>
      <c r="C548" s="1" t="n">
        <v>45348</v>
      </c>
      <c r="D548" t="inlineStr">
        <is>
          <t>VÄSTERNORRLANDS LÄN</t>
        </is>
      </c>
      <c r="E548" t="inlineStr">
        <is>
          <t>TIMRÅ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55441-2023</t>
        </is>
      </c>
      <c r="B549" s="1" t="n">
        <v>45231</v>
      </c>
      <c r="C549" s="1" t="n">
        <v>45348</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54610-2023</t>
        </is>
      </c>
      <c r="B550" s="1" t="n">
        <v>45233</v>
      </c>
      <c r="C550" s="1" t="n">
        <v>45348</v>
      </c>
      <c r="D550" t="inlineStr">
        <is>
          <t>VÄSTERNORRLANDS LÄN</t>
        </is>
      </c>
      <c r="E550" t="inlineStr">
        <is>
          <t>TIMRÅ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55673-2023</t>
        </is>
      </c>
      <c r="B551" s="1" t="n">
        <v>45238</v>
      </c>
      <c r="C551" s="1" t="n">
        <v>45348</v>
      </c>
      <c r="D551" t="inlineStr">
        <is>
          <t>VÄSTERNORRLANDS LÄN</t>
        </is>
      </c>
      <c r="E551" t="inlineStr">
        <is>
          <t>TIMRÅ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55930-2023</t>
        </is>
      </c>
      <c r="B552" s="1" t="n">
        <v>45240</v>
      </c>
      <c r="C552" s="1" t="n">
        <v>45348</v>
      </c>
      <c r="D552" t="inlineStr">
        <is>
          <t>VÄSTERNORRLANDS LÄN</t>
        </is>
      </c>
      <c r="E552" t="inlineStr">
        <is>
          <t>TIMRÅ</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56237-2023</t>
        </is>
      </c>
      <c r="B553" s="1" t="n">
        <v>45240</v>
      </c>
      <c r="C553" s="1" t="n">
        <v>45348</v>
      </c>
      <c r="D553" t="inlineStr">
        <is>
          <t>VÄSTERNORRLANDS LÄN</t>
        </is>
      </c>
      <c r="E553" t="inlineStr">
        <is>
          <t>TIMRÅ</t>
        </is>
      </c>
      <c r="G553" t="n">
        <v>0.7</v>
      </c>
      <c r="H553" t="n">
        <v>0</v>
      </c>
      <c r="I553" t="n">
        <v>0</v>
      </c>
      <c r="J553" t="n">
        <v>0</v>
      </c>
      <c r="K553" t="n">
        <v>0</v>
      </c>
      <c r="L553" t="n">
        <v>0</v>
      </c>
      <c r="M553" t="n">
        <v>0</v>
      </c>
      <c r="N553" t="n">
        <v>0</v>
      </c>
      <c r="O553" t="n">
        <v>0</v>
      </c>
      <c r="P553" t="n">
        <v>0</v>
      </c>
      <c r="Q553" t="n">
        <v>0</v>
      </c>
      <c r="R553" s="2" t="inlineStr"/>
    </row>
    <row r="554" ht="15" customHeight="1">
      <c r="A554" t="inlineStr">
        <is>
          <t>A 56701-2023</t>
        </is>
      </c>
      <c r="B554" s="1" t="n">
        <v>45243</v>
      </c>
      <c r="C554" s="1" t="n">
        <v>45348</v>
      </c>
      <c r="D554" t="inlineStr">
        <is>
          <t>VÄSTERNORRLANDS LÄN</t>
        </is>
      </c>
      <c r="E554" t="inlineStr">
        <is>
          <t>TIMRÅ</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56692-2023</t>
        </is>
      </c>
      <c r="B555" s="1" t="n">
        <v>45243</v>
      </c>
      <c r="C555" s="1" t="n">
        <v>45348</v>
      </c>
      <c r="D555" t="inlineStr">
        <is>
          <t>VÄSTERNORRLANDS LÄN</t>
        </is>
      </c>
      <c r="E555" t="inlineStr">
        <is>
          <t>TIMRÅ</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56765-2023</t>
        </is>
      </c>
      <c r="B556" s="1" t="n">
        <v>45244</v>
      </c>
      <c r="C556" s="1" t="n">
        <v>45348</v>
      </c>
      <c r="D556" t="inlineStr">
        <is>
          <t>VÄSTERNORRLANDS LÄN</t>
        </is>
      </c>
      <c r="E556" t="inlineStr">
        <is>
          <t>TIMRÅ</t>
        </is>
      </c>
      <c r="G556" t="n">
        <v>2</v>
      </c>
      <c r="H556" t="n">
        <v>0</v>
      </c>
      <c r="I556" t="n">
        <v>0</v>
      </c>
      <c r="J556" t="n">
        <v>0</v>
      </c>
      <c r="K556" t="n">
        <v>0</v>
      </c>
      <c r="L556" t="n">
        <v>0</v>
      </c>
      <c r="M556" t="n">
        <v>0</v>
      </c>
      <c r="N556" t="n">
        <v>0</v>
      </c>
      <c r="O556" t="n">
        <v>0</v>
      </c>
      <c r="P556" t="n">
        <v>0</v>
      </c>
      <c r="Q556" t="n">
        <v>0</v>
      </c>
      <c r="R556" s="2" t="inlineStr"/>
    </row>
    <row r="557" ht="15" customHeight="1">
      <c r="A557" t="inlineStr">
        <is>
          <t>A 57072-2023</t>
        </is>
      </c>
      <c r="B557" s="1" t="n">
        <v>45245</v>
      </c>
      <c r="C557" s="1" t="n">
        <v>45348</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57762-2023</t>
        </is>
      </c>
      <c r="B558" s="1" t="n">
        <v>45246</v>
      </c>
      <c r="C558" s="1" t="n">
        <v>45348</v>
      </c>
      <c r="D558" t="inlineStr">
        <is>
          <t>VÄSTERNORRLANDS LÄN</t>
        </is>
      </c>
      <c r="E558" t="inlineStr">
        <is>
          <t>TIMRÅ</t>
        </is>
      </c>
      <c r="G558" t="n">
        <v>2.5</v>
      </c>
      <c r="H558" t="n">
        <v>0</v>
      </c>
      <c r="I558" t="n">
        <v>0</v>
      </c>
      <c r="J558" t="n">
        <v>0</v>
      </c>
      <c r="K558" t="n">
        <v>0</v>
      </c>
      <c r="L558" t="n">
        <v>0</v>
      </c>
      <c r="M558" t="n">
        <v>0</v>
      </c>
      <c r="N558" t="n">
        <v>0</v>
      </c>
      <c r="O558" t="n">
        <v>0</v>
      </c>
      <c r="P558" t="n">
        <v>0</v>
      </c>
      <c r="Q558" t="n">
        <v>0</v>
      </c>
      <c r="R558" s="2" t="inlineStr"/>
    </row>
    <row r="559" ht="15" customHeight="1">
      <c r="A559" t="inlineStr">
        <is>
          <t>A 58062-2023</t>
        </is>
      </c>
      <c r="B559" s="1" t="n">
        <v>45247</v>
      </c>
      <c r="C559" s="1" t="n">
        <v>45348</v>
      </c>
      <c r="D559" t="inlineStr">
        <is>
          <t>VÄSTERNORRLANDS LÄN</t>
        </is>
      </c>
      <c r="E559" t="inlineStr">
        <is>
          <t>TIMRÅ</t>
        </is>
      </c>
      <c r="G559" t="n">
        <v>1.5</v>
      </c>
      <c r="H559" t="n">
        <v>0</v>
      </c>
      <c r="I559" t="n">
        <v>0</v>
      </c>
      <c r="J559" t="n">
        <v>0</v>
      </c>
      <c r="K559" t="n">
        <v>0</v>
      </c>
      <c r="L559" t="n">
        <v>0</v>
      </c>
      <c r="M559" t="n">
        <v>0</v>
      </c>
      <c r="N559" t="n">
        <v>0</v>
      </c>
      <c r="O559" t="n">
        <v>0</v>
      </c>
      <c r="P559" t="n">
        <v>0</v>
      </c>
      <c r="Q559" t="n">
        <v>0</v>
      </c>
      <c r="R559" s="2" t="inlineStr"/>
    </row>
    <row r="560" ht="15" customHeight="1">
      <c r="A560" t="inlineStr">
        <is>
          <t>A 58081-2023</t>
        </is>
      </c>
      <c r="B560" s="1" t="n">
        <v>45247</v>
      </c>
      <c r="C560" s="1" t="n">
        <v>45348</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58087-2023</t>
        </is>
      </c>
      <c r="B561" s="1" t="n">
        <v>45248</v>
      </c>
      <c r="C561" s="1" t="n">
        <v>45348</v>
      </c>
      <c r="D561" t="inlineStr">
        <is>
          <t>VÄSTERNORRLANDS LÄN</t>
        </is>
      </c>
      <c r="E561" t="inlineStr">
        <is>
          <t>TIMRÅ</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58998-2023</t>
        </is>
      </c>
      <c r="B562" s="1" t="n">
        <v>45250</v>
      </c>
      <c r="C562" s="1" t="n">
        <v>45348</v>
      </c>
      <c r="D562" t="inlineStr">
        <is>
          <t>VÄSTERNORRLANDS LÄN</t>
        </is>
      </c>
      <c r="E562" t="inlineStr">
        <is>
          <t>TIMRÅ</t>
        </is>
      </c>
      <c r="G562" t="n">
        <v>1.3</v>
      </c>
      <c r="H562" t="n">
        <v>0</v>
      </c>
      <c r="I562" t="n">
        <v>0</v>
      </c>
      <c r="J562" t="n">
        <v>0</v>
      </c>
      <c r="K562" t="n">
        <v>0</v>
      </c>
      <c r="L562" t="n">
        <v>0</v>
      </c>
      <c r="M562" t="n">
        <v>0</v>
      </c>
      <c r="N562" t="n">
        <v>0</v>
      </c>
      <c r="O562" t="n">
        <v>0</v>
      </c>
      <c r="P562" t="n">
        <v>0</v>
      </c>
      <c r="Q562" t="n">
        <v>0</v>
      </c>
      <c r="R562" s="2" t="inlineStr"/>
    </row>
    <row r="563" ht="15" customHeight="1">
      <c r="A563" t="inlineStr">
        <is>
          <t>A 58766-2023</t>
        </is>
      </c>
      <c r="B563" s="1" t="n">
        <v>45252</v>
      </c>
      <c r="C563" s="1" t="n">
        <v>45348</v>
      </c>
      <c r="D563" t="inlineStr">
        <is>
          <t>VÄSTERNORRLANDS LÄN</t>
        </is>
      </c>
      <c r="E563" t="inlineStr">
        <is>
          <t>TIMRÅ</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58895-2023</t>
        </is>
      </c>
      <c r="B564" s="1" t="n">
        <v>45252</v>
      </c>
      <c r="C564" s="1" t="n">
        <v>45348</v>
      </c>
      <c r="D564" t="inlineStr">
        <is>
          <t>VÄSTERNORRLANDS LÄN</t>
        </is>
      </c>
      <c r="E564" t="inlineStr">
        <is>
          <t>TIMRÅ</t>
        </is>
      </c>
      <c r="G564" t="n">
        <v>3.7</v>
      </c>
      <c r="H564" t="n">
        <v>0</v>
      </c>
      <c r="I564" t="n">
        <v>0</v>
      </c>
      <c r="J564" t="n">
        <v>0</v>
      </c>
      <c r="K564" t="n">
        <v>0</v>
      </c>
      <c r="L564" t="n">
        <v>0</v>
      </c>
      <c r="M564" t="n">
        <v>0</v>
      </c>
      <c r="N564" t="n">
        <v>0</v>
      </c>
      <c r="O564" t="n">
        <v>0</v>
      </c>
      <c r="P564" t="n">
        <v>0</v>
      </c>
      <c r="Q564" t="n">
        <v>0</v>
      </c>
      <c r="R564" s="2" t="inlineStr"/>
    </row>
    <row r="565" ht="15" customHeight="1">
      <c r="A565" t="inlineStr">
        <is>
          <t>A 59401-2023</t>
        </is>
      </c>
      <c r="B565" s="1" t="n">
        <v>45253</v>
      </c>
      <c r="C565" s="1" t="n">
        <v>45348</v>
      </c>
      <c r="D565" t="inlineStr">
        <is>
          <t>VÄSTERNORRLANDS LÄN</t>
        </is>
      </c>
      <c r="E565" t="inlineStr">
        <is>
          <t>TIMRÅ</t>
        </is>
      </c>
      <c r="G565" t="n">
        <v>11.2</v>
      </c>
      <c r="H565" t="n">
        <v>0</v>
      </c>
      <c r="I565" t="n">
        <v>0</v>
      </c>
      <c r="J565" t="n">
        <v>0</v>
      </c>
      <c r="K565" t="n">
        <v>0</v>
      </c>
      <c r="L565" t="n">
        <v>0</v>
      </c>
      <c r="M565" t="n">
        <v>0</v>
      </c>
      <c r="N565" t="n">
        <v>0</v>
      </c>
      <c r="O565" t="n">
        <v>0</v>
      </c>
      <c r="P565" t="n">
        <v>0</v>
      </c>
      <c r="Q565" t="n">
        <v>0</v>
      </c>
      <c r="R565" s="2" t="inlineStr"/>
    </row>
    <row r="566" ht="15" customHeight="1">
      <c r="A566" t="inlineStr">
        <is>
          <t>A 60011-2023</t>
        </is>
      </c>
      <c r="B566" s="1" t="n">
        <v>45257</v>
      </c>
      <c r="C566" s="1" t="n">
        <v>45348</v>
      </c>
      <c r="D566" t="inlineStr">
        <is>
          <t>VÄSTERNORRLANDS LÄN</t>
        </is>
      </c>
      <c r="E566" t="inlineStr">
        <is>
          <t>TIMRÅ</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60074-2023</t>
        </is>
      </c>
      <c r="B567" s="1" t="n">
        <v>45258</v>
      </c>
      <c r="C567" s="1" t="n">
        <v>45348</v>
      </c>
      <c r="D567" t="inlineStr">
        <is>
          <t>VÄSTERNORRLANDS LÄN</t>
        </is>
      </c>
      <c r="E567" t="inlineStr">
        <is>
          <t>TIMRÅ</t>
        </is>
      </c>
      <c r="G567" t="n">
        <v>5</v>
      </c>
      <c r="H567" t="n">
        <v>0</v>
      </c>
      <c r="I567" t="n">
        <v>0</v>
      </c>
      <c r="J567" t="n">
        <v>0</v>
      </c>
      <c r="K567" t="n">
        <v>0</v>
      </c>
      <c r="L567" t="n">
        <v>0</v>
      </c>
      <c r="M567" t="n">
        <v>0</v>
      </c>
      <c r="N567" t="n">
        <v>0</v>
      </c>
      <c r="O567" t="n">
        <v>0</v>
      </c>
      <c r="P567" t="n">
        <v>0</v>
      </c>
      <c r="Q567" t="n">
        <v>0</v>
      </c>
      <c r="R567" s="2" t="inlineStr"/>
    </row>
    <row r="568" ht="15" customHeight="1">
      <c r="A568" t="inlineStr">
        <is>
          <t>A 61606-2023</t>
        </is>
      </c>
      <c r="B568" s="1" t="n">
        <v>45261</v>
      </c>
      <c r="C568" s="1" t="n">
        <v>45348</v>
      </c>
      <c r="D568" t="inlineStr">
        <is>
          <t>VÄSTERNORRLANDS LÄN</t>
        </is>
      </c>
      <c r="E568" t="inlineStr">
        <is>
          <t>TIMRÅ</t>
        </is>
      </c>
      <c r="G568" t="n">
        <v>0.3</v>
      </c>
      <c r="H568" t="n">
        <v>0</v>
      </c>
      <c r="I568" t="n">
        <v>0</v>
      </c>
      <c r="J568" t="n">
        <v>0</v>
      </c>
      <c r="K568" t="n">
        <v>0</v>
      </c>
      <c r="L568" t="n">
        <v>0</v>
      </c>
      <c r="M568" t="n">
        <v>0</v>
      </c>
      <c r="N568" t="n">
        <v>0</v>
      </c>
      <c r="O568" t="n">
        <v>0</v>
      </c>
      <c r="P568" t="n">
        <v>0</v>
      </c>
      <c r="Q568" t="n">
        <v>0</v>
      </c>
      <c r="R568" s="2" t="inlineStr"/>
    </row>
    <row r="569" ht="15" customHeight="1">
      <c r="A569" t="inlineStr">
        <is>
          <t>A 61613-2023</t>
        </is>
      </c>
      <c r="B569" s="1" t="n">
        <v>45261</v>
      </c>
      <c r="C569" s="1" t="n">
        <v>45348</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61484-2023</t>
        </is>
      </c>
      <c r="B570" s="1" t="n">
        <v>45264</v>
      </c>
      <c r="C570" s="1" t="n">
        <v>45348</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61463-2023</t>
        </is>
      </c>
      <c r="B571" s="1" t="n">
        <v>45264</v>
      </c>
      <c r="C571" s="1" t="n">
        <v>45348</v>
      </c>
      <c r="D571" t="inlineStr">
        <is>
          <t>VÄSTERNORRLANDS LÄN</t>
        </is>
      </c>
      <c r="E571" t="inlineStr">
        <is>
          <t>TIMRÅ</t>
        </is>
      </c>
      <c r="G571" t="n">
        <v>2.1</v>
      </c>
      <c r="H571" t="n">
        <v>0</v>
      </c>
      <c r="I571" t="n">
        <v>0</v>
      </c>
      <c r="J571" t="n">
        <v>0</v>
      </c>
      <c r="K571" t="n">
        <v>0</v>
      </c>
      <c r="L571" t="n">
        <v>0</v>
      </c>
      <c r="M571" t="n">
        <v>0</v>
      </c>
      <c r="N571" t="n">
        <v>0</v>
      </c>
      <c r="O571" t="n">
        <v>0</v>
      </c>
      <c r="P571" t="n">
        <v>0</v>
      </c>
      <c r="Q571" t="n">
        <v>0</v>
      </c>
      <c r="R571" s="2" t="inlineStr"/>
    </row>
    <row r="572" ht="15" customHeight="1">
      <c r="A572" t="inlineStr">
        <is>
          <t>A 61785-2023</t>
        </is>
      </c>
      <c r="B572" s="1" t="n">
        <v>45265</v>
      </c>
      <c r="C572" s="1" t="n">
        <v>45348</v>
      </c>
      <c r="D572" t="inlineStr">
        <is>
          <t>VÄSTERNORRLANDS LÄN</t>
        </is>
      </c>
      <c r="E572" t="inlineStr">
        <is>
          <t>TIMRÅ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62474-2023</t>
        </is>
      </c>
      <c r="B573" s="1" t="n">
        <v>45267</v>
      </c>
      <c r="C573" s="1" t="n">
        <v>45348</v>
      </c>
      <c r="D573" t="inlineStr">
        <is>
          <t>VÄSTERNORRLANDS LÄN</t>
        </is>
      </c>
      <c r="E573" t="inlineStr">
        <is>
          <t>TIMRÅ</t>
        </is>
      </c>
      <c r="G573" t="n">
        <v>4</v>
      </c>
      <c r="H573" t="n">
        <v>0</v>
      </c>
      <c r="I573" t="n">
        <v>0</v>
      </c>
      <c r="J573" t="n">
        <v>0</v>
      </c>
      <c r="K573" t="n">
        <v>0</v>
      </c>
      <c r="L573" t="n">
        <v>0</v>
      </c>
      <c r="M573" t="n">
        <v>0</v>
      </c>
      <c r="N573" t="n">
        <v>0</v>
      </c>
      <c r="O573" t="n">
        <v>0</v>
      </c>
      <c r="P573" t="n">
        <v>0</v>
      </c>
      <c r="Q573" t="n">
        <v>0</v>
      </c>
      <c r="R573" s="2" t="inlineStr"/>
    </row>
    <row r="574" ht="15" customHeight="1">
      <c r="A574" t="inlineStr">
        <is>
          <t>A 63294-2023</t>
        </is>
      </c>
      <c r="B574" s="1" t="n">
        <v>45273</v>
      </c>
      <c r="C574" s="1" t="n">
        <v>45348</v>
      </c>
      <c r="D574" t="inlineStr">
        <is>
          <t>VÄSTERNORRLANDS LÄN</t>
        </is>
      </c>
      <c r="E574" t="inlineStr">
        <is>
          <t>TIMRÅ</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63812-2023</t>
        </is>
      </c>
      <c r="B575" s="1" t="n">
        <v>45278</v>
      </c>
      <c r="C575" s="1" t="n">
        <v>45348</v>
      </c>
      <c r="D575" t="inlineStr">
        <is>
          <t>VÄSTERNORRLANDS LÄN</t>
        </is>
      </c>
      <c r="E575" t="inlineStr">
        <is>
          <t>TIMRÅ</t>
        </is>
      </c>
      <c r="G575" t="n">
        <v>3</v>
      </c>
      <c r="H575" t="n">
        <v>0</v>
      </c>
      <c r="I575" t="n">
        <v>0</v>
      </c>
      <c r="J575" t="n">
        <v>0</v>
      </c>
      <c r="K575" t="n">
        <v>0</v>
      </c>
      <c r="L575" t="n">
        <v>0</v>
      </c>
      <c r="M575" t="n">
        <v>0</v>
      </c>
      <c r="N575" t="n">
        <v>0</v>
      </c>
      <c r="O575" t="n">
        <v>0</v>
      </c>
      <c r="P575" t="n">
        <v>0</v>
      </c>
      <c r="Q575" t="n">
        <v>0</v>
      </c>
      <c r="R575" s="2" t="inlineStr"/>
    </row>
    <row r="576" ht="15" customHeight="1">
      <c r="A576" t="inlineStr">
        <is>
          <t>A 64031-2023</t>
        </is>
      </c>
      <c r="B576" s="1" t="n">
        <v>45278</v>
      </c>
      <c r="C576" s="1" t="n">
        <v>45348</v>
      </c>
      <c r="D576" t="inlineStr">
        <is>
          <t>VÄSTERNORRLANDS LÄN</t>
        </is>
      </c>
      <c r="E576" t="inlineStr">
        <is>
          <t>TIMRÅ</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64732-2023</t>
        </is>
      </c>
      <c r="B577" s="1" t="n">
        <v>45281</v>
      </c>
      <c r="C577" s="1" t="n">
        <v>45348</v>
      </c>
      <c r="D577" t="inlineStr">
        <is>
          <t>VÄSTERNORRLANDS LÄN</t>
        </is>
      </c>
      <c r="E577" t="inlineStr">
        <is>
          <t>TIMRÅ</t>
        </is>
      </c>
      <c r="G577" t="n">
        <v>2.3</v>
      </c>
      <c r="H577" t="n">
        <v>0</v>
      </c>
      <c r="I577" t="n">
        <v>0</v>
      </c>
      <c r="J577" t="n">
        <v>0</v>
      </c>
      <c r="K577" t="n">
        <v>0</v>
      </c>
      <c r="L577" t="n">
        <v>0</v>
      </c>
      <c r="M577" t="n">
        <v>0</v>
      </c>
      <c r="N577" t="n">
        <v>0</v>
      </c>
      <c r="O577" t="n">
        <v>0</v>
      </c>
      <c r="P577" t="n">
        <v>0</v>
      </c>
      <c r="Q577" t="n">
        <v>0</v>
      </c>
      <c r="R577" s="2" t="inlineStr"/>
    </row>
    <row r="578" ht="15" customHeight="1">
      <c r="A578" t="inlineStr">
        <is>
          <t>A 64756-2023</t>
        </is>
      </c>
      <c r="B578" s="1" t="n">
        <v>45281</v>
      </c>
      <c r="C578" s="1" t="n">
        <v>45348</v>
      </c>
      <c r="D578" t="inlineStr">
        <is>
          <t>VÄSTERNORRLANDS LÄN</t>
        </is>
      </c>
      <c r="E578" t="inlineStr">
        <is>
          <t>TIMRÅ</t>
        </is>
      </c>
      <c r="F578" t="inlineStr">
        <is>
          <t>SCA</t>
        </is>
      </c>
      <c r="G578" t="n">
        <v>5.9</v>
      </c>
      <c r="H578" t="n">
        <v>0</v>
      </c>
      <c r="I578" t="n">
        <v>0</v>
      </c>
      <c r="J578" t="n">
        <v>0</v>
      </c>
      <c r="K578" t="n">
        <v>0</v>
      </c>
      <c r="L578" t="n">
        <v>0</v>
      </c>
      <c r="M578" t="n">
        <v>0</v>
      </c>
      <c r="N578" t="n">
        <v>0</v>
      </c>
      <c r="O578" t="n">
        <v>0</v>
      </c>
      <c r="P578" t="n">
        <v>0</v>
      </c>
      <c r="Q578" t="n">
        <v>0</v>
      </c>
      <c r="R578" s="2" t="inlineStr"/>
    </row>
    <row r="579" ht="15" customHeight="1">
      <c r="A579" t="inlineStr">
        <is>
          <t>A 64755-2023</t>
        </is>
      </c>
      <c r="B579" s="1" t="n">
        <v>45281</v>
      </c>
      <c r="C579" s="1" t="n">
        <v>45348</v>
      </c>
      <c r="D579" t="inlineStr">
        <is>
          <t>VÄSTERNORRLANDS LÄN</t>
        </is>
      </c>
      <c r="E579" t="inlineStr">
        <is>
          <t>TIMRÅ</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252-2024</t>
        </is>
      </c>
      <c r="B580" s="1" t="n">
        <v>45295</v>
      </c>
      <c r="C580" s="1" t="n">
        <v>45348</v>
      </c>
      <c r="D580" t="inlineStr">
        <is>
          <t>VÄSTERNORRLANDS LÄN</t>
        </is>
      </c>
      <c r="E580" t="inlineStr">
        <is>
          <t>TIMRÅ</t>
        </is>
      </c>
      <c r="F580" t="inlineStr">
        <is>
          <t>SCA</t>
        </is>
      </c>
      <c r="G580" t="n">
        <v>12.7</v>
      </c>
      <c r="H580" t="n">
        <v>0</v>
      </c>
      <c r="I580" t="n">
        <v>0</v>
      </c>
      <c r="J580" t="n">
        <v>0</v>
      </c>
      <c r="K580" t="n">
        <v>0</v>
      </c>
      <c r="L580" t="n">
        <v>0</v>
      </c>
      <c r="M580" t="n">
        <v>0</v>
      </c>
      <c r="N580" t="n">
        <v>0</v>
      </c>
      <c r="O580" t="n">
        <v>0</v>
      </c>
      <c r="P580" t="n">
        <v>0</v>
      </c>
      <c r="Q580" t="n">
        <v>0</v>
      </c>
      <c r="R580" s="2" t="inlineStr"/>
    </row>
    <row r="581" ht="15" customHeight="1">
      <c r="A581" t="inlineStr">
        <is>
          <t>A 290-2024</t>
        </is>
      </c>
      <c r="B581" s="1" t="n">
        <v>45295</v>
      </c>
      <c r="C581" s="1" t="n">
        <v>45348</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661-2024</t>
        </is>
      </c>
      <c r="B582" s="1" t="n">
        <v>45300</v>
      </c>
      <c r="C582" s="1" t="n">
        <v>45348</v>
      </c>
      <c r="D582" t="inlineStr">
        <is>
          <t>VÄSTERNORRLANDS LÄN</t>
        </is>
      </c>
      <c r="E582" t="inlineStr">
        <is>
          <t>TIMRÅ</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1273-2024</t>
        </is>
      </c>
      <c r="B583" s="1" t="n">
        <v>45302</v>
      </c>
      <c r="C583" s="1" t="n">
        <v>45348</v>
      </c>
      <c r="D583" t="inlineStr">
        <is>
          <t>VÄSTERNORRLANDS LÄN</t>
        </is>
      </c>
      <c r="E583" t="inlineStr">
        <is>
          <t>TIMRÅ</t>
        </is>
      </c>
      <c r="G583" t="n">
        <v>2.1</v>
      </c>
      <c r="H583" t="n">
        <v>0</v>
      </c>
      <c r="I583" t="n">
        <v>0</v>
      </c>
      <c r="J583" t="n">
        <v>0</v>
      </c>
      <c r="K583" t="n">
        <v>0</v>
      </c>
      <c r="L583" t="n">
        <v>0</v>
      </c>
      <c r="M583" t="n">
        <v>0</v>
      </c>
      <c r="N583" t="n">
        <v>0</v>
      </c>
      <c r="O583" t="n">
        <v>0</v>
      </c>
      <c r="P583" t="n">
        <v>0</v>
      </c>
      <c r="Q583" t="n">
        <v>0</v>
      </c>
      <c r="R583" s="2" t="inlineStr"/>
    </row>
    <row r="584" ht="15" customHeight="1">
      <c r="A584" t="inlineStr">
        <is>
          <t>A 1152-2024</t>
        </is>
      </c>
      <c r="B584" s="1" t="n">
        <v>45302</v>
      </c>
      <c r="C584" s="1" t="n">
        <v>45348</v>
      </c>
      <c r="D584" t="inlineStr">
        <is>
          <t>VÄSTERNORRLANDS LÄN</t>
        </is>
      </c>
      <c r="E584" t="inlineStr">
        <is>
          <t>TIMRÅ</t>
        </is>
      </c>
      <c r="G584" t="n">
        <v>5.8</v>
      </c>
      <c r="H584" t="n">
        <v>0</v>
      </c>
      <c r="I584" t="n">
        <v>0</v>
      </c>
      <c r="J584" t="n">
        <v>0</v>
      </c>
      <c r="K584" t="n">
        <v>0</v>
      </c>
      <c r="L584" t="n">
        <v>0</v>
      </c>
      <c r="M584" t="n">
        <v>0</v>
      </c>
      <c r="N584" t="n">
        <v>0</v>
      </c>
      <c r="O584" t="n">
        <v>0</v>
      </c>
      <c r="P584" t="n">
        <v>0</v>
      </c>
      <c r="Q584" t="n">
        <v>0</v>
      </c>
      <c r="R584" s="2" t="inlineStr"/>
    </row>
    <row r="585" ht="15" customHeight="1">
      <c r="A585" t="inlineStr">
        <is>
          <t>A 1185-2024</t>
        </is>
      </c>
      <c r="B585" s="1" t="n">
        <v>45302</v>
      </c>
      <c r="C585" s="1" t="n">
        <v>45348</v>
      </c>
      <c r="D585" t="inlineStr">
        <is>
          <t>VÄSTERNORRLANDS LÄN</t>
        </is>
      </c>
      <c r="E585" t="inlineStr">
        <is>
          <t>TIMRÅ</t>
        </is>
      </c>
      <c r="G585" t="n">
        <v>4.4</v>
      </c>
      <c r="H585" t="n">
        <v>0</v>
      </c>
      <c r="I585" t="n">
        <v>0</v>
      </c>
      <c r="J585" t="n">
        <v>0</v>
      </c>
      <c r="K585" t="n">
        <v>0</v>
      </c>
      <c r="L585" t="n">
        <v>0</v>
      </c>
      <c r="M585" t="n">
        <v>0</v>
      </c>
      <c r="N585" t="n">
        <v>0</v>
      </c>
      <c r="O585" t="n">
        <v>0</v>
      </c>
      <c r="P585" t="n">
        <v>0</v>
      </c>
      <c r="Q585" t="n">
        <v>0</v>
      </c>
      <c r="R585" s="2" t="inlineStr"/>
    </row>
    <row r="586" ht="15" customHeight="1">
      <c r="A586" t="inlineStr">
        <is>
          <t>A 1272-2024</t>
        </is>
      </c>
      <c r="B586" s="1" t="n">
        <v>45302</v>
      </c>
      <c r="C586" s="1" t="n">
        <v>45348</v>
      </c>
      <c r="D586" t="inlineStr">
        <is>
          <t>VÄSTERNORRLANDS LÄN</t>
        </is>
      </c>
      <c r="E586" t="inlineStr">
        <is>
          <t>TIMRÅ</t>
        </is>
      </c>
      <c r="G586" t="n">
        <v>4.3</v>
      </c>
      <c r="H586" t="n">
        <v>0</v>
      </c>
      <c r="I586" t="n">
        <v>0</v>
      </c>
      <c r="J586" t="n">
        <v>0</v>
      </c>
      <c r="K586" t="n">
        <v>0</v>
      </c>
      <c r="L586" t="n">
        <v>0</v>
      </c>
      <c r="M586" t="n">
        <v>0</v>
      </c>
      <c r="N586" t="n">
        <v>0</v>
      </c>
      <c r="O586" t="n">
        <v>0</v>
      </c>
      <c r="P586" t="n">
        <v>0</v>
      </c>
      <c r="Q586" t="n">
        <v>0</v>
      </c>
      <c r="R586" s="2" t="inlineStr"/>
    </row>
    <row r="587" ht="15" customHeight="1">
      <c r="A587" t="inlineStr">
        <is>
          <t>A 1467-2024</t>
        </is>
      </c>
      <c r="B587" s="1" t="n">
        <v>45303</v>
      </c>
      <c r="C587" s="1" t="n">
        <v>45348</v>
      </c>
      <c r="D587" t="inlineStr">
        <is>
          <t>VÄSTERNORRLANDS LÄN</t>
        </is>
      </c>
      <c r="E587" t="inlineStr">
        <is>
          <t>TIMRÅ</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1675-2024</t>
        </is>
      </c>
      <c r="B588" s="1" t="n">
        <v>45306</v>
      </c>
      <c r="C588" s="1" t="n">
        <v>45348</v>
      </c>
      <c r="D588" t="inlineStr">
        <is>
          <t>VÄSTERNORRLANDS LÄN</t>
        </is>
      </c>
      <c r="E588" t="inlineStr">
        <is>
          <t>TIMRÅ</t>
        </is>
      </c>
      <c r="F588" t="inlineStr">
        <is>
          <t>SCA</t>
        </is>
      </c>
      <c r="G588" t="n">
        <v>3.2</v>
      </c>
      <c r="H588" t="n">
        <v>0</v>
      </c>
      <c r="I588" t="n">
        <v>0</v>
      </c>
      <c r="J588" t="n">
        <v>0</v>
      </c>
      <c r="K588" t="n">
        <v>0</v>
      </c>
      <c r="L588" t="n">
        <v>0</v>
      </c>
      <c r="M588" t="n">
        <v>0</v>
      </c>
      <c r="N588" t="n">
        <v>0</v>
      </c>
      <c r="O588" t="n">
        <v>0</v>
      </c>
      <c r="P588" t="n">
        <v>0</v>
      </c>
      <c r="Q588" t="n">
        <v>0</v>
      </c>
      <c r="R588" s="2" t="inlineStr"/>
    </row>
    <row r="589" ht="15" customHeight="1">
      <c r="A589" t="inlineStr">
        <is>
          <t>A 1683-2024</t>
        </is>
      </c>
      <c r="B589" s="1" t="n">
        <v>45307</v>
      </c>
      <c r="C589" s="1" t="n">
        <v>45348</v>
      </c>
      <c r="D589" t="inlineStr">
        <is>
          <t>VÄSTERNORRLANDS LÄN</t>
        </is>
      </c>
      <c r="E589" t="inlineStr">
        <is>
          <t>TIMRÅ</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2062-2024</t>
        </is>
      </c>
      <c r="B590" s="1" t="n">
        <v>45308</v>
      </c>
      <c r="C590" s="1" t="n">
        <v>45348</v>
      </c>
      <c r="D590" t="inlineStr">
        <is>
          <t>VÄSTERNORRLANDS LÄN</t>
        </is>
      </c>
      <c r="E590" t="inlineStr">
        <is>
          <t>TIMRÅ</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2949-2024</t>
        </is>
      </c>
      <c r="B591" s="1" t="n">
        <v>45315</v>
      </c>
      <c r="C591" s="1" t="n">
        <v>45348</v>
      </c>
      <c r="D591" t="inlineStr">
        <is>
          <t>VÄSTERNORRLANDS LÄN</t>
        </is>
      </c>
      <c r="E591" t="inlineStr">
        <is>
          <t>TIMRÅ</t>
        </is>
      </c>
      <c r="G591" t="n">
        <v>7</v>
      </c>
      <c r="H591" t="n">
        <v>0</v>
      </c>
      <c r="I591" t="n">
        <v>0</v>
      </c>
      <c r="J591" t="n">
        <v>0</v>
      </c>
      <c r="K591" t="n">
        <v>0</v>
      </c>
      <c r="L591" t="n">
        <v>0</v>
      </c>
      <c r="M591" t="n">
        <v>0</v>
      </c>
      <c r="N591" t="n">
        <v>0</v>
      </c>
      <c r="O591" t="n">
        <v>0</v>
      </c>
      <c r="P591" t="n">
        <v>0</v>
      </c>
      <c r="Q591" t="n">
        <v>0</v>
      </c>
      <c r="R591" s="2" t="inlineStr"/>
    </row>
    <row r="592" ht="15" customHeight="1">
      <c r="A592" t="inlineStr">
        <is>
          <t>A 3229-2024</t>
        </is>
      </c>
      <c r="B592" s="1" t="n">
        <v>45316</v>
      </c>
      <c r="C592" s="1" t="n">
        <v>45348</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3444-2024</t>
        </is>
      </c>
      <c r="B593" s="1" t="n">
        <v>45317</v>
      </c>
      <c r="C593" s="1" t="n">
        <v>45348</v>
      </c>
      <c r="D593" t="inlineStr">
        <is>
          <t>VÄSTERNORRLANDS LÄN</t>
        </is>
      </c>
      <c r="E593" t="inlineStr">
        <is>
          <t>TIMRÅ</t>
        </is>
      </c>
      <c r="G593" t="n">
        <v>10.5</v>
      </c>
      <c r="H593" t="n">
        <v>0</v>
      </c>
      <c r="I593" t="n">
        <v>0</v>
      </c>
      <c r="J593" t="n">
        <v>0</v>
      </c>
      <c r="K593" t="n">
        <v>0</v>
      </c>
      <c r="L593" t="n">
        <v>0</v>
      </c>
      <c r="M593" t="n">
        <v>0</v>
      </c>
      <c r="N593" t="n">
        <v>0</v>
      </c>
      <c r="O593" t="n">
        <v>0</v>
      </c>
      <c r="P593" t="n">
        <v>0</v>
      </c>
      <c r="Q593" t="n">
        <v>0</v>
      </c>
      <c r="R593" s="2" t="inlineStr"/>
    </row>
    <row r="594" ht="15" customHeight="1">
      <c r="A594" t="inlineStr">
        <is>
          <t>A 3804-2024</t>
        </is>
      </c>
      <c r="B594" s="1" t="n">
        <v>45321</v>
      </c>
      <c r="C594" s="1" t="n">
        <v>45348</v>
      </c>
      <c r="D594" t="inlineStr">
        <is>
          <t>VÄSTERNORRLANDS LÄN</t>
        </is>
      </c>
      <c r="E594" t="inlineStr">
        <is>
          <t>TIMRÅ</t>
        </is>
      </c>
      <c r="G594" t="n">
        <v>2</v>
      </c>
      <c r="H594" t="n">
        <v>0</v>
      </c>
      <c r="I594" t="n">
        <v>0</v>
      </c>
      <c r="J594" t="n">
        <v>0</v>
      </c>
      <c r="K594" t="n">
        <v>0</v>
      </c>
      <c r="L594" t="n">
        <v>0</v>
      </c>
      <c r="M594" t="n">
        <v>0</v>
      </c>
      <c r="N594" t="n">
        <v>0</v>
      </c>
      <c r="O594" t="n">
        <v>0</v>
      </c>
      <c r="P594" t="n">
        <v>0</v>
      </c>
      <c r="Q594" t="n">
        <v>0</v>
      </c>
      <c r="R594" s="2" t="inlineStr"/>
    </row>
    <row r="595" ht="15" customHeight="1">
      <c r="A595" t="inlineStr">
        <is>
          <t>A 3989-2024</t>
        </is>
      </c>
      <c r="B595" s="1" t="n">
        <v>45322</v>
      </c>
      <c r="C595" s="1" t="n">
        <v>45348</v>
      </c>
      <c r="D595" t="inlineStr">
        <is>
          <t>VÄSTERNORRLANDS LÄN</t>
        </is>
      </c>
      <c r="E595" t="inlineStr">
        <is>
          <t>TIMRÅ</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4596-2024</t>
        </is>
      </c>
      <c r="B596" s="1" t="n">
        <v>45327</v>
      </c>
      <c r="C596" s="1" t="n">
        <v>45348</v>
      </c>
      <c r="D596" t="inlineStr">
        <is>
          <t>VÄSTERNORRLANDS LÄN</t>
        </is>
      </c>
      <c r="E596" t="inlineStr">
        <is>
          <t>TIMRÅ</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4821-2024</t>
        </is>
      </c>
      <c r="B597" s="1" t="n">
        <v>45328</v>
      </c>
      <c r="C597" s="1" t="n">
        <v>45348</v>
      </c>
      <c r="D597" t="inlineStr">
        <is>
          <t>VÄSTERNORRLANDS LÄN</t>
        </is>
      </c>
      <c r="E597" t="inlineStr">
        <is>
          <t>TIMRÅ</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5271-2024</t>
        </is>
      </c>
      <c r="B598" s="1" t="n">
        <v>45330</v>
      </c>
      <c r="C598" s="1" t="n">
        <v>45348</v>
      </c>
      <c r="D598" t="inlineStr">
        <is>
          <t>VÄSTERNORRLANDS LÄN</t>
        </is>
      </c>
      <c r="E598" t="inlineStr">
        <is>
          <t>TIMRÅ</t>
        </is>
      </c>
      <c r="F598" t="inlineStr">
        <is>
          <t>SCA</t>
        </is>
      </c>
      <c r="G598" t="n">
        <v>9.800000000000001</v>
      </c>
      <c r="H598" t="n">
        <v>0</v>
      </c>
      <c r="I598" t="n">
        <v>0</v>
      </c>
      <c r="J598" t="n">
        <v>0</v>
      </c>
      <c r="K598" t="n">
        <v>0</v>
      </c>
      <c r="L598" t="n">
        <v>0</v>
      </c>
      <c r="M598" t="n">
        <v>0</v>
      </c>
      <c r="N598" t="n">
        <v>0</v>
      </c>
      <c r="O598" t="n">
        <v>0</v>
      </c>
      <c r="P598" t="n">
        <v>0</v>
      </c>
      <c r="Q598" t="n">
        <v>0</v>
      </c>
      <c r="R598" s="2" t="inlineStr"/>
    </row>
    <row r="599" ht="15" customHeight="1">
      <c r="A599" t="inlineStr">
        <is>
          <t>A 5265-2024</t>
        </is>
      </c>
      <c r="B599" s="1" t="n">
        <v>45330</v>
      </c>
      <c r="C599" s="1" t="n">
        <v>45348</v>
      </c>
      <c r="D599" t="inlineStr">
        <is>
          <t>VÄSTERNORRLANDS LÄN</t>
        </is>
      </c>
      <c r="E599" t="inlineStr">
        <is>
          <t>TIMRÅ</t>
        </is>
      </c>
      <c r="F599" t="inlineStr">
        <is>
          <t>SCA</t>
        </is>
      </c>
      <c r="G599" t="n">
        <v>5.1</v>
      </c>
      <c r="H599" t="n">
        <v>0</v>
      </c>
      <c r="I599" t="n">
        <v>0</v>
      </c>
      <c r="J599" t="n">
        <v>0</v>
      </c>
      <c r="K599" t="n">
        <v>0</v>
      </c>
      <c r="L599" t="n">
        <v>0</v>
      </c>
      <c r="M599" t="n">
        <v>0</v>
      </c>
      <c r="N599" t="n">
        <v>0</v>
      </c>
      <c r="O599" t="n">
        <v>0</v>
      </c>
      <c r="P599" t="n">
        <v>0</v>
      </c>
      <c r="Q599" t="n">
        <v>0</v>
      </c>
      <c r="R599" s="2" t="inlineStr"/>
    </row>
    <row r="600" ht="15" customHeight="1">
      <c r="A600" t="inlineStr">
        <is>
          <t>A 5722-2024</t>
        </is>
      </c>
      <c r="B600" s="1" t="n">
        <v>45334</v>
      </c>
      <c r="C600" s="1" t="n">
        <v>45348</v>
      </c>
      <c r="D600" t="inlineStr">
        <is>
          <t>VÄSTERNORRLANDS LÄN</t>
        </is>
      </c>
      <c r="E600" t="inlineStr">
        <is>
          <t>TIMRÅ</t>
        </is>
      </c>
      <c r="G600" t="n">
        <v>2.2</v>
      </c>
      <c r="H600" t="n">
        <v>0</v>
      </c>
      <c r="I600" t="n">
        <v>0</v>
      </c>
      <c r="J600" t="n">
        <v>0</v>
      </c>
      <c r="K600" t="n">
        <v>0</v>
      </c>
      <c r="L600" t="n">
        <v>0</v>
      </c>
      <c r="M600" t="n">
        <v>0</v>
      </c>
      <c r="N600" t="n">
        <v>0</v>
      </c>
      <c r="O600" t="n">
        <v>0</v>
      </c>
      <c r="P600" t="n">
        <v>0</v>
      </c>
      <c r="Q600" t="n">
        <v>0</v>
      </c>
      <c r="R600" s="2" t="inlineStr"/>
    </row>
    <row r="601" ht="15" customHeight="1">
      <c r="A601" t="inlineStr">
        <is>
          <t>A 5921-2024</t>
        </is>
      </c>
      <c r="B601" s="1" t="n">
        <v>45335</v>
      </c>
      <c r="C601" s="1" t="n">
        <v>45348</v>
      </c>
      <c r="D601" t="inlineStr">
        <is>
          <t>VÄSTERNORRLANDS LÄN</t>
        </is>
      </c>
      <c r="E601" t="inlineStr">
        <is>
          <t>TIMRÅ</t>
        </is>
      </c>
      <c r="F601" t="inlineStr">
        <is>
          <t>SCA</t>
        </is>
      </c>
      <c r="G601" t="n">
        <v>4.6</v>
      </c>
      <c r="H601" t="n">
        <v>0</v>
      </c>
      <c r="I601" t="n">
        <v>0</v>
      </c>
      <c r="J601" t="n">
        <v>0</v>
      </c>
      <c r="K601" t="n">
        <v>0</v>
      </c>
      <c r="L601" t="n">
        <v>0</v>
      </c>
      <c r="M601" t="n">
        <v>0</v>
      </c>
      <c r="N601" t="n">
        <v>0</v>
      </c>
      <c r="O601" t="n">
        <v>0</v>
      </c>
      <c r="P601" t="n">
        <v>0</v>
      </c>
      <c r="Q601" t="n">
        <v>0</v>
      </c>
      <c r="R601" s="2" t="inlineStr"/>
    </row>
    <row r="602" ht="15" customHeight="1">
      <c r="A602" t="inlineStr">
        <is>
          <t>A 6088-2024</t>
        </is>
      </c>
      <c r="B602" s="1" t="n">
        <v>45336</v>
      </c>
      <c r="C602" s="1" t="n">
        <v>45348</v>
      </c>
      <c r="D602" t="inlineStr">
        <is>
          <t>VÄSTERNORRLANDS LÄN</t>
        </is>
      </c>
      <c r="E602" t="inlineStr">
        <is>
          <t>TIMRÅ</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6893-2024</t>
        </is>
      </c>
      <c r="B603" s="1" t="n">
        <v>45342</v>
      </c>
      <c r="C603" s="1" t="n">
        <v>45348</v>
      </c>
      <c r="D603" t="inlineStr">
        <is>
          <t>VÄSTERNORRLANDS LÄN</t>
        </is>
      </c>
      <c r="E603" t="inlineStr">
        <is>
          <t>TIMRÅ</t>
        </is>
      </c>
      <c r="F603" t="inlineStr">
        <is>
          <t>Kyrkan</t>
        </is>
      </c>
      <c r="G603" t="n">
        <v>0.7</v>
      </c>
      <c r="H603" t="n">
        <v>0</v>
      </c>
      <c r="I603" t="n">
        <v>0</v>
      </c>
      <c r="J603" t="n">
        <v>0</v>
      </c>
      <c r="K603" t="n">
        <v>0</v>
      </c>
      <c r="L603" t="n">
        <v>0</v>
      </c>
      <c r="M603" t="n">
        <v>0</v>
      </c>
      <c r="N603" t="n">
        <v>0</v>
      </c>
      <c r="O603" t="n">
        <v>0</v>
      </c>
      <c r="P603" t="n">
        <v>0</v>
      </c>
      <c r="Q603" t="n">
        <v>0</v>
      </c>
      <c r="R603" s="2" t="inlineStr"/>
    </row>
    <row r="604" ht="15" customHeight="1">
      <c r="A604" t="inlineStr">
        <is>
          <t>A 7151-2024</t>
        </is>
      </c>
      <c r="B604" s="1" t="n">
        <v>45344</v>
      </c>
      <c r="C604" s="1" t="n">
        <v>45348</v>
      </c>
      <c r="D604" t="inlineStr">
        <is>
          <t>VÄSTERNORRLANDS LÄN</t>
        </is>
      </c>
      <c r="E604" t="inlineStr">
        <is>
          <t>TIMRÅ</t>
        </is>
      </c>
      <c r="G604" t="n">
        <v>2.9</v>
      </c>
      <c r="H604" t="n">
        <v>0</v>
      </c>
      <c r="I604" t="n">
        <v>0</v>
      </c>
      <c r="J604" t="n">
        <v>0</v>
      </c>
      <c r="K604" t="n">
        <v>0</v>
      </c>
      <c r="L604" t="n">
        <v>0</v>
      </c>
      <c r="M604" t="n">
        <v>0</v>
      </c>
      <c r="N604" t="n">
        <v>0</v>
      </c>
      <c r="O604" t="n">
        <v>0</v>
      </c>
      <c r="P604" t="n">
        <v>0</v>
      </c>
      <c r="Q604" t="n">
        <v>0</v>
      </c>
      <c r="R604" s="2" t="inlineStr"/>
    </row>
    <row r="605" ht="15" customHeight="1">
      <c r="A605" t="inlineStr">
        <is>
          <t>A 7291-2024</t>
        </is>
      </c>
      <c r="B605" s="1" t="n">
        <v>45344</v>
      </c>
      <c r="C605" s="1" t="n">
        <v>45348</v>
      </c>
      <c r="D605" t="inlineStr">
        <is>
          <t>VÄSTERNORRLANDS LÄN</t>
        </is>
      </c>
      <c r="E605" t="inlineStr">
        <is>
          <t>TIMRÅ</t>
        </is>
      </c>
      <c r="F605" t="inlineStr">
        <is>
          <t>SCA</t>
        </is>
      </c>
      <c r="G605" t="n">
        <v>7.6</v>
      </c>
      <c r="H605" t="n">
        <v>0</v>
      </c>
      <c r="I605" t="n">
        <v>0</v>
      </c>
      <c r="J605" t="n">
        <v>0</v>
      </c>
      <c r="K605" t="n">
        <v>0</v>
      </c>
      <c r="L605" t="n">
        <v>0</v>
      </c>
      <c r="M605" t="n">
        <v>0</v>
      </c>
      <c r="N605" t="n">
        <v>0</v>
      </c>
      <c r="O605" t="n">
        <v>0</v>
      </c>
      <c r="P605" t="n">
        <v>0</v>
      </c>
      <c r="Q605" t="n">
        <v>0</v>
      </c>
      <c r="R605" s="2" t="inlineStr"/>
    </row>
    <row r="606" ht="15" customHeight="1">
      <c r="A606" t="inlineStr">
        <is>
          <t>A 7299-2024</t>
        </is>
      </c>
      <c r="B606" s="1" t="n">
        <v>45344</v>
      </c>
      <c r="C606" s="1" t="n">
        <v>45348</v>
      </c>
      <c r="D606" t="inlineStr">
        <is>
          <t>VÄSTERNORRLANDS LÄN</t>
        </is>
      </c>
      <c r="E606" t="inlineStr">
        <is>
          <t>TIMRÅ</t>
        </is>
      </c>
      <c r="F606" t="inlineStr">
        <is>
          <t>SCA</t>
        </is>
      </c>
      <c r="G606" t="n">
        <v>16.3</v>
      </c>
      <c r="H606" t="n">
        <v>0</v>
      </c>
      <c r="I606" t="n">
        <v>0</v>
      </c>
      <c r="J606" t="n">
        <v>0</v>
      </c>
      <c r="K606" t="n">
        <v>0</v>
      </c>
      <c r="L606" t="n">
        <v>0</v>
      </c>
      <c r="M606" t="n">
        <v>0</v>
      </c>
      <c r="N606" t="n">
        <v>0</v>
      </c>
      <c r="O606" t="n">
        <v>0</v>
      </c>
      <c r="P606" t="n">
        <v>0</v>
      </c>
      <c r="Q606" t="n">
        <v>0</v>
      </c>
      <c r="R606" s="2" t="inlineStr"/>
    </row>
    <row r="607" ht="15" customHeight="1">
      <c r="A607" t="inlineStr">
        <is>
          <t>A 7292-2024</t>
        </is>
      </c>
      <c r="B607" s="1" t="n">
        <v>45344</v>
      </c>
      <c r="C607" s="1" t="n">
        <v>45348</v>
      </c>
      <c r="D607" t="inlineStr">
        <is>
          <t>VÄSTERNORRLANDS LÄN</t>
        </is>
      </c>
      <c r="E607" t="inlineStr">
        <is>
          <t>TIMRÅ</t>
        </is>
      </c>
      <c r="F607" t="inlineStr">
        <is>
          <t>SCA</t>
        </is>
      </c>
      <c r="G607" t="n">
        <v>2.4</v>
      </c>
      <c r="H607" t="n">
        <v>0</v>
      </c>
      <c r="I607" t="n">
        <v>0</v>
      </c>
      <c r="J607" t="n">
        <v>0</v>
      </c>
      <c r="K607" t="n">
        <v>0</v>
      </c>
      <c r="L607" t="n">
        <v>0</v>
      </c>
      <c r="M607" t="n">
        <v>0</v>
      </c>
      <c r="N607" t="n">
        <v>0</v>
      </c>
      <c r="O607" t="n">
        <v>0</v>
      </c>
      <c r="P607" t="n">
        <v>0</v>
      </c>
      <c r="Q607" t="n">
        <v>0</v>
      </c>
      <c r="R607" s="2" t="inlineStr"/>
    </row>
    <row r="608">
      <c r="A608" t="inlineStr">
        <is>
          <t>A 7416-2024</t>
        </is>
      </c>
      <c r="B608" s="1" t="n">
        <v>45345</v>
      </c>
      <c r="C608" s="1" t="n">
        <v>45348</v>
      </c>
      <c r="D608" t="inlineStr">
        <is>
          <t>VÄSTERNORRLANDS LÄN</t>
        </is>
      </c>
      <c r="E608" t="inlineStr">
        <is>
          <t>TIMRÅ</t>
        </is>
      </c>
      <c r="F608" t="inlineStr">
        <is>
          <t>Kommuner</t>
        </is>
      </c>
      <c r="G608" t="n">
        <v>2.5</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2024-02-26T12:58:08Z</dcterms:created>
  <dcterms:modified xmlns:dcterms="http://purl.org/dc/terms/" xmlns:xsi="http://www.w3.org/2001/XMLSchema-instance" xsi:type="dcterms:W3CDTF">2024-02-26T12:58:08Z</dcterms:modified>
</cp:coreProperties>
</file>