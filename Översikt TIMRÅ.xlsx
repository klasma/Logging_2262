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45363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45363</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45363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45363</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45363</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45363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45363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45363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45363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45363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45363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45363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45363</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45363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45363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45363</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45363</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45363</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45363</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45363</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45363</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45363</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45363</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45363</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45363</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45363</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45363</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45363</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45363</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45363</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45363</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45363</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45363</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45363</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45363</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45363</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45363</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45363</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45363</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45363</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45363</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c r="Z42">
        <f>HYPERLINK("https://klasma.github.io/Logging_2262/fåglar/A 16852-2019 prioriterade fågelarter.docx", "A 16852-2019")</f>
        <v/>
      </c>
    </row>
    <row r="43" ht="15" customHeight="1">
      <c r="A43" t="inlineStr">
        <is>
          <t>A 16858-2019</t>
        </is>
      </c>
      <c r="B43" s="1" t="n">
        <v>43549</v>
      </c>
      <c r="C43" s="1" t="n">
        <v>45363</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45363</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45363</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45363</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45363</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45363</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45363</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45363</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45363</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45363</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45363</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45363</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45363</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45363</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45363</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45363</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45363</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45363</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45363</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45363</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45363</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45363</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45363</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8998-2024</t>
        </is>
      </c>
      <c r="B66" s="1" t="n">
        <v>45356</v>
      </c>
      <c r="C66" s="1" t="n">
        <v>45363</v>
      </c>
      <c r="D66" t="inlineStr">
        <is>
          <t>VÄSTERNORRLANDS LÄN</t>
        </is>
      </c>
      <c r="E66" t="inlineStr">
        <is>
          <t>TIMRÅ</t>
        </is>
      </c>
      <c r="G66" t="n">
        <v>2.1</v>
      </c>
      <c r="H66" t="n">
        <v>0</v>
      </c>
      <c r="I66" t="n">
        <v>1</v>
      </c>
      <c r="J66" t="n">
        <v>0</v>
      </c>
      <c r="K66" t="n">
        <v>0</v>
      </c>
      <c r="L66" t="n">
        <v>0</v>
      </c>
      <c r="M66" t="n">
        <v>0</v>
      </c>
      <c r="N66" t="n">
        <v>0</v>
      </c>
      <c r="O66" t="n">
        <v>0</v>
      </c>
      <c r="P66" t="n">
        <v>0</v>
      </c>
      <c r="Q66" t="n">
        <v>1</v>
      </c>
      <c r="R66" s="2" t="inlineStr">
        <is>
          <t>Strutbräken</t>
        </is>
      </c>
      <c r="S66">
        <f>HYPERLINK("https://klasma.github.io/Logging_2262/artfynd/A 8998-2024 artfynd.xlsx", "A 8998-2024")</f>
        <v/>
      </c>
      <c r="T66">
        <f>HYPERLINK("https://klasma.github.io/Logging_2262/kartor/A 8998-2024 karta.png", "A 8998-2024")</f>
        <v/>
      </c>
      <c r="V66">
        <f>HYPERLINK("https://klasma.github.io/Logging_2262/klagomål/A 8998-2024 FSC-klagomål.docx", "A 8998-2024")</f>
        <v/>
      </c>
      <c r="W66">
        <f>HYPERLINK("https://klasma.github.io/Logging_2262/klagomålsmail/A 8998-2024 FSC-klagomål mail.docx", "A 8998-2024")</f>
        <v/>
      </c>
      <c r="X66">
        <f>HYPERLINK("https://klasma.github.io/Logging_2262/tillsyn/A 8998-2024 tillsynsbegäran.docx", "A 8998-2024")</f>
        <v/>
      </c>
      <c r="Y66">
        <f>HYPERLINK("https://klasma.github.io/Logging_2262/tillsynsmail/A 8998-2024 tillsynsbegäran mail.docx", "A 8998-2024")</f>
        <v/>
      </c>
    </row>
    <row r="67" ht="15" customHeight="1">
      <c r="A67" t="inlineStr">
        <is>
          <t>A 54637-2018</t>
        </is>
      </c>
      <c r="B67" s="1" t="n">
        <v>43389</v>
      </c>
      <c r="C67" s="1" t="n">
        <v>45363</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56900-2018</t>
        </is>
      </c>
      <c r="B68" s="1" t="n">
        <v>43403</v>
      </c>
      <c r="C68" s="1" t="n">
        <v>45363</v>
      </c>
      <c r="D68" t="inlineStr">
        <is>
          <t>VÄSTERNORRLANDS LÄN</t>
        </is>
      </c>
      <c r="E68" t="inlineStr">
        <is>
          <t>TIMRÅ</t>
        </is>
      </c>
      <c r="G68" t="n">
        <v>4.6</v>
      </c>
      <c r="H68" t="n">
        <v>0</v>
      </c>
      <c r="I68" t="n">
        <v>0</v>
      </c>
      <c r="J68" t="n">
        <v>0</v>
      </c>
      <c r="K68" t="n">
        <v>0</v>
      </c>
      <c r="L68" t="n">
        <v>0</v>
      </c>
      <c r="M68" t="n">
        <v>0</v>
      </c>
      <c r="N68" t="n">
        <v>0</v>
      </c>
      <c r="O68" t="n">
        <v>0</v>
      </c>
      <c r="P68" t="n">
        <v>0</v>
      </c>
      <c r="Q68" t="n">
        <v>0</v>
      </c>
      <c r="R68" s="2" t="inlineStr"/>
    </row>
    <row r="69" ht="15" customHeight="1">
      <c r="A69" t="inlineStr">
        <is>
          <t>A 60068-2018</t>
        </is>
      </c>
      <c r="B69" s="1" t="n">
        <v>43412</v>
      </c>
      <c r="C69" s="1" t="n">
        <v>45363</v>
      </c>
      <c r="D69" t="inlineStr">
        <is>
          <t>VÄSTERNORRLANDS LÄN</t>
        </is>
      </c>
      <c r="E69" t="inlineStr">
        <is>
          <t>TIMRÅ</t>
        </is>
      </c>
      <c r="G69" t="n">
        <v>0.8</v>
      </c>
      <c r="H69" t="n">
        <v>0</v>
      </c>
      <c r="I69" t="n">
        <v>0</v>
      </c>
      <c r="J69" t="n">
        <v>0</v>
      </c>
      <c r="K69" t="n">
        <v>0</v>
      </c>
      <c r="L69" t="n">
        <v>0</v>
      </c>
      <c r="M69" t="n">
        <v>0</v>
      </c>
      <c r="N69" t="n">
        <v>0</v>
      </c>
      <c r="O69" t="n">
        <v>0</v>
      </c>
      <c r="P69" t="n">
        <v>0</v>
      </c>
      <c r="Q69" t="n">
        <v>0</v>
      </c>
      <c r="R69" s="2" t="inlineStr"/>
    </row>
    <row r="70" ht="15" customHeight="1">
      <c r="A70" t="inlineStr">
        <is>
          <t>A 60995-2018</t>
        </is>
      </c>
      <c r="B70" s="1" t="n">
        <v>43423</v>
      </c>
      <c r="C70" s="1" t="n">
        <v>45363</v>
      </c>
      <c r="D70" t="inlineStr">
        <is>
          <t>VÄSTERNORRLANDS LÄN</t>
        </is>
      </c>
      <c r="E70" t="inlineStr">
        <is>
          <t>TIMRÅ</t>
        </is>
      </c>
      <c r="G70" t="n">
        <v>1.3</v>
      </c>
      <c r="H70" t="n">
        <v>0</v>
      </c>
      <c r="I70" t="n">
        <v>0</v>
      </c>
      <c r="J70" t="n">
        <v>0</v>
      </c>
      <c r="K70" t="n">
        <v>0</v>
      </c>
      <c r="L70" t="n">
        <v>0</v>
      </c>
      <c r="M70" t="n">
        <v>0</v>
      </c>
      <c r="N70" t="n">
        <v>0</v>
      </c>
      <c r="O70" t="n">
        <v>0</v>
      </c>
      <c r="P70" t="n">
        <v>0</v>
      </c>
      <c r="Q70" t="n">
        <v>0</v>
      </c>
      <c r="R70" s="2" t="inlineStr"/>
    </row>
    <row r="71" ht="15" customHeight="1">
      <c r="A71" t="inlineStr">
        <is>
          <t>A 65661-2018</t>
        </is>
      </c>
      <c r="B71" s="1" t="n">
        <v>43426</v>
      </c>
      <c r="C71" s="1" t="n">
        <v>45363</v>
      </c>
      <c r="D71" t="inlineStr">
        <is>
          <t>VÄSTERNORRLANDS LÄN</t>
        </is>
      </c>
      <c r="E71" t="inlineStr">
        <is>
          <t>TIMRÅ</t>
        </is>
      </c>
      <c r="G71" t="n">
        <v>2.5</v>
      </c>
      <c r="H71" t="n">
        <v>0</v>
      </c>
      <c r="I71" t="n">
        <v>0</v>
      </c>
      <c r="J71" t="n">
        <v>0</v>
      </c>
      <c r="K71" t="n">
        <v>0</v>
      </c>
      <c r="L71" t="n">
        <v>0</v>
      </c>
      <c r="M71" t="n">
        <v>0</v>
      </c>
      <c r="N71" t="n">
        <v>0</v>
      </c>
      <c r="O71" t="n">
        <v>0</v>
      </c>
      <c r="P71" t="n">
        <v>0</v>
      </c>
      <c r="Q71" t="n">
        <v>0</v>
      </c>
      <c r="R71" s="2" t="inlineStr"/>
    </row>
    <row r="72" ht="15" customHeight="1">
      <c r="A72" t="inlineStr">
        <is>
          <t>A 70560-2018</t>
        </is>
      </c>
      <c r="B72" s="1" t="n">
        <v>43451</v>
      </c>
      <c r="C72" s="1" t="n">
        <v>45363</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72482-2018</t>
        </is>
      </c>
      <c r="B73" s="1" t="n">
        <v>43461</v>
      </c>
      <c r="C73" s="1" t="n">
        <v>45363</v>
      </c>
      <c r="D73" t="inlineStr">
        <is>
          <t>VÄSTERNORRLANDS LÄN</t>
        </is>
      </c>
      <c r="E73" t="inlineStr">
        <is>
          <t>TIMRÅ</t>
        </is>
      </c>
      <c r="G73" t="n">
        <v>2</v>
      </c>
      <c r="H73" t="n">
        <v>0</v>
      </c>
      <c r="I73" t="n">
        <v>0</v>
      </c>
      <c r="J73" t="n">
        <v>0</v>
      </c>
      <c r="K73" t="n">
        <v>0</v>
      </c>
      <c r="L73" t="n">
        <v>0</v>
      </c>
      <c r="M73" t="n">
        <v>0</v>
      </c>
      <c r="N73" t="n">
        <v>0</v>
      </c>
      <c r="O73" t="n">
        <v>0</v>
      </c>
      <c r="P73" t="n">
        <v>0</v>
      </c>
      <c r="Q73" t="n">
        <v>0</v>
      </c>
      <c r="R73" s="2" t="inlineStr"/>
    </row>
    <row r="74" ht="15" customHeight="1">
      <c r="A74" t="inlineStr">
        <is>
          <t>A 5416-2019</t>
        </is>
      </c>
      <c r="B74" s="1" t="n">
        <v>43488</v>
      </c>
      <c r="C74" s="1" t="n">
        <v>45363</v>
      </c>
      <c r="D74" t="inlineStr">
        <is>
          <t>VÄSTERNORRLANDS LÄN</t>
        </is>
      </c>
      <c r="E74" t="inlineStr">
        <is>
          <t>TIMRÅ</t>
        </is>
      </c>
      <c r="G74" t="n">
        <v>14.5</v>
      </c>
      <c r="H74" t="n">
        <v>0</v>
      </c>
      <c r="I74" t="n">
        <v>0</v>
      </c>
      <c r="J74" t="n">
        <v>0</v>
      </c>
      <c r="K74" t="n">
        <v>0</v>
      </c>
      <c r="L74" t="n">
        <v>0</v>
      </c>
      <c r="M74" t="n">
        <v>0</v>
      </c>
      <c r="N74" t="n">
        <v>0</v>
      </c>
      <c r="O74" t="n">
        <v>0</v>
      </c>
      <c r="P74" t="n">
        <v>0</v>
      </c>
      <c r="Q74" t="n">
        <v>0</v>
      </c>
      <c r="R74" s="2" t="inlineStr"/>
    </row>
    <row r="75" ht="15" customHeight="1">
      <c r="A75" t="inlineStr">
        <is>
          <t>A 5417-2019</t>
        </is>
      </c>
      <c r="B75" s="1" t="n">
        <v>43488</v>
      </c>
      <c r="C75" s="1" t="n">
        <v>45363</v>
      </c>
      <c r="D75" t="inlineStr">
        <is>
          <t>VÄSTERNORRLANDS LÄN</t>
        </is>
      </c>
      <c r="E75" t="inlineStr">
        <is>
          <t>TIMRÅ</t>
        </is>
      </c>
      <c r="G75" t="n">
        <v>4.3</v>
      </c>
      <c r="H75" t="n">
        <v>0</v>
      </c>
      <c r="I75" t="n">
        <v>0</v>
      </c>
      <c r="J75" t="n">
        <v>0</v>
      </c>
      <c r="K75" t="n">
        <v>0</v>
      </c>
      <c r="L75" t="n">
        <v>0</v>
      </c>
      <c r="M75" t="n">
        <v>0</v>
      </c>
      <c r="N75" t="n">
        <v>0</v>
      </c>
      <c r="O75" t="n">
        <v>0</v>
      </c>
      <c r="P75" t="n">
        <v>0</v>
      </c>
      <c r="Q75" t="n">
        <v>0</v>
      </c>
      <c r="R75" s="2" t="inlineStr"/>
    </row>
    <row r="76" ht="15" customHeight="1">
      <c r="A76" t="inlineStr">
        <is>
          <t>A 14388-2019</t>
        </is>
      </c>
      <c r="B76" s="1" t="n">
        <v>43536</v>
      </c>
      <c r="C76" s="1" t="n">
        <v>45363</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14389-2019</t>
        </is>
      </c>
      <c r="B77" s="1" t="n">
        <v>43536</v>
      </c>
      <c r="C77" s="1" t="n">
        <v>45363</v>
      </c>
      <c r="D77" t="inlineStr">
        <is>
          <t>VÄSTERNORRLANDS LÄN</t>
        </is>
      </c>
      <c r="E77" t="inlineStr">
        <is>
          <t>TIMRÅ</t>
        </is>
      </c>
      <c r="G77" t="n">
        <v>7.9</v>
      </c>
      <c r="H77" t="n">
        <v>0</v>
      </c>
      <c r="I77" t="n">
        <v>0</v>
      </c>
      <c r="J77" t="n">
        <v>0</v>
      </c>
      <c r="K77" t="n">
        <v>0</v>
      </c>
      <c r="L77" t="n">
        <v>0</v>
      </c>
      <c r="M77" t="n">
        <v>0</v>
      </c>
      <c r="N77" t="n">
        <v>0</v>
      </c>
      <c r="O77" t="n">
        <v>0</v>
      </c>
      <c r="P77" t="n">
        <v>0</v>
      </c>
      <c r="Q77" t="n">
        <v>0</v>
      </c>
      <c r="R77" s="2" t="inlineStr"/>
    </row>
    <row r="78" ht="15" customHeight="1">
      <c r="A78" t="inlineStr">
        <is>
          <t>A 16848-2019</t>
        </is>
      </c>
      <c r="B78" s="1" t="n">
        <v>43549</v>
      </c>
      <c r="C78" s="1" t="n">
        <v>45363</v>
      </c>
      <c r="D78" t="inlineStr">
        <is>
          <t>VÄSTERNORRLANDS LÄN</t>
        </is>
      </c>
      <c r="E78" t="inlineStr">
        <is>
          <t>TIMRÅ</t>
        </is>
      </c>
      <c r="G78" t="n">
        <v>6.3</v>
      </c>
      <c r="H78" t="n">
        <v>0</v>
      </c>
      <c r="I78" t="n">
        <v>0</v>
      </c>
      <c r="J78" t="n">
        <v>0</v>
      </c>
      <c r="K78" t="n">
        <v>0</v>
      </c>
      <c r="L78" t="n">
        <v>0</v>
      </c>
      <c r="M78" t="n">
        <v>0</v>
      </c>
      <c r="N78" t="n">
        <v>0</v>
      </c>
      <c r="O78" t="n">
        <v>0</v>
      </c>
      <c r="P78" t="n">
        <v>0</v>
      </c>
      <c r="Q78" t="n">
        <v>0</v>
      </c>
      <c r="R78" s="2" t="inlineStr"/>
    </row>
    <row r="79" ht="15" customHeight="1">
      <c r="A79" t="inlineStr">
        <is>
          <t>A 16857-2019</t>
        </is>
      </c>
      <c r="B79" s="1" t="n">
        <v>43549</v>
      </c>
      <c r="C79" s="1" t="n">
        <v>45363</v>
      </c>
      <c r="D79" t="inlineStr">
        <is>
          <t>VÄSTERNORRLANDS LÄN</t>
        </is>
      </c>
      <c r="E79" t="inlineStr">
        <is>
          <t>TIMRÅ</t>
        </is>
      </c>
      <c r="G79" t="n">
        <v>2.7</v>
      </c>
      <c r="H79" t="n">
        <v>0</v>
      </c>
      <c r="I79" t="n">
        <v>0</v>
      </c>
      <c r="J79" t="n">
        <v>0</v>
      </c>
      <c r="K79" t="n">
        <v>0</v>
      </c>
      <c r="L79" t="n">
        <v>0</v>
      </c>
      <c r="M79" t="n">
        <v>0</v>
      </c>
      <c r="N79" t="n">
        <v>0</v>
      </c>
      <c r="O79" t="n">
        <v>0</v>
      </c>
      <c r="P79" t="n">
        <v>0</v>
      </c>
      <c r="Q79" t="n">
        <v>0</v>
      </c>
      <c r="R79" s="2" t="inlineStr"/>
    </row>
    <row r="80" ht="15" customHeight="1">
      <c r="A80" t="inlineStr">
        <is>
          <t>A 16855-2019</t>
        </is>
      </c>
      <c r="B80" s="1" t="n">
        <v>43549</v>
      </c>
      <c r="C80" s="1" t="n">
        <v>45363</v>
      </c>
      <c r="D80" t="inlineStr">
        <is>
          <t>VÄSTERNORRLANDS LÄN</t>
        </is>
      </c>
      <c r="E80" t="inlineStr">
        <is>
          <t>TIMRÅ</t>
        </is>
      </c>
      <c r="G80" t="n">
        <v>3.7</v>
      </c>
      <c r="H80" t="n">
        <v>0</v>
      </c>
      <c r="I80" t="n">
        <v>0</v>
      </c>
      <c r="J80" t="n">
        <v>0</v>
      </c>
      <c r="K80" t="n">
        <v>0</v>
      </c>
      <c r="L80" t="n">
        <v>0</v>
      </c>
      <c r="M80" t="n">
        <v>0</v>
      </c>
      <c r="N80" t="n">
        <v>0</v>
      </c>
      <c r="O80" t="n">
        <v>0</v>
      </c>
      <c r="P80" t="n">
        <v>0</v>
      </c>
      <c r="Q80" t="n">
        <v>0</v>
      </c>
      <c r="R80" s="2" t="inlineStr"/>
    </row>
    <row r="81" ht="15" customHeight="1">
      <c r="A81" t="inlineStr">
        <is>
          <t>A 16847-2019</t>
        </is>
      </c>
      <c r="B81" s="1" t="n">
        <v>43549</v>
      </c>
      <c r="C81" s="1" t="n">
        <v>45363</v>
      </c>
      <c r="D81" t="inlineStr">
        <is>
          <t>VÄSTERNORRLANDS LÄN</t>
        </is>
      </c>
      <c r="E81" t="inlineStr">
        <is>
          <t>TIMRÅ</t>
        </is>
      </c>
      <c r="G81" t="n">
        <v>3.6</v>
      </c>
      <c r="H81" t="n">
        <v>0</v>
      </c>
      <c r="I81" t="n">
        <v>0</v>
      </c>
      <c r="J81" t="n">
        <v>0</v>
      </c>
      <c r="K81" t="n">
        <v>0</v>
      </c>
      <c r="L81" t="n">
        <v>0</v>
      </c>
      <c r="M81" t="n">
        <v>0</v>
      </c>
      <c r="N81" t="n">
        <v>0</v>
      </c>
      <c r="O81" t="n">
        <v>0</v>
      </c>
      <c r="P81" t="n">
        <v>0</v>
      </c>
      <c r="Q81" t="n">
        <v>0</v>
      </c>
      <c r="R81" s="2" t="inlineStr"/>
    </row>
    <row r="82" ht="15" customHeight="1">
      <c r="A82" t="inlineStr">
        <is>
          <t>A 17405-2019</t>
        </is>
      </c>
      <c r="B82" s="1" t="n">
        <v>43552</v>
      </c>
      <c r="C82" s="1" t="n">
        <v>45363</v>
      </c>
      <c r="D82" t="inlineStr">
        <is>
          <t>VÄSTERNORRLANDS LÄN</t>
        </is>
      </c>
      <c r="E82" t="inlineStr">
        <is>
          <t>TIMRÅ</t>
        </is>
      </c>
      <c r="F82" t="inlineStr">
        <is>
          <t>SCA</t>
        </is>
      </c>
      <c r="G82" t="n">
        <v>41.9</v>
      </c>
      <c r="H82" t="n">
        <v>0</v>
      </c>
      <c r="I82" t="n">
        <v>0</v>
      </c>
      <c r="J82" t="n">
        <v>0</v>
      </c>
      <c r="K82" t="n">
        <v>0</v>
      </c>
      <c r="L82" t="n">
        <v>0</v>
      </c>
      <c r="M82" t="n">
        <v>0</v>
      </c>
      <c r="N82" t="n">
        <v>0</v>
      </c>
      <c r="O82" t="n">
        <v>0</v>
      </c>
      <c r="P82" t="n">
        <v>0</v>
      </c>
      <c r="Q82" t="n">
        <v>0</v>
      </c>
      <c r="R82" s="2" t="inlineStr"/>
    </row>
    <row r="83" ht="15" customHeight="1">
      <c r="A83" t="inlineStr">
        <is>
          <t>A 17592-2019</t>
        </is>
      </c>
      <c r="B83" s="1" t="n">
        <v>43553</v>
      </c>
      <c r="C83" s="1" t="n">
        <v>45363</v>
      </c>
      <c r="D83" t="inlineStr">
        <is>
          <t>VÄSTERNORRLANDS LÄN</t>
        </is>
      </c>
      <c r="E83" t="inlineStr">
        <is>
          <t>TIMRÅ</t>
        </is>
      </c>
      <c r="G83" t="n">
        <v>7.2</v>
      </c>
      <c r="H83" t="n">
        <v>0</v>
      </c>
      <c r="I83" t="n">
        <v>0</v>
      </c>
      <c r="J83" t="n">
        <v>0</v>
      </c>
      <c r="K83" t="n">
        <v>0</v>
      </c>
      <c r="L83" t="n">
        <v>0</v>
      </c>
      <c r="M83" t="n">
        <v>0</v>
      </c>
      <c r="N83" t="n">
        <v>0</v>
      </c>
      <c r="O83" t="n">
        <v>0</v>
      </c>
      <c r="P83" t="n">
        <v>0</v>
      </c>
      <c r="Q83" t="n">
        <v>0</v>
      </c>
      <c r="R83" s="2" t="inlineStr"/>
    </row>
    <row r="84" ht="15" customHeight="1">
      <c r="A84" t="inlineStr">
        <is>
          <t>A 17858-2019</t>
        </is>
      </c>
      <c r="B84" s="1" t="n">
        <v>43556</v>
      </c>
      <c r="C84" s="1" t="n">
        <v>45363</v>
      </c>
      <c r="D84" t="inlineStr">
        <is>
          <t>VÄSTERNORRLANDS LÄN</t>
        </is>
      </c>
      <c r="E84" t="inlineStr">
        <is>
          <t>TIMRÅ</t>
        </is>
      </c>
      <c r="F84" t="inlineStr">
        <is>
          <t>SCA</t>
        </is>
      </c>
      <c r="G84" t="n">
        <v>5.2</v>
      </c>
      <c r="H84" t="n">
        <v>0</v>
      </c>
      <c r="I84" t="n">
        <v>0</v>
      </c>
      <c r="J84" t="n">
        <v>0</v>
      </c>
      <c r="K84" t="n">
        <v>0</v>
      </c>
      <c r="L84" t="n">
        <v>0</v>
      </c>
      <c r="M84" t="n">
        <v>0</v>
      </c>
      <c r="N84" t="n">
        <v>0</v>
      </c>
      <c r="O84" t="n">
        <v>0</v>
      </c>
      <c r="P84" t="n">
        <v>0</v>
      </c>
      <c r="Q84" t="n">
        <v>0</v>
      </c>
      <c r="R84" s="2" t="inlineStr"/>
    </row>
    <row r="85" ht="15" customHeight="1">
      <c r="A85" t="inlineStr">
        <is>
          <t>A 18703-2019</t>
        </is>
      </c>
      <c r="B85" s="1" t="n">
        <v>43559</v>
      </c>
      <c r="C85" s="1" t="n">
        <v>45363</v>
      </c>
      <c r="D85" t="inlineStr">
        <is>
          <t>VÄSTERNORRLANDS LÄN</t>
        </is>
      </c>
      <c r="E85" t="inlineStr">
        <is>
          <t>TIMRÅ</t>
        </is>
      </c>
      <c r="G85" t="n">
        <v>5</v>
      </c>
      <c r="H85" t="n">
        <v>0</v>
      </c>
      <c r="I85" t="n">
        <v>0</v>
      </c>
      <c r="J85" t="n">
        <v>0</v>
      </c>
      <c r="K85" t="n">
        <v>0</v>
      </c>
      <c r="L85" t="n">
        <v>0</v>
      </c>
      <c r="M85" t="n">
        <v>0</v>
      </c>
      <c r="N85" t="n">
        <v>0</v>
      </c>
      <c r="O85" t="n">
        <v>0</v>
      </c>
      <c r="P85" t="n">
        <v>0</v>
      </c>
      <c r="Q85" t="n">
        <v>0</v>
      </c>
      <c r="R85" s="2" t="inlineStr"/>
    </row>
    <row r="86" ht="15" customHeight="1">
      <c r="A86" t="inlineStr">
        <is>
          <t>A 20205-2019</t>
        </is>
      </c>
      <c r="B86" s="1" t="n">
        <v>43570</v>
      </c>
      <c r="C86" s="1" t="n">
        <v>45363</v>
      </c>
      <c r="D86" t="inlineStr">
        <is>
          <t>VÄSTERNORRLANDS LÄN</t>
        </is>
      </c>
      <c r="E86" t="inlineStr">
        <is>
          <t>TIMRÅ</t>
        </is>
      </c>
      <c r="F86" t="inlineStr">
        <is>
          <t>SCA</t>
        </is>
      </c>
      <c r="G86" t="n">
        <v>29.1</v>
      </c>
      <c r="H86" t="n">
        <v>0</v>
      </c>
      <c r="I86" t="n">
        <v>0</v>
      </c>
      <c r="J86" t="n">
        <v>0</v>
      </c>
      <c r="K86" t="n">
        <v>0</v>
      </c>
      <c r="L86" t="n">
        <v>0</v>
      </c>
      <c r="M86" t="n">
        <v>0</v>
      </c>
      <c r="N86" t="n">
        <v>0</v>
      </c>
      <c r="O86" t="n">
        <v>0</v>
      </c>
      <c r="P86" t="n">
        <v>0</v>
      </c>
      <c r="Q86" t="n">
        <v>0</v>
      </c>
      <c r="R86" s="2" t="inlineStr"/>
    </row>
    <row r="87" ht="15" customHeight="1">
      <c r="A87" t="inlineStr">
        <is>
          <t>A 20591-2019</t>
        </is>
      </c>
      <c r="B87" s="1" t="n">
        <v>43572</v>
      </c>
      <c r="C87" s="1" t="n">
        <v>45363</v>
      </c>
      <c r="D87" t="inlineStr">
        <is>
          <t>VÄSTERNORRLANDS LÄN</t>
        </is>
      </c>
      <c r="E87" t="inlineStr">
        <is>
          <t>TIMRÅ</t>
        </is>
      </c>
      <c r="F87" t="inlineStr">
        <is>
          <t>SCA</t>
        </is>
      </c>
      <c r="G87" t="n">
        <v>2.2</v>
      </c>
      <c r="H87" t="n">
        <v>0</v>
      </c>
      <c r="I87" t="n">
        <v>0</v>
      </c>
      <c r="J87" t="n">
        <v>0</v>
      </c>
      <c r="K87" t="n">
        <v>0</v>
      </c>
      <c r="L87" t="n">
        <v>0</v>
      </c>
      <c r="M87" t="n">
        <v>0</v>
      </c>
      <c r="N87" t="n">
        <v>0</v>
      </c>
      <c r="O87" t="n">
        <v>0</v>
      </c>
      <c r="P87" t="n">
        <v>0</v>
      </c>
      <c r="Q87" t="n">
        <v>0</v>
      </c>
      <c r="R87" s="2" t="inlineStr"/>
    </row>
    <row r="88" ht="15" customHeight="1">
      <c r="A88" t="inlineStr">
        <is>
          <t>A 22036-2019</t>
        </is>
      </c>
      <c r="B88" s="1" t="n">
        <v>43584</v>
      </c>
      <c r="C88" s="1" t="n">
        <v>45363</v>
      </c>
      <c r="D88" t="inlineStr">
        <is>
          <t>VÄSTERNORRLANDS LÄN</t>
        </is>
      </c>
      <c r="E88" t="inlineStr">
        <is>
          <t>TIMRÅ</t>
        </is>
      </c>
      <c r="G88" t="n">
        <v>0.4</v>
      </c>
      <c r="H88" t="n">
        <v>0</v>
      </c>
      <c r="I88" t="n">
        <v>0</v>
      </c>
      <c r="J88" t="n">
        <v>0</v>
      </c>
      <c r="K88" t="n">
        <v>0</v>
      </c>
      <c r="L88" t="n">
        <v>0</v>
      </c>
      <c r="M88" t="n">
        <v>0</v>
      </c>
      <c r="N88" t="n">
        <v>0</v>
      </c>
      <c r="O88" t="n">
        <v>0</v>
      </c>
      <c r="P88" t="n">
        <v>0</v>
      </c>
      <c r="Q88" t="n">
        <v>0</v>
      </c>
      <c r="R88" s="2" t="inlineStr"/>
    </row>
    <row r="89" ht="15" customHeight="1">
      <c r="A89" t="inlineStr">
        <is>
          <t>A 22345-2019</t>
        </is>
      </c>
      <c r="B89" s="1" t="n">
        <v>43587</v>
      </c>
      <c r="C89" s="1" t="n">
        <v>45363</v>
      </c>
      <c r="D89" t="inlineStr">
        <is>
          <t>VÄSTERNORRLANDS LÄN</t>
        </is>
      </c>
      <c r="E89" t="inlineStr">
        <is>
          <t>TIMRÅ</t>
        </is>
      </c>
      <c r="G89" t="n">
        <v>0.3</v>
      </c>
      <c r="H89" t="n">
        <v>0</v>
      </c>
      <c r="I89" t="n">
        <v>0</v>
      </c>
      <c r="J89" t="n">
        <v>0</v>
      </c>
      <c r="K89" t="n">
        <v>0</v>
      </c>
      <c r="L89" t="n">
        <v>0</v>
      </c>
      <c r="M89" t="n">
        <v>0</v>
      </c>
      <c r="N89" t="n">
        <v>0</v>
      </c>
      <c r="O89" t="n">
        <v>0</v>
      </c>
      <c r="P89" t="n">
        <v>0</v>
      </c>
      <c r="Q89" t="n">
        <v>0</v>
      </c>
      <c r="R89" s="2" t="inlineStr"/>
    </row>
    <row r="90" ht="15" customHeight="1">
      <c r="A90" t="inlineStr">
        <is>
          <t>A 23074-2019</t>
        </is>
      </c>
      <c r="B90" s="1" t="n">
        <v>43591</v>
      </c>
      <c r="C90" s="1" t="n">
        <v>45363</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24767-2019</t>
        </is>
      </c>
      <c r="B91" s="1" t="n">
        <v>43601</v>
      </c>
      <c r="C91" s="1" t="n">
        <v>45363</v>
      </c>
      <c r="D91" t="inlineStr">
        <is>
          <t>VÄSTERNORRLANDS LÄN</t>
        </is>
      </c>
      <c r="E91" t="inlineStr">
        <is>
          <t>TIMRÅ</t>
        </is>
      </c>
      <c r="G91" t="n">
        <v>6.1</v>
      </c>
      <c r="H91" t="n">
        <v>0</v>
      </c>
      <c r="I91" t="n">
        <v>0</v>
      </c>
      <c r="J91" t="n">
        <v>0</v>
      </c>
      <c r="K91" t="n">
        <v>0</v>
      </c>
      <c r="L91" t="n">
        <v>0</v>
      </c>
      <c r="M91" t="n">
        <v>0</v>
      </c>
      <c r="N91" t="n">
        <v>0</v>
      </c>
      <c r="O91" t="n">
        <v>0</v>
      </c>
      <c r="P91" t="n">
        <v>0</v>
      </c>
      <c r="Q91" t="n">
        <v>0</v>
      </c>
      <c r="R91" s="2" t="inlineStr"/>
    </row>
    <row r="92" ht="15" customHeight="1">
      <c r="A92" t="inlineStr">
        <is>
          <t>A 29163-2019</t>
        </is>
      </c>
      <c r="B92" s="1" t="n">
        <v>43628</v>
      </c>
      <c r="C92" s="1" t="n">
        <v>45363</v>
      </c>
      <c r="D92" t="inlineStr">
        <is>
          <t>VÄSTERNORRLANDS LÄN</t>
        </is>
      </c>
      <c r="E92" t="inlineStr">
        <is>
          <t>TIMRÅ</t>
        </is>
      </c>
      <c r="G92" t="n">
        <v>4.6</v>
      </c>
      <c r="H92" t="n">
        <v>0</v>
      </c>
      <c r="I92" t="n">
        <v>0</v>
      </c>
      <c r="J92" t="n">
        <v>0</v>
      </c>
      <c r="K92" t="n">
        <v>0</v>
      </c>
      <c r="L92" t="n">
        <v>0</v>
      </c>
      <c r="M92" t="n">
        <v>0</v>
      </c>
      <c r="N92" t="n">
        <v>0</v>
      </c>
      <c r="O92" t="n">
        <v>0</v>
      </c>
      <c r="P92" t="n">
        <v>0</v>
      </c>
      <c r="Q92" t="n">
        <v>0</v>
      </c>
      <c r="R92" s="2" t="inlineStr"/>
    </row>
    <row r="93" ht="15" customHeight="1">
      <c r="A93" t="inlineStr">
        <is>
          <t>A 29485-2019</t>
        </is>
      </c>
      <c r="B93" s="1" t="n">
        <v>43629</v>
      </c>
      <c r="C93" s="1" t="n">
        <v>45363</v>
      </c>
      <c r="D93" t="inlineStr">
        <is>
          <t>VÄSTERNORRLANDS LÄN</t>
        </is>
      </c>
      <c r="E93" t="inlineStr">
        <is>
          <t>TIMRÅ</t>
        </is>
      </c>
      <c r="G93" t="n">
        <v>3.4</v>
      </c>
      <c r="H93" t="n">
        <v>0</v>
      </c>
      <c r="I93" t="n">
        <v>0</v>
      </c>
      <c r="J93" t="n">
        <v>0</v>
      </c>
      <c r="K93" t="n">
        <v>0</v>
      </c>
      <c r="L93" t="n">
        <v>0</v>
      </c>
      <c r="M93" t="n">
        <v>0</v>
      </c>
      <c r="N93" t="n">
        <v>0</v>
      </c>
      <c r="O93" t="n">
        <v>0</v>
      </c>
      <c r="P93" t="n">
        <v>0</v>
      </c>
      <c r="Q93" t="n">
        <v>0</v>
      </c>
      <c r="R93" s="2" t="inlineStr"/>
    </row>
    <row r="94" ht="15" customHeight="1">
      <c r="A94" t="inlineStr">
        <is>
          <t>A 29751-2019</t>
        </is>
      </c>
      <c r="B94" s="1" t="n">
        <v>43630</v>
      </c>
      <c r="C94" s="1" t="n">
        <v>45363</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32982-2019</t>
        </is>
      </c>
      <c r="B95" s="1" t="n">
        <v>43648</v>
      </c>
      <c r="C95" s="1" t="n">
        <v>45363</v>
      </c>
      <c r="D95" t="inlineStr">
        <is>
          <t>VÄSTERNORRLANDS LÄN</t>
        </is>
      </c>
      <c r="E95" t="inlineStr">
        <is>
          <t>TIMRÅ</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33835-2019</t>
        </is>
      </c>
      <c r="B96" s="1" t="n">
        <v>43651</v>
      </c>
      <c r="C96" s="1" t="n">
        <v>45363</v>
      </c>
      <c r="D96" t="inlineStr">
        <is>
          <t>VÄSTERNORRLANDS LÄN</t>
        </is>
      </c>
      <c r="E96" t="inlineStr">
        <is>
          <t>TIMRÅ</t>
        </is>
      </c>
      <c r="G96" t="n">
        <v>6.2</v>
      </c>
      <c r="H96" t="n">
        <v>0</v>
      </c>
      <c r="I96" t="n">
        <v>0</v>
      </c>
      <c r="J96" t="n">
        <v>0</v>
      </c>
      <c r="K96" t="n">
        <v>0</v>
      </c>
      <c r="L96" t="n">
        <v>0</v>
      </c>
      <c r="M96" t="n">
        <v>0</v>
      </c>
      <c r="N96" t="n">
        <v>0</v>
      </c>
      <c r="O96" t="n">
        <v>0</v>
      </c>
      <c r="P96" t="n">
        <v>0</v>
      </c>
      <c r="Q96" t="n">
        <v>0</v>
      </c>
      <c r="R96" s="2" t="inlineStr"/>
    </row>
    <row r="97" ht="15" customHeight="1">
      <c r="A97" t="inlineStr">
        <is>
          <t>A 33834-2019</t>
        </is>
      </c>
      <c r="B97" s="1" t="n">
        <v>43651</v>
      </c>
      <c r="C97" s="1" t="n">
        <v>45363</v>
      </c>
      <c r="D97" t="inlineStr">
        <is>
          <t>VÄSTERNORRLANDS LÄN</t>
        </is>
      </c>
      <c r="E97" t="inlineStr">
        <is>
          <t>TIMRÅ</t>
        </is>
      </c>
      <c r="G97" t="n">
        <v>4.5</v>
      </c>
      <c r="H97" t="n">
        <v>0</v>
      </c>
      <c r="I97" t="n">
        <v>0</v>
      </c>
      <c r="J97" t="n">
        <v>0</v>
      </c>
      <c r="K97" t="n">
        <v>0</v>
      </c>
      <c r="L97" t="n">
        <v>0</v>
      </c>
      <c r="M97" t="n">
        <v>0</v>
      </c>
      <c r="N97" t="n">
        <v>0</v>
      </c>
      <c r="O97" t="n">
        <v>0</v>
      </c>
      <c r="P97" t="n">
        <v>0</v>
      </c>
      <c r="Q97" t="n">
        <v>0</v>
      </c>
      <c r="R97" s="2" t="inlineStr"/>
    </row>
    <row r="98" ht="15" customHeight="1">
      <c r="A98" t="inlineStr">
        <is>
          <t>A 34106-2019</t>
        </is>
      </c>
      <c r="B98" s="1" t="n">
        <v>43654</v>
      </c>
      <c r="C98" s="1" t="n">
        <v>45363</v>
      </c>
      <c r="D98" t="inlineStr">
        <is>
          <t>VÄSTERNORRLANDS LÄN</t>
        </is>
      </c>
      <c r="E98" t="inlineStr">
        <is>
          <t>TIMRÅ</t>
        </is>
      </c>
      <c r="G98" t="n">
        <v>1</v>
      </c>
      <c r="H98" t="n">
        <v>0</v>
      </c>
      <c r="I98" t="n">
        <v>0</v>
      </c>
      <c r="J98" t="n">
        <v>0</v>
      </c>
      <c r="K98" t="n">
        <v>0</v>
      </c>
      <c r="L98" t="n">
        <v>0</v>
      </c>
      <c r="M98" t="n">
        <v>0</v>
      </c>
      <c r="N98" t="n">
        <v>0</v>
      </c>
      <c r="O98" t="n">
        <v>0</v>
      </c>
      <c r="P98" t="n">
        <v>0</v>
      </c>
      <c r="Q98" t="n">
        <v>0</v>
      </c>
      <c r="R98" s="2" t="inlineStr"/>
    </row>
    <row r="99" ht="15" customHeight="1">
      <c r="A99" t="inlineStr">
        <is>
          <t>A 35877-2019</t>
        </is>
      </c>
      <c r="B99" s="1" t="n">
        <v>43665</v>
      </c>
      <c r="C99" s="1" t="n">
        <v>45363</v>
      </c>
      <c r="D99" t="inlineStr">
        <is>
          <t>VÄSTERNORRLANDS LÄN</t>
        </is>
      </c>
      <c r="E99" t="inlineStr">
        <is>
          <t>TIMRÅ</t>
        </is>
      </c>
      <c r="G99" t="n">
        <v>3.7</v>
      </c>
      <c r="H99" t="n">
        <v>0</v>
      </c>
      <c r="I99" t="n">
        <v>0</v>
      </c>
      <c r="J99" t="n">
        <v>0</v>
      </c>
      <c r="K99" t="n">
        <v>0</v>
      </c>
      <c r="L99" t="n">
        <v>0</v>
      </c>
      <c r="M99" t="n">
        <v>0</v>
      </c>
      <c r="N99" t="n">
        <v>0</v>
      </c>
      <c r="O99" t="n">
        <v>0</v>
      </c>
      <c r="P99" t="n">
        <v>0</v>
      </c>
      <c r="Q99" t="n">
        <v>0</v>
      </c>
      <c r="R99" s="2" t="inlineStr"/>
    </row>
    <row r="100" ht="15" customHeight="1">
      <c r="A100" t="inlineStr">
        <is>
          <t>A 36176-2019</t>
        </is>
      </c>
      <c r="B100" s="1" t="n">
        <v>43668</v>
      </c>
      <c r="C100" s="1" t="n">
        <v>45363</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36806-2019</t>
        </is>
      </c>
      <c r="B101" s="1" t="n">
        <v>43672</v>
      </c>
      <c r="C101" s="1" t="n">
        <v>45363</v>
      </c>
      <c r="D101" t="inlineStr">
        <is>
          <t>VÄSTERNORRLANDS LÄN</t>
        </is>
      </c>
      <c r="E101" t="inlineStr">
        <is>
          <t>TIMRÅ</t>
        </is>
      </c>
      <c r="G101" t="n">
        <v>3.8</v>
      </c>
      <c r="H101" t="n">
        <v>0</v>
      </c>
      <c r="I101" t="n">
        <v>0</v>
      </c>
      <c r="J101" t="n">
        <v>0</v>
      </c>
      <c r="K101" t="n">
        <v>0</v>
      </c>
      <c r="L101" t="n">
        <v>0</v>
      </c>
      <c r="M101" t="n">
        <v>0</v>
      </c>
      <c r="N101" t="n">
        <v>0</v>
      </c>
      <c r="O101" t="n">
        <v>0</v>
      </c>
      <c r="P101" t="n">
        <v>0</v>
      </c>
      <c r="Q101" t="n">
        <v>0</v>
      </c>
      <c r="R101" s="2" t="inlineStr"/>
    </row>
    <row r="102" ht="15" customHeight="1">
      <c r="A102" t="inlineStr">
        <is>
          <t>A 40956-2019</t>
        </is>
      </c>
      <c r="B102" s="1" t="n">
        <v>43697</v>
      </c>
      <c r="C102" s="1" t="n">
        <v>45363</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43975-2019</t>
        </is>
      </c>
      <c r="B103" s="1" t="n">
        <v>43708</v>
      </c>
      <c r="C103" s="1" t="n">
        <v>45363</v>
      </c>
      <c r="D103" t="inlineStr">
        <is>
          <t>VÄSTERNORRLANDS LÄN</t>
        </is>
      </c>
      <c r="E103" t="inlineStr">
        <is>
          <t>TIMRÅ</t>
        </is>
      </c>
      <c r="G103" t="n">
        <v>1.4</v>
      </c>
      <c r="H103" t="n">
        <v>0</v>
      </c>
      <c r="I103" t="n">
        <v>0</v>
      </c>
      <c r="J103" t="n">
        <v>0</v>
      </c>
      <c r="K103" t="n">
        <v>0</v>
      </c>
      <c r="L103" t="n">
        <v>0</v>
      </c>
      <c r="M103" t="n">
        <v>0</v>
      </c>
      <c r="N103" t="n">
        <v>0</v>
      </c>
      <c r="O103" t="n">
        <v>0</v>
      </c>
      <c r="P103" t="n">
        <v>0</v>
      </c>
      <c r="Q103" t="n">
        <v>0</v>
      </c>
      <c r="R103" s="2" t="inlineStr"/>
    </row>
    <row r="104" ht="15" customHeight="1">
      <c r="A104" t="inlineStr">
        <is>
          <t>A 44673-2019</t>
        </is>
      </c>
      <c r="B104" s="1" t="n">
        <v>43712</v>
      </c>
      <c r="C104" s="1" t="n">
        <v>45363</v>
      </c>
      <c r="D104" t="inlineStr">
        <is>
          <t>VÄSTERNORRLANDS LÄN</t>
        </is>
      </c>
      <c r="E104" t="inlineStr">
        <is>
          <t>TIMRÅ</t>
        </is>
      </c>
      <c r="G104" t="n">
        <v>1.8</v>
      </c>
      <c r="H104" t="n">
        <v>0</v>
      </c>
      <c r="I104" t="n">
        <v>0</v>
      </c>
      <c r="J104" t="n">
        <v>0</v>
      </c>
      <c r="K104" t="n">
        <v>0</v>
      </c>
      <c r="L104" t="n">
        <v>0</v>
      </c>
      <c r="M104" t="n">
        <v>0</v>
      </c>
      <c r="N104" t="n">
        <v>0</v>
      </c>
      <c r="O104" t="n">
        <v>0</v>
      </c>
      <c r="P104" t="n">
        <v>0</v>
      </c>
      <c r="Q104" t="n">
        <v>0</v>
      </c>
      <c r="R104" s="2" t="inlineStr"/>
    </row>
    <row r="105" ht="15" customHeight="1">
      <c r="A105" t="inlineStr">
        <is>
          <t>A 47656-2019</t>
        </is>
      </c>
      <c r="B105" s="1" t="n">
        <v>43724</v>
      </c>
      <c r="C105" s="1" t="n">
        <v>45363</v>
      </c>
      <c r="D105" t="inlineStr">
        <is>
          <t>VÄSTERNORRLANDS LÄN</t>
        </is>
      </c>
      <c r="E105" t="inlineStr">
        <is>
          <t>TIMRÅ</t>
        </is>
      </c>
      <c r="G105" t="n">
        <v>8</v>
      </c>
      <c r="H105" t="n">
        <v>0</v>
      </c>
      <c r="I105" t="n">
        <v>0</v>
      </c>
      <c r="J105" t="n">
        <v>0</v>
      </c>
      <c r="K105" t="n">
        <v>0</v>
      </c>
      <c r="L105" t="n">
        <v>0</v>
      </c>
      <c r="M105" t="n">
        <v>0</v>
      </c>
      <c r="N105" t="n">
        <v>0</v>
      </c>
      <c r="O105" t="n">
        <v>0</v>
      </c>
      <c r="P105" t="n">
        <v>0</v>
      </c>
      <c r="Q105" t="n">
        <v>0</v>
      </c>
      <c r="R105" s="2" t="inlineStr"/>
    </row>
    <row r="106" ht="15" customHeight="1">
      <c r="A106" t="inlineStr">
        <is>
          <t>A 48964-2019</t>
        </is>
      </c>
      <c r="B106" s="1" t="n">
        <v>43728</v>
      </c>
      <c r="C106" s="1" t="n">
        <v>45363</v>
      </c>
      <c r="D106" t="inlineStr">
        <is>
          <t>VÄSTERNORRLANDS LÄN</t>
        </is>
      </c>
      <c r="E106" t="inlineStr">
        <is>
          <t>TIMRÅ</t>
        </is>
      </c>
      <c r="G106" t="n">
        <v>7.8</v>
      </c>
      <c r="H106" t="n">
        <v>0</v>
      </c>
      <c r="I106" t="n">
        <v>0</v>
      </c>
      <c r="J106" t="n">
        <v>0</v>
      </c>
      <c r="K106" t="n">
        <v>0</v>
      </c>
      <c r="L106" t="n">
        <v>0</v>
      </c>
      <c r="M106" t="n">
        <v>0</v>
      </c>
      <c r="N106" t="n">
        <v>0</v>
      </c>
      <c r="O106" t="n">
        <v>0</v>
      </c>
      <c r="P106" t="n">
        <v>0</v>
      </c>
      <c r="Q106" t="n">
        <v>0</v>
      </c>
      <c r="R106" s="2" t="inlineStr"/>
    </row>
    <row r="107" ht="15" customHeight="1">
      <c r="A107" t="inlineStr">
        <is>
          <t>A 50604-2019</t>
        </is>
      </c>
      <c r="B107" s="1" t="n">
        <v>43735</v>
      </c>
      <c r="C107" s="1" t="n">
        <v>45363</v>
      </c>
      <c r="D107" t="inlineStr">
        <is>
          <t>VÄSTERNORRLANDS LÄN</t>
        </is>
      </c>
      <c r="E107" t="inlineStr">
        <is>
          <t>TIMRÅ</t>
        </is>
      </c>
      <c r="G107" t="n">
        <v>7.7</v>
      </c>
      <c r="H107" t="n">
        <v>0</v>
      </c>
      <c r="I107" t="n">
        <v>0</v>
      </c>
      <c r="J107" t="n">
        <v>0</v>
      </c>
      <c r="K107" t="n">
        <v>0</v>
      </c>
      <c r="L107" t="n">
        <v>0</v>
      </c>
      <c r="M107" t="n">
        <v>0</v>
      </c>
      <c r="N107" t="n">
        <v>0</v>
      </c>
      <c r="O107" t="n">
        <v>0</v>
      </c>
      <c r="P107" t="n">
        <v>0</v>
      </c>
      <c r="Q107" t="n">
        <v>0</v>
      </c>
      <c r="R107" s="2" t="inlineStr"/>
    </row>
    <row r="108" ht="15" customHeight="1">
      <c r="A108" t="inlineStr">
        <is>
          <t>A 51297-2019</t>
        </is>
      </c>
      <c r="B108" s="1" t="n">
        <v>43739</v>
      </c>
      <c r="C108" s="1" t="n">
        <v>45363</v>
      </c>
      <c r="D108" t="inlineStr">
        <is>
          <t>VÄSTERNORRLANDS LÄN</t>
        </is>
      </c>
      <c r="E108" t="inlineStr">
        <is>
          <t>TIMRÅ</t>
        </is>
      </c>
      <c r="G108" t="n">
        <v>2</v>
      </c>
      <c r="H108" t="n">
        <v>0</v>
      </c>
      <c r="I108" t="n">
        <v>0</v>
      </c>
      <c r="J108" t="n">
        <v>0</v>
      </c>
      <c r="K108" t="n">
        <v>0</v>
      </c>
      <c r="L108" t="n">
        <v>0</v>
      </c>
      <c r="M108" t="n">
        <v>0</v>
      </c>
      <c r="N108" t="n">
        <v>0</v>
      </c>
      <c r="O108" t="n">
        <v>0</v>
      </c>
      <c r="P108" t="n">
        <v>0</v>
      </c>
      <c r="Q108" t="n">
        <v>0</v>
      </c>
      <c r="R108" s="2" t="inlineStr"/>
    </row>
    <row r="109" ht="15" customHeight="1">
      <c r="A109" t="inlineStr">
        <is>
          <t>A 52869-2019</t>
        </is>
      </c>
      <c r="B109" s="1" t="n">
        <v>43739</v>
      </c>
      <c r="C109" s="1" t="n">
        <v>45363</v>
      </c>
      <c r="D109" t="inlineStr">
        <is>
          <t>VÄSTERNORRLANDS LÄN</t>
        </is>
      </c>
      <c r="E109" t="inlineStr">
        <is>
          <t>TIMRÅ</t>
        </is>
      </c>
      <c r="G109" t="n">
        <v>4</v>
      </c>
      <c r="H109" t="n">
        <v>0</v>
      </c>
      <c r="I109" t="n">
        <v>0</v>
      </c>
      <c r="J109" t="n">
        <v>0</v>
      </c>
      <c r="K109" t="n">
        <v>0</v>
      </c>
      <c r="L109" t="n">
        <v>0</v>
      </c>
      <c r="M109" t="n">
        <v>0</v>
      </c>
      <c r="N109" t="n">
        <v>0</v>
      </c>
      <c r="O109" t="n">
        <v>0</v>
      </c>
      <c r="P109" t="n">
        <v>0</v>
      </c>
      <c r="Q109" t="n">
        <v>0</v>
      </c>
      <c r="R109" s="2" t="inlineStr"/>
    </row>
    <row r="110" ht="15" customHeight="1">
      <c r="A110" t="inlineStr">
        <is>
          <t>A 51907-2019</t>
        </is>
      </c>
      <c r="B110" s="1" t="n">
        <v>43741</v>
      </c>
      <c r="C110" s="1" t="n">
        <v>45363</v>
      </c>
      <c r="D110" t="inlineStr">
        <is>
          <t>VÄSTERNORRLANDS LÄN</t>
        </is>
      </c>
      <c r="E110" t="inlineStr">
        <is>
          <t>TIMRÅ</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53162-2019</t>
        </is>
      </c>
      <c r="B111" s="1" t="n">
        <v>43747</v>
      </c>
      <c r="C111" s="1" t="n">
        <v>45363</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54072-2019</t>
        </is>
      </c>
      <c r="B112" s="1" t="n">
        <v>43752</v>
      </c>
      <c r="C112" s="1" t="n">
        <v>45363</v>
      </c>
      <c r="D112" t="inlineStr">
        <is>
          <t>VÄSTERNORRLANDS LÄN</t>
        </is>
      </c>
      <c r="E112" t="inlineStr">
        <is>
          <t>TIMRÅ</t>
        </is>
      </c>
      <c r="G112" t="n">
        <v>12.8</v>
      </c>
      <c r="H112" t="n">
        <v>0</v>
      </c>
      <c r="I112" t="n">
        <v>0</v>
      </c>
      <c r="J112" t="n">
        <v>0</v>
      </c>
      <c r="K112" t="n">
        <v>0</v>
      </c>
      <c r="L112" t="n">
        <v>0</v>
      </c>
      <c r="M112" t="n">
        <v>0</v>
      </c>
      <c r="N112" t="n">
        <v>0</v>
      </c>
      <c r="O112" t="n">
        <v>0</v>
      </c>
      <c r="P112" t="n">
        <v>0</v>
      </c>
      <c r="Q112" t="n">
        <v>0</v>
      </c>
      <c r="R112" s="2" t="inlineStr"/>
    </row>
    <row r="113" ht="15" customHeight="1">
      <c r="A113" t="inlineStr">
        <is>
          <t>A 54365-2019</t>
        </is>
      </c>
      <c r="B113" s="1" t="n">
        <v>43753</v>
      </c>
      <c r="C113" s="1" t="n">
        <v>45363</v>
      </c>
      <c r="D113" t="inlineStr">
        <is>
          <t>VÄSTERNORRLANDS LÄN</t>
        </is>
      </c>
      <c r="E113" t="inlineStr">
        <is>
          <t>TIMRÅ</t>
        </is>
      </c>
      <c r="G113" t="n">
        <v>0.6</v>
      </c>
      <c r="H113" t="n">
        <v>0</v>
      </c>
      <c r="I113" t="n">
        <v>0</v>
      </c>
      <c r="J113" t="n">
        <v>0</v>
      </c>
      <c r="K113" t="n">
        <v>0</v>
      </c>
      <c r="L113" t="n">
        <v>0</v>
      </c>
      <c r="M113" t="n">
        <v>0</v>
      </c>
      <c r="N113" t="n">
        <v>0</v>
      </c>
      <c r="O113" t="n">
        <v>0</v>
      </c>
      <c r="P113" t="n">
        <v>0</v>
      </c>
      <c r="Q113" t="n">
        <v>0</v>
      </c>
      <c r="R113" s="2" t="inlineStr"/>
    </row>
    <row r="114" ht="15" customHeight="1">
      <c r="A114" t="inlineStr">
        <is>
          <t>A 56316-2019</t>
        </is>
      </c>
      <c r="B114" s="1" t="n">
        <v>43756</v>
      </c>
      <c r="C114" s="1" t="n">
        <v>45363</v>
      </c>
      <c r="D114" t="inlineStr">
        <is>
          <t>VÄSTERNORRLANDS LÄN</t>
        </is>
      </c>
      <c r="E114" t="inlineStr">
        <is>
          <t>TIMRÅ</t>
        </is>
      </c>
      <c r="G114" t="n">
        <v>2.6</v>
      </c>
      <c r="H114" t="n">
        <v>0</v>
      </c>
      <c r="I114" t="n">
        <v>0</v>
      </c>
      <c r="J114" t="n">
        <v>0</v>
      </c>
      <c r="K114" t="n">
        <v>0</v>
      </c>
      <c r="L114" t="n">
        <v>0</v>
      </c>
      <c r="M114" t="n">
        <v>0</v>
      </c>
      <c r="N114" t="n">
        <v>0</v>
      </c>
      <c r="O114" t="n">
        <v>0</v>
      </c>
      <c r="P114" t="n">
        <v>0</v>
      </c>
      <c r="Q114" t="n">
        <v>0</v>
      </c>
      <c r="R114" s="2" t="inlineStr"/>
    </row>
    <row r="115" ht="15" customHeight="1">
      <c r="A115" t="inlineStr">
        <is>
          <t>A 55809-2019</t>
        </is>
      </c>
      <c r="B115" s="1" t="n">
        <v>43759</v>
      </c>
      <c r="C115" s="1" t="n">
        <v>45363</v>
      </c>
      <c r="D115" t="inlineStr">
        <is>
          <t>VÄSTERNORRLANDS LÄN</t>
        </is>
      </c>
      <c r="E115" t="inlineStr">
        <is>
          <t>TIMRÅ</t>
        </is>
      </c>
      <c r="G115" t="n">
        <v>5.9</v>
      </c>
      <c r="H115" t="n">
        <v>0</v>
      </c>
      <c r="I115" t="n">
        <v>0</v>
      </c>
      <c r="J115" t="n">
        <v>0</v>
      </c>
      <c r="K115" t="n">
        <v>0</v>
      </c>
      <c r="L115" t="n">
        <v>0</v>
      </c>
      <c r="M115" t="n">
        <v>0</v>
      </c>
      <c r="N115" t="n">
        <v>0</v>
      </c>
      <c r="O115" t="n">
        <v>0</v>
      </c>
      <c r="P115" t="n">
        <v>0</v>
      </c>
      <c r="Q115" t="n">
        <v>0</v>
      </c>
      <c r="R115" s="2" t="inlineStr"/>
    </row>
    <row r="116" ht="15" customHeight="1">
      <c r="A116" t="inlineStr">
        <is>
          <t>A 56065-2019</t>
        </is>
      </c>
      <c r="B116" s="1" t="n">
        <v>43759</v>
      </c>
      <c r="C116" s="1" t="n">
        <v>45363</v>
      </c>
      <c r="D116" t="inlineStr">
        <is>
          <t>VÄSTERNORRLANDS LÄN</t>
        </is>
      </c>
      <c r="E116" t="inlineStr">
        <is>
          <t>TIMRÅ</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56178-2019</t>
        </is>
      </c>
      <c r="B117" s="1" t="n">
        <v>43761</v>
      </c>
      <c r="C117" s="1" t="n">
        <v>45363</v>
      </c>
      <c r="D117" t="inlineStr">
        <is>
          <t>VÄSTERNORRLANDS LÄN</t>
        </is>
      </c>
      <c r="E117" t="inlineStr">
        <is>
          <t>TIMRÅ</t>
        </is>
      </c>
      <c r="G117" t="n">
        <v>0.8</v>
      </c>
      <c r="H117" t="n">
        <v>0</v>
      </c>
      <c r="I117" t="n">
        <v>0</v>
      </c>
      <c r="J117" t="n">
        <v>0</v>
      </c>
      <c r="K117" t="n">
        <v>0</v>
      </c>
      <c r="L117" t="n">
        <v>0</v>
      </c>
      <c r="M117" t="n">
        <v>0</v>
      </c>
      <c r="N117" t="n">
        <v>0</v>
      </c>
      <c r="O117" t="n">
        <v>0</v>
      </c>
      <c r="P117" t="n">
        <v>0</v>
      </c>
      <c r="Q117" t="n">
        <v>0</v>
      </c>
      <c r="R117" s="2" t="inlineStr"/>
    </row>
    <row r="118" ht="15" customHeight="1">
      <c r="A118" t="inlineStr">
        <is>
          <t>A 58711-2019</t>
        </is>
      </c>
      <c r="B118" s="1" t="n">
        <v>43768</v>
      </c>
      <c r="C118" s="1" t="n">
        <v>45363</v>
      </c>
      <c r="D118" t="inlineStr">
        <is>
          <t>VÄSTERNORRLANDS LÄN</t>
        </is>
      </c>
      <c r="E118" t="inlineStr">
        <is>
          <t>TIMRÅ</t>
        </is>
      </c>
      <c r="G118" t="n">
        <v>3.6</v>
      </c>
      <c r="H118" t="n">
        <v>0</v>
      </c>
      <c r="I118" t="n">
        <v>0</v>
      </c>
      <c r="J118" t="n">
        <v>0</v>
      </c>
      <c r="K118" t="n">
        <v>0</v>
      </c>
      <c r="L118" t="n">
        <v>0</v>
      </c>
      <c r="M118" t="n">
        <v>0</v>
      </c>
      <c r="N118" t="n">
        <v>0</v>
      </c>
      <c r="O118" t="n">
        <v>0</v>
      </c>
      <c r="P118" t="n">
        <v>0</v>
      </c>
      <c r="Q118" t="n">
        <v>0</v>
      </c>
      <c r="R118" s="2" t="inlineStr"/>
    </row>
    <row r="119" ht="15" customHeight="1">
      <c r="A119" t="inlineStr">
        <is>
          <t>A 58867-2019</t>
        </is>
      </c>
      <c r="B119" s="1" t="n">
        <v>43774</v>
      </c>
      <c r="C119" s="1" t="n">
        <v>45363</v>
      </c>
      <c r="D119" t="inlineStr">
        <is>
          <t>VÄSTERNORRLANDS LÄN</t>
        </is>
      </c>
      <c r="E119" t="inlineStr">
        <is>
          <t>TIMRÅ</t>
        </is>
      </c>
      <c r="G119" t="n">
        <v>1.7</v>
      </c>
      <c r="H119" t="n">
        <v>0</v>
      </c>
      <c r="I119" t="n">
        <v>0</v>
      </c>
      <c r="J119" t="n">
        <v>0</v>
      </c>
      <c r="K119" t="n">
        <v>0</v>
      </c>
      <c r="L119" t="n">
        <v>0</v>
      </c>
      <c r="M119" t="n">
        <v>0</v>
      </c>
      <c r="N119" t="n">
        <v>0</v>
      </c>
      <c r="O119" t="n">
        <v>0</v>
      </c>
      <c r="P119" t="n">
        <v>0</v>
      </c>
      <c r="Q119" t="n">
        <v>0</v>
      </c>
      <c r="R119" s="2" t="inlineStr"/>
    </row>
    <row r="120" ht="15" customHeight="1">
      <c r="A120" t="inlineStr">
        <is>
          <t>A 60849-2019</t>
        </is>
      </c>
      <c r="B120" s="1" t="n">
        <v>43781</v>
      </c>
      <c r="C120" s="1" t="n">
        <v>45363</v>
      </c>
      <c r="D120" t="inlineStr">
        <is>
          <t>VÄSTERNORRLANDS LÄN</t>
        </is>
      </c>
      <c r="E120" t="inlineStr">
        <is>
          <t>TIMRÅ</t>
        </is>
      </c>
      <c r="F120" t="inlineStr">
        <is>
          <t>Kommuner</t>
        </is>
      </c>
      <c r="G120" t="n">
        <v>1.7</v>
      </c>
      <c r="H120" t="n">
        <v>0</v>
      </c>
      <c r="I120" t="n">
        <v>0</v>
      </c>
      <c r="J120" t="n">
        <v>0</v>
      </c>
      <c r="K120" t="n">
        <v>0</v>
      </c>
      <c r="L120" t="n">
        <v>0</v>
      </c>
      <c r="M120" t="n">
        <v>0</v>
      </c>
      <c r="N120" t="n">
        <v>0</v>
      </c>
      <c r="O120" t="n">
        <v>0</v>
      </c>
      <c r="P120" t="n">
        <v>0</v>
      </c>
      <c r="Q120" t="n">
        <v>0</v>
      </c>
      <c r="R120" s="2" t="inlineStr"/>
    </row>
    <row r="121" ht="15" customHeight="1">
      <c r="A121" t="inlineStr">
        <is>
          <t>A 62282-2019</t>
        </is>
      </c>
      <c r="B121" s="1" t="n">
        <v>43782</v>
      </c>
      <c r="C121" s="1" t="n">
        <v>45363</v>
      </c>
      <c r="D121" t="inlineStr">
        <is>
          <t>VÄSTERNORRLANDS LÄN</t>
        </is>
      </c>
      <c r="E121" t="inlineStr">
        <is>
          <t>TIMRÅ</t>
        </is>
      </c>
      <c r="G121" t="n">
        <v>1.1</v>
      </c>
      <c r="H121" t="n">
        <v>0</v>
      </c>
      <c r="I121" t="n">
        <v>0</v>
      </c>
      <c r="J121" t="n">
        <v>0</v>
      </c>
      <c r="K121" t="n">
        <v>0</v>
      </c>
      <c r="L121" t="n">
        <v>0</v>
      </c>
      <c r="M121" t="n">
        <v>0</v>
      </c>
      <c r="N121" t="n">
        <v>0</v>
      </c>
      <c r="O121" t="n">
        <v>0</v>
      </c>
      <c r="P121" t="n">
        <v>0</v>
      </c>
      <c r="Q121" t="n">
        <v>0</v>
      </c>
      <c r="R121" s="2" t="inlineStr"/>
    </row>
    <row r="122" ht="15" customHeight="1">
      <c r="A122" t="inlineStr">
        <is>
          <t>A 63685-2019</t>
        </is>
      </c>
      <c r="B122" s="1" t="n">
        <v>43788</v>
      </c>
      <c r="C122" s="1" t="n">
        <v>45363</v>
      </c>
      <c r="D122" t="inlineStr">
        <is>
          <t>VÄSTERNORRLANDS LÄN</t>
        </is>
      </c>
      <c r="E122" t="inlineStr">
        <is>
          <t>TIMRÅ</t>
        </is>
      </c>
      <c r="G122" t="n">
        <v>1.9</v>
      </c>
      <c r="H122" t="n">
        <v>0</v>
      </c>
      <c r="I122" t="n">
        <v>0</v>
      </c>
      <c r="J122" t="n">
        <v>0</v>
      </c>
      <c r="K122" t="n">
        <v>0</v>
      </c>
      <c r="L122" t="n">
        <v>0</v>
      </c>
      <c r="M122" t="n">
        <v>0</v>
      </c>
      <c r="N122" t="n">
        <v>0</v>
      </c>
      <c r="O122" t="n">
        <v>0</v>
      </c>
      <c r="P122" t="n">
        <v>0</v>
      </c>
      <c r="Q122" t="n">
        <v>0</v>
      </c>
      <c r="R122" s="2" t="inlineStr"/>
    </row>
    <row r="123" ht="15" customHeight="1">
      <c r="A123" t="inlineStr">
        <is>
          <t>A 63836-2019</t>
        </is>
      </c>
      <c r="B123" s="1" t="n">
        <v>43795</v>
      </c>
      <c r="C123" s="1" t="n">
        <v>45363</v>
      </c>
      <c r="D123" t="inlineStr">
        <is>
          <t>VÄSTERNORRLANDS LÄN</t>
        </is>
      </c>
      <c r="E123" t="inlineStr">
        <is>
          <t>TIMRÅ</t>
        </is>
      </c>
      <c r="F123" t="inlineStr">
        <is>
          <t>Kyrkan</t>
        </is>
      </c>
      <c r="G123" t="n">
        <v>4.9</v>
      </c>
      <c r="H123" t="n">
        <v>0</v>
      </c>
      <c r="I123" t="n">
        <v>0</v>
      </c>
      <c r="J123" t="n">
        <v>0</v>
      </c>
      <c r="K123" t="n">
        <v>0</v>
      </c>
      <c r="L123" t="n">
        <v>0</v>
      </c>
      <c r="M123" t="n">
        <v>0</v>
      </c>
      <c r="N123" t="n">
        <v>0</v>
      </c>
      <c r="O123" t="n">
        <v>0</v>
      </c>
      <c r="P123" t="n">
        <v>0</v>
      </c>
      <c r="Q123" t="n">
        <v>0</v>
      </c>
      <c r="R123" s="2" t="inlineStr"/>
    </row>
    <row r="124" ht="15" customHeight="1">
      <c r="A124" t="inlineStr">
        <is>
          <t>A 65954-2019</t>
        </is>
      </c>
      <c r="B124" s="1" t="n">
        <v>43801</v>
      </c>
      <c r="C124" s="1" t="n">
        <v>45363</v>
      </c>
      <c r="D124" t="inlineStr">
        <is>
          <t>VÄSTERNORRLANDS LÄN</t>
        </is>
      </c>
      <c r="E124" t="inlineStr">
        <is>
          <t>TIMRÅ</t>
        </is>
      </c>
      <c r="G124" t="n">
        <v>9.1</v>
      </c>
      <c r="H124" t="n">
        <v>0</v>
      </c>
      <c r="I124" t="n">
        <v>0</v>
      </c>
      <c r="J124" t="n">
        <v>0</v>
      </c>
      <c r="K124" t="n">
        <v>0</v>
      </c>
      <c r="L124" t="n">
        <v>0</v>
      </c>
      <c r="M124" t="n">
        <v>0</v>
      </c>
      <c r="N124" t="n">
        <v>0</v>
      </c>
      <c r="O124" t="n">
        <v>0</v>
      </c>
      <c r="P124" t="n">
        <v>0</v>
      </c>
      <c r="Q124" t="n">
        <v>0</v>
      </c>
      <c r="R124" s="2" t="inlineStr"/>
    </row>
    <row r="125" ht="15" customHeight="1">
      <c r="A125" t="inlineStr">
        <is>
          <t>A 65367-2019</t>
        </is>
      </c>
      <c r="B125" s="1" t="n">
        <v>43803</v>
      </c>
      <c r="C125" s="1" t="n">
        <v>45363</v>
      </c>
      <c r="D125" t="inlineStr">
        <is>
          <t>VÄSTERNORRLANDS LÄN</t>
        </is>
      </c>
      <c r="E125" t="inlineStr">
        <is>
          <t>TIMRÅ</t>
        </is>
      </c>
      <c r="G125" t="n">
        <v>1.7</v>
      </c>
      <c r="H125" t="n">
        <v>0</v>
      </c>
      <c r="I125" t="n">
        <v>0</v>
      </c>
      <c r="J125" t="n">
        <v>0</v>
      </c>
      <c r="K125" t="n">
        <v>0</v>
      </c>
      <c r="L125" t="n">
        <v>0</v>
      </c>
      <c r="M125" t="n">
        <v>0</v>
      </c>
      <c r="N125" t="n">
        <v>0</v>
      </c>
      <c r="O125" t="n">
        <v>0</v>
      </c>
      <c r="P125" t="n">
        <v>0</v>
      </c>
      <c r="Q125" t="n">
        <v>0</v>
      </c>
      <c r="R125" s="2" t="inlineStr"/>
    </row>
    <row r="126" ht="15" customHeight="1">
      <c r="A126" t="inlineStr">
        <is>
          <t>A 66385-2019</t>
        </is>
      </c>
      <c r="B126" s="1" t="n">
        <v>43808</v>
      </c>
      <c r="C126" s="1" t="n">
        <v>45363</v>
      </c>
      <c r="D126" t="inlineStr">
        <is>
          <t>VÄSTERNORRLANDS LÄN</t>
        </is>
      </c>
      <c r="E126" t="inlineStr">
        <is>
          <t>TIMRÅ</t>
        </is>
      </c>
      <c r="G126" t="n">
        <v>1.5</v>
      </c>
      <c r="H126" t="n">
        <v>0</v>
      </c>
      <c r="I126" t="n">
        <v>0</v>
      </c>
      <c r="J126" t="n">
        <v>0</v>
      </c>
      <c r="K126" t="n">
        <v>0</v>
      </c>
      <c r="L126" t="n">
        <v>0</v>
      </c>
      <c r="M126" t="n">
        <v>0</v>
      </c>
      <c r="N126" t="n">
        <v>0</v>
      </c>
      <c r="O126" t="n">
        <v>0</v>
      </c>
      <c r="P126" t="n">
        <v>0</v>
      </c>
      <c r="Q126" t="n">
        <v>0</v>
      </c>
      <c r="R126" s="2" t="inlineStr"/>
    </row>
    <row r="127" ht="15" customHeight="1">
      <c r="A127" t="inlineStr">
        <is>
          <t>A 66415-2019</t>
        </is>
      </c>
      <c r="B127" s="1" t="n">
        <v>43808</v>
      </c>
      <c r="C127" s="1" t="n">
        <v>45363</v>
      </c>
      <c r="D127" t="inlineStr">
        <is>
          <t>VÄSTERNORRLANDS LÄN</t>
        </is>
      </c>
      <c r="E127" t="inlineStr">
        <is>
          <t>TIMRÅ</t>
        </is>
      </c>
      <c r="G127" t="n">
        <v>2.8</v>
      </c>
      <c r="H127" t="n">
        <v>0</v>
      </c>
      <c r="I127" t="n">
        <v>0</v>
      </c>
      <c r="J127" t="n">
        <v>0</v>
      </c>
      <c r="K127" t="n">
        <v>0</v>
      </c>
      <c r="L127" t="n">
        <v>0</v>
      </c>
      <c r="M127" t="n">
        <v>0</v>
      </c>
      <c r="N127" t="n">
        <v>0</v>
      </c>
      <c r="O127" t="n">
        <v>0</v>
      </c>
      <c r="P127" t="n">
        <v>0</v>
      </c>
      <c r="Q127" t="n">
        <v>0</v>
      </c>
      <c r="R127" s="2" t="inlineStr"/>
    </row>
    <row r="128" ht="15" customHeight="1">
      <c r="A128" t="inlineStr">
        <is>
          <t>A 66387-2019</t>
        </is>
      </c>
      <c r="B128" s="1" t="n">
        <v>43808</v>
      </c>
      <c r="C128" s="1" t="n">
        <v>45363</v>
      </c>
      <c r="D128" t="inlineStr">
        <is>
          <t>VÄSTERNORRLANDS LÄN</t>
        </is>
      </c>
      <c r="E128" t="inlineStr">
        <is>
          <t>TIMRÅ</t>
        </is>
      </c>
      <c r="G128" t="n">
        <v>0.5</v>
      </c>
      <c r="H128" t="n">
        <v>0</v>
      </c>
      <c r="I128" t="n">
        <v>0</v>
      </c>
      <c r="J128" t="n">
        <v>0</v>
      </c>
      <c r="K128" t="n">
        <v>0</v>
      </c>
      <c r="L128" t="n">
        <v>0</v>
      </c>
      <c r="M128" t="n">
        <v>0</v>
      </c>
      <c r="N128" t="n">
        <v>0</v>
      </c>
      <c r="O128" t="n">
        <v>0</v>
      </c>
      <c r="P128" t="n">
        <v>0</v>
      </c>
      <c r="Q128" t="n">
        <v>0</v>
      </c>
      <c r="R128" s="2" t="inlineStr"/>
    </row>
    <row r="129" ht="15" customHeight="1">
      <c r="A129" t="inlineStr">
        <is>
          <t>A 67825-2019</t>
        </is>
      </c>
      <c r="B129" s="1" t="n">
        <v>43815</v>
      </c>
      <c r="C129" s="1" t="n">
        <v>45363</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1298-2020</t>
        </is>
      </c>
      <c r="B130" s="1" t="n">
        <v>43842</v>
      </c>
      <c r="C130" s="1" t="n">
        <v>45363</v>
      </c>
      <c r="D130" t="inlineStr">
        <is>
          <t>VÄSTERNORRLANDS LÄN</t>
        </is>
      </c>
      <c r="E130" t="inlineStr">
        <is>
          <t>TIMRÅ</t>
        </is>
      </c>
      <c r="G130" t="n">
        <v>10.8</v>
      </c>
      <c r="H130" t="n">
        <v>0</v>
      </c>
      <c r="I130" t="n">
        <v>0</v>
      </c>
      <c r="J130" t="n">
        <v>0</v>
      </c>
      <c r="K130" t="n">
        <v>0</v>
      </c>
      <c r="L130" t="n">
        <v>0</v>
      </c>
      <c r="M130" t="n">
        <v>0</v>
      </c>
      <c r="N130" t="n">
        <v>0</v>
      </c>
      <c r="O130" t="n">
        <v>0</v>
      </c>
      <c r="P130" t="n">
        <v>0</v>
      </c>
      <c r="Q130" t="n">
        <v>0</v>
      </c>
      <c r="R130" s="2" t="inlineStr"/>
    </row>
    <row r="131" ht="15" customHeight="1">
      <c r="A131" t="inlineStr">
        <is>
          <t>A 3007-2020</t>
        </is>
      </c>
      <c r="B131" s="1" t="n">
        <v>43850</v>
      </c>
      <c r="C131" s="1" t="n">
        <v>45363</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3006-2020</t>
        </is>
      </c>
      <c r="B132" s="1" t="n">
        <v>43850</v>
      </c>
      <c r="C132" s="1" t="n">
        <v>45363</v>
      </c>
      <c r="D132" t="inlineStr">
        <is>
          <t>VÄSTERNORRLANDS LÄN</t>
        </is>
      </c>
      <c r="E132" t="inlineStr">
        <is>
          <t>TIMRÅ</t>
        </is>
      </c>
      <c r="G132" t="n">
        <v>1.3</v>
      </c>
      <c r="H132" t="n">
        <v>0</v>
      </c>
      <c r="I132" t="n">
        <v>0</v>
      </c>
      <c r="J132" t="n">
        <v>0</v>
      </c>
      <c r="K132" t="n">
        <v>0</v>
      </c>
      <c r="L132" t="n">
        <v>0</v>
      </c>
      <c r="M132" t="n">
        <v>0</v>
      </c>
      <c r="N132" t="n">
        <v>0</v>
      </c>
      <c r="O132" t="n">
        <v>0</v>
      </c>
      <c r="P132" t="n">
        <v>0</v>
      </c>
      <c r="Q132" t="n">
        <v>0</v>
      </c>
      <c r="R132" s="2" t="inlineStr"/>
    </row>
    <row r="133" ht="15" customHeight="1">
      <c r="A133" t="inlineStr">
        <is>
          <t>A 3010-2020</t>
        </is>
      </c>
      <c r="B133" s="1" t="n">
        <v>43850</v>
      </c>
      <c r="C133" s="1" t="n">
        <v>45363</v>
      </c>
      <c r="D133" t="inlineStr">
        <is>
          <t>VÄSTERNORRLANDS LÄN</t>
        </is>
      </c>
      <c r="E133" t="inlineStr">
        <is>
          <t>TIMRÅ</t>
        </is>
      </c>
      <c r="G133" t="n">
        <v>1.4</v>
      </c>
      <c r="H133" t="n">
        <v>0</v>
      </c>
      <c r="I133" t="n">
        <v>0</v>
      </c>
      <c r="J133" t="n">
        <v>0</v>
      </c>
      <c r="K133" t="n">
        <v>0</v>
      </c>
      <c r="L133" t="n">
        <v>0</v>
      </c>
      <c r="M133" t="n">
        <v>0</v>
      </c>
      <c r="N133" t="n">
        <v>0</v>
      </c>
      <c r="O133" t="n">
        <v>0</v>
      </c>
      <c r="P133" t="n">
        <v>0</v>
      </c>
      <c r="Q133" t="n">
        <v>0</v>
      </c>
      <c r="R133" s="2" t="inlineStr"/>
    </row>
    <row r="134" ht="15" customHeight="1">
      <c r="A134" t="inlineStr">
        <is>
          <t>A 3030-2020</t>
        </is>
      </c>
      <c r="B134" s="1" t="n">
        <v>43851</v>
      </c>
      <c r="C134" s="1" t="n">
        <v>45363</v>
      </c>
      <c r="D134" t="inlineStr">
        <is>
          <t>VÄSTERNORRLANDS LÄN</t>
        </is>
      </c>
      <c r="E134" t="inlineStr">
        <is>
          <t>TIMRÅ</t>
        </is>
      </c>
      <c r="F134" t="inlineStr">
        <is>
          <t>Kyrkan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3285-2020</t>
        </is>
      </c>
      <c r="B135" s="1" t="n">
        <v>43852</v>
      </c>
      <c r="C135" s="1" t="n">
        <v>45363</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3283-2020</t>
        </is>
      </c>
      <c r="B136" s="1" t="n">
        <v>43852</v>
      </c>
      <c r="C136" s="1" t="n">
        <v>45363</v>
      </c>
      <c r="D136" t="inlineStr">
        <is>
          <t>VÄSTERNORRLANDS LÄN</t>
        </is>
      </c>
      <c r="E136" t="inlineStr">
        <is>
          <t>TIMRÅ</t>
        </is>
      </c>
      <c r="G136" t="n">
        <v>3</v>
      </c>
      <c r="H136" t="n">
        <v>0</v>
      </c>
      <c r="I136" t="n">
        <v>0</v>
      </c>
      <c r="J136" t="n">
        <v>0</v>
      </c>
      <c r="K136" t="n">
        <v>0</v>
      </c>
      <c r="L136" t="n">
        <v>0</v>
      </c>
      <c r="M136" t="n">
        <v>0</v>
      </c>
      <c r="N136" t="n">
        <v>0</v>
      </c>
      <c r="O136" t="n">
        <v>0</v>
      </c>
      <c r="P136" t="n">
        <v>0</v>
      </c>
      <c r="Q136" t="n">
        <v>0</v>
      </c>
      <c r="R136" s="2" t="inlineStr"/>
    </row>
    <row r="137" ht="15" customHeight="1">
      <c r="A137" t="inlineStr">
        <is>
          <t>A 7134-2020</t>
        </is>
      </c>
      <c r="B137" s="1" t="n">
        <v>43868</v>
      </c>
      <c r="C137" s="1" t="n">
        <v>45363</v>
      </c>
      <c r="D137" t="inlineStr">
        <is>
          <t>VÄSTERNORRLANDS LÄN</t>
        </is>
      </c>
      <c r="E137" t="inlineStr">
        <is>
          <t>TIMRÅ</t>
        </is>
      </c>
      <c r="F137" t="inlineStr">
        <is>
          <t>SCA</t>
        </is>
      </c>
      <c r="G137" t="n">
        <v>25.8</v>
      </c>
      <c r="H137" t="n">
        <v>0</v>
      </c>
      <c r="I137" t="n">
        <v>0</v>
      </c>
      <c r="J137" t="n">
        <v>0</v>
      </c>
      <c r="K137" t="n">
        <v>0</v>
      </c>
      <c r="L137" t="n">
        <v>0</v>
      </c>
      <c r="M137" t="n">
        <v>0</v>
      </c>
      <c r="N137" t="n">
        <v>0</v>
      </c>
      <c r="O137" t="n">
        <v>0</v>
      </c>
      <c r="P137" t="n">
        <v>0</v>
      </c>
      <c r="Q137" t="n">
        <v>0</v>
      </c>
      <c r="R137" s="2" t="inlineStr"/>
    </row>
    <row r="138" ht="15" customHeight="1">
      <c r="A138" t="inlineStr">
        <is>
          <t>A 8279-2020</t>
        </is>
      </c>
      <c r="B138" s="1" t="n">
        <v>43874</v>
      </c>
      <c r="C138" s="1" t="n">
        <v>45363</v>
      </c>
      <c r="D138" t="inlineStr">
        <is>
          <t>VÄSTERNORRLANDS LÄN</t>
        </is>
      </c>
      <c r="E138" t="inlineStr">
        <is>
          <t>TIMRÅ</t>
        </is>
      </c>
      <c r="G138" t="n">
        <v>10.9</v>
      </c>
      <c r="H138" t="n">
        <v>0</v>
      </c>
      <c r="I138" t="n">
        <v>0</v>
      </c>
      <c r="J138" t="n">
        <v>0</v>
      </c>
      <c r="K138" t="n">
        <v>0</v>
      </c>
      <c r="L138" t="n">
        <v>0</v>
      </c>
      <c r="M138" t="n">
        <v>0</v>
      </c>
      <c r="N138" t="n">
        <v>0</v>
      </c>
      <c r="O138" t="n">
        <v>0</v>
      </c>
      <c r="P138" t="n">
        <v>0</v>
      </c>
      <c r="Q138" t="n">
        <v>0</v>
      </c>
      <c r="R138" s="2" t="inlineStr"/>
    </row>
    <row r="139" ht="15" customHeight="1">
      <c r="A139" t="inlineStr">
        <is>
          <t>A 9029-2020</t>
        </is>
      </c>
      <c r="B139" s="1" t="n">
        <v>43879</v>
      </c>
      <c r="C139" s="1" t="n">
        <v>45363</v>
      </c>
      <c r="D139" t="inlineStr">
        <is>
          <t>VÄSTERNORRLANDS LÄN</t>
        </is>
      </c>
      <c r="E139" t="inlineStr">
        <is>
          <t>TIMRÅ</t>
        </is>
      </c>
      <c r="G139" t="n">
        <v>6.3</v>
      </c>
      <c r="H139" t="n">
        <v>0</v>
      </c>
      <c r="I139" t="n">
        <v>0</v>
      </c>
      <c r="J139" t="n">
        <v>0</v>
      </c>
      <c r="K139" t="n">
        <v>0</v>
      </c>
      <c r="L139" t="n">
        <v>0</v>
      </c>
      <c r="M139" t="n">
        <v>0</v>
      </c>
      <c r="N139" t="n">
        <v>0</v>
      </c>
      <c r="O139" t="n">
        <v>0</v>
      </c>
      <c r="P139" t="n">
        <v>0</v>
      </c>
      <c r="Q139" t="n">
        <v>0</v>
      </c>
      <c r="R139" s="2" t="inlineStr"/>
    </row>
    <row r="140" ht="15" customHeight="1">
      <c r="A140" t="inlineStr">
        <is>
          <t>A 9097-2020</t>
        </is>
      </c>
      <c r="B140" s="1" t="n">
        <v>43879</v>
      </c>
      <c r="C140" s="1" t="n">
        <v>45363</v>
      </c>
      <c r="D140" t="inlineStr">
        <is>
          <t>VÄSTERNORRLANDS LÄN</t>
        </is>
      </c>
      <c r="E140" t="inlineStr">
        <is>
          <t>TIMRÅ</t>
        </is>
      </c>
      <c r="G140" t="n">
        <v>7.4</v>
      </c>
      <c r="H140" t="n">
        <v>0</v>
      </c>
      <c r="I140" t="n">
        <v>0</v>
      </c>
      <c r="J140" t="n">
        <v>0</v>
      </c>
      <c r="K140" t="n">
        <v>0</v>
      </c>
      <c r="L140" t="n">
        <v>0</v>
      </c>
      <c r="M140" t="n">
        <v>0</v>
      </c>
      <c r="N140" t="n">
        <v>0</v>
      </c>
      <c r="O140" t="n">
        <v>0</v>
      </c>
      <c r="P140" t="n">
        <v>0</v>
      </c>
      <c r="Q140" t="n">
        <v>0</v>
      </c>
      <c r="R140" s="2" t="inlineStr"/>
    </row>
    <row r="141" ht="15" customHeight="1">
      <c r="A141" t="inlineStr">
        <is>
          <t>A 10377-2020</t>
        </is>
      </c>
      <c r="B141" s="1" t="n">
        <v>43885</v>
      </c>
      <c r="C141" s="1" t="n">
        <v>45363</v>
      </c>
      <c r="D141" t="inlineStr">
        <is>
          <t>VÄSTERNORRLANDS LÄN</t>
        </is>
      </c>
      <c r="E141" t="inlineStr">
        <is>
          <t>TIMRÅ</t>
        </is>
      </c>
      <c r="G141" t="n">
        <v>1.6</v>
      </c>
      <c r="H141" t="n">
        <v>0</v>
      </c>
      <c r="I141" t="n">
        <v>0</v>
      </c>
      <c r="J141" t="n">
        <v>0</v>
      </c>
      <c r="K141" t="n">
        <v>0</v>
      </c>
      <c r="L141" t="n">
        <v>0</v>
      </c>
      <c r="M141" t="n">
        <v>0</v>
      </c>
      <c r="N141" t="n">
        <v>0</v>
      </c>
      <c r="O141" t="n">
        <v>0</v>
      </c>
      <c r="P141" t="n">
        <v>0</v>
      </c>
      <c r="Q141" t="n">
        <v>0</v>
      </c>
      <c r="R141" s="2" t="inlineStr"/>
    </row>
    <row r="142" ht="15" customHeight="1">
      <c r="A142" t="inlineStr">
        <is>
          <t>A 13782-2020</t>
        </is>
      </c>
      <c r="B142" s="1" t="n">
        <v>43903</v>
      </c>
      <c r="C142" s="1" t="n">
        <v>45363</v>
      </c>
      <c r="D142" t="inlineStr">
        <is>
          <t>VÄSTERNORRLANDS LÄN</t>
        </is>
      </c>
      <c r="E142" t="inlineStr">
        <is>
          <t>TIMRÅ</t>
        </is>
      </c>
      <c r="G142" t="n">
        <v>4.1</v>
      </c>
      <c r="H142" t="n">
        <v>0</v>
      </c>
      <c r="I142" t="n">
        <v>0</v>
      </c>
      <c r="J142" t="n">
        <v>0</v>
      </c>
      <c r="K142" t="n">
        <v>0</v>
      </c>
      <c r="L142" t="n">
        <v>0</v>
      </c>
      <c r="M142" t="n">
        <v>0</v>
      </c>
      <c r="N142" t="n">
        <v>0</v>
      </c>
      <c r="O142" t="n">
        <v>0</v>
      </c>
      <c r="P142" t="n">
        <v>0</v>
      </c>
      <c r="Q142" t="n">
        <v>0</v>
      </c>
      <c r="R142" s="2" t="inlineStr"/>
    </row>
    <row r="143" ht="15" customHeight="1">
      <c r="A143" t="inlineStr">
        <is>
          <t>A 15631-2020</t>
        </is>
      </c>
      <c r="B143" s="1" t="n">
        <v>43914</v>
      </c>
      <c r="C143" s="1" t="n">
        <v>45363</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17822-2020</t>
        </is>
      </c>
      <c r="B144" s="1" t="n">
        <v>43924</v>
      </c>
      <c r="C144" s="1" t="n">
        <v>45363</v>
      </c>
      <c r="D144" t="inlineStr">
        <is>
          <t>VÄSTERNORRLANDS LÄN</t>
        </is>
      </c>
      <c r="E144" t="inlineStr">
        <is>
          <t>TIMRÅ</t>
        </is>
      </c>
      <c r="G144" t="n">
        <v>0.2</v>
      </c>
      <c r="H144" t="n">
        <v>0</v>
      </c>
      <c r="I144" t="n">
        <v>0</v>
      </c>
      <c r="J144" t="n">
        <v>0</v>
      </c>
      <c r="K144" t="n">
        <v>0</v>
      </c>
      <c r="L144" t="n">
        <v>0</v>
      </c>
      <c r="M144" t="n">
        <v>0</v>
      </c>
      <c r="N144" t="n">
        <v>0</v>
      </c>
      <c r="O144" t="n">
        <v>0</v>
      </c>
      <c r="P144" t="n">
        <v>0</v>
      </c>
      <c r="Q144" t="n">
        <v>0</v>
      </c>
      <c r="R144" s="2" t="inlineStr"/>
    </row>
    <row r="145" ht="15" customHeight="1">
      <c r="A145" t="inlineStr">
        <is>
          <t>A 18107-2020</t>
        </is>
      </c>
      <c r="B145" s="1" t="n">
        <v>43927</v>
      </c>
      <c r="C145" s="1" t="n">
        <v>45363</v>
      </c>
      <c r="D145" t="inlineStr">
        <is>
          <t>VÄSTERNORRLANDS LÄN</t>
        </is>
      </c>
      <c r="E145" t="inlineStr">
        <is>
          <t>TIMRÅ</t>
        </is>
      </c>
      <c r="G145" t="n">
        <v>0.9</v>
      </c>
      <c r="H145" t="n">
        <v>0</v>
      </c>
      <c r="I145" t="n">
        <v>0</v>
      </c>
      <c r="J145" t="n">
        <v>0</v>
      </c>
      <c r="K145" t="n">
        <v>0</v>
      </c>
      <c r="L145" t="n">
        <v>0</v>
      </c>
      <c r="M145" t="n">
        <v>0</v>
      </c>
      <c r="N145" t="n">
        <v>0</v>
      </c>
      <c r="O145" t="n">
        <v>0</v>
      </c>
      <c r="P145" t="n">
        <v>0</v>
      </c>
      <c r="Q145" t="n">
        <v>0</v>
      </c>
      <c r="R145" s="2" t="inlineStr"/>
    </row>
    <row r="146" ht="15" customHeight="1">
      <c r="A146" t="inlineStr">
        <is>
          <t>A 18211-2020</t>
        </is>
      </c>
      <c r="B146" s="1" t="n">
        <v>43927</v>
      </c>
      <c r="C146" s="1" t="n">
        <v>45363</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18208-2020</t>
        </is>
      </c>
      <c r="B147" s="1" t="n">
        <v>43927</v>
      </c>
      <c r="C147" s="1" t="n">
        <v>45363</v>
      </c>
      <c r="D147" t="inlineStr">
        <is>
          <t>VÄSTERNORRLANDS LÄN</t>
        </is>
      </c>
      <c r="E147" t="inlineStr">
        <is>
          <t>TIMRÅ</t>
        </is>
      </c>
      <c r="G147" t="n">
        <v>8.9</v>
      </c>
      <c r="H147" t="n">
        <v>0</v>
      </c>
      <c r="I147" t="n">
        <v>0</v>
      </c>
      <c r="J147" t="n">
        <v>0</v>
      </c>
      <c r="K147" t="n">
        <v>0</v>
      </c>
      <c r="L147" t="n">
        <v>0</v>
      </c>
      <c r="M147" t="n">
        <v>0</v>
      </c>
      <c r="N147" t="n">
        <v>0</v>
      </c>
      <c r="O147" t="n">
        <v>0</v>
      </c>
      <c r="P147" t="n">
        <v>0</v>
      </c>
      <c r="Q147" t="n">
        <v>0</v>
      </c>
      <c r="R147" s="2" t="inlineStr"/>
    </row>
    <row r="148" ht="15" customHeight="1">
      <c r="A148" t="inlineStr">
        <is>
          <t>A 19769-2020</t>
        </is>
      </c>
      <c r="B148" s="1" t="n">
        <v>43937</v>
      </c>
      <c r="C148" s="1" t="n">
        <v>45363</v>
      </c>
      <c r="D148" t="inlineStr">
        <is>
          <t>VÄSTERNORRLANDS LÄN</t>
        </is>
      </c>
      <c r="E148" t="inlineStr">
        <is>
          <t>TIMRÅ</t>
        </is>
      </c>
      <c r="G148" t="n">
        <v>2.1</v>
      </c>
      <c r="H148" t="n">
        <v>0</v>
      </c>
      <c r="I148" t="n">
        <v>0</v>
      </c>
      <c r="J148" t="n">
        <v>0</v>
      </c>
      <c r="K148" t="n">
        <v>0</v>
      </c>
      <c r="L148" t="n">
        <v>0</v>
      </c>
      <c r="M148" t="n">
        <v>0</v>
      </c>
      <c r="N148" t="n">
        <v>0</v>
      </c>
      <c r="O148" t="n">
        <v>0</v>
      </c>
      <c r="P148" t="n">
        <v>0</v>
      </c>
      <c r="Q148" t="n">
        <v>0</v>
      </c>
      <c r="R148" s="2" t="inlineStr"/>
    </row>
    <row r="149" ht="15" customHeight="1">
      <c r="A149" t="inlineStr">
        <is>
          <t>A 19792-2020</t>
        </is>
      </c>
      <c r="B149" s="1" t="n">
        <v>43937</v>
      </c>
      <c r="C149" s="1" t="n">
        <v>45363</v>
      </c>
      <c r="D149" t="inlineStr">
        <is>
          <t>VÄSTERNORRLANDS LÄN</t>
        </is>
      </c>
      <c r="E149" t="inlineStr">
        <is>
          <t>TIMRÅ</t>
        </is>
      </c>
      <c r="G149" t="n">
        <v>1.2</v>
      </c>
      <c r="H149" t="n">
        <v>0</v>
      </c>
      <c r="I149" t="n">
        <v>0</v>
      </c>
      <c r="J149" t="n">
        <v>0</v>
      </c>
      <c r="K149" t="n">
        <v>0</v>
      </c>
      <c r="L149" t="n">
        <v>0</v>
      </c>
      <c r="M149" t="n">
        <v>0</v>
      </c>
      <c r="N149" t="n">
        <v>0</v>
      </c>
      <c r="O149" t="n">
        <v>0</v>
      </c>
      <c r="P149" t="n">
        <v>0</v>
      </c>
      <c r="Q149" t="n">
        <v>0</v>
      </c>
      <c r="R149" s="2" t="inlineStr"/>
    </row>
    <row r="150" ht="15" customHeight="1">
      <c r="A150" t="inlineStr">
        <is>
          <t>A 19311-2020</t>
        </is>
      </c>
      <c r="B150" s="1" t="n">
        <v>43937</v>
      </c>
      <c r="C150" s="1" t="n">
        <v>45363</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19764-2020</t>
        </is>
      </c>
      <c r="B151" s="1" t="n">
        <v>43937</v>
      </c>
      <c r="C151" s="1" t="n">
        <v>45363</v>
      </c>
      <c r="D151" t="inlineStr">
        <is>
          <t>VÄSTERNORRLANDS LÄN</t>
        </is>
      </c>
      <c r="E151" t="inlineStr">
        <is>
          <t>TIMRÅ</t>
        </is>
      </c>
      <c r="G151" t="n">
        <v>3.1</v>
      </c>
      <c r="H151" t="n">
        <v>0</v>
      </c>
      <c r="I151" t="n">
        <v>0</v>
      </c>
      <c r="J151" t="n">
        <v>0</v>
      </c>
      <c r="K151" t="n">
        <v>0</v>
      </c>
      <c r="L151" t="n">
        <v>0</v>
      </c>
      <c r="M151" t="n">
        <v>0</v>
      </c>
      <c r="N151" t="n">
        <v>0</v>
      </c>
      <c r="O151" t="n">
        <v>0</v>
      </c>
      <c r="P151" t="n">
        <v>0</v>
      </c>
      <c r="Q151" t="n">
        <v>0</v>
      </c>
      <c r="R151" s="2" t="inlineStr"/>
    </row>
    <row r="152" ht="15" customHeight="1">
      <c r="A152" t="inlineStr">
        <is>
          <t>A 19785-2020</t>
        </is>
      </c>
      <c r="B152" s="1" t="n">
        <v>43937</v>
      </c>
      <c r="C152" s="1" t="n">
        <v>45363</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19796-2020</t>
        </is>
      </c>
      <c r="B153" s="1" t="n">
        <v>43937</v>
      </c>
      <c r="C153" s="1" t="n">
        <v>45363</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19809-2020</t>
        </is>
      </c>
      <c r="B154" s="1" t="n">
        <v>43937</v>
      </c>
      <c r="C154" s="1" t="n">
        <v>45363</v>
      </c>
      <c r="D154" t="inlineStr">
        <is>
          <t>VÄSTERNORRLANDS LÄN</t>
        </is>
      </c>
      <c r="E154" t="inlineStr">
        <is>
          <t>TIMRÅ</t>
        </is>
      </c>
      <c r="G154" t="n">
        <v>4.5</v>
      </c>
      <c r="H154" t="n">
        <v>0</v>
      </c>
      <c r="I154" t="n">
        <v>0</v>
      </c>
      <c r="J154" t="n">
        <v>0</v>
      </c>
      <c r="K154" t="n">
        <v>0</v>
      </c>
      <c r="L154" t="n">
        <v>0</v>
      </c>
      <c r="M154" t="n">
        <v>0</v>
      </c>
      <c r="N154" t="n">
        <v>0</v>
      </c>
      <c r="O154" t="n">
        <v>0</v>
      </c>
      <c r="P154" t="n">
        <v>0</v>
      </c>
      <c r="Q154" t="n">
        <v>0</v>
      </c>
      <c r="R154" s="2" t="inlineStr"/>
    </row>
    <row r="155" ht="15" customHeight="1">
      <c r="A155" t="inlineStr">
        <is>
          <t>A 19761-2020</t>
        </is>
      </c>
      <c r="B155" s="1" t="n">
        <v>43937</v>
      </c>
      <c r="C155" s="1" t="n">
        <v>45363</v>
      </c>
      <c r="D155" t="inlineStr">
        <is>
          <t>VÄSTERNORRLANDS LÄN</t>
        </is>
      </c>
      <c r="E155" t="inlineStr">
        <is>
          <t>TIMRÅ</t>
        </is>
      </c>
      <c r="G155" t="n">
        <v>0.4</v>
      </c>
      <c r="H155" t="n">
        <v>0</v>
      </c>
      <c r="I155" t="n">
        <v>0</v>
      </c>
      <c r="J155" t="n">
        <v>0</v>
      </c>
      <c r="K155" t="n">
        <v>0</v>
      </c>
      <c r="L155" t="n">
        <v>0</v>
      </c>
      <c r="M155" t="n">
        <v>0</v>
      </c>
      <c r="N155" t="n">
        <v>0</v>
      </c>
      <c r="O155" t="n">
        <v>0</v>
      </c>
      <c r="P155" t="n">
        <v>0</v>
      </c>
      <c r="Q155" t="n">
        <v>0</v>
      </c>
      <c r="R155" s="2" t="inlineStr"/>
    </row>
    <row r="156" ht="15" customHeight="1">
      <c r="A156" t="inlineStr">
        <is>
          <t>A 19774-2020</t>
        </is>
      </c>
      <c r="B156" s="1" t="n">
        <v>43937</v>
      </c>
      <c r="C156" s="1" t="n">
        <v>45363</v>
      </c>
      <c r="D156" t="inlineStr">
        <is>
          <t>VÄSTERNORRLANDS LÄN</t>
        </is>
      </c>
      <c r="E156" t="inlineStr">
        <is>
          <t>TIMRÅ</t>
        </is>
      </c>
      <c r="G156" t="n">
        <v>6.1</v>
      </c>
      <c r="H156" t="n">
        <v>0</v>
      </c>
      <c r="I156" t="n">
        <v>0</v>
      </c>
      <c r="J156" t="n">
        <v>0</v>
      </c>
      <c r="K156" t="n">
        <v>0</v>
      </c>
      <c r="L156" t="n">
        <v>0</v>
      </c>
      <c r="M156" t="n">
        <v>0</v>
      </c>
      <c r="N156" t="n">
        <v>0</v>
      </c>
      <c r="O156" t="n">
        <v>0</v>
      </c>
      <c r="P156" t="n">
        <v>0</v>
      </c>
      <c r="Q156" t="n">
        <v>0</v>
      </c>
      <c r="R156" s="2" t="inlineStr"/>
    </row>
    <row r="157" ht="15" customHeight="1">
      <c r="A157" t="inlineStr">
        <is>
          <t>A 19794-2020</t>
        </is>
      </c>
      <c r="B157" s="1" t="n">
        <v>43937</v>
      </c>
      <c r="C157" s="1" t="n">
        <v>45363</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19807-2020</t>
        </is>
      </c>
      <c r="B158" s="1" t="n">
        <v>43937</v>
      </c>
      <c r="C158" s="1" t="n">
        <v>45363</v>
      </c>
      <c r="D158" t="inlineStr">
        <is>
          <t>VÄSTERNORRLANDS LÄN</t>
        </is>
      </c>
      <c r="E158" t="inlineStr">
        <is>
          <t>TIMRÅ</t>
        </is>
      </c>
      <c r="G158" t="n">
        <v>3.4</v>
      </c>
      <c r="H158" t="n">
        <v>0</v>
      </c>
      <c r="I158" t="n">
        <v>0</v>
      </c>
      <c r="J158" t="n">
        <v>0</v>
      </c>
      <c r="K158" t="n">
        <v>0</v>
      </c>
      <c r="L158" t="n">
        <v>0</v>
      </c>
      <c r="M158" t="n">
        <v>0</v>
      </c>
      <c r="N158" t="n">
        <v>0</v>
      </c>
      <c r="O158" t="n">
        <v>0</v>
      </c>
      <c r="P158" t="n">
        <v>0</v>
      </c>
      <c r="Q158" t="n">
        <v>0</v>
      </c>
      <c r="R158" s="2" t="inlineStr"/>
    </row>
    <row r="159" ht="15" customHeight="1">
      <c r="A159" t="inlineStr">
        <is>
          <t>A 19765-2020</t>
        </is>
      </c>
      <c r="B159" s="1" t="n">
        <v>43937</v>
      </c>
      <c r="C159" s="1" t="n">
        <v>45363</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19789-2020</t>
        </is>
      </c>
      <c r="B160" s="1" t="n">
        <v>43937</v>
      </c>
      <c r="C160" s="1" t="n">
        <v>45363</v>
      </c>
      <c r="D160" t="inlineStr">
        <is>
          <t>VÄSTERNORRLANDS LÄN</t>
        </is>
      </c>
      <c r="E160" t="inlineStr">
        <is>
          <t>TIMRÅ</t>
        </is>
      </c>
      <c r="G160" t="n">
        <v>0.3</v>
      </c>
      <c r="H160" t="n">
        <v>0</v>
      </c>
      <c r="I160" t="n">
        <v>0</v>
      </c>
      <c r="J160" t="n">
        <v>0</v>
      </c>
      <c r="K160" t="n">
        <v>0</v>
      </c>
      <c r="L160" t="n">
        <v>0</v>
      </c>
      <c r="M160" t="n">
        <v>0</v>
      </c>
      <c r="N160" t="n">
        <v>0</v>
      </c>
      <c r="O160" t="n">
        <v>0</v>
      </c>
      <c r="P160" t="n">
        <v>0</v>
      </c>
      <c r="Q160" t="n">
        <v>0</v>
      </c>
      <c r="R160" s="2" t="inlineStr"/>
    </row>
    <row r="161" ht="15" customHeight="1">
      <c r="A161" t="inlineStr">
        <is>
          <t>A 21210-2020</t>
        </is>
      </c>
      <c r="B161" s="1" t="n">
        <v>43951</v>
      </c>
      <c r="C161" s="1" t="n">
        <v>45363</v>
      </c>
      <c r="D161" t="inlineStr">
        <is>
          <t>VÄSTERNORRLANDS LÄN</t>
        </is>
      </c>
      <c r="E161" t="inlineStr">
        <is>
          <t>TIMRÅ</t>
        </is>
      </c>
      <c r="G161" t="n">
        <v>1</v>
      </c>
      <c r="H161" t="n">
        <v>0</v>
      </c>
      <c r="I161" t="n">
        <v>0</v>
      </c>
      <c r="J161" t="n">
        <v>0</v>
      </c>
      <c r="K161" t="n">
        <v>0</v>
      </c>
      <c r="L161" t="n">
        <v>0</v>
      </c>
      <c r="M161" t="n">
        <v>0</v>
      </c>
      <c r="N161" t="n">
        <v>0</v>
      </c>
      <c r="O161" t="n">
        <v>0</v>
      </c>
      <c r="P161" t="n">
        <v>0</v>
      </c>
      <c r="Q161" t="n">
        <v>0</v>
      </c>
      <c r="R161" s="2" t="inlineStr"/>
    </row>
    <row r="162" ht="15" customHeight="1">
      <c r="A162" t="inlineStr">
        <is>
          <t>A 21874-2020</t>
        </is>
      </c>
      <c r="B162" s="1" t="n">
        <v>43955</v>
      </c>
      <c r="C162" s="1" t="n">
        <v>45363</v>
      </c>
      <c r="D162" t="inlineStr">
        <is>
          <t>VÄSTERNORRLANDS LÄN</t>
        </is>
      </c>
      <c r="E162" t="inlineStr">
        <is>
          <t>TIMRÅ</t>
        </is>
      </c>
      <c r="G162" t="n">
        <v>7.5</v>
      </c>
      <c r="H162" t="n">
        <v>0</v>
      </c>
      <c r="I162" t="n">
        <v>0</v>
      </c>
      <c r="J162" t="n">
        <v>0</v>
      </c>
      <c r="K162" t="n">
        <v>0</v>
      </c>
      <c r="L162" t="n">
        <v>0</v>
      </c>
      <c r="M162" t="n">
        <v>0</v>
      </c>
      <c r="N162" t="n">
        <v>0</v>
      </c>
      <c r="O162" t="n">
        <v>0</v>
      </c>
      <c r="P162" t="n">
        <v>0</v>
      </c>
      <c r="Q162" t="n">
        <v>0</v>
      </c>
      <c r="R162" s="2" t="inlineStr"/>
    </row>
    <row r="163" ht="15" customHeight="1">
      <c r="A163" t="inlineStr">
        <is>
          <t>A 21598-2020</t>
        </is>
      </c>
      <c r="B163" s="1" t="n">
        <v>43956</v>
      </c>
      <c r="C163" s="1" t="n">
        <v>45363</v>
      </c>
      <c r="D163" t="inlineStr">
        <is>
          <t>VÄSTERNORRLANDS LÄN</t>
        </is>
      </c>
      <c r="E163" t="inlineStr">
        <is>
          <t>TIMRÅ</t>
        </is>
      </c>
      <c r="G163" t="n">
        <v>5</v>
      </c>
      <c r="H163" t="n">
        <v>0</v>
      </c>
      <c r="I163" t="n">
        <v>0</v>
      </c>
      <c r="J163" t="n">
        <v>0</v>
      </c>
      <c r="K163" t="n">
        <v>0</v>
      </c>
      <c r="L163" t="n">
        <v>0</v>
      </c>
      <c r="M163" t="n">
        <v>0</v>
      </c>
      <c r="N163" t="n">
        <v>0</v>
      </c>
      <c r="O163" t="n">
        <v>0</v>
      </c>
      <c r="P163" t="n">
        <v>0</v>
      </c>
      <c r="Q163" t="n">
        <v>0</v>
      </c>
      <c r="R163" s="2" t="inlineStr"/>
    </row>
    <row r="164" ht="15" customHeight="1">
      <c r="A164" t="inlineStr">
        <is>
          <t>A 24263-2020</t>
        </is>
      </c>
      <c r="B164" s="1" t="n">
        <v>43971</v>
      </c>
      <c r="C164" s="1" t="n">
        <v>45363</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29475-2020</t>
        </is>
      </c>
      <c r="B165" s="1" t="n">
        <v>44004</v>
      </c>
      <c r="C165" s="1" t="n">
        <v>45363</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33966-2020</t>
        </is>
      </c>
      <c r="B166" s="1" t="n">
        <v>44028</v>
      </c>
      <c r="C166" s="1" t="n">
        <v>45363</v>
      </c>
      <c r="D166" t="inlineStr">
        <is>
          <t>VÄSTERNORRLANDS LÄN</t>
        </is>
      </c>
      <c r="E166" t="inlineStr">
        <is>
          <t>TIMRÅ</t>
        </is>
      </c>
      <c r="G166" t="n">
        <v>4.9</v>
      </c>
      <c r="H166" t="n">
        <v>0</v>
      </c>
      <c r="I166" t="n">
        <v>0</v>
      </c>
      <c r="J166" t="n">
        <v>0</v>
      </c>
      <c r="K166" t="n">
        <v>0</v>
      </c>
      <c r="L166" t="n">
        <v>0</v>
      </c>
      <c r="M166" t="n">
        <v>0</v>
      </c>
      <c r="N166" t="n">
        <v>0</v>
      </c>
      <c r="O166" t="n">
        <v>0</v>
      </c>
      <c r="P166" t="n">
        <v>0</v>
      </c>
      <c r="Q166" t="n">
        <v>0</v>
      </c>
      <c r="R166" s="2" t="inlineStr"/>
    </row>
    <row r="167" ht="15" customHeight="1">
      <c r="A167" t="inlineStr">
        <is>
          <t>A 35531-2020</t>
        </is>
      </c>
      <c r="B167" s="1" t="n">
        <v>44043</v>
      </c>
      <c r="C167" s="1" t="n">
        <v>45363</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40413-2020</t>
        </is>
      </c>
      <c r="B168" s="1" t="n">
        <v>44068</v>
      </c>
      <c r="C168" s="1" t="n">
        <v>45363</v>
      </c>
      <c r="D168" t="inlineStr">
        <is>
          <t>VÄSTERNORRLANDS LÄN</t>
        </is>
      </c>
      <c r="E168" t="inlineStr">
        <is>
          <t>TIMRÅ</t>
        </is>
      </c>
      <c r="G168" t="n">
        <v>2.5</v>
      </c>
      <c r="H168" t="n">
        <v>0</v>
      </c>
      <c r="I168" t="n">
        <v>0</v>
      </c>
      <c r="J168" t="n">
        <v>0</v>
      </c>
      <c r="K168" t="n">
        <v>0</v>
      </c>
      <c r="L168" t="n">
        <v>0</v>
      </c>
      <c r="M168" t="n">
        <v>0</v>
      </c>
      <c r="N168" t="n">
        <v>0</v>
      </c>
      <c r="O168" t="n">
        <v>0</v>
      </c>
      <c r="P168" t="n">
        <v>0</v>
      </c>
      <c r="Q168" t="n">
        <v>0</v>
      </c>
      <c r="R168" s="2" t="inlineStr"/>
    </row>
    <row r="169" ht="15" customHeight="1">
      <c r="A169" t="inlineStr">
        <is>
          <t>A 40410-2020</t>
        </is>
      </c>
      <c r="B169" s="1" t="n">
        <v>44068</v>
      </c>
      <c r="C169" s="1" t="n">
        <v>45363</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40737-2020</t>
        </is>
      </c>
      <c r="B170" s="1" t="n">
        <v>44069</v>
      </c>
      <c r="C170" s="1" t="n">
        <v>45363</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42443-2020</t>
        </is>
      </c>
      <c r="B171" s="1" t="n">
        <v>44074</v>
      </c>
      <c r="C171" s="1" t="n">
        <v>45363</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44503-2020</t>
        </is>
      </c>
      <c r="B172" s="1" t="n">
        <v>44084</v>
      </c>
      <c r="C172" s="1" t="n">
        <v>45363</v>
      </c>
      <c r="D172" t="inlineStr">
        <is>
          <t>VÄSTERNORRLANDS LÄN</t>
        </is>
      </c>
      <c r="E172" t="inlineStr">
        <is>
          <t>TIMRÅ</t>
        </is>
      </c>
      <c r="F172" t="inlineStr">
        <is>
          <t>SCA</t>
        </is>
      </c>
      <c r="G172" t="n">
        <v>7.4</v>
      </c>
      <c r="H172" t="n">
        <v>0</v>
      </c>
      <c r="I172" t="n">
        <v>0</v>
      </c>
      <c r="J172" t="n">
        <v>0</v>
      </c>
      <c r="K172" t="n">
        <v>0</v>
      </c>
      <c r="L172" t="n">
        <v>0</v>
      </c>
      <c r="M172" t="n">
        <v>0</v>
      </c>
      <c r="N172" t="n">
        <v>0</v>
      </c>
      <c r="O172" t="n">
        <v>0</v>
      </c>
      <c r="P172" t="n">
        <v>0</v>
      </c>
      <c r="Q172" t="n">
        <v>0</v>
      </c>
      <c r="R172" s="2" t="inlineStr"/>
    </row>
    <row r="173" ht="15" customHeight="1">
      <c r="A173" t="inlineStr">
        <is>
          <t>A 48574-2020</t>
        </is>
      </c>
      <c r="B173" s="1" t="n">
        <v>44103</v>
      </c>
      <c r="C173" s="1" t="n">
        <v>45363</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50162-2020</t>
        </is>
      </c>
      <c r="B174" s="1" t="n">
        <v>44104</v>
      </c>
      <c r="C174" s="1" t="n">
        <v>45363</v>
      </c>
      <c r="D174" t="inlineStr">
        <is>
          <t>VÄSTERNORRLANDS LÄN</t>
        </is>
      </c>
      <c r="E174" t="inlineStr">
        <is>
          <t>TIMRÅ</t>
        </is>
      </c>
      <c r="G174" t="n">
        <v>6</v>
      </c>
      <c r="H174" t="n">
        <v>0</v>
      </c>
      <c r="I174" t="n">
        <v>0</v>
      </c>
      <c r="J174" t="n">
        <v>0</v>
      </c>
      <c r="K174" t="n">
        <v>0</v>
      </c>
      <c r="L174" t="n">
        <v>0</v>
      </c>
      <c r="M174" t="n">
        <v>0</v>
      </c>
      <c r="N174" t="n">
        <v>0</v>
      </c>
      <c r="O174" t="n">
        <v>0</v>
      </c>
      <c r="P174" t="n">
        <v>0</v>
      </c>
      <c r="Q174" t="n">
        <v>0</v>
      </c>
      <c r="R174" s="2" t="inlineStr"/>
    </row>
    <row r="175" ht="15" customHeight="1">
      <c r="A175" t="inlineStr">
        <is>
          <t>A 51330-2020</t>
        </is>
      </c>
      <c r="B175" s="1" t="n">
        <v>44112</v>
      </c>
      <c r="C175" s="1" t="n">
        <v>45363</v>
      </c>
      <c r="D175" t="inlineStr">
        <is>
          <t>VÄSTERNORRLANDS LÄN</t>
        </is>
      </c>
      <c r="E175" t="inlineStr">
        <is>
          <t>TIMRÅ</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53254-2020</t>
        </is>
      </c>
      <c r="B176" s="1" t="n">
        <v>44123</v>
      </c>
      <c r="C176" s="1" t="n">
        <v>45363</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54946-2020</t>
        </is>
      </c>
      <c r="B177" s="1" t="n">
        <v>44129</v>
      </c>
      <c r="C177" s="1" t="n">
        <v>45363</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57007-2020</t>
        </is>
      </c>
      <c r="B178" s="1" t="n">
        <v>44137</v>
      </c>
      <c r="C178" s="1" t="n">
        <v>45363</v>
      </c>
      <c r="D178" t="inlineStr">
        <is>
          <t>VÄSTERNORRLANDS LÄN</t>
        </is>
      </c>
      <c r="E178" t="inlineStr">
        <is>
          <t>TIMRÅ</t>
        </is>
      </c>
      <c r="G178" t="n">
        <v>4.1</v>
      </c>
      <c r="H178" t="n">
        <v>0</v>
      </c>
      <c r="I178" t="n">
        <v>0</v>
      </c>
      <c r="J178" t="n">
        <v>0</v>
      </c>
      <c r="K178" t="n">
        <v>0</v>
      </c>
      <c r="L178" t="n">
        <v>0</v>
      </c>
      <c r="M178" t="n">
        <v>0</v>
      </c>
      <c r="N178" t="n">
        <v>0</v>
      </c>
      <c r="O178" t="n">
        <v>0</v>
      </c>
      <c r="P178" t="n">
        <v>0</v>
      </c>
      <c r="Q178" t="n">
        <v>0</v>
      </c>
      <c r="R178" s="2" t="inlineStr"/>
    </row>
    <row r="179" ht="15" customHeight="1">
      <c r="A179" t="inlineStr">
        <is>
          <t>A 61730-2020</t>
        </is>
      </c>
      <c r="B179" s="1" t="n">
        <v>44158</v>
      </c>
      <c r="C179" s="1" t="n">
        <v>45363</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63960-2020</t>
        </is>
      </c>
      <c r="B180" s="1" t="n">
        <v>44165</v>
      </c>
      <c r="C180" s="1" t="n">
        <v>45363</v>
      </c>
      <c r="D180" t="inlineStr">
        <is>
          <t>VÄSTERNORRLANDS LÄN</t>
        </is>
      </c>
      <c r="E180" t="inlineStr">
        <is>
          <t>TIMRÅ</t>
        </is>
      </c>
      <c r="G180" t="n">
        <v>3.5</v>
      </c>
      <c r="H180" t="n">
        <v>0</v>
      </c>
      <c r="I180" t="n">
        <v>0</v>
      </c>
      <c r="J180" t="n">
        <v>0</v>
      </c>
      <c r="K180" t="n">
        <v>0</v>
      </c>
      <c r="L180" t="n">
        <v>0</v>
      </c>
      <c r="M180" t="n">
        <v>0</v>
      </c>
      <c r="N180" t="n">
        <v>0</v>
      </c>
      <c r="O180" t="n">
        <v>0</v>
      </c>
      <c r="P180" t="n">
        <v>0</v>
      </c>
      <c r="Q180" t="n">
        <v>0</v>
      </c>
      <c r="R180" s="2" t="inlineStr"/>
    </row>
    <row r="181" ht="15" customHeight="1">
      <c r="A181" t="inlineStr">
        <is>
          <t>A 63927-2020</t>
        </is>
      </c>
      <c r="B181" s="1" t="n">
        <v>44166</v>
      </c>
      <c r="C181" s="1" t="n">
        <v>45363</v>
      </c>
      <c r="D181" t="inlineStr">
        <is>
          <t>VÄSTERNORRLANDS LÄN</t>
        </is>
      </c>
      <c r="E181" t="inlineStr">
        <is>
          <t>TIMRÅ</t>
        </is>
      </c>
      <c r="G181" t="n">
        <v>1.6</v>
      </c>
      <c r="H181" t="n">
        <v>0</v>
      </c>
      <c r="I181" t="n">
        <v>0</v>
      </c>
      <c r="J181" t="n">
        <v>0</v>
      </c>
      <c r="K181" t="n">
        <v>0</v>
      </c>
      <c r="L181" t="n">
        <v>0</v>
      </c>
      <c r="M181" t="n">
        <v>0</v>
      </c>
      <c r="N181" t="n">
        <v>0</v>
      </c>
      <c r="O181" t="n">
        <v>0</v>
      </c>
      <c r="P181" t="n">
        <v>0</v>
      </c>
      <c r="Q181" t="n">
        <v>0</v>
      </c>
      <c r="R181" s="2" t="inlineStr"/>
    </row>
    <row r="182" ht="15" customHeight="1">
      <c r="A182" t="inlineStr">
        <is>
          <t>A 64571-2020</t>
        </is>
      </c>
      <c r="B182" s="1" t="n">
        <v>44166</v>
      </c>
      <c r="C182" s="1" t="n">
        <v>45363</v>
      </c>
      <c r="D182" t="inlineStr">
        <is>
          <t>VÄSTERNORRLANDS LÄN</t>
        </is>
      </c>
      <c r="E182" t="inlineStr">
        <is>
          <t>TIMRÅ</t>
        </is>
      </c>
      <c r="G182" t="n">
        <v>0.8</v>
      </c>
      <c r="H182" t="n">
        <v>0</v>
      </c>
      <c r="I182" t="n">
        <v>0</v>
      </c>
      <c r="J182" t="n">
        <v>0</v>
      </c>
      <c r="K182" t="n">
        <v>0</v>
      </c>
      <c r="L182" t="n">
        <v>0</v>
      </c>
      <c r="M182" t="n">
        <v>0</v>
      </c>
      <c r="N182" t="n">
        <v>0</v>
      </c>
      <c r="O182" t="n">
        <v>0</v>
      </c>
      <c r="P182" t="n">
        <v>0</v>
      </c>
      <c r="Q182" t="n">
        <v>0</v>
      </c>
      <c r="R182" s="2" t="inlineStr"/>
    </row>
    <row r="183" ht="15" customHeight="1">
      <c r="A183" t="inlineStr">
        <is>
          <t>A 65001-2020</t>
        </is>
      </c>
      <c r="B183" s="1" t="n">
        <v>44167</v>
      </c>
      <c r="C183" s="1" t="n">
        <v>45363</v>
      </c>
      <c r="D183" t="inlineStr">
        <is>
          <t>VÄSTERNORRLANDS LÄN</t>
        </is>
      </c>
      <c r="E183" t="inlineStr">
        <is>
          <t>TIMRÅ</t>
        </is>
      </c>
      <c r="G183" t="n">
        <v>3.3</v>
      </c>
      <c r="H183" t="n">
        <v>0</v>
      </c>
      <c r="I183" t="n">
        <v>0</v>
      </c>
      <c r="J183" t="n">
        <v>0</v>
      </c>
      <c r="K183" t="n">
        <v>0</v>
      </c>
      <c r="L183" t="n">
        <v>0</v>
      </c>
      <c r="M183" t="n">
        <v>0</v>
      </c>
      <c r="N183" t="n">
        <v>0</v>
      </c>
      <c r="O183" t="n">
        <v>0</v>
      </c>
      <c r="P183" t="n">
        <v>0</v>
      </c>
      <c r="Q183" t="n">
        <v>0</v>
      </c>
      <c r="R183" s="2" t="inlineStr"/>
    </row>
    <row r="184" ht="15" customHeight="1">
      <c r="A184" t="inlineStr">
        <is>
          <t>A 66837-2020</t>
        </is>
      </c>
      <c r="B184" s="1" t="n">
        <v>44179</v>
      </c>
      <c r="C184" s="1" t="n">
        <v>45363</v>
      </c>
      <c r="D184" t="inlineStr">
        <is>
          <t>VÄSTERNORRLANDS LÄN</t>
        </is>
      </c>
      <c r="E184" t="inlineStr">
        <is>
          <t>TIMRÅ</t>
        </is>
      </c>
      <c r="F184" t="inlineStr">
        <is>
          <t>Kommuner</t>
        </is>
      </c>
      <c r="G184" t="n">
        <v>1.9</v>
      </c>
      <c r="H184" t="n">
        <v>0</v>
      </c>
      <c r="I184" t="n">
        <v>0</v>
      </c>
      <c r="J184" t="n">
        <v>0</v>
      </c>
      <c r="K184" t="n">
        <v>0</v>
      </c>
      <c r="L184" t="n">
        <v>0</v>
      </c>
      <c r="M184" t="n">
        <v>0</v>
      </c>
      <c r="N184" t="n">
        <v>0</v>
      </c>
      <c r="O184" t="n">
        <v>0</v>
      </c>
      <c r="P184" t="n">
        <v>0</v>
      </c>
      <c r="Q184" t="n">
        <v>0</v>
      </c>
      <c r="R184" s="2" t="inlineStr"/>
    </row>
    <row r="185" ht="15" customHeight="1">
      <c r="A185" t="inlineStr">
        <is>
          <t>A 67610-2020</t>
        </is>
      </c>
      <c r="B185" s="1" t="n">
        <v>44181</v>
      </c>
      <c r="C185" s="1" t="n">
        <v>45363</v>
      </c>
      <c r="D185" t="inlineStr">
        <is>
          <t>VÄSTERNORRLANDS LÄN</t>
        </is>
      </c>
      <c r="E185" t="inlineStr">
        <is>
          <t>TIMRÅ</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69203-2020</t>
        </is>
      </c>
      <c r="B186" s="1" t="n">
        <v>44191</v>
      </c>
      <c r="C186" s="1" t="n">
        <v>45363</v>
      </c>
      <c r="D186" t="inlineStr">
        <is>
          <t>VÄSTERNORRLANDS LÄN</t>
        </is>
      </c>
      <c r="E186" t="inlineStr">
        <is>
          <t>TIMRÅ</t>
        </is>
      </c>
      <c r="F186" t="inlineStr">
        <is>
          <t>SCA</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731-2021</t>
        </is>
      </c>
      <c r="B187" s="1" t="n">
        <v>44203</v>
      </c>
      <c r="C187" s="1" t="n">
        <v>45363</v>
      </c>
      <c r="D187" t="inlineStr">
        <is>
          <t>VÄSTERNORRLANDS LÄN</t>
        </is>
      </c>
      <c r="E187" t="inlineStr">
        <is>
          <t>TIMRÅ</t>
        </is>
      </c>
      <c r="G187" t="n">
        <v>3.5</v>
      </c>
      <c r="H187" t="n">
        <v>0</v>
      </c>
      <c r="I187" t="n">
        <v>0</v>
      </c>
      <c r="J187" t="n">
        <v>0</v>
      </c>
      <c r="K187" t="n">
        <v>0</v>
      </c>
      <c r="L187" t="n">
        <v>0</v>
      </c>
      <c r="M187" t="n">
        <v>0</v>
      </c>
      <c r="N187" t="n">
        <v>0</v>
      </c>
      <c r="O187" t="n">
        <v>0</v>
      </c>
      <c r="P187" t="n">
        <v>0</v>
      </c>
      <c r="Q187" t="n">
        <v>0</v>
      </c>
      <c r="R187" s="2" t="inlineStr"/>
    </row>
    <row r="188" ht="15" customHeight="1">
      <c r="A188" t="inlineStr">
        <is>
          <t>A 1555-2021</t>
        </is>
      </c>
      <c r="B188" s="1" t="n">
        <v>44209</v>
      </c>
      <c r="C188" s="1" t="n">
        <v>45363</v>
      </c>
      <c r="D188" t="inlineStr">
        <is>
          <t>VÄSTERNORRLANDS LÄN</t>
        </is>
      </c>
      <c r="E188" t="inlineStr">
        <is>
          <t>TIMRÅ</t>
        </is>
      </c>
      <c r="G188" t="n">
        <v>2.9</v>
      </c>
      <c r="H188" t="n">
        <v>0</v>
      </c>
      <c r="I188" t="n">
        <v>0</v>
      </c>
      <c r="J188" t="n">
        <v>0</v>
      </c>
      <c r="K188" t="n">
        <v>0</v>
      </c>
      <c r="L188" t="n">
        <v>0</v>
      </c>
      <c r="M188" t="n">
        <v>0</v>
      </c>
      <c r="N188" t="n">
        <v>0</v>
      </c>
      <c r="O188" t="n">
        <v>0</v>
      </c>
      <c r="P188" t="n">
        <v>0</v>
      </c>
      <c r="Q188" t="n">
        <v>0</v>
      </c>
      <c r="R188" s="2" t="inlineStr"/>
    </row>
    <row r="189" ht="15" customHeight="1">
      <c r="A189" t="inlineStr">
        <is>
          <t>A 1559-2021</t>
        </is>
      </c>
      <c r="B189" s="1" t="n">
        <v>44209</v>
      </c>
      <c r="C189" s="1" t="n">
        <v>45363</v>
      </c>
      <c r="D189" t="inlineStr">
        <is>
          <t>VÄSTERNORRLANDS LÄN</t>
        </is>
      </c>
      <c r="E189" t="inlineStr">
        <is>
          <t>TIMRÅ</t>
        </is>
      </c>
      <c r="G189" t="n">
        <v>6.7</v>
      </c>
      <c r="H189" t="n">
        <v>0</v>
      </c>
      <c r="I189" t="n">
        <v>0</v>
      </c>
      <c r="J189" t="n">
        <v>0</v>
      </c>
      <c r="K189" t="n">
        <v>0</v>
      </c>
      <c r="L189" t="n">
        <v>0</v>
      </c>
      <c r="M189" t="n">
        <v>0</v>
      </c>
      <c r="N189" t="n">
        <v>0</v>
      </c>
      <c r="O189" t="n">
        <v>0</v>
      </c>
      <c r="P189" t="n">
        <v>0</v>
      </c>
      <c r="Q189" t="n">
        <v>0</v>
      </c>
      <c r="R189" s="2" t="inlineStr"/>
    </row>
    <row r="190" ht="15" customHeight="1">
      <c r="A190" t="inlineStr">
        <is>
          <t>A 2284-2021</t>
        </is>
      </c>
      <c r="B190" s="1" t="n">
        <v>44211</v>
      </c>
      <c r="C190" s="1" t="n">
        <v>45363</v>
      </c>
      <c r="D190" t="inlineStr">
        <is>
          <t>VÄSTERNORRLANDS LÄN</t>
        </is>
      </c>
      <c r="E190" t="inlineStr">
        <is>
          <t>TIMRÅ</t>
        </is>
      </c>
      <c r="G190" t="n">
        <v>2.2</v>
      </c>
      <c r="H190" t="n">
        <v>0</v>
      </c>
      <c r="I190" t="n">
        <v>0</v>
      </c>
      <c r="J190" t="n">
        <v>0</v>
      </c>
      <c r="K190" t="n">
        <v>0</v>
      </c>
      <c r="L190" t="n">
        <v>0</v>
      </c>
      <c r="M190" t="n">
        <v>0</v>
      </c>
      <c r="N190" t="n">
        <v>0</v>
      </c>
      <c r="O190" t="n">
        <v>0</v>
      </c>
      <c r="P190" t="n">
        <v>0</v>
      </c>
      <c r="Q190" t="n">
        <v>0</v>
      </c>
      <c r="R190" s="2" t="inlineStr"/>
    </row>
    <row r="191" ht="15" customHeight="1">
      <c r="A191" t="inlineStr">
        <is>
          <t>A 7367-2021</t>
        </is>
      </c>
      <c r="B191" s="1" t="n">
        <v>44237</v>
      </c>
      <c r="C191" s="1" t="n">
        <v>45363</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9472-2021</t>
        </is>
      </c>
      <c r="B192" s="1" t="n">
        <v>44250</v>
      </c>
      <c r="C192" s="1" t="n">
        <v>45363</v>
      </c>
      <c r="D192" t="inlineStr">
        <is>
          <t>VÄSTERNORRLANDS LÄN</t>
        </is>
      </c>
      <c r="E192" t="inlineStr">
        <is>
          <t>TIMRÅ</t>
        </is>
      </c>
      <c r="G192" t="n">
        <v>4</v>
      </c>
      <c r="H192" t="n">
        <v>0</v>
      </c>
      <c r="I192" t="n">
        <v>0</v>
      </c>
      <c r="J192" t="n">
        <v>0</v>
      </c>
      <c r="K192" t="n">
        <v>0</v>
      </c>
      <c r="L192" t="n">
        <v>0</v>
      </c>
      <c r="M192" t="n">
        <v>0</v>
      </c>
      <c r="N192" t="n">
        <v>0</v>
      </c>
      <c r="O192" t="n">
        <v>0</v>
      </c>
      <c r="P192" t="n">
        <v>0</v>
      </c>
      <c r="Q192" t="n">
        <v>0</v>
      </c>
      <c r="R192" s="2" t="inlineStr"/>
    </row>
    <row r="193" ht="15" customHeight="1">
      <c r="A193" t="inlineStr">
        <is>
          <t>A 9503-2021</t>
        </is>
      </c>
      <c r="B193" s="1" t="n">
        <v>44250</v>
      </c>
      <c r="C193" s="1" t="n">
        <v>45363</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9480-2021</t>
        </is>
      </c>
      <c r="B194" s="1" t="n">
        <v>44250</v>
      </c>
      <c r="C194" s="1" t="n">
        <v>45363</v>
      </c>
      <c r="D194" t="inlineStr">
        <is>
          <t>VÄSTERNORRLANDS LÄN</t>
        </is>
      </c>
      <c r="E194" t="inlineStr">
        <is>
          <t>TIMRÅ</t>
        </is>
      </c>
      <c r="G194" t="n">
        <v>2.7</v>
      </c>
      <c r="H194" t="n">
        <v>0</v>
      </c>
      <c r="I194" t="n">
        <v>0</v>
      </c>
      <c r="J194" t="n">
        <v>0</v>
      </c>
      <c r="K194" t="n">
        <v>0</v>
      </c>
      <c r="L194" t="n">
        <v>0</v>
      </c>
      <c r="M194" t="n">
        <v>0</v>
      </c>
      <c r="N194" t="n">
        <v>0</v>
      </c>
      <c r="O194" t="n">
        <v>0</v>
      </c>
      <c r="P194" t="n">
        <v>0</v>
      </c>
      <c r="Q194" t="n">
        <v>0</v>
      </c>
      <c r="R194" s="2" t="inlineStr"/>
    </row>
    <row r="195" ht="15" customHeight="1">
      <c r="A195" t="inlineStr">
        <is>
          <t>A 20487-2021</t>
        </is>
      </c>
      <c r="B195" s="1" t="n">
        <v>44315</v>
      </c>
      <c r="C195" s="1" t="n">
        <v>45363</v>
      </c>
      <c r="D195" t="inlineStr">
        <is>
          <t>VÄSTERNORRLANDS LÄN</t>
        </is>
      </c>
      <c r="E195" t="inlineStr">
        <is>
          <t>TIMRÅ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20679-2021</t>
        </is>
      </c>
      <c r="B196" s="1" t="n">
        <v>44316</v>
      </c>
      <c r="C196" s="1" t="n">
        <v>45363</v>
      </c>
      <c r="D196" t="inlineStr">
        <is>
          <t>VÄSTERNORRLANDS LÄN</t>
        </is>
      </c>
      <c r="E196" t="inlineStr">
        <is>
          <t>TIMRÅ</t>
        </is>
      </c>
      <c r="G196" t="n">
        <v>12.6</v>
      </c>
      <c r="H196" t="n">
        <v>0</v>
      </c>
      <c r="I196" t="n">
        <v>0</v>
      </c>
      <c r="J196" t="n">
        <v>0</v>
      </c>
      <c r="K196" t="n">
        <v>0</v>
      </c>
      <c r="L196" t="n">
        <v>0</v>
      </c>
      <c r="M196" t="n">
        <v>0</v>
      </c>
      <c r="N196" t="n">
        <v>0</v>
      </c>
      <c r="O196" t="n">
        <v>0</v>
      </c>
      <c r="P196" t="n">
        <v>0</v>
      </c>
      <c r="Q196" t="n">
        <v>0</v>
      </c>
      <c r="R196" s="2" t="inlineStr"/>
    </row>
    <row r="197" ht="15" customHeight="1">
      <c r="A197" t="inlineStr">
        <is>
          <t>A 20732-2021</t>
        </is>
      </c>
      <c r="B197" s="1" t="n">
        <v>44316</v>
      </c>
      <c r="C197" s="1" t="n">
        <v>45363</v>
      </c>
      <c r="D197" t="inlineStr">
        <is>
          <t>VÄSTERNORRLANDS LÄN</t>
        </is>
      </c>
      <c r="E197" t="inlineStr">
        <is>
          <t>TIMRÅ</t>
        </is>
      </c>
      <c r="G197" t="n">
        <v>3.8</v>
      </c>
      <c r="H197" t="n">
        <v>0</v>
      </c>
      <c r="I197" t="n">
        <v>0</v>
      </c>
      <c r="J197" t="n">
        <v>0</v>
      </c>
      <c r="K197" t="n">
        <v>0</v>
      </c>
      <c r="L197" t="n">
        <v>0</v>
      </c>
      <c r="M197" t="n">
        <v>0</v>
      </c>
      <c r="N197" t="n">
        <v>0</v>
      </c>
      <c r="O197" t="n">
        <v>0</v>
      </c>
      <c r="P197" t="n">
        <v>0</v>
      </c>
      <c r="Q197" t="n">
        <v>0</v>
      </c>
      <c r="R197" s="2" t="inlineStr"/>
    </row>
    <row r="198" ht="15" customHeight="1">
      <c r="A198" t="inlineStr">
        <is>
          <t>A 23611-2021</t>
        </is>
      </c>
      <c r="B198" s="1" t="n">
        <v>44334</v>
      </c>
      <c r="C198" s="1" t="n">
        <v>45363</v>
      </c>
      <c r="D198" t="inlineStr">
        <is>
          <t>VÄSTERNORRLANDS LÄN</t>
        </is>
      </c>
      <c r="E198" t="inlineStr">
        <is>
          <t>TIMRÅ</t>
        </is>
      </c>
      <c r="G198" t="n">
        <v>13.7</v>
      </c>
      <c r="H198" t="n">
        <v>0</v>
      </c>
      <c r="I198" t="n">
        <v>0</v>
      </c>
      <c r="J198" t="n">
        <v>0</v>
      </c>
      <c r="K198" t="n">
        <v>0</v>
      </c>
      <c r="L198" t="n">
        <v>0</v>
      </c>
      <c r="M198" t="n">
        <v>0</v>
      </c>
      <c r="N198" t="n">
        <v>0</v>
      </c>
      <c r="O198" t="n">
        <v>0</v>
      </c>
      <c r="P198" t="n">
        <v>0</v>
      </c>
      <c r="Q198" t="n">
        <v>0</v>
      </c>
      <c r="R198" s="2" t="inlineStr"/>
    </row>
    <row r="199" ht="15" customHeight="1">
      <c r="A199" t="inlineStr">
        <is>
          <t>A 24513-2021</t>
        </is>
      </c>
      <c r="B199" s="1" t="n">
        <v>44338</v>
      </c>
      <c r="C199" s="1" t="n">
        <v>45363</v>
      </c>
      <c r="D199" t="inlineStr">
        <is>
          <t>VÄSTERNORRLANDS LÄN</t>
        </is>
      </c>
      <c r="E199" t="inlineStr">
        <is>
          <t>TIMRÅ</t>
        </is>
      </c>
      <c r="G199" t="n">
        <v>2.6</v>
      </c>
      <c r="H199" t="n">
        <v>0</v>
      </c>
      <c r="I199" t="n">
        <v>0</v>
      </c>
      <c r="J199" t="n">
        <v>0</v>
      </c>
      <c r="K199" t="n">
        <v>0</v>
      </c>
      <c r="L199" t="n">
        <v>0</v>
      </c>
      <c r="M199" t="n">
        <v>0</v>
      </c>
      <c r="N199" t="n">
        <v>0</v>
      </c>
      <c r="O199" t="n">
        <v>0</v>
      </c>
      <c r="P199" t="n">
        <v>0</v>
      </c>
      <c r="Q199" t="n">
        <v>0</v>
      </c>
      <c r="R199" s="2" t="inlineStr"/>
    </row>
    <row r="200" ht="15" customHeight="1">
      <c r="A200" t="inlineStr">
        <is>
          <t>A 26588-2021</t>
        </is>
      </c>
      <c r="B200" s="1" t="n">
        <v>44348</v>
      </c>
      <c r="C200" s="1" t="n">
        <v>45363</v>
      </c>
      <c r="D200" t="inlineStr">
        <is>
          <t>VÄSTERNORRLANDS LÄN</t>
        </is>
      </c>
      <c r="E200" t="inlineStr">
        <is>
          <t>TIMRÅ</t>
        </is>
      </c>
      <c r="F200" t="inlineStr">
        <is>
          <t>Kyrkan</t>
        </is>
      </c>
      <c r="G200" t="n">
        <v>1.1</v>
      </c>
      <c r="H200" t="n">
        <v>0</v>
      </c>
      <c r="I200" t="n">
        <v>0</v>
      </c>
      <c r="J200" t="n">
        <v>0</v>
      </c>
      <c r="K200" t="n">
        <v>0</v>
      </c>
      <c r="L200" t="n">
        <v>0</v>
      </c>
      <c r="M200" t="n">
        <v>0</v>
      </c>
      <c r="N200" t="n">
        <v>0</v>
      </c>
      <c r="O200" t="n">
        <v>0</v>
      </c>
      <c r="P200" t="n">
        <v>0</v>
      </c>
      <c r="Q200" t="n">
        <v>0</v>
      </c>
      <c r="R200" s="2" t="inlineStr"/>
    </row>
    <row r="201" ht="15" customHeight="1">
      <c r="A201" t="inlineStr">
        <is>
          <t>A 26921-2021</t>
        </is>
      </c>
      <c r="B201" s="1" t="n">
        <v>44349</v>
      </c>
      <c r="C201" s="1" t="n">
        <v>45363</v>
      </c>
      <c r="D201" t="inlineStr">
        <is>
          <t>VÄSTERNORRLANDS LÄN</t>
        </is>
      </c>
      <c r="E201" t="inlineStr">
        <is>
          <t>TIMRÅ</t>
        </is>
      </c>
      <c r="G201" t="n">
        <v>6.6</v>
      </c>
      <c r="H201" t="n">
        <v>0</v>
      </c>
      <c r="I201" t="n">
        <v>0</v>
      </c>
      <c r="J201" t="n">
        <v>0</v>
      </c>
      <c r="K201" t="n">
        <v>0</v>
      </c>
      <c r="L201" t="n">
        <v>0</v>
      </c>
      <c r="M201" t="n">
        <v>0</v>
      </c>
      <c r="N201" t="n">
        <v>0</v>
      </c>
      <c r="O201" t="n">
        <v>0</v>
      </c>
      <c r="P201" t="n">
        <v>0</v>
      </c>
      <c r="Q201" t="n">
        <v>0</v>
      </c>
      <c r="R201" s="2" t="inlineStr"/>
    </row>
    <row r="202" ht="15" customHeight="1">
      <c r="A202" t="inlineStr">
        <is>
          <t>A 26936-2021</t>
        </is>
      </c>
      <c r="B202" s="1" t="n">
        <v>44349</v>
      </c>
      <c r="C202" s="1" t="n">
        <v>45363</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27243-2021</t>
        </is>
      </c>
      <c r="B203" s="1" t="n">
        <v>44350</v>
      </c>
      <c r="C203" s="1" t="n">
        <v>45363</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28695-2021</t>
        </is>
      </c>
      <c r="B204" s="1" t="n">
        <v>44357</v>
      </c>
      <c r="C204" s="1" t="n">
        <v>45363</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28706-2021</t>
        </is>
      </c>
      <c r="B205" s="1" t="n">
        <v>44357</v>
      </c>
      <c r="C205" s="1" t="n">
        <v>45363</v>
      </c>
      <c r="D205" t="inlineStr">
        <is>
          <t>VÄSTERNORRLANDS LÄN</t>
        </is>
      </c>
      <c r="E205" t="inlineStr">
        <is>
          <t>TIMRÅ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28650-2021</t>
        </is>
      </c>
      <c r="B206" s="1" t="n">
        <v>44357</v>
      </c>
      <c r="C206" s="1" t="n">
        <v>45363</v>
      </c>
      <c r="D206" t="inlineStr">
        <is>
          <t>VÄSTERNORRLANDS LÄN</t>
        </is>
      </c>
      <c r="E206" t="inlineStr">
        <is>
          <t>TIMRÅ</t>
        </is>
      </c>
      <c r="G206" t="n">
        <v>1.7</v>
      </c>
      <c r="H206" t="n">
        <v>0</v>
      </c>
      <c r="I206" t="n">
        <v>0</v>
      </c>
      <c r="J206" t="n">
        <v>0</v>
      </c>
      <c r="K206" t="n">
        <v>0</v>
      </c>
      <c r="L206" t="n">
        <v>0</v>
      </c>
      <c r="M206" t="n">
        <v>0</v>
      </c>
      <c r="N206" t="n">
        <v>0</v>
      </c>
      <c r="O206" t="n">
        <v>0</v>
      </c>
      <c r="P206" t="n">
        <v>0</v>
      </c>
      <c r="Q206" t="n">
        <v>0</v>
      </c>
      <c r="R206" s="2" t="inlineStr"/>
    </row>
    <row r="207" ht="15" customHeight="1">
      <c r="A207" t="inlineStr">
        <is>
          <t>A 28702-2021</t>
        </is>
      </c>
      <c r="B207" s="1" t="n">
        <v>44357</v>
      </c>
      <c r="C207" s="1" t="n">
        <v>45363</v>
      </c>
      <c r="D207" t="inlineStr">
        <is>
          <t>VÄSTERNORRLANDS LÄN</t>
        </is>
      </c>
      <c r="E207" t="inlineStr">
        <is>
          <t>TIMRÅ</t>
        </is>
      </c>
      <c r="G207" t="n">
        <v>3.6</v>
      </c>
      <c r="H207" t="n">
        <v>0</v>
      </c>
      <c r="I207" t="n">
        <v>0</v>
      </c>
      <c r="J207" t="n">
        <v>0</v>
      </c>
      <c r="K207" t="n">
        <v>0</v>
      </c>
      <c r="L207" t="n">
        <v>0</v>
      </c>
      <c r="M207" t="n">
        <v>0</v>
      </c>
      <c r="N207" t="n">
        <v>0</v>
      </c>
      <c r="O207" t="n">
        <v>0</v>
      </c>
      <c r="P207" t="n">
        <v>0</v>
      </c>
      <c r="Q207" t="n">
        <v>0</v>
      </c>
      <c r="R207" s="2" t="inlineStr"/>
    </row>
    <row r="208" ht="15" customHeight="1">
      <c r="A208" t="inlineStr">
        <is>
          <t>A 30098-2021</t>
        </is>
      </c>
      <c r="B208" s="1" t="n">
        <v>44363</v>
      </c>
      <c r="C208" s="1" t="n">
        <v>45363</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30091-2021</t>
        </is>
      </c>
      <c r="B209" s="1" t="n">
        <v>44363</v>
      </c>
      <c r="C209" s="1" t="n">
        <v>45363</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30591-2021</t>
        </is>
      </c>
      <c r="B210" s="1" t="n">
        <v>44364</v>
      </c>
      <c r="C210" s="1" t="n">
        <v>45363</v>
      </c>
      <c r="D210" t="inlineStr">
        <is>
          <t>VÄSTERNORRLANDS LÄN</t>
        </is>
      </c>
      <c r="E210" t="inlineStr">
        <is>
          <t>TIMRÅ</t>
        </is>
      </c>
      <c r="G210" t="n">
        <v>0.8</v>
      </c>
      <c r="H210" t="n">
        <v>0</v>
      </c>
      <c r="I210" t="n">
        <v>0</v>
      </c>
      <c r="J210" t="n">
        <v>0</v>
      </c>
      <c r="K210" t="n">
        <v>0</v>
      </c>
      <c r="L210" t="n">
        <v>0</v>
      </c>
      <c r="M210" t="n">
        <v>0</v>
      </c>
      <c r="N210" t="n">
        <v>0</v>
      </c>
      <c r="O210" t="n">
        <v>0</v>
      </c>
      <c r="P210" t="n">
        <v>0</v>
      </c>
      <c r="Q210" t="n">
        <v>0</v>
      </c>
      <c r="R210" s="2" t="inlineStr"/>
    </row>
    <row r="211" ht="15" customHeight="1">
      <c r="A211" t="inlineStr">
        <is>
          <t>A 32287-2021</t>
        </is>
      </c>
      <c r="B211" s="1" t="n">
        <v>44371</v>
      </c>
      <c r="C211" s="1" t="n">
        <v>45363</v>
      </c>
      <c r="D211" t="inlineStr">
        <is>
          <t>VÄSTERNORRLANDS LÄN</t>
        </is>
      </c>
      <c r="E211" t="inlineStr">
        <is>
          <t>TIMRÅ</t>
        </is>
      </c>
      <c r="F211" t="inlineStr">
        <is>
          <t>Kyrkan</t>
        </is>
      </c>
      <c r="G211" t="n">
        <v>5</v>
      </c>
      <c r="H211" t="n">
        <v>0</v>
      </c>
      <c r="I211" t="n">
        <v>0</v>
      </c>
      <c r="J211" t="n">
        <v>0</v>
      </c>
      <c r="K211" t="n">
        <v>0</v>
      </c>
      <c r="L211" t="n">
        <v>0</v>
      </c>
      <c r="M211" t="n">
        <v>0</v>
      </c>
      <c r="N211" t="n">
        <v>0</v>
      </c>
      <c r="O211" t="n">
        <v>0</v>
      </c>
      <c r="P211" t="n">
        <v>0</v>
      </c>
      <c r="Q211" t="n">
        <v>0</v>
      </c>
      <c r="R211" s="2" t="inlineStr"/>
    </row>
    <row r="212" ht="15" customHeight="1">
      <c r="A212" t="inlineStr">
        <is>
          <t>A 32210-2021</t>
        </is>
      </c>
      <c r="B212" s="1" t="n">
        <v>44371</v>
      </c>
      <c r="C212" s="1" t="n">
        <v>45363</v>
      </c>
      <c r="D212" t="inlineStr">
        <is>
          <t>VÄSTERNORRLANDS LÄN</t>
        </is>
      </c>
      <c r="E212" t="inlineStr">
        <is>
          <t>TIMRÅ</t>
        </is>
      </c>
      <c r="G212" t="n">
        <v>4.9</v>
      </c>
      <c r="H212" t="n">
        <v>0</v>
      </c>
      <c r="I212" t="n">
        <v>0</v>
      </c>
      <c r="J212" t="n">
        <v>0</v>
      </c>
      <c r="K212" t="n">
        <v>0</v>
      </c>
      <c r="L212" t="n">
        <v>0</v>
      </c>
      <c r="M212" t="n">
        <v>0</v>
      </c>
      <c r="N212" t="n">
        <v>0</v>
      </c>
      <c r="O212" t="n">
        <v>0</v>
      </c>
      <c r="P212" t="n">
        <v>0</v>
      </c>
      <c r="Q212" t="n">
        <v>0</v>
      </c>
      <c r="R212" s="2" t="inlineStr"/>
    </row>
    <row r="213" ht="15" customHeight="1">
      <c r="A213" t="inlineStr">
        <is>
          <t>A 32484-2021</t>
        </is>
      </c>
      <c r="B213" s="1" t="n">
        <v>44371</v>
      </c>
      <c r="C213" s="1" t="n">
        <v>45363</v>
      </c>
      <c r="D213" t="inlineStr">
        <is>
          <t>VÄSTERNORRLANDS LÄN</t>
        </is>
      </c>
      <c r="E213" t="inlineStr">
        <is>
          <t>TIMRÅ</t>
        </is>
      </c>
      <c r="F213" t="inlineStr">
        <is>
          <t>SCA</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32487-2021</t>
        </is>
      </c>
      <c r="B214" s="1" t="n">
        <v>44371</v>
      </c>
      <c r="C214" s="1" t="n">
        <v>45363</v>
      </c>
      <c r="D214" t="inlineStr">
        <is>
          <t>VÄSTERNORRLANDS LÄN</t>
        </is>
      </c>
      <c r="E214" t="inlineStr">
        <is>
          <t>TIMRÅ</t>
        </is>
      </c>
      <c r="F214" t="inlineStr">
        <is>
          <t>Kyrkan</t>
        </is>
      </c>
      <c r="G214" t="n">
        <v>21</v>
      </c>
      <c r="H214" t="n">
        <v>0</v>
      </c>
      <c r="I214" t="n">
        <v>0</v>
      </c>
      <c r="J214" t="n">
        <v>0</v>
      </c>
      <c r="K214" t="n">
        <v>0</v>
      </c>
      <c r="L214" t="n">
        <v>0</v>
      </c>
      <c r="M214" t="n">
        <v>0</v>
      </c>
      <c r="N214" t="n">
        <v>0</v>
      </c>
      <c r="O214" t="n">
        <v>0</v>
      </c>
      <c r="P214" t="n">
        <v>0</v>
      </c>
      <c r="Q214" t="n">
        <v>0</v>
      </c>
      <c r="R214" s="2" t="inlineStr"/>
    </row>
    <row r="215" ht="15" customHeight="1">
      <c r="A215" t="inlineStr">
        <is>
          <t>A 32483-2021</t>
        </is>
      </c>
      <c r="B215" s="1" t="n">
        <v>44371</v>
      </c>
      <c r="C215" s="1" t="n">
        <v>45363</v>
      </c>
      <c r="D215" t="inlineStr">
        <is>
          <t>VÄSTERNORRLANDS LÄN</t>
        </is>
      </c>
      <c r="E215" t="inlineStr">
        <is>
          <t>TIMRÅ</t>
        </is>
      </c>
      <c r="F215" t="inlineStr">
        <is>
          <t>Kyrkan</t>
        </is>
      </c>
      <c r="G215" t="n">
        <v>6.3</v>
      </c>
      <c r="H215" t="n">
        <v>0</v>
      </c>
      <c r="I215" t="n">
        <v>0</v>
      </c>
      <c r="J215" t="n">
        <v>0</v>
      </c>
      <c r="K215" t="n">
        <v>0</v>
      </c>
      <c r="L215" t="n">
        <v>0</v>
      </c>
      <c r="M215" t="n">
        <v>0</v>
      </c>
      <c r="N215" t="n">
        <v>0</v>
      </c>
      <c r="O215" t="n">
        <v>0</v>
      </c>
      <c r="P215" t="n">
        <v>0</v>
      </c>
      <c r="Q215" t="n">
        <v>0</v>
      </c>
      <c r="R215" s="2" t="inlineStr"/>
    </row>
    <row r="216" ht="15" customHeight="1">
      <c r="A216" t="inlineStr">
        <is>
          <t>A 34035-2021</t>
        </is>
      </c>
      <c r="B216" s="1" t="n">
        <v>44378</v>
      </c>
      <c r="C216" s="1" t="n">
        <v>45363</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34767-2021</t>
        </is>
      </c>
      <c r="B217" s="1" t="n">
        <v>44382</v>
      </c>
      <c r="C217" s="1" t="n">
        <v>45363</v>
      </c>
      <c r="D217" t="inlineStr">
        <is>
          <t>VÄSTERNORRLANDS LÄN</t>
        </is>
      </c>
      <c r="E217" t="inlineStr">
        <is>
          <t>TIMRÅ</t>
        </is>
      </c>
      <c r="G217" t="n">
        <v>2.4</v>
      </c>
      <c r="H217" t="n">
        <v>0</v>
      </c>
      <c r="I217" t="n">
        <v>0</v>
      </c>
      <c r="J217" t="n">
        <v>0</v>
      </c>
      <c r="K217" t="n">
        <v>0</v>
      </c>
      <c r="L217" t="n">
        <v>0</v>
      </c>
      <c r="M217" t="n">
        <v>0</v>
      </c>
      <c r="N217" t="n">
        <v>0</v>
      </c>
      <c r="O217" t="n">
        <v>0</v>
      </c>
      <c r="P217" t="n">
        <v>0</v>
      </c>
      <c r="Q217" t="n">
        <v>0</v>
      </c>
      <c r="R217" s="2" t="inlineStr"/>
    </row>
    <row r="218" ht="15" customHeight="1">
      <c r="A218" t="inlineStr">
        <is>
          <t>A 35262-2021</t>
        </is>
      </c>
      <c r="B218" s="1" t="n">
        <v>44384</v>
      </c>
      <c r="C218" s="1" t="n">
        <v>45363</v>
      </c>
      <c r="D218" t="inlineStr">
        <is>
          <t>VÄSTERNORRLANDS LÄN</t>
        </is>
      </c>
      <c r="E218" t="inlineStr">
        <is>
          <t>TIMRÅ</t>
        </is>
      </c>
      <c r="G218" t="n">
        <v>2.1</v>
      </c>
      <c r="H218" t="n">
        <v>0</v>
      </c>
      <c r="I218" t="n">
        <v>0</v>
      </c>
      <c r="J218" t="n">
        <v>0</v>
      </c>
      <c r="K218" t="n">
        <v>0</v>
      </c>
      <c r="L218" t="n">
        <v>0</v>
      </c>
      <c r="M218" t="n">
        <v>0</v>
      </c>
      <c r="N218" t="n">
        <v>0</v>
      </c>
      <c r="O218" t="n">
        <v>0</v>
      </c>
      <c r="P218" t="n">
        <v>0</v>
      </c>
      <c r="Q218" t="n">
        <v>0</v>
      </c>
      <c r="R218" s="2" t="inlineStr"/>
    </row>
    <row r="219" ht="15" customHeight="1">
      <c r="A219" t="inlineStr">
        <is>
          <t>A 35413-2021</t>
        </is>
      </c>
      <c r="B219" s="1" t="n">
        <v>44385</v>
      </c>
      <c r="C219" s="1" t="n">
        <v>45363</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35417-2021</t>
        </is>
      </c>
      <c r="B220" s="1" t="n">
        <v>44385</v>
      </c>
      <c r="C220" s="1" t="n">
        <v>45363</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36987-2021</t>
        </is>
      </c>
      <c r="B221" s="1" t="n">
        <v>44393</v>
      </c>
      <c r="C221" s="1" t="n">
        <v>45363</v>
      </c>
      <c r="D221" t="inlineStr">
        <is>
          <t>VÄSTERNORRLANDS LÄN</t>
        </is>
      </c>
      <c r="E221" t="inlineStr">
        <is>
          <t>TIMRÅ</t>
        </is>
      </c>
      <c r="G221" t="n">
        <v>1.6</v>
      </c>
      <c r="H221" t="n">
        <v>0</v>
      </c>
      <c r="I221" t="n">
        <v>0</v>
      </c>
      <c r="J221" t="n">
        <v>0</v>
      </c>
      <c r="K221" t="n">
        <v>0</v>
      </c>
      <c r="L221" t="n">
        <v>0</v>
      </c>
      <c r="M221" t="n">
        <v>0</v>
      </c>
      <c r="N221" t="n">
        <v>0</v>
      </c>
      <c r="O221" t="n">
        <v>0</v>
      </c>
      <c r="P221" t="n">
        <v>0</v>
      </c>
      <c r="Q221" t="n">
        <v>0</v>
      </c>
      <c r="R221" s="2" t="inlineStr"/>
    </row>
    <row r="222" ht="15" customHeight="1">
      <c r="A222" t="inlineStr">
        <is>
          <t>A 37165-2021</t>
        </is>
      </c>
      <c r="B222" s="1" t="n">
        <v>44396</v>
      </c>
      <c r="C222" s="1" t="n">
        <v>45363</v>
      </c>
      <c r="D222" t="inlineStr">
        <is>
          <t>VÄSTERNORRLANDS LÄN</t>
        </is>
      </c>
      <c r="E222" t="inlineStr">
        <is>
          <t>TIMRÅ</t>
        </is>
      </c>
      <c r="G222" t="n">
        <v>6.8</v>
      </c>
      <c r="H222" t="n">
        <v>0</v>
      </c>
      <c r="I222" t="n">
        <v>0</v>
      </c>
      <c r="J222" t="n">
        <v>0</v>
      </c>
      <c r="K222" t="n">
        <v>0</v>
      </c>
      <c r="L222" t="n">
        <v>0</v>
      </c>
      <c r="M222" t="n">
        <v>0</v>
      </c>
      <c r="N222" t="n">
        <v>0</v>
      </c>
      <c r="O222" t="n">
        <v>0</v>
      </c>
      <c r="P222" t="n">
        <v>0</v>
      </c>
      <c r="Q222" t="n">
        <v>0</v>
      </c>
      <c r="R222" s="2" t="inlineStr"/>
    </row>
    <row r="223" ht="15" customHeight="1">
      <c r="A223" t="inlineStr">
        <is>
          <t>A 39534-2021</t>
        </is>
      </c>
      <c r="B223" s="1" t="n">
        <v>44416</v>
      </c>
      <c r="C223" s="1" t="n">
        <v>45363</v>
      </c>
      <c r="D223" t="inlineStr">
        <is>
          <t>VÄSTERNORRLANDS LÄN</t>
        </is>
      </c>
      <c r="E223" t="inlineStr">
        <is>
          <t>TIMRÅ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39821-2021</t>
        </is>
      </c>
      <c r="B224" s="1" t="n">
        <v>44417</v>
      </c>
      <c r="C224" s="1" t="n">
        <v>45363</v>
      </c>
      <c r="D224" t="inlineStr">
        <is>
          <t>VÄSTERNORRLANDS LÄN</t>
        </is>
      </c>
      <c r="E224" t="inlineStr">
        <is>
          <t>TIMRÅ</t>
        </is>
      </c>
      <c r="G224" t="n">
        <v>0.4</v>
      </c>
      <c r="H224" t="n">
        <v>0</v>
      </c>
      <c r="I224" t="n">
        <v>0</v>
      </c>
      <c r="J224" t="n">
        <v>0</v>
      </c>
      <c r="K224" t="n">
        <v>0</v>
      </c>
      <c r="L224" t="n">
        <v>0</v>
      </c>
      <c r="M224" t="n">
        <v>0</v>
      </c>
      <c r="N224" t="n">
        <v>0</v>
      </c>
      <c r="O224" t="n">
        <v>0</v>
      </c>
      <c r="P224" t="n">
        <v>0</v>
      </c>
      <c r="Q224" t="n">
        <v>0</v>
      </c>
      <c r="R224" s="2" t="inlineStr"/>
    </row>
    <row r="225" ht="15" customHeight="1">
      <c r="A225" t="inlineStr">
        <is>
          <t>A 40519-2021</t>
        </is>
      </c>
      <c r="B225" s="1" t="n">
        <v>44420</v>
      </c>
      <c r="C225" s="1" t="n">
        <v>45363</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43848-2021</t>
        </is>
      </c>
      <c r="B226" s="1" t="n">
        <v>44434</v>
      </c>
      <c r="C226" s="1" t="n">
        <v>45363</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45441-2021</t>
        </is>
      </c>
      <c r="B227" s="1" t="n">
        <v>44440</v>
      </c>
      <c r="C227" s="1" t="n">
        <v>45363</v>
      </c>
      <c r="D227" t="inlineStr">
        <is>
          <t>VÄSTERNORRLANDS LÄN</t>
        </is>
      </c>
      <c r="E227" t="inlineStr">
        <is>
          <t>TIMRÅ</t>
        </is>
      </c>
      <c r="G227" t="n">
        <v>2</v>
      </c>
      <c r="H227" t="n">
        <v>0</v>
      </c>
      <c r="I227" t="n">
        <v>0</v>
      </c>
      <c r="J227" t="n">
        <v>0</v>
      </c>
      <c r="K227" t="n">
        <v>0</v>
      </c>
      <c r="L227" t="n">
        <v>0</v>
      </c>
      <c r="M227" t="n">
        <v>0</v>
      </c>
      <c r="N227" t="n">
        <v>0</v>
      </c>
      <c r="O227" t="n">
        <v>0</v>
      </c>
      <c r="P227" t="n">
        <v>0</v>
      </c>
      <c r="Q227" t="n">
        <v>0</v>
      </c>
      <c r="R227" s="2" t="inlineStr"/>
    </row>
    <row r="228" ht="15" customHeight="1">
      <c r="A228" t="inlineStr">
        <is>
          <t>A 47203-2021</t>
        </is>
      </c>
      <c r="B228" s="1" t="n">
        <v>44447</v>
      </c>
      <c r="C228" s="1" t="n">
        <v>45363</v>
      </c>
      <c r="D228" t="inlineStr">
        <is>
          <t>VÄSTERNORRLANDS LÄN</t>
        </is>
      </c>
      <c r="E228" t="inlineStr">
        <is>
          <t>TIMRÅ</t>
        </is>
      </c>
      <c r="G228" t="n">
        <v>1.3</v>
      </c>
      <c r="H228" t="n">
        <v>0</v>
      </c>
      <c r="I228" t="n">
        <v>0</v>
      </c>
      <c r="J228" t="n">
        <v>0</v>
      </c>
      <c r="K228" t="n">
        <v>0</v>
      </c>
      <c r="L228" t="n">
        <v>0</v>
      </c>
      <c r="M228" t="n">
        <v>0</v>
      </c>
      <c r="N228" t="n">
        <v>0</v>
      </c>
      <c r="O228" t="n">
        <v>0</v>
      </c>
      <c r="P228" t="n">
        <v>0</v>
      </c>
      <c r="Q228" t="n">
        <v>0</v>
      </c>
      <c r="R228" s="2" t="inlineStr"/>
    </row>
    <row r="229" ht="15" customHeight="1">
      <c r="A229" t="inlineStr">
        <is>
          <t>A 47569-2021</t>
        </is>
      </c>
      <c r="B229" s="1" t="n">
        <v>44447</v>
      </c>
      <c r="C229" s="1" t="n">
        <v>45363</v>
      </c>
      <c r="D229" t="inlineStr">
        <is>
          <t>VÄSTERNORRLANDS LÄN</t>
        </is>
      </c>
      <c r="E229" t="inlineStr">
        <is>
          <t>TIMRÅ</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47570-2021</t>
        </is>
      </c>
      <c r="B230" s="1" t="n">
        <v>44448</v>
      </c>
      <c r="C230" s="1" t="n">
        <v>45363</v>
      </c>
      <c r="D230" t="inlineStr">
        <is>
          <t>VÄSTERNORRLANDS LÄN</t>
        </is>
      </c>
      <c r="E230" t="inlineStr">
        <is>
          <t>TIMRÅ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49056-2021</t>
        </is>
      </c>
      <c r="B231" s="1" t="n">
        <v>44453</v>
      </c>
      <c r="C231" s="1" t="n">
        <v>45363</v>
      </c>
      <c r="D231" t="inlineStr">
        <is>
          <t>VÄSTERNORRLANDS LÄN</t>
        </is>
      </c>
      <c r="E231" t="inlineStr">
        <is>
          <t>TIMRÅ</t>
        </is>
      </c>
      <c r="G231" t="n">
        <v>3.4</v>
      </c>
      <c r="H231" t="n">
        <v>0</v>
      </c>
      <c r="I231" t="n">
        <v>0</v>
      </c>
      <c r="J231" t="n">
        <v>0</v>
      </c>
      <c r="K231" t="n">
        <v>0</v>
      </c>
      <c r="L231" t="n">
        <v>0</v>
      </c>
      <c r="M231" t="n">
        <v>0</v>
      </c>
      <c r="N231" t="n">
        <v>0</v>
      </c>
      <c r="O231" t="n">
        <v>0</v>
      </c>
      <c r="P231" t="n">
        <v>0</v>
      </c>
      <c r="Q231" t="n">
        <v>0</v>
      </c>
      <c r="R231" s="2" t="inlineStr"/>
    </row>
    <row r="232" ht="15" customHeight="1">
      <c r="A232" t="inlineStr">
        <is>
          <t>A 49486-2021</t>
        </is>
      </c>
      <c r="B232" s="1" t="n">
        <v>44455</v>
      </c>
      <c r="C232" s="1" t="n">
        <v>45363</v>
      </c>
      <c r="D232" t="inlineStr">
        <is>
          <t>VÄSTERNORRLANDS LÄN</t>
        </is>
      </c>
      <c r="E232" t="inlineStr">
        <is>
          <t>TIMRÅ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53305-2021</t>
        </is>
      </c>
      <c r="B233" s="1" t="n">
        <v>44467</v>
      </c>
      <c r="C233" s="1" t="n">
        <v>45363</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53699-2021</t>
        </is>
      </c>
      <c r="B234" s="1" t="n">
        <v>44469</v>
      </c>
      <c r="C234" s="1" t="n">
        <v>45363</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53703-2021</t>
        </is>
      </c>
      <c r="B235" s="1" t="n">
        <v>44469</v>
      </c>
      <c r="C235" s="1" t="n">
        <v>45363</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57553-2021</t>
        </is>
      </c>
      <c r="B236" s="1" t="n">
        <v>44484</v>
      </c>
      <c r="C236" s="1" t="n">
        <v>45363</v>
      </c>
      <c r="D236" t="inlineStr">
        <is>
          <t>VÄSTERNORRLANDS LÄN</t>
        </is>
      </c>
      <c r="E236" t="inlineStr">
        <is>
          <t>TIMRÅ</t>
        </is>
      </c>
      <c r="F236" t="inlineStr">
        <is>
          <t>SCA</t>
        </is>
      </c>
      <c r="G236" t="n">
        <v>17.9</v>
      </c>
      <c r="H236" t="n">
        <v>0</v>
      </c>
      <c r="I236" t="n">
        <v>0</v>
      </c>
      <c r="J236" t="n">
        <v>0</v>
      </c>
      <c r="K236" t="n">
        <v>0</v>
      </c>
      <c r="L236" t="n">
        <v>0</v>
      </c>
      <c r="M236" t="n">
        <v>0</v>
      </c>
      <c r="N236" t="n">
        <v>0</v>
      </c>
      <c r="O236" t="n">
        <v>0</v>
      </c>
      <c r="P236" t="n">
        <v>0</v>
      </c>
      <c r="Q236" t="n">
        <v>0</v>
      </c>
      <c r="R236" s="2" t="inlineStr"/>
    </row>
    <row r="237" ht="15" customHeight="1">
      <c r="A237" t="inlineStr">
        <is>
          <t>A 59570-2021</t>
        </is>
      </c>
      <c r="B237" s="1" t="n">
        <v>44491</v>
      </c>
      <c r="C237" s="1" t="n">
        <v>45363</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59964-2021</t>
        </is>
      </c>
      <c r="B238" s="1" t="n">
        <v>44494</v>
      </c>
      <c r="C238" s="1" t="n">
        <v>45363</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64433-2021</t>
        </is>
      </c>
      <c r="B239" s="1" t="n">
        <v>44511</v>
      </c>
      <c r="C239" s="1" t="n">
        <v>45363</v>
      </c>
      <c r="D239" t="inlineStr">
        <is>
          <t>VÄSTERNORRLANDS LÄN</t>
        </is>
      </c>
      <c r="E239" t="inlineStr">
        <is>
          <t>TIMRÅ</t>
        </is>
      </c>
      <c r="G239" t="n">
        <v>0.6</v>
      </c>
      <c r="H239" t="n">
        <v>0</v>
      </c>
      <c r="I239" t="n">
        <v>0</v>
      </c>
      <c r="J239" t="n">
        <v>0</v>
      </c>
      <c r="K239" t="n">
        <v>0</v>
      </c>
      <c r="L239" t="n">
        <v>0</v>
      </c>
      <c r="M239" t="n">
        <v>0</v>
      </c>
      <c r="N239" t="n">
        <v>0</v>
      </c>
      <c r="O239" t="n">
        <v>0</v>
      </c>
      <c r="P239" t="n">
        <v>0</v>
      </c>
      <c r="Q239" t="n">
        <v>0</v>
      </c>
      <c r="R239" s="2" t="inlineStr"/>
    </row>
    <row r="240" ht="15" customHeight="1">
      <c r="A240" t="inlineStr">
        <is>
          <t>A 66154-2021</t>
        </is>
      </c>
      <c r="B240" s="1" t="n">
        <v>44517</v>
      </c>
      <c r="C240" s="1" t="n">
        <v>45363</v>
      </c>
      <c r="D240" t="inlineStr">
        <is>
          <t>VÄSTERNORRLANDS LÄN</t>
        </is>
      </c>
      <c r="E240" t="inlineStr">
        <is>
          <t>TIMRÅ</t>
        </is>
      </c>
      <c r="G240" t="n">
        <v>5.6</v>
      </c>
      <c r="H240" t="n">
        <v>0</v>
      </c>
      <c r="I240" t="n">
        <v>0</v>
      </c>
      <c r="J240" t="n">
        <v>0</v>
      </c>
      <c r="K240" t="n">
        <v>0</v>
      </c>
      <c r="L240" t="n">
        <v>0</v>
      </c>
      <c r="M240" t="n">
        <v>0</v>
      </c>
      <c r="N240" t="n">
        <v>0</v>
      </c>
      <c r="O240" t="n">
        <v>0</v>
      </c>
      <c r="P240" t="n">
        <v>0</v>
      </c>
      <c r="Q240" t="n">
        <v>0</v>
      </c>
      <c r="R240" s="2" t="inlineStr"/>
    </row>
    <row r="241" ht="15" customHeight="1">
      <c r="A241" t="inlineStr">
        <is>
          <t>A 66409-2021</t>
        </is>
      </c>
      <c r="B241" s="1" t="n">
        <v>44518</v>
      </c>
      <c r="C241" s="1" t="n">
        <v>45363</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67065-2021</t>
        </is>
      </c>
      <c r="B242" s="1" t="n">
        <v>44522</v>
      </c>
      <c r="C242" s="1" t="n">
        <v>45363</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67063-2021</t>
        </is>
      </c>
      <c r="B243" s="1" t="n">
        <v>44522</v>
      </c>
      <c r="C243" s="1" t="n">
        <v>45363</v>
      </c>
      <c r="D243" t="inlineStr">
        <is>
          <t>VÄSTERNORRLANDS LÄN</t>
        </is>
      </c>
      <c r="E243" t="inlineStr">
        <is>
          <t>TIMRÅ</t>
        </is>
      </c>
      <c r="G243" t="n">
        <v>1.9</v>
      </c>
      <c r="H243" t="n">
        <v>0</v>
      </c>
      <c r="I243" t="n">
        <v>0</v>
      </c>
      <c r="J243" t="n">
        <v>0</v>
      </c>
      <c r="K243" t="n">
        <v>0</v>
      </c>
      <c r="L243" t="n">
        <v>0</v>
      </c>
      <c r="M243" t="n">
        <v>0</v>
      </c>
      <c r="N243" t="n">
        <v>0</v>
      </c>
      <c r="O243" t="n">
        <v>0</v>
      </c>
      <c r="P243" t="n">
        <v>0</v>
      </c>
      <c r="Q243" t="n">
        <v>0</v>
      </c>
      <c r="R243" s="2" t="inlineStr"/>
    </row>
    <row r="244" ht="15" customHeight="1">
      <c r="A244" t="inlineStr">
        <is>
          <t>A 67673-2021</t>
        </is>
      </c>
      <c r="B244" s="1" t="n">
        <v>44524</v>
      </c>
      <c r="C244" s="1" t="n">
        <v>45363</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68391-2021</t>
        </is>
      </c>
      <c r="B245" s="1" t="n">
        <v>44526</v>
      </c>
      <c r="C245" s="1" t="n">
        <v>45363</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68774-2021</t>
        </is>
      </c>
      <c r="B246" s="1" t="n">
        <v>44529</v>
      </c>
      <c r="C246" s="1" t="n">
        <v>45363</v>
      </c>
      <c r="D246" t="inlineStr">
        <is>
          <t>VÄSTERNORRLANDS LÄN</t>
        </is>
      </c>
      <c r="E246" t="inlineStr">
        <is>
          <t>TIMRÅ</t>
        </is>
      </c>
      <c r="G246" t="n">
        <v>0.5</v>
      </c>
      <c r="H246" t="n">
        <v>0</v>
      </c>
      <c r="I246" t="n">
        <v>0</v>
      </c>
      <c r="J246" t="n">
        <v>0</v>
      </c>
      <c r="K246" t="n">
        <v>0</v>
      </c>
      <c r="L246" t="n">
        <v>0</v>
      </c>
      <c r="M246" t="n">
        <v>0</v>
      </c>
      <c r="N246" t="n">
        <v>0</v>
      </c>
      <c r="O246" t="n">
        <v>0</v>
      </c>
      <c r="P246" t="n">
        <v>0</v>
      </c>
      <c r="Q246" t="n">
        <v>0</v>
      </c>
      <c r="R246" s="2" t="inlineStr"/>
    </row>
    <row r="247" ht="15" customHeight="1">
      <c r="A247" t="inlineStr">
        <is>
          <t>A 69274-2021</t>
        </is>
      </c>
      <c r="B247" s="1" t="n">
        <v>44530</v>
      </c>
      <c r="C247" s="1" t="n">
        <v>45363</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69266-2021</t>
        </is>
      </c>
      <c r="B248" s="1" t="n">
        <v>44530</v>
      </c>
      <c r="C248" s="1" t="n">
        <v>45363</v>
      </c>
      <c r="D248" t="inlineStr">
        <is>
          <t>VÄSTERNORRLANDS LÄN</t>
        </is>
      </c>
      <c r="E248" t="inlineStr">
        <is>
          <t>TIMRÅ</t>
        </is>
      </c>
      <c r="G248" t="n">
        <v>0.3</v>
      </c>
      <c r="H248" t="n">
        <v>0</v>
      </c>
      <c r="I248" t="n">
        <v>0</v>
      </c>
      <c r="J248" t="n">
        <v>0</v>
      </c>
      <c r="K248" t="n">
        <v>0</v>
      </c>
      <c r="L248" t="n">
        <v>0</v>
      </c>
      <c r="M248" t="n">
        <v>0</v>
      </c>
      <c r="N248" t="n">
        <v>0</v>
      </c>
      <c r="O248" t="n">
        <v>0</v>
      </c>
      <c r="P248" t="n">
        <v>0</v>
      </c>
      <c r="Q248" t="n">
        <v>0</v>
      </c>
      <c r="R248" s="2" t="inlineStr"/>
    </row>
    <row r="249" ht="15" customHeight="1">
      <c r="A249" t="inlineStr">
        <is>
          <t>A 69278-2021</t>
        </is>
      </c>
      <c r="B249" s="1" t="n">
        <v>44531</v>
      </c>
      <c r="C249" s="1" t="n">
        <v>45363</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69663-2021</t>
        </is>
      </c>
      <c r="B250" s="1" t="n">
        <v>44531</v>
      </c>
      <c r="C250" s="1" t="n">
        <v>45363</v>
      </c>
      <c r="D250" t="inlineStr">
        <is>
          <t>VÄSTERNORRLANDS LÄN</t>
        </is>
      </c>
      <c r="E250" t="inlineStr">
        <is>
          <t>TIMRÅ</t>
        </is>
      </c>
      <c r="G250" t="n">
        <v>1.2</v>
      </c>
      <c r="H250" t="n">
        <v>0</v>
      </c>
      <c r="I250" t="n">
        <v>0</v>
      </c>
      <c r="J250" t="n">
        <v>0</v>
      </c>
      <c r="K250" t="n">
        <v>0</v>
      </c>
      <c r="L250" t="n">
        <v>0</v>
      </c>
      <c r="M250" t="n">
        <v>0</v>
      </c>
      <c r="N250" t="n">
        <v>0</v>
      </c>
      <c r="O250" t="n">
        <v>0</v>
      </c>
      <c r="P250" t="n">
        <v>0</v>
      </c>
      <c r="Q250" t="n">
        <v>0</v>
      </c>
      <c r="R250" s="2" t="inlineStr"/>
    </row>
    <row r="251" ht="15" customHeight="1">
      <c r="A251" t="inlineStr">
        <is>
          <t>A 70507-2021</t>
        </is>
      </c>
      <c r="B251" s="1" t="n">
        <v>44536</v>
      </c>
      <c r="C251" s="1" t="n">
        <v>45363</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70906-2021</t>
        </is>
      </c>
      <c r="B252" s="1" t="n">
        <v>44537</v>
      </c>
      <c r="C252" s="1" t="n">
        <v>45363</v>
      </c>
      <c r="D252" t="inlineStr">
        <is>
          <t>VÄSTERNORRLANDS LÄN</t>
        </is>
      </c>
      <c r="E252" t="inlineStr">
        <is>
          <t>TIMRÅ</t>
        </is>
      </c>
      <c r="G252" t="n">
        <v>3.9</v>
      </c>
      <c r="H252" t="n">
        <v>0</v>
      </c>
      <c r="I252" t="n">
        <v>0</v>
      </c>
      <c r="J252" t="n">
        <v>0</v>
      </c>
      <c r="K252" t="n">
        <v>0</v>
      </c>
      <c r="L252" t="n">
        <v>0</v>
      </c>
      <c r="M252" t="n">
        <v>0</v>
      </c>
      <c r="N252" t="n">
        <v>0</v>
      </c>
      <c r="O252" t="n">
        <v>0</v>
      </c>
      <c r="P252" t="n">
        <v>0</v>
      </c>
      <c r="Q252" t="n">
        <v>0</v>
      </c>
      <c r="R252" s="2" t="inlineStr"/>
    </row>
    <row r="253" ht="15" customHeight="1">
      <c r="A253" t="inlineStr">
        <is>
          <t>A 71213-2021</t>
        </is>
      </c>
      <c r="B253" s="1" t="n">
        <v>44539</v>
      </c>
      <c r="C253" s="1" t="n">
        <v>45363</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73225-2021</t>
        </is>
      </c>
      <c r="B254" s="1" t="n">
        <v>44550</v>
      </c>
      <c r="C254" s="1" t="n">
        <v>45363</v>
      </c>
      <c r="D254" t="inlineStr">
        <is>
          <t>VÄSTERNORRLANDS LÄN</t>
        </is>
      </c>
      <c r="E254" t="inlineStr">
        <is>
          <t>TIMRÅ</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45363</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74043-2021</t>
        </is>
      </c>
      <c r="B256" s="1" t="n">
        <v>44557</v>
      </c>
      <c r="C256" s="1" t="n">
        <v>45363</v>
      </c>
      <c r="D256" t="inlineStr">
        <is>
          <t>VÄSTERNORRLANDS LÄN</t>
        </is>
      </c>
      <c r="E256" t="inlineStr">
        <is>
          <t>TIMRÅ</t>
        </is>
      </c>
      <c r="G256" t="n">
        <v>0.1</v>
      </c>
      <c r="H256" t="n">
        <v>0</v>
      </c>
      <c r="I256" t="n">
        <v>0</v>
      </c>
      <c r="J256" t="n">
        <v>0</v>
      </c>
      <c r="K256" t="n">
        <v>0</v>
      </c>
      <c r="L256" t="n">
        <v>0</v>
      </c>
      <c r="M256" t="n">
        <v>0</v>
      </c>
      <c r="N256" t="n">
        <v>0</v>
      </c>
      <c r="O256" t="n">
        <v>0</v>
      </c>
      <c r="P256" t="n">
        <v>0</v>
      </c>
      <c r="Q256" t="n">
        <v>0</v>
      </c>
      <c r="R256" s="2" t="inlineStr"/>
    </row>
    <row r="257" ht="15" customHeight="1">
      <c r="A257" t="inlineStr">
        <is>
          <t>A 74044-2021</t>
        </is>
      </c>
      <c r="B257" s="1" t="n">
        <v>44557</v>
      </c>
      <c r="C257" s="1" t="n">
        <v>45363</v>
      </c>
      <c r="D257" t="inlineStr">
        <is>
          <t>VÄSTERNORRLANDS LÄN</t>
        </is>
      </c>
      <c r="E257" t="inlineStr">
        <is>
          <t>TIMRÅ</t>
        </is>
      </c>
      <c r="G257" t="n">
        <v>0.2</v>
      </c>
      <c r="H257" t="n">
        <v>0</v>
      </c>
      <c r="I257" t="n">
        <v>0</v>
      </c>
      <c r="J257" t="n">
        <v>0</v>
      </c>
      <c r="K257" t="n">
        <v>0</v>
      </c>
      <c r="L257" t="n">
        <v>0</v>
      </c>
      <c r="M257" t="n">
        <v>0</v>
      </c>
      <c r="N257" t="n">
        <v>0</v>
      </c>
      <c r="O257" t="n">
        <v>0</v>
      </c>
      <c r="P257" t="n">
        <v>0</v>
      </c>
      <c r="Q257" t="n">
        <v>0</v>
      </c>
      <c r="R257" s="2" t="inlineStr"/>
    </row>
    <row r="258" ht="15" customHeight="1">
      <c r="A258" t="inlineStr">
        <is>
          <t>A 74148-2021</t>
        </is>
      </c>
      <c r="B258" s="1" t="n">
        <v>44557</v>
      </c>
      <c r="C258" s="1" t="n">
        <v>45363</v>
      </c>
      <c r="D258" t="inlineStr">
        <is>
          <t>VÄSTERNORRLANDS LÄN</t>
        </is>
      </c>
      <c r="E258" t="inlineStr">
        <is>
          <t>TIMRÅ</t>
        </is>
      </c>
      <c r="G258" t="n">
        <v>0.7</v>
      </c>
      <c r="H258" t="n">
        <v>0</v>
      </c>
      <c r="I258" t="n">
        <v>0</v>
      </c>
      <c r="J258" t="n">
        <v>0</v>
      </c>
      <c r="K258" t="n">
        <v>0</v>
      </c>
      <c r="L258" t="n">
        <v>0</v>
      </c>
      <c r="M258" t="n">
        <v>0</v>
      </c>
      <c r="N258" t="n">
        <v>0</v>
      </c>
      <c r="O258" t="n">
        <v>0</v>
      </c>
      <c r="P258" t="n">
        <v>0</v>
      </c>
      <c r="Q258" t="n">
        <v>0</v>
      </c>
      <c r="R258" s="2" t="inlineStr"/>
    </row>
    <row r="259" ht="15" customHeight="1">
      <c r="A259" t="inlineStr">
        <is>
          <t>A 74150-2021</t>
        </is>
      </c>
      <c r="B259" s="1" t="n">
        <v>44557</v>
      </c>
      <c r="C259" s="1" t="n">
        <v>45363</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74177-2021</t>
        </is>
      </c>
      <c r="B260" s="1" t="n">
        <v>44558</v>
      </c>
      <c r="C260" s="1" t="n">
        <v>45363</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45363</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1078-2022</t>
        </is>
      </c>
      <c r="B262" s="1" t="n">
        <v>44571</v>
      </c>
      <c r="C262" s="1" t="n">
        <v>45363</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1855-2022</t>
        </is>
      </c>
      <c r="B263" s="1" t="n">
        <v>44574</v>
      </c>
      <c r="C263" s="1" t="n">
        <v>45363</v>
      </c>
      <c r="D263" t="inlineStr">
        <is>
          <t>VÄSTERNORRLANDS LÄN</t>
        </is>
      </c>
      <c r="E263" t="inlineStr">
        <is>
          <t>TIMRÅ</t>
        </is>
      </c>
      <c r="G263" t="n">
        <v>3.1</v>
      </c>
      <c r="H263" t="n">
        <v>0</v>
      </c>
      <c r="I263" t="n">
        <v>0</v>
      </c>
      <c r="J263" t="n">
        <v>0</v>
      </c>
      <c r="K263" t="n">
        <v>0</v>
      </c>
      <c r="L263" t="n">
        <v>0</v>
      </c>
      <c r="M263" t="n">
        <v>0</v>
      </c>
      <c r="N263" t="n">
        <v>0</v>
      </c>
      <c r="O263" t="n">
        <v>0</v>
      </c>
      <c r="P263" t="n">
        <v>0</v>
      </c>
      <c r="Q263" t="n">
        <v>0</v>
      </c>
      <c r="R263" s="2" t="inlineStr"/>
    </row>
    <row r="264" ht="15" customHeight="1">
      <c r="A264" t="inlineStr">
        <is>
          <t>A 2073-2022</t>
        </is>
      </c>
      <c r="B264" s="1" t="n">
        <v>44575</v>
      </c>
      <c r="C264" s="1" t="n">
        <v>45363</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2226-2022</t>
        </is>
      </c>
      <c r="B265" s="1" t="n">
        <v>44578</v>
      </c>
      <c r="C265" s="1" t="n">
        <v>45363</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5649-2022</t>
        </is>
      </c>
      <c r="B266" s="1" t="n">
        <v>44595</v>
      </c>
      <c r="C266" s="1" t="n">
        <v>45363</v>
      </c>
      <c r="D266" t="inlineStr">
        <is>
          <t>VÄSTERNORRLANDS LÄN</t>
        </is>
      </c>
      <c r="E266" t="inlineStr">
        <is>
          <t>TIMRÅ</t>
        </is>
      </c>
      <c r="G266" t="n">
        <v>1.5</v>
      </c>
      <c r="H266" t="n">
        <v>0</v>
      </c>
      <c r="I266" t="n">
        <v>0</v>
      </c>
      <c r="J266" t="n">
        <v>0</v>
      </c>
      <c r="K266" t="n">
        <v>0</v>
      </c>
      <c r="L266" t="n">
        <v>0</v>
      </c>
      <c r="M266" t="n">
        <v>0</v>
      </c>
      <c r="N266" t="n">
        <v>0</v>
      </c>
      <c r="O266" t="n">
        <v>0</v>
      </c>
      <c r="P266" t="n">
        <v>0</v>
      </c>
      <c r="Q266" t="n">
        <v>0</v>
      </c>
      <c r="R266" s="2" t="inlineStr"/>
    </row>
    <row r="267" ht="15" customHeight="1">
      <c r="A267" t="inlineStr">
        <is>
          <t>A 7152-2022</t>
        </is>
      </c>
      <c r="B267" s="1" t="n">
        <v>44603</v>
      </c>
      <c r="C267" s="1" t="n">
        <v>45363</v>
      </c>
      <c r="D267" t="inlineStr">
        <is>
          <t>VÄSTERNORRLANDS LÄN</t>
        </is>
      </c>
      <c r="E267" t="inlineStr">
        <is>
          <t>TIMRÅ</t>
        </is>
      </c>
      <c r="G267" t="n">
        <v>2.4</v>
      </c>
      <c r="H267" t="n">
        <v>0</v>
      </c>
      <c r="I267" t="n">
        <v>0</v>
      </c>
      <c r="J267" t="n">
        <v>0</v>
      </c>
      <c r="K267" t="n">
        <v>0</v>
      </c>
      <c r="L267" t="n">
        <v>0</v>
      </c>
      <c r="M267" t="n">
        <v>0</v>
      </c>
      <c r="N267" t="n">
        <v>0</v>
      </c>
      <c r="O267" t="n">
        <v>0</v>
      </c>
      <c r="P267" t="n">
        <v>0</v>
      </c>
      <c r="Q267" t="n">
        <v>0</v>
      </c>
      <c r="R267" s="2" t="inlineStr"/>
    </row>
    <row r="268" ht="15" customHeight="1">
      <c r="A268" t="inlineStr">
        <is>
          <t>A 7670-2022</t>
        </is>
      </c>
      <c r="B268" s="1" t="n">
        <v>44607</v>
      </c>
      <c r="C268" s="1" t="n">
        <v>45363</v>
      </c>
      <c r="D268" t="inlineStr">
        <is>
          <t>VÄSTERNORRLANDS LÄN</t>
        </is>
      </c>
      <c r="E268" t="inlineStr">
        <is>
          <t>TIMRÅ</t>
        </is>
      </c>
      <c r="G268" t="n">
        <v>3.6</v>
      </c>
      <c r="H268" t="n">
        <v>0</v>
      </c>
      <c r="I268" t="n">
        <v>0</v>
      </c>
      <c r="J268" t="n">
        <v>0</v>
      </c>
      <c r="K268" t="n">
        <v>0</v>
      </c>
      <c r="L268" t="n">
        <v>0</v>
      </c>
      <c r="M268" t="n">
        <v>0</v>
      </c>
      <c r="N268" t="n">
        <v>0</v>
      </c>
      <c r="O268" t="n">
        <v>0</v>
      </c>
      <c r="P268" t="n">
        <v>0</v>
      </c>
      <c r="Q268" t="n">
        <v>0</v>
      </c>
      <c r="R268" s="2" t="inlineStr"/>
    </row>
    <row r="269" ht="15" customHeight="1">
      <c r="A269" t="inlineStr">
        <is>
          <t>A 7966-2022</t>
        </is>
      </c>
      <c r="B269" s="1" t="n">
        <v>44608</v>
      </c>
      <c r="C269" s="1" t="n">
        <v>45363</v>
      </c>
      <c r="D269" t="inlineStr">
        <is>
          <t>VÄSTERNORRLANDS LÄN</t>
        </is>
      </c>
      <c r="E269" t="inlineStr">
        <is>
          <t>TIMRÅ</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8336-2022</t>
        </is>
      </c>
      <c r="B270" s="1" t="n">
        <v>44610</v>
      </c>
      <c r="C270" s="1" t="n">
        <v>45363</v>
      </c>
      <c r="D270" t="inlineStr">
        <is>
          <t>VÄSTERNORRLANDS LÄN</t>
        </is>
      </c>
      <c r="E270" t="inlineStr">
        <is>
          <t>TIMRÅ</t>
        </is>
      </c>
      <c r="F270" t="inlineStr">
        <is>
          <t>Kommuner</t>
        </is>
      </c>
      <c r="G270" t="n">
        <v>1.2</v>
      </c>
      <c r="H270" t="n">
        <v>0</v>
      </c>
      <c r="I270" t="n">
        <v>0</v>
      </c>
      <c r="J270" t="n">
        <v>0</v>
      </c>
      <c r="K270" t="n">
        <v>0</v>
      </c>
      <c r="L270" t="n">
        <v>0</v>
      </c>
      <c r="M270" t="n">
        <v>0</v>
      </c>
      <c r="N270" t="n">
        <v>0</v>
      </c>
      <c r="O270" t="n">
        <v>0</v>
      </c>
      <c r="P270" t="n">
        <v>0</v>
      </c>
      <c r="Q270" t="n">
        <v>0</v>
      </c>
      <c r="R270" s="2" t="inlineStr"/>
    </row>
    <row r="271" ht="15" customHeight="1">
      <c r="A271" t="inlineStr">
        <is>
          <t>A 9203-2022</t>
        </is>
      </c>
      <c r="B271" s="1" t="n">
        <v>44615</v>
      </c>
      <c r="C271" s="1" t="n">
        <v>45363</v>
      </c>
      <c r="D271" t="inlineStr">
        <is>
          <t>VÄSTERNORRLANDS LÄN</t>
        </is>
      </c>
      <c r="E271" t="inlineStr">
        <is>
          <t>TIMRÅ</t>
        </is>
      </c>
      <c r="G271" t="n">
        <v>5.5</v>
      </c>
      <c r="H271" t="n">
        <v>0</v>
      </c>
      <c r="I271" t="n">
        <v>0</v>
      </c>
      <c r="J271" t="n">
        <v>0</v>
      </c>
      <c r="K271" t="n">
        <v>0</v>
      </c>
      <c r="L271" t="n">
        <v>0</v>
      </c>
      <c r="M271" t="n">
        <v>0</v>
      </c>
      <c r="N271" t="n">
        <v>0</v>
      </c>
      <c r="O271" t="n">
        <v>0</v>
      </c>
      <c r="P271" t="n">
        <v>0</v>
      </c>
      <c r="Q271" t="n">
        <v>0</v>
      </c>
      <c r="R271" s="2" t="inlineStr"/>
    </row>
    <row r="272" ht="15" customHeight="1">
      <c r="A272" t="inlineStr">
        <is>
          <t>A 9202-2022</t>
        </is>
      </c>
      <c r="B272" s="1" t="n">
        <v>44615</v>
      </c>
      <c r="C272" s="1" t="n">
        <v>45363</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9256-2022</t>
        </is>
      </c>
      <c r="B273" s="1" t="n">
        <v>44616</v>
      </c>
      <c r="C273" s="1" t="n">
        <v>45363</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9317-2022</t>
        </is>
      </c>
      <c r="B274" s="1" t="n">
        <v>44616</v>
      </c>
      <c r="C274" s="1" t="n">
        <v>45363</v>
      </c>
      <c r="D274" t="inlineStr">
        <is>
          <t>VÄSTERNORRLANDS LÄN</t>
        </is>
      </c>
      <c r="E274" t="inlineStr">
        <is>
          <t>TIMRÅ</t>
        </is>
      </c>
      <c r="G274" t="n">
        <v>1.1</v>
      </c>
      <c r="H274" t="n">
        <v>0</v>
      </c>
      <c r="I274" t="n">
        <v>0</v>
      </c>
      <c r="J274" t="n">
        <v>0</v>
      </c>
      <c r="K274" t="n">
        <v>0</v>
      </c>
      <c r="L274" t="n">
        <v>0</v>
      </c>
      <c r="M274" t="n">
        <v>0</v>
      </c>
      <c r="N274" t="n">
        <v>0</v>
      </c>
      <c r="O274" t="n">
        <v>0</v>
      </c>
      <c r="P274" t="n">
        <v>0</v>
      </c>
      <c r="Q274" t="n">
        <v>0</v>
      </c>
      <c r="R274" s="2" t="inlineStr"/>
    </row>
    <row r="275" ht="15" customHeight="1">
      <c r="A275" t="inlineStr">
        <is>
          <t>A 11269-2022</t>
        </is>
      </c>
      <c r="B275" s="1" t="n">
        <v>44629</v>
      </c>
      <c r="C275" s="1" t="n">
        <v>45363</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11479-2022</t>
        </is>
      </c>
      <c r="B276" s="1" t="n">
        <v>44630</v>
      </c>
      <c r="C276" s="1" t="n">
        <v>45363</v>
      </c>
      <c r="D276" t="inlineStr">
        <is>
          <t>VÄSTERNORRLANDS LÄN</t>
        </is>
      </c>
      <c r="E276" t="inlineStr">
        <is>
          <t>TIMRÅ</t>
        </is>
      </c>
      <c r="G276" t="n">
        <v>2.9</v>
      </c>
      <c r="H276" t="n">
        <v>0</v>
      </c>
      <c r="I276" t="n">
        <v>0</v>
      </c>
      <c r="J276" t="n">
        <v>0</v>
      </c>
      <c r="K276" t="n">
        <v>0</v>
      </c>
      <c r="L276" t="n">
        <v>0</v>
      </c>
      <c r="M276" t="n">
        <v>0</v>
      </c>
      <c r="N276" t="n">
        <v>0</v>
      </c>
      <c r="O276" t="n">
        <v>0</v>
      </c>
      <c r="P276" t="n">
        <v>0</v>
      </c>
      <c r="Q276" t="n">
        <v>0</v>
      </c>
      <c r="R276" s="2" t="inlineStr"/>
    </row>
    <row r="277" ht="15" customHeight="1">
      <c r="A277" t="inlineStr">
        <is>
          <t>A 12205-2022</t>
        </is>
      </c>
      <c r="B277" s="1" t="n">
        <v>44636</v>
      </c>
      <c r="C277" s="1" t="n">
        <v>45363</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12782-2022</t>
        </is>
      </c>
      <c r="B278" s="1" t="n">
        <v>44641</v>
      </c>
      <c r="C278" s="1" t="n">
        <v>45363</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12780-2022</t>
        </is>
      </c>
      <c r="B279" s="1" t="n">
        <v>44641</v>
      </c>
      <c r="C279" s="1" t="n">
        <v>45363</v>
      </c>
      <c r="D279" t="inlineStr">
        <is>
          <t>VÄSTERNORRLANDS LÄN</t>
        </is>
      </c>
      <c r="E279" t="inlineStr">
        <is>
          <t>TIMRÅ</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12779-2022</t>
        </is>
      </c>
      <c r="B280" s="1" t="n">
        <v>44641</v>
      </c>
      <c r="C280" s="1" t="n">
        <v>45363</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12882-2022</t>
        </is>
      </c>
      <c r="B281" s="1" t="n">
        <v>44642</v>
      </c>
      <c r="C281" s="1" t="n">
        <v>45363</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12880-2022</t>
        </is>
      </c>
      <c r="B282" s="1" t="n">
        <v>44642</v>
      </c>
      <c r="C282" s="1" t="n">
        <v>45363</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12885-2022</t>
        </is>
      </c>
      <c r="B283" s="1" t="n">
        <v>44642</v>
      </c>
      <c r="C283" s="1" t="n">
        <v>45363</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14680-2022</t>
        </is>
      </c>
      <c r="B284" s="1" t="n">
        <v>44655</v>
      </c>
      <c r="C284" s="1" t="n">
        <v>45363</v>
      </c>
      <c r="D284" t="inlineStr">
        <is>
          <t>VÄSTERNORRLANDS LÄN</t>
        </is>
      </c>
      <c r="E284" t="inlineStr">
        <is>
          <t>TIMRÅ</t>
        </is>
      </c>
      <c r="G284" t="n">
        <v>8.9</v>
      </c>
      <c r="H284" t="n">
        <v>0</v>
      </c>
      <c r="I284" t="n">
        <v>0</v>
      </c>
      <c r="J284" t="n">
        <v>0</v>
      </c>
      <c r="K284" t="n">
        <v>0</v>
      </c>
      <c r="L284" t="n">
        <v>0</v>
      </c>
      <c r="M284" t="n">
        <v>0</v>
      </c>
      <c r="N284" t="n">
        <v>0</v>
      </c>
      <c r="O284" t="n">
        <v>0</v>
      </c>
      <c r="P284" t="n">
        <v>0</v>
      </c>
      <c r="Q284" t="n">
        <v>0</v>
      </c>
      <c r="R284" s="2" t="inlineStr"/>
    </row>
    <row r="285" ht="15" customHeight="1">
      <c r="A285" t="inlineStr">
        <is>
          <t>A 16519-2022</t>
        </is>
      </c>
      <c r="B285" s="1" t="n">
        <v>44672</v>
      </c>
      <c r="C285" s="1" t="n">
        <v>45363</v>
      </c>
      <c r="D285" t="inlineStr">
        <is>
          <t>VÄSTERNORRLANDS LÄN</t>
        </is>
      </c>
      <c r="E285" t="inlineStr">
        <is>
          <t>TIMRÅ</t>
        </is>
      </c>
      <c r="G285" t="n">
        <v>3</v>
      </c>
      <c r="H285" t="n">
        <v>0</v>
      </c>
      <c r="I285" t="n">
        <v>0</v>
      </c>
      <c r="J285" t="n">
        <v>0</v>
      </c>
      <c r="K285" t="n">
        <v>0</v>
      </c>
      <c r="L285" t="n">
        <v>0</v>
      </c>
      <c r="M285" t="n">
        <v>0</v>
      </c>
      <c r="N285" t="n">
        <v>0</v>
      </c>
      <c r="O285" t="n">
        <v>0</v>
      </c>
      <c r="P285" t="n">
        <v>0</v>
      </c>
      <c r="Q285" t="n">
        <v>0</v>
      </c>
      <c r="R285" s="2" t="inlineStr"/>
    </row>
    <row r="286" ht="15" customHeight="1">
      <c r="A286" t="inlineStr">
        <is>
          <t>A 17040-2022</t>
        </is>
      </c>
      <c r="B286" s="1" t="n">
        <v>44676</v>
      </c>
      <c r="C286" s="1" t="n">
        <v>45363</v>
      </c>
      <c r="D286" t="inlineStr">
        <is>
          <t>VÄSTERNORRLANDS LÄN</t>
        </is>
      </c>
      <c r="E286" t="inlineStr">
        <is>
          <t>TIMRÅ</t>
        </is>
      </c>
      <c r="G286" t="n">
        <v>3.5</v>
      </c>
      <c r="H286" t="n">
        <v>0</v>
      </c>
      <c r="I286" t="n">
        <v>0</v>
      </c>
      <c r="J286" t="n">
        <v>0</v>
      </c>
      <c r="K286" t="n">
        <v>0</v>
      </c>
      <c r="L286" t="n">
        <v>0</v>
      </c>
      <c r="M286" t="n">
        <v>0</v>
      </c>
      <c r="N286" t="n">
        <v>0</v>
      </c>
      <c r="O286" t="n">
        <v>0</v>
      </c>
      <c r="P286" t="n">
        <v>0</v>
      </c>
      <c r="Q286" t="n">
        <v>0</v>
      </c>
      <c r="R286" s="2" t="inlineStr"/>
    </row>
    <row r="287" ht="15" customHeight="1">
      <c r="A287" t="inlineStr">
        <is>
          <t>A 22194-2022</t>
        </is>
      </c>
      <c r="B287" s="1" t="n">
        <v>44712</v>
      </c>
      <c r="C287" s="1" t="n">
        <v>45363</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23670-2022</t>
        </is>
      </c>
      <c r="B288" s="1" t="n">
        <v>44722</v>
      </c>
      <c r="C288" s="1" t="n">
        <v>45363</v>
      </c>
      <c r="D288" t="inlineStr">
        <is>
          <t>VÄSTERNORRLANDS LÄN</t>
        </is>
      </c>
      <c r="E288" t="inlineStr">
        <is>
          <t>TIMRÅ</t>
        </is>
      </c>
      <c r="G288" t="n">
        <v>4.9</v>
      </c>
      <c r="H288" t="n">
        <v>0</v>
      </c>
      <c r="I288" t="n">
        <v>0</v>
      </c>
      <c r="J288" t="n">
        <v>0</v>
      </c>
      <c r="K288" t="n">
        <v>0</v>
      </c>
      <c r="L288" t="n">
        <v>0</v>
      </c>
      <c r="M288" t="n">
        <v>0</v>
      </c>
      <c r="N288" t="n">
        <v>0</v>
      </c>
      <c r="O288" t="n">
        <v>0</v>
      </c>
      <c r="P288" t="n">
        <v>0</v>
      </c>
      <c r="Q288" t="n">
        <v>0</v>
      </c>
      <c r="R288" s="2" t="inlineStr"/>
    </row>
    <row r="289" ht="15" customHeight="1">
      <c r="A289" t="inlineStr">
        <is>
          <t>A 23693-2022</t>
        </is>
      </c>
      <c r="B289" s="1" t="n">
        <v>44721</v>
      </c>
      <c r="C289" s="1" t="n">
        <v>45363</v>
      </c>
      <c r="D289" t="inlineStr">
        <is>
          <t>VÄSTERNORRLANDS LÄN</t>
        </is>
      </c>
      <c r="E289" t="inlineStr">
        <is>
          <t>TIMRÅ</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23676-2022</t>
        </is>
      </c>
      <c r="B290" s="1" t="n">
        <v>44721</v>
      </c>
      <c r="C290" s="1" t="n">
        <v>45363</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24304-2022</t>
        </is>
      </c>
      <c r="B291" s="1" t="n">
        <v>44725</v>
      </c>
      <c r="C291" s="1" t="n">
        <v>45363</v>
      </c>
      <c r="D291" t="inlineStr">
        <is>
          <t>VÄSTERNORRLANDS LÄN</t>
        </is>
      </c>
      <c r="E291" t="inlineStr">
        <is>
          <t>TIMRÅ</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24306-2022</t>
        </is>
      </c>
      <c r="B292" s="1" t="n">
        <v>44726</v>
      </c>
      <c r="C292" s="1" t="n">
        <v>45363</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24305-2022</t>
        </is>
      </c>
      <c r="B293" s="1" t="n">
        <v>44726</v>
      </c>
      <c r="C293" s="1" t="n">
        <v>45363</v>
      </c>
      <c r="D293" t="inlineStr">
        <is>
          <t>VÄSTERNORRLANDS LÄN</t>
        </is>
      </c>
      <c r="E293" t="inlineStr">
        <is>
          <t>TIMRÅ</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24988-2022</t>
        </is>
      </c>
      <c r="B294" s="1" t="n">
        <v>44728</v>
      </c>
      <c r="C294" s="1" t="n">
        <v>45363</v>
      </c>
      <c r="D294" t="inlineStr">
        <is>
          <t>VÄSTERNORRLANDS LÄN</t>
        </is>
      </c>
      <c r="E294" t="inlineStr">
        <is>
          <t>TIMRÅ</t>
        </is>
      </c>
      <c r="G294" t="n">
        <v>1.7</v>
      </c>
      <c r="H294" t="n">
        <v>0</v>
      </c>
      <c r="I294" t="n">
        <v>0</v>
      </c>
      <c r="J294" t="n">
        <v>0</v>
      </c>
      <c r="K294" t="n">
        <v>0</v>
      </c>
      <c r="L294" t="n">
        <v>0</v>
      </c>
      <c r="M294" t="n">
        <v>0</v>
      </c>
      <c r="N294" t="n">
        <v>0</v>
      </c>
      <c r="O294" t="n">
        <v>0</v>
      </c>
      <c r="P294" t="n">
        <v>0</v>
      </c>
      <c r="Q294" t="n">
        <v>0</v>
      </c>
      <c r="R294" s="2" t="inlineStr"/>
    </row>
    <row r="295" ht="15" customHeight="1">
      <c r="A295" t="inlineStr">
        <is>
          <t>A 25414-2022</t>
        </is>
      </c>
      <c r="B295" s="1" t="n">
        <v>44732</v>
      </c>
      <c r="C295" s="1" t="n">
        <v>45363</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25644-2022</t>
        </is>
      </c>
      <c r="B296" s="1" t="n">
        <v>44732</v>
      </c>
      <c r="C296" s="1" t="n">
        <v>45363</v>
      </c>
      <c r="D296" t="inlineStr">
        <is>
          <t>VÄSTERNORRLANDS LÄN</t>
        </is>
      </c>
      <c r="E296" t="inlineStr">
        <is>
          <t>TIMRÅ</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29308-2022</t>
        </is>
      </c>
      <c r="B297" s="1" t="n">
        <v>44750</v>
      </c>
      <c r="C297" s="1" t="n">
        <v>45363</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29306-2022</t>
        </is>
      </c>
      <c r="B298" s="1" t="n">
        <v>44751</v>
      </c>
      <c r="C298" s="1" t="n">
        <v>45363</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31489-2022</t>
        </is>
      </c>
      <c r="B299" s="1" t="n">
        <v>44774</v>
      </c>
      <c r="C299" s="1" t="n">
        <v>45363</v>
      </c>
      <c r="D299" t="inlineStr">
        <is>
          <t>VÄSTERNORRLANDS LÄN</t>
        </is>
      </c>
      <c r="E299" t="inlineStr">
        <is>
          <t>TIMRÅ</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31981-2022</t>
        </is>
      </c>
      <c r="B300" s="1" t="n">
        <v>44778</v>
      </c>
      <c r="C300" s="1" t="n">
        <v>45363</v>
      </c>
      <c r="D300" t="inlineStr">
        <is>
          <t>VÄSTERNORRLANDS LÄN</t>
        </is>
      </c>
      <c r="E300" t="inlineStr">
        <is>
          <t>TIMRÅ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32519-2022</t>
        </is>
      </c>
      <c r="B301" s="1" t="n">
        <v>44782</v>
      </c>
      <c r="C301" s="1" t="n">
        <v>45363</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33719-2022</t>
        </is>
      </c>
      <c r="B302" s="1" t="n">
        <v>44790</v>
      </c>
      <c r="C302" s="1" t="n">
        <v>45363</v>
      </c>
      <c r="D302" t="inlineStr">
        <is>
          <t>VÄSTERNORRLANDS LÄN</t>
        </is>
      </c>
      <c r="E302" t="inlineStr">
        <is>
          <t>TIMRÅ</t>
        </is>
      </c>
      <c r="G302" t="n">
        <v>2.3</v>
      </c>
      <c r="H302" t="n">
        <v>0</v>
      </c>
      <c r="I302" t="n">
        <v>0</v>
      </c>
      <c r="J302" t="n">
        <v>0</v>
      </c>
      <c r="K302" t="n">
        <v>0</v>
      </c>
      <c r="L302" t="n">
        <v>0</v>
      </c>
      <c r="M302" t="n">
        <v>0</v>
      </c>
      <c r="N302" t="n">
        <v>0</v>
      </c>
      <c r="O302" t="n">
        <v>0</v>
      </c>
      <c r="P302" t="n">
        <v>0</v>
      </c>
      <c r="Q302" t="n">
        <v>0</v>
      </c>
      <c r="R302" s="2" t="inlineStr"/>
    </row>
    <row r="303" ht="15" customHeight="1">
      <c r="A303" t="inlineStr">
        <is>
          <t>A 34041-2022</t>
        </is>
      </c>
      <c r="B303" s="1" t="n">
        <v>44790</v>
      </c>
      <c r="C303" s="1" t="n">
        <v>45363</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34053-2022</t>
        </is>
      </c>
      <c r="B304" s="1" t="n">
        <v>44790</v>
      </c>
      <c r="C304" s="1" t="n">
        <v>45363</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34038-2022</t>
        </is>
      </c>
      <c r="B305" s="1" t="n">
        <v>44791</v>
      </c>
      <c r="C305" s="1" t="n">
        <v>45363</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34099-2022</t>
        </is>
      </c>
      <c r="B306" s="1" t="n">
        <v>44791</v>
      </c>
      <c r="C306" s="1" t="n">
        <v>45363</v>
      </c>
      <c r="D306" t="inlineStr">
        <is>
          <t>VÄSTERNORRLANDS LÄN</t>
        </is>
      </c>
      <c r="E306" t="inlineStr">
        <is>
          <t>TIMRÅ</t>
        </is>
      </c>
      <c r="G306" t="n">
        <v>2.7</v>
      </c>
      <c r="H306" t="n">
        <v>0</v>
      </c>
      <c r="I306" t="n">
        <v>0</v>
      </c>
      <c r="J306" t="n">
        <v>0</v>
      </c>
      <c r="K306" t="n">
        <v>0</v>
      </c>
      <c r="L306" t="n">
        <v>0</v>
      </c>
      <c r="M306" t="n">
        <v>0</v>
      </c>
      <c r="N306" t="n">
        <v>0</v>
      </c>
      <c r="O306" t="n">
        <v>0</v>
      </c>
      <c r="P306" t="n">
        <v>0</v>
      </c>
      <c r="Q306" t="n">
        <v>0</v>
      </c>
      <c r="R306" s="2" t="inlineStr"/>
    </row>
    <row r="307" ht="15" customHeight="1">
      <c r="A307" t="inlineStr">
        <is>
          <t>A 34246-2022</t>
        </is>
      </c>
      <c r="B307" s="1" t="n">
        <v>44791</v>
      </c>
      <c r="C307" s="1" t="n">
        <v>45363</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35477-2022</t>
        </is>
      </c>
      <c r="B308" s="1" t="n">
        <v>44799</v>
      </c>
      <c r="C308" s="1" t="n">
        <v>45363</v>
      </c>
      <c r="D308" t="inlineStr">
        <is>
          <t>VÄSTERNORRLANDS LÄN</t>
        </is>
      </c>
      <c r="E308" t="inlineStr">
        <is>
          <t>TIMRÅ</t>
        </is>
      </c>
      <c r="G308" t="n">
        <v>1</v>
      </c>
      <c r="H308" t="n">
        <v>0</v>
      </c>
      <c r="I308" t="n">
        <v>0</v>
      </c>
      <c r="J308" t="n">
        <v>0</v>
      </c>
      <c r="K308" t="n">
        <v>0</v>
      </c>
      <c r="L308" t="n">
        <v>0</v>
      </c>
      <c r="M308" t="n">
        <v>0</v>
      </c>
      <c r="N308" t="n">
        <v>0</v>
      </c>
      <c r="O308" t="n">
        <v>0</v>
      </c>
      <c r="P308" t="n">
        <v>0</v>
      </c>
      <c r="Q308" t="n">
        <v>0</v>
      </c>
      <c r="R308" s="2" t="inlineStr"/>
    </row>
    <row r="309" ht="15" customHeight="1">
      <c r="A309" t="inlineStr">
        <is>
          <t>A 35448-2022</t>
        </is>
      </c>
      <c r="B309" s="1" t="n">
        <v>44798</v>
      </c>
      <c r="C309" s="1" t="n">
        <v>45363</v>
      </c>
      <c r="D309" t="inlineStr">
        <is>
          <t>VÄSTERNORRLANDS LÄN</t>
        </is>
      </c>
      <c r="E309" t="inlineStr">
        <is>
          <t>TIMRÅ</t>
        </is>
      </c>
      <c r="G309" t="n">
        <v>2.8</v>
      </c>
      <c r="H309" t="n">
        <v>0</v>
      </c>
      <c r="I309" t="n">
        <v>0</v>
      </c>
      <c r="J309" t="n">
        <v>0</v>
      </c>
      <c r="K309" t="n">
        <v>0</v>
      </c>
      <c r="L309" t="n">
        <v>0</v>
      </c>
      <c r="M309" t="n">
        <v>0</v>
      </c>
      <c r="N309" t="n">
        <v>0</v>
      </c>
      <c r="O309" t="n">
        <v>0</v>
      </c>
      <c r="P309" t="n">
        <v>0</v>
      </c>
      <c r="Q309" t="n">
        <v>0</v>
      </c>
      <c r="R309" s="2" t="inlineStr"/>
    </row>
    <row r="310" ht="15" customHeight="1">
      <c r="A310" t="inlineStr">
        <is>
          <t>A 35758-2022</t>
        </is>
      </c>
      <c r="B310" s="1" t="n">
        <v>44799</v>
      </c>
      <c r="C310" s="1" t="n">
        <v>45363</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36564-2022</t>
        </is>
      </c>
      <c r="B311" s="1" t="n">
        <v>44804</v>
      </c>
      <c r="C311" s="1" t="n">
        <v>45363</v>
      </c>
      <c r="D311" t="inlineStr">
        <is>
          <t>VÄSTERNORRLANDS LÄN</t>
        </is>
      </c>
      <c r="E311" t="inlineStr">
        <is>
          <t>TIMRÅ</t>
        </is>
      </c>
      <c r="G311" t="n">
        <v>16.6</v>
      </c>
      <c r="H311" t="n">
        <v>0</v>
      </c>
      <c r="I311" t="n">
        <v>0</v>
      </c>
      <c r="J311" t="n">
        <v>0</v>
      </c>
      <c r="K311" t="n">
        <v>0</v>
      </c>
      <c r="L311" t="n">
        <v>0</v>
      </c>
      <c r="M311" t="n">
        <v>0</v>
      </c>
      <c r="N311" t="n">
        <v>0</v>
      </c>
      <c r="O311" t="n">
        <v>0</v>
      </c>
      <c r="P311" t="n">
        <v>0</v>
      </c>
      <c r="Q311" t="n">
        <v>0</v>
      </c>
      <c r="R311" s="2" t="inlineStr"/>
    </row>
    <row r="312" ht="15" customHeight="1">
      <c r="A312" t="inlineStr">
        <is>
          <t>A 38445-2022</t>
        </is>
      </c>
      <c r="B312" s="1" t="n">
        <v>44813</v>
      </c>
      <c r="C312" s="1" t="n">
        <v>45363</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39108-2022</t>
        </is>
      </c>
      <c r="B313" s="1" t="n">
        <v>44817</v>
      </c>
      <c r="C313" s="1" t="n">
        <v>45363</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39691-2022</t>
        </is>
      </c>
      <c r="B314" s="1" t="n">
        <v>44819</v>
      </c>
      <c r="C314" s="1" t="n">
        <v>45363</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40270-2022</t>
        </is>
      </c>
      <c r="B315" s="1" t="n">
        <v>44821</v>
      </c>
      <c r="C315" s="1" t="n">
        <v>45363</v>
      </c>
      <c r="D315" t="inlineStr">
        <is>
          <t>VÄSTERNORRLANDS LÄN</t>
        </is>
      </c>
      <c r="E315" t="inlineStr">
        <is>
          <t>TIMRÅ</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41465-2022</t>
        </is>
      </c>
      <c r="B316" s="1" t="n">
        <v>44827</v>
      </c>
      <c r="C316" s="1" t="n">
        <v>45363</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41457-2022</t>
        </is>
      </c>
      <c r="B317" s="1" t="n">
        <v>44826</v>
      </c>
      <c r="C317" s="1" t="n">
        <v>45363</v>
      </c>
      <c r="D317" t="inlineStr">
        <is>
          <t>VÄSTERNORRLANDS LÄN</t>
        </is>
      </c>
      <c r="E317" t="inlineStr">
        <is>
          <t>TIMRÅ</t>
        </is>
      </c>
      <c r="G317" t="n">
        <v>2.9</v>
      </c>
      <c r="H317" t="n">
        <v>0</v>
      </c>
      <c r="I317" t="n">
        <v>0</v>
      </c>
      <c r="J317" t="n">
        <v>0</v>
      </c>
      <c r="K317" t="n">
        <v>0</v>
      </c>
      <c r="L317" t="n">
        <v>0</v>
      </c>
      <c r="M317" t="n">
        <v>0</v>
      </c>
      <c r="N317" t="n">
        <v>0</v>
      </c>
      <c r="O317" t="n">
        <v>0</v>
      </c>
      <c r="P317" t="n">
        <v>0</v>
      </c>
      <c r="Q317" t="n">
        <v>0</v>
      </c>
      <c r="R317" s="2" t="inlineStr"/>
    </row>
    <row r="318" ht="15" customHeight="1">
      <c r="A318" t="inlineStr">
        <is>
          <t>A 42281-2022</t>
        </is>
      </c>
      <c r="B318" s="1" t="n">
        <v>44830</v>
      </c>
      <c r="C318" s="1" t="n">
        <v>45363</v>
      </c>
      <c r="D318" t="inlineStr">
        <is>
          <t>VÄSTERNORRLANDS LÄN</t>
        </is>
      </c>
      <c r="E318" t="inlineStr">
        <is>
          <t>TIMRÅ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43233-2022</t>
        </is>
      </c>
      <c r="B319" s="1" t="n">
        <v>44833</v>
      </c>
      <c r="C319" s="1" t="n">
        <v>45363</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43135-2022</t>
        </is>
      </c>
      <c r="B320" s="1" t="n">
        <v>44833</v>
      </c>
      <c r="C320" s="1" t="n">
        <v>45363</v>
      </c>
      <c r="D320" t="inlineStr">
        <is>
          <t>VÄSTERNORRLANDS LÄN</t>
        </is>
      </c>
      <c r="E320" t="inlineStr">
        <is>
          <t>TIMRÅ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43162-2022</t>
        </is>
      </c>
      <c r="B321" s="1" t="n">
        <v>44834</v>
      </c>
      <c r="C321" s="1" t="n">
        <v>45363</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43237-2022</t>
        </is>
      </c>
      <c r="B322" s="1" t="n">
        <v>44833</v>
      </c>
      <c r="C322" s="1" t="n">
        <v>45363</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44432-2022</t>
        </is>
      </c>
      <c r="B323" s="1" t="n">
        <v>44839</v>
      </c>
      <c r="C323" s="1" t="n">
        <v>45363</v>
      </c>
      <c r="D323" t="inlineStr">
        <is>
          <t>VÄSTERNORRLANDS LÄN</t>
        </is>
      </c>
      <c r="E323" t="inlineStr">
        <is>
          <t>TIMRÅ</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44759-2022</t>
        </is>
      </c>
      <c r="B324" s="1" t="n">
        <v>44840</v>
      </c>
      <c r="C324" s="1" t="n">
        <v>45363</v>
      </c>
      <c r="D324" t="inlineStr">
        <is>
          <t>VÄSTERNORRLANDS LÄN</t>
        </is>
      </c>
      <c r="E324" t="inlineStr">
        <is>
          <t>TIMRÅ</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45688-2022</t>
        </is>
      </c>
      <c r="B325" s="1" t="n">
        <v>44845</v>
      </c>
      <c r="C325" s="1" t="n">
        <v>45363</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45695-2022</t>
        </is>
      </c>
      <c r="B326" s="1" t="n">
        <v>44846</v>
      </c>
      <c r="C326" s="1" t="n">
        <v>45363</v>
      </c>
      <c r="D326" t="inlineStr">
        <is>
          <t>VÄSTERNORRLANDS LÄN</t>
        </is>
      </c>
      <c r="E326" t="inlineStr">
        <is>
          <t>TIMRÅ</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46021-2022</t>
        </is>
      </c>
      <c r="B327" s="1" t="n">
        <v>44846</v>
      </c>
      <c r="C327" s="1" t="n">
        <v>45363</v>
      </c>
      <c r="D327" t="inlineStr">
        <is>
          <t>VÄSTERNORRLANDS LÄN</t>
        </is>
      </c>
      <c r="E327" t="inlineStr">
        <is>
          <t>TIMRÅ</t>
        </is>
      </c>
      <c r="F327" t="inlineStr">
        <is>
          <t>Kyrkan</t>
        </is>
      </c>
      <c r="G327" t="n">
        <v>18</v>
      </c>
      <c r="H327" t="n">
        <v>0</v>
      </c>
      <c r="I327" t="n">
        <v>0</v>
      </c>
      <c r="J327" t="n">
        <v>0</v>
      </c>
      <c r="K327" t="n">
        <v>0</v>
      </c>
      <c r="L327" t="n">
        <v>0</v>
      </c>
      <c r="M327" t="n">
        <v>0</v>
      </c>
      <c r="N327" t="n">
        <v>0</v>
      </c>
      <c r="O327" t="n">
        <v>0</v>
      </c>
      <c r="P327" t="n">
        <v>0</v>
      </c>
      <c r="Q327" t="n">
        <v>0</v>
      </c>
      <c r="R327" s="2" t="inlineStr"/>
    </row>
    <row r="328" ht="15" customHeight="1">
      <c r="A328" t="inlineStr">
        <is>
          <t>A 46028-2022</t>
        </is>
      </c>
      <c r="B328" s="1" t="n">
        <v>44846</v>
      </c>
      <c r="C328" s="1" t="n">
        <v>45363</v>
      </c>
      <c r="D328" t="inlineStr">
        <is>
          <t>VÄSTERNORRLANDS LÄN</t>
        </is>
      </c>
      <c r="E328" t="inlineStr">
        <is>
          <t>TIMRÅ</t>
        </is>
      </c>
      <c r="F328" t="inlineStr">
        <is>
          <t>Kyrkan</t>
        </is>
      </c>
      <c r="G328" t="n">
        <v>7.9</v>
      </c>
      <c r="H328" t="n">
        <v>0</v>
      </c>
      <c r="I328" t="n">
        <v>0</v>
      </c>
      <c r="J328" t="n">
        <v>0</v>
      </c>
      <c r="K328" t="n">
        <v>0</v>
      </c>
      <c r="L328" t="n">
        <v>0</v>
      </c>
      <c r="M328" t="n">
        <v>0</v>
      </c>
      <c r="N328" t="n">
        <v>0</v>
      </c>
      <c r="O328" t="n">
        <v>0</v>
      </c>
      <c r="P328" t="n">
        <v>0</v>
      </c>
      <c r="Q328" t="n">
        <v>0</v>
      </c>
      <c r="R328" s="2" t="inlineStr"/>
    </row>
    <row r="329" ht="15" customHeight="1">
      <c r="A329" t="inlineStr">
        <is>
          <t>A 46650-2022</t>
        </is>
      </c>
      <c r="B329" s="1" t="n">
        <v>44849</v>
      </c>
      <c r="C329" s="1" t="n">
        <v>45363</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46971-2022</t>
        </is>
      </c>
      <c r="B330" s="1" t="n">
        <v>44852</v>
      </c>
      <c r="C330" s="1" t="n">
        <v>45363</v>
      </c>
      <c r="D330" t="inlineStr">
        <is>
          <t>VÄSTERNORRLANDS LÄN</t>
        </is>
      </c>
      <c r="E330" t="inlineStr">
        <is>
          <t>TIMRÅ</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47293-2022</t>
        </is>
      </c>
      <c r="B331" s="1" t="n">
        <v>44853</v>
      </c>
      <c r="C331" s="1" t="n">
        <v>45363</v>
      </c>
      <c r="D331" t="inlineStr">
        <is>
          <t>VÄSTERNORRLANDS LÄN</t>
        </is>
      </c>
      <c r="E331" t="inlineStr">
        <is>
          <t>TIMRÅ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47347-2022</t>
        </is>
      </c>
      <c r="B332" s="1" t="n">
        <v>44852</v>
      </c>
      <c r="C332" s="1" t="n">
        <v>45363</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47562-2022</t>
        </is>
      </c>
      <c r="B333" s="1" t="n">
        <v>44853</v>
      </c>
      <c r="C333" s="1" t="n">
        <v>45363</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47588-2022</t>
        </is>
      </c>
      <c r="B334" s="1" t="n">
        <v>44854</v>
      </c>
      <c r="C334" s="1" t="n">
        <v>45363</v>
      </c>
      <c r="D334" t="inlineStr">
        <is>
          <t>VÄSTERNORRLANDS LÄN</t>
        </is>
      </c>
      <c r="E334" t="inlineStr">
        <is>
          <t>TIMRÅ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47697-2022</t>
        </is>
      </c>
      <c r="B335" s="1" t="n">
        <v>44854</v>
      </c>
      <c r="C335" s="1" t="n">
        <v>45363</v>
      </c>
      <c r="D335" t="inlineStr">
        <is>
          <t>VÄSTERNORRLANDS LÄN</t>
        </is>
      </c>
      <c r="E335" t="inlineStr">
        <is>
          <t>TIMRÅ</t>
        </is>
      </c>
      <c r="G335" t="n">
        <v>3.4</v>
      </c>
      <c r="H335" t="n">
        <v>0</v>
      </c>
      <c r="I335" t="n">
        <v>0</v>
      </c>
      <c r="J335" t="n">
        <v>0</v>
      </c>
      <c r="K335" t="n">
        <v>0</v>
      </c>
      <c r="L335" t="n">
        <v>0</v>
      </c>
      <c r="M335" t="n">
        <v>0</v>
      </c>
      <c r="N335" t="n">
        <v>0</v>
      </c>
      <c r="O335" t="n">
        <v>0</v>
      </c>
      <c r="P335" t="n">
        <v>0</v>
      </c>
      <c r="Q335" t="n">
        <v>0</v>
      </c>
      <c r="R335" s="2" t="inlineStr"/>
    </row>
    <row r="336" ht="15" customHeight="1">
      <c r="A336" t="inlineStr">
        <is>
          <t>A 47815-2022</t>
        </is>
      </c>
      <c r="B336" s="1" t="n">
        <v>44854</v>
      </c>
      <c r="C336" s="1" t="n">
        <v>45363</v>
      </c>
      <c r="D336" t="inlineStr">
        <is>
          <t>VÄSTERNORRLANDS LÄN</t>
        </is>
      </c>
      <c r="E336" t="inlineStr">
        <is>
          <t>TIMRÅ</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48083-2022</t>
        </is>
      </c>
      <c r="B337" s="1" t="n">
        <v>44855</v>
      </c>
      <c r="C337" s="1" t="n">
        <v>45363</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48916-2022</t>
        </is>
      </c>
      <c r="B338" s="1" t="n">
        <v>44860</v>
      </c>
      <c r="C338" s="1" t="n">
        <v>45363</v>
      </c>
      <c r="D338" t="inlineStr">
        <is>
          <t>VÄSTERNORRLANDS LÄN</t>
        </is>
      </c>
      <c r="E338" t="inlineStr">
        <is>
          <t>TIMRÅ</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48918-2022</t>
        </is>
      </c>
      <c r="B339" s="1" t="n">
        <v>44859</v>
      </c>
      <c r="C339" s="1" t="n">
        <v>45363</v>
      </c>
      <c r="D339" t="inlineStr">
        <is>
          <t>VÄSTERNORRLANDS LÄN</t>
        </is>
      </c>
      <c r="E339" t="inlineStr">
        <is>
          <t>TIMRÅ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49203-2022</t>
        </is>
      </c>
      <c r="B340" s="1" t="n">
        <v>44860</v>
      </c>
      <c r="C340" s="1" t="n">
        <v>45363</v>
      </c>
      <c r="D340" t="inlineStr">
        <is>
          <t>VÄSTERNORRLANDS LÄN</t>
        </is>
      </c>
      <c r="E340" t="inlineStr">
        <is>
          <t>TIMRÅ</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50660-2022</t>
        </is>
      </c>
      <c r="B341" s="1" t="n">
        <v>44866</v>
      </c>
      <c r="C341" s="1" t="n">
        <v>45363</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52096-2022</t>
        </is>
      </c>
      <c r="B342" s="1" t="n">
        <v>44868</v>
      </c>
      <c r="C342" s="1" t="n">
        <v>45363</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51564-2022</t>
        </is>
      </c>
      <c r="B343" s="1" t="n">
        <v>44869</v>
      </c>
      <c r="C343" s="1" t="n">
        <v>45363</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51546-2022</t>
        </is>
      </c>
      <c r="B344" s="1" t="n">
        <v>44869</v>
      </c>
      <c r="C344" s="1" t="n">
        <v>45363</v>
      </c>
      <c r="D344" t="inlineStr">
        <is>
          <t>VÄSTERNORRLANDS LÄN</t>
        </is>
      </c>
      <c r="E344" t="inlineStr">
        <is>
          <t>TIMRÅ</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52213-2022</t>
        </is>
      </c>
      <c r="B345" s="1" t="n">
        <v>44869</v>
      </c>
      <c r="C345" s="1" t="n">
        <v>45363</v>
      </c>
      <c r="D345" t="inlineStr">
        <is>
          <t>VÄSTERNORRLANDS LÄN</t>
        </is>
      </c>
      <c r="E345" t="inlineStr">
        <is>
          <t>TIMRÅ</t>
        </is>
      </c>
      <c r="G345" t="n">
        <v>11.4</v>
      </c>
      <c r="H345" t="n">
        <v>0</v>
      </c>
      <c r="I345" t="n">
        <v>0</v>
      </c>
      <c r="J345" t="n">
        <v>0</v>
      </c>
      <c r="K345" t="n">
        <v>0</v>
      </c>
      <c r="L345" t="n">
        <v>0</v>
      </c>
      <c r="M345" t="n">
        <v>0</v>
      </c>
      <c r="N345" t="n">
        <v>0</v>
      </c>
      <c r="O345" t="n">
        <v>0</v>
      </c>
      <c r="P345" t="n">
        <v>0</v>
      </c>
      <c r="Q345" t="n">
        <v>0</v>
      </c>
      <c r="R345" s="2" t="inlineStr"/>
    </row>
    <row r="346" ht="15" customHeight="1">
      <c r="A346" t="inlineStr">
        <is>
          <t>A 52232-2022</t>
        </is>
      </c>
      <c r="B346" s="1" t="n">
        <v>44869</v>
      </c>
      <c r="C346" s="1" t="n">
        <v>45363</v>
      </c>
      <c r="D346" t="inlineStr">
        <is>
          <t>VÄSTERNORRLANDS LÄN</t>
        </is>
      </c>
      <c r="E346" t="inlineStr">
        <is>
          <t>TIMRÅ</t>
        </is>
      </c>
      <c r="G346" t="n">
        <v>7.9</v>
      </c>
      <c r="H346" t="n">
        <v>0</v>
      </c>
      <c r="I346" t="n">
        <v>0</v>
      </c>
      <c r="J346" t="n">
        <v>0</v>
      </c>
      <c r="K346" t="n">
        <v>0</v>
      </c>
      <c r="L346" t="n">
        <v>0</v>
      </c>
      <c r="M346" t="n">
        <v>0</v>
      </c>
      <c r="N346" t="n">
        <v>0</v>
      </c>
      <c r="O346" t="n">
        <v>0</v>
      </c>
      <c r="P346" t="n">
        <v>0</v>
      </c>
      <c r="Q346" t="n">
        <v>0</v>
      </c>
      <c r="R346" s="2" t="inlineStr"/>
    </row>
    <row r="347" ht="15" customHeight="1">
      <c r="A347" t="inlineStr">
        <is>
          <t>A 52220-2022</t>
        </is>
      </c>
      <c r="B347" s="1" t="n">
        <v>44869</v>
      </c>
      <c r="C347" s="1" t="n">
        <v>45363</v>
      </c>
      <c r="D347" t="inlineStr">
        <is>
          <t>VÄSTERNORRLANDS LÄN</t>
        </is>
      </c>
      <c r="E347" t="inlineStr">
        <is>
          <t>TIMRÅ</t>
        </is>
      </c>
      <c r="G347" t="n">
        <v>5.5</v>
      </c>
      <c r="H347" t="n">
        <v>0</v>
      </c>
      <c r="I347" t="n">
        <v>0</v>
      </c>
      <c r="J347" t="n">
        <v>0</v>
      </c>
      <c r="K347" t="n">
        <v>0</v>
      </c>
      <c r="L347" t="n">
        <v>0</v>
      </c>
      <c r="M347" t="n">
        <v>0</v>
      </c>
      <c r="N347" t="n">
        <v>0</v>
      </c>
      <c r="O347" t="n">
        <v>0</v>
      </c>
      <c r="P347" t="n">
        <v>0</v>
      </c>
      <c r="Q347" t="n">
        <v>0</v>
      </c>
      <c r="R347" s="2" t="inlineStr"/>
    </row>
    <row r="348" ht="15" customHeight="1">
      <c r="A348" t="inlineStr">
        <is>
          <t>A 51999-2022</t>
        </is>
      </c>
      <c r="B348" s="1" t="n">
        <v>44872</v>
      </c>
      <c r="C348" s="1" t="n">
        <v>45363</v>
      </c>
      <c r="D348" t="inlineStr">
        <is>
          <t>VÄSTERNORRLANDS LÄN</t>
        </is>
      </c>
      <c r="E348" t="inlineStr">
        <is>
          <t>TIMRÅ</t>
        </is>
      </c>
      <c r="G348" t="n">
        <v>4.7</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45363</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52474-2022</t>
        </is>
      </c>
      <c r="B350" s="1" t="n">
        <v>44874</v>
      </c>
      <c r="C350" s="1" t="n">
        <v>45363</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52448-2022</t>
        </is>
      </c>
      <c r="B351" s="1" t="n">
        <v>44874</v>
      </c>
      <c r="C351" s="1" t="n">
        <v>45363</v>
      </c>
      <c r="D351" t="inlineStr">
        <is>
          <t>VÄSTERNORRLANDS LÄN</t>
        </is>
      </c>
      <c r="E351" t="inlineStr">
        <is>
          <t>TIMRÅ</t>
        </is>
      </c>
      <c r="G351" t="n">
        <v>2.3</v>
      </c>
      <c r="H351" t="n">
        <v>0</v>
      </c>
      <c r="I351" t="n">
        <v>0</v>
      </c>
      <c r="J351" t="n">
        <v>0</v>
      </c>
      <c r="K351" t="n">
        <v>0</v>
      </c>
      <c r="L351" t="n">
        <v>0</v>
      </c>
      <c r="M351" t="n">
        <v>0</v>
      </c>
      <c r="N351" t="n">
        <v>0</v>
      </c>
      <c r="O351" t="n">
        <v>0</v>
      </c>
      <c r="P351" t="n">
        <v>0</v>
      </c>
      <c r="Q351" t="n">
        <v>0</v>
      </c>
      <c r="R351" s="2" t="inlineStr"/>
    </row>
    <row r="352" ht="15" customHeight="1">
      <c r="A352" t="inlineStr">
        <is>
          <t>A 52705-2022</t>
        </is>
      </c>
      <c r="B352" s="1" t="n">
        <v>44874</v>
      </c>
      <c r="C352" s="1" t="n">
        <v>45363</v>
      </c>
      <c r="D352" t="inlineStr">
        <is>
          <t>VÄSTERNORRLANDS LÄN</t>
        </is>
      </c>
      <c r="E352" t="inlineStr">
        <is>
          <t>TIMRÅ</t>
        </is>
      </c>
      <c r="G352" t="n">
        <v>1.6</v>
      </c>
      <c r="H352" t="n">
        <v>0</v>
      </c>
      <c r="I352" t="n">
        <v>0</v>
      </c>
      <c r="J352" t="n">
        <v>0</v>
      </c>
      <c r="K352" t="n">
        <v>0</v>
      </c>
      <c r="L352" t="n">
        <v>0</v>
      </c>
      <c r="M352" t="n">
        <v>0</v>
      </c>
      <c r="N352" t="n">
        <v>0</v>
      </c>
      <c r="O352" t="n">
        <v>0</v>
      </c>
      <c r="P352" t="n">
        <v>0</v>
      </c>
      <c r="Q352" t="n">
        <v>0</v>
      </c>
      <c r="R352" s="2" t="inlineStr"/>
    </row>
    <row r="353" ht="15" customHeight="1">
      <c r="A353" t="inlineStr">
        <is>
          <t>A 53659-2022</t>
        </is>
      </c>
      <c r="B353" s="1" t="n">
        <v>44879</v>
      </c>
      <c r="C353" s="1" t="n">
        <v>45363</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53957-2022</t>
        </is>
      </c>
      <c r="B354" s="1" t="n">
        <v>44880</v>
      </c>
      <c r="C354" s="1" t="n">
        <v>45363</v>
      </c>
      <c r="D354" t="inlineStr">
        <is>
          <t>VÄSTERNORRLANDS LÄN</t>
        </is>
      </c>
      <c r="E354" t="inlineStr">
        <is>
          <t>TIMRÅ</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55357-2022</t>
        </is>
      </c>
      <c r="B355" s="1" t="n">
        <v>44882</v>
      </c>
      <c r="C355" s="1" t="n">
        <v>45363</v>
      </c>
      <c r="D355" t="inlineStr">
        <is>
          <t>VÄSTERNORRLANDS LÄN</t>
        </is>
      </c>
      <c r="E355" t="inlineStr">
        <is>
          <t>TIMRÅ</t>
        </is>
      </c>
      <c r="G355" t="n">
        <v>17.3</v>
      </c>
      <c r="H355" t="n">
        <v>0</v>
      </c>
      <c r="I355" t="n">
        <v>0</v>
      </c>
      <c r="J355" t="n">
        <v>0</v>
      </c>
      <c r="K355" t="n">
        <v>0</v>
      </c>
      <c r="L355" t="n">
        <v>0</v>
      </c>
      <c r="M355" t="n">
        <v>0</v>
      </c>
      <c r="N355" t="n">
        <v>0</v>
      </c>
      <c r="O355" t="n">
        <v>0</v>
      </c>
      <c r="P355" t="n">
        <v>0</v>
      </c>
      <c r="Q355" t="n">
        <v>0</v>
      </c>
      <c r="R355" s="2" t="inlineStr"/>
    </row>
    <row r="356" ht="15" customHeight="1">
      <c r="A356" t="inlineStr">
        <is>
          <t>A 54747-2022</t>
        </is>
      </c>
      <c r="B356" s="1" t="n">
        <v>44883</v>
      </c>
      <c r="C356" s="1" t="n">
        <v>45363</v>
      </c>
      <c r="D356" t="inlineStr">
        <is>
          <t>VÄSTERNORRLANDS LÄN</t>
        </is>
      </c>
      <c r="E356" t="inlineStr">
        <is>
          <t>TIMRÅ</t>
        </is>
      </c>
      <c r="G356" t="n">
        <v>0.9</v>
      </c>
      <c r="H356" t="n">
        <v>0</v>
      </c>
      <c r="I356" t="n">
        <v>0</v>
      </c>
      <c r="J356" t="n">
        <v>0</v>
      </c>
      <c r="K356" t="n">
        <v>0</v>
      </c>
      <c r="L356" t="n">
        <v>0</v>
      </c>
      <c r="M356" t="n">
        <v>0</v>
      </c>
      <c r="N356" t="n">
        <v>0</v>
      </c>
      <c r="O356" t="n">
        <v>0</v>
      </c>
      <c r="P356" t="n">
        <v>0</v>
      </c>
      <c r="Q356" t="n">
        <v>0</v>
      </c>
      <c r="R356" s="2" t="inlineStr"/>
    </row>
    <row r="357" ht="15" customHeight="1">
      <c r="A357" t="inlineStr">
        <is>
          <t>A 55179-2022</t>
        </is>
      </c>
      <c r="B357" s="1" t="n">
        <v>44886</v>
      </c>
      <c r="C357" s="1" t="n">
        <v>45363</v>
      </c>
      <c r="D357" t="inlineStr">
        <is>
          <t>VÄSTERNORRLANDS LÄN</t>
        </is>
      </c>
      <c r="E357" t="inlineStr">
        <is>
          <t>TIMRÅ</t>
        </is>
      </c>
      <c r="G357" t="n">
        <v>0.4</v>
      </c>
      <c r="H357" t="n">
        <v>0</v>
      </c>
      <c r="I357" t="n">
        <v>0</v>
      </c>
      <c r="J357" t="n">
        <v>0</v>
      </c>
      <c r="K357" t="n">
        <v>0</v>
      </c>
      <c r="L357" t="n">
        <v>0</v>
      </c>
      <c r="M357" t="n">
        <v>0</v>
      </c>
      <c r="N357" t="n">
        <v>0</v>
      </c>
      <c r="O357" t="n">
        <v>0</v>
      </c>
      <c r="P357" t="n">
        <v>0</v>
      </c>
      <c r="Q357" t="n">
        <v>0</v>
      </c>
      <c r="R357" s="2" t="inlineStr"/>
    </row>
    <row r="358" ht="15" customHeight="1">
      <c r="A358" t="inlineStr">
        <is>
          <t>A 55240-2022</t>
        </is>
      </c>
      <c r="B358" s="1" t="n">
        <v>44887</v>
      </c>
      <c r="C358" s="1" t="n">
        <v>45363</v>
      </c>
      <c r="D358" t="inlineStr">
        <is>
          <t>VÄSTERNORRLANDS LÄN</t>
        </is>
      </c>
      <c r="E358" t="inlineStr">
        <is>
          <t>TIMRÅ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55521-2022</t>
        </is>
      </c>
      <c r="B359" s="1" t="n">
        <v>44887</v>
      </c>
      <c r="C359" s="1" t="n">
        <v>45363</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55511-2022</t>
        </is>
      </c>
      <c r="B360" s="1" t="n">
        <v>44887</v>
      </c>
      <c r="C360" s="1" t="n">
        <v>45363</v>
      </c>
      <c r="D360" t="inlineStr">
        <is>
          <t>VÄSTERNORRLANDS LÄN</t>
        </is>
      </c>
      <c r="E360" t="inlineStr">
        <is>
          <t>TIMRÅ</t>
        </is>
      </c>
      <c r="G360" t="n">
        <v>0.5</v>
      </c>
      <c r="H360" t="n">
        <v>0</v>
      </c>
      <c r="I360" t="n">
        <v>0</v>
      </c>
      <c r="J360" t="n">
        <v>0</v>
      </c>
      <c r="K360" t="n">
        <v>0</v>
      </c>
      <c r="L360" t="n">
        <v>0</v>
      </c>
      <c r="M360" t="n">
        <v>0</v>
      </c>
      <c r="N360" t="n">
        <v>0</v>
      </c>
      <c r="O360" t="n">
        <v>0</v>
      </c>
      <c r="P360" t="n">
        <v>0</v>
      </c>
      <c r="Q360" t="n">
        <v>0</v>
      </c>
      <c r="R360" s="2" t="inlineStr"/>
    </row>
    <row r="361" ht="15" customHeight="1">
      <c r="A361" t="inlineStr">
        <is>
          <t>A 55510-2022</t>
        </is>
      </c>
      <c r="B361" s="1" t="n">
        <v>44887</v>
      </c>
      <c r="C361" s="1" t="n">
        <v>45363</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55517-2022</t>
        </is>
      </c>
      <c r="B362" s="1" t="n">
        <v>44887</v>
      </c>
      <c r="C362" s="1" t="n">
        <v>45363</v>
      </c>
      <c r="D362" t="inlineStr">
        <is>
          <t>VÄSTERNORRLANDS LÄN</t>
        </is>
      </c>
      <c r="E362" t="inlineStr">
        <is>
          <t>TIMRÅ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55872-2022</t>
        </is>
      </c>
      <c r="B363" s="1" t="n">
        <v>44888</v>
      </c>
      <c r="C363" s="1" t="n">
        <v>45363</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55886-2022</t>
        </is>
      </c>
      <c r="B364" s="1" t="n">
        <v>44888</v>
      </c>
      <c r="C364" s="1" t="n">
        <v>45363</v>
      </c>
      <c r="D364" t="inlineStr">
        <is>
          <t>VÄSTERNORRLANDS LÄN</t>
        </is>
      </c>
      <c r="E364" t="inlineStr">
        <is>
          <t>TIMRÅ</t>
        </is>
      </c>
      <c r="G364" t="n">
        <v>0.6</v>
      </c>
      <c r="H364" t="n">
        <v>0</v>
      </c>
      <c r="I364" t="n">
        <v>0</v>
      </c>
      <c r="J364" t="n">
        <v>0</v>
      </c>
      <c r="K364" t="n">
        <v>0</v>
      </c>
      <c r="L364" t="n">
        <v>0</v>
      </c>
      <c r="M364" t="n">
        <v>0</v>
      </c>
      <c r="N364" t="n">
        <v>0</v>
      </c>
      <c r="O364" t="n">
        <v>0</v>
      </c>
      <c r="P364" t="n">
        <v>0</v>
      </c>
      <c r="Q364" t="n">
        <v>0</v>
      </c>
      <c r="R364" s="2" t="inlineStr"/>
    </row>
    <row r="365" ht="15" customHeight="1">
      <c r="A365" t="inlineStr">
        <is>
          <t>A 56170-2022</t>
        </is>
      </c>
      <c r="B365" s="1" t="n">
        <v>44889</v>
      </c>
      <c r="C365" s="1" t="n">
        <v>45363</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57403-2022</t>
        </is>
      </c>
      <c r="B366" s="1" t="n">
        <v>44889</v>
      </c>
      <c r="C366" s="1" t="n">
        <v>45363</v>
      </c>
      <c r="D366" t="inlineStr">
        <is>
          <t>VÄSTERNORRLANDS LÄN</t>
        </is>
      </c>
      <c r="E366" t="inlineStr">
        <is>
          <t>TIMRÅ</t>
        </is>
      </c>
      <c r="G366" t="n">
        <v>9.6</v>
      </c>
      <c r="H366" t="n">
        <v>0</v>
      </c>
      <c r="I366" t="n">
        <v>0</v>
      </c>
      <c r="J366" t="n">
        <v>0</v>
      </c>
      <c r="K366" t="n">
        <v>0</v>
      </c>
      <c r="L366" t="n">
        <v>0</v>
      </c>
      <c r="M366" t="n">
        <v>0</v>
      </c>
      <c r="N366" t="n">
        <v>0</v>
      </c>
      <c r="O366" t="n">
        <v>0</v>
      </c>
      <c r="P366" t="n">
        <v>0</v>
      </c>
      <c r="Q366" t="n">
        <v>0</v>
      </c>
      <c r="R366" s="2" t="inlineStr"/>
    </row>
    <row r="367" ht="15" customHeight="1">
      <c r="A367" t="inlineStr">
        <is>
          <t>A 57380-2022</t>
        </is>
      </c>
      <c r="B367" s="1" t="n">
        <v>44889</v>
      </c>
      <c r="C367" s="1" t="n">
        <v>45363</v>
      </c>
      <c r="D367" t="inlineStr">
        <is>
          <t>VÄSTERNORRLANDS LÄN</t>
        </is>
      </c>
      <c r="E367" t="inlineStr">
        <is>
          <t>TIMRÅ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56410-2022</t>
        </is>
      </c>
      <c r="B368" s="1" t="n">
        <v>44890</v>
      </c>
      <c r="C368" s="1" t="n">
        <v>45363</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56723-2022</t>
        </is>
      </c>
      <c r="B369" s="1" t="n">
        <v>44893</v>
      </c>
      <c r="C369" s="1" t="n">
        <v>45363</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57268-2022</t>
        </is>
      </c>
      <c r="B370" s="1" t="n">
        <v>44895</v>
      </c>
      <c r="C370" s="1" t="n">
        <v>45363</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57841-2022</t>
        </is>
      </c>
      <c r="B371" s="1" t="n">
        <v>44897</v>
      </c>
      <c r="C371" s="1" t="n">
        <v>45363</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57840-2022</t>
        </is>
      </c>
      <c r="B372" s="1" t="n">
        <v>44897</v>
      </c>
      <c r="C372" s="1" t="n">
        <v>45363</v>
      </c>
      <c r="D372" t="inlineStr">
        <is>
          <t>VÄSTERNORRLANDS LÄN</t>
        </is>
      </c>
      <c r="E372" t="inlineStr">
        <is>
          <t>TIMRÅ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58188-2022</t>
        </is>
      </c>
      <c r="B373" s="1" t="n">
        <v>44900</v>
      </c>
      <c r="C373" s="1" t="n">
        <v>45363</v>
      </c>
      <c r="D373" t="inlineStr">
        <is>
          <t>VÄSTERNORRLANDS LÄN</t>
        </is>
      </c>
      <c r="E373" t="inlineStr">
        <is>
          <t>TIMRÅ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59942-2022</t>
        </is>
      </c>
      <c r="B374" s="1" t="n">
        <v>44901</v>
      </c>
      <c r="C374" s="1" t="n">
        <v>45363</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59128-2022</t>
        </is>
      </c>
      <c r="B375" s="1" t="n">
        <v>44904</v>
      </c>
      <c r="C375" s="1" t="n">
        <v>45363</v>
      </c>
      <c r="D375" t="inlineStr">
        <is>
          <t>VÄSTERNORRLANDS LÄN</t>
        </is>
      </c>
      <c r="E375" t="inlineStr">
        <is>
          <t>TIMRÅ</t>
        </is>
      </c>
      <c r="G375" t="n">
        <v>9</v>
      </c>
      <c r="H375" t="n">
        <v>0</v>
      </c>
      <c r="I375" t="n">
        <v>0</v>
      </c>
      <c r="J375" t="n">
        <v>0</v>
      </c>
      <c r="K375" t="n">
        <v>0</v>
      </c>
      <c r="L375" t="n">
        <v>0</v>
      </c>
      <c r="M375" t="n">
        <v>0</v>
      </c>
      <c r="N375" t="n">
        <v>0</v>
      </c>
      <c r="O375" t="n">
        <v>0</v>
      </c>
      <c r="P375" t="n">
        <v>0</v>
      </c>
      <c r="Q375" t="n">
        <v>0</v>
      </c>
      <c r="R375" s="2" t="inlineStr"/>
    </row>
    <row r="376" ht="15" customHeight="1">
      <c r="A376" t="inlineStr">
        <is>
          <t>A 60166-2022</t>
        </is>
      </c>
      <c r="B376" s="1" t="n">
        <v>44909</v>
      </c>
      <c r="C376" s="1" t="n">
        <v>45363</v>
      </c>
      <c r="D376" t="inlineStr">
        <is>
          <t>VÄSTERNORRLANDS LÄN</t>
        </is>
      </c>
      <c r="E376" t="inlineStr">
        <is>
          <t>TIMRÅ</t>
        </is>
      </c>
      <c r="G376" t="n">
        <v>1.8</v>
      </c>
      <c r="H376" t="n">
        <v>0</v>
      </c>
      <c r="I376" t="n">
        <v>0</v>
      </c>
      <c r="J376" t="n">
        <v>0</v>
      </c>
      <c r="K376" t="n">
        <v>0</v>
      </c>
      <c r="L376" t="n">
        <v>0</v>
      </c>
      <c r="M376" t="n">
        <v>0</v>
      </c>
      <c r="N376" t="n">
        <v>0</v>
      </c>
      <c r="O376" t="n">
        <v>0</v>
      </c>
      <c r="P376" t="n">
        <v>0</v>
      </c>
      <c r="Q376" t="n">
        <v>0</v>
      </c>
      <c r="R376" s="2" t="inlineStr"/>
    </row>
    <row r="377" ht="15" customHeight="1">
      <c r="A377" t="inlineStr">
        <is>
          <t>A 61576-2022</t>
        </is>
      </c>
      <c r="B377" s="1" t="n">
        <v>44910</v>
      </c>
      <c r="C377" s="1" t="n">
        <v>45363</v>
      </c>
      <c r="D377" t="inlineStr">
        <is>
          <t>VÄSTERNORRLANDS LÄN</t>
        </is>
      </c>
      <c r="E377" t="inlineStr">
        <is>
          <t>TIMRÅ</t>
        </is>
      </c>
      <c r="G377" t="n">
        <v>4</v>
      </c>
      <c r="H377" t="n">
        <v>0</v>
      </c>
      <c r="I377" t="n">
        <v>0</v>
      </c>
      <c r="J377" t="n">
        <v>0</v>
      </c>
      <c r="K377" t="n">
        <v>0</v>
      </c>
      <c r="L377" t="n">
        <v>0</v>
      </c>
      <c r="M377" t="n">
        <v>0</v>
      </c>
      <c r="N377" t="n">
        <v>0</v>
      </c>
      <c r="O377" t="n">
        <v>0</v>
      </c>
      <c r="P377" t="n">
        <v>0</v>
      </c>
      <c r="Q377" t="n">
        <v>0</v>
      </c>
      <c r="R377" s="2" t="inlineStr"/>
    </row>
    <row r="378" ht="15" customHeight="1">
      <c r="A378" t="inlineStr">
        <is>
          <t>A 61373-2022</t>
        </is>
      </c>
      <c r="B378" s="1" t="n">
        <v>44915</v>
      </c>
      <c r="C378" s="1" t="n">
        <v>45363</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62113-2022</t>
        </is>
      </c>
      <c r="B379" s="1" t="n">
        <v>44921</v>
      </c>
      <c r="C379" s="1" t="n">
        <v>45363</v>
      </c>
      <c r="D379" t="inlineStr">
        <is>
          <t>VÄSTERNORRLANDS LÄN</t>
        </is>
      </c>
      <c r="E379" t="inlineStr">
        <is>
          <t>TIMRÅ</t>
        </is>
      </c>
      <c r="G379" t="n">
        <v>1</v>
      </c>
      <c r="H379" t="n">
        <v>0</v>
      </c>
      <c r="I379" t="n">
        <v>0</v>
      </c>
      <c r="J379" t="n">
        <v>0</v>
      </c>
      <c r="K379" t="n">
        <v>0</v>
      </c>
      <c r="L379" t="n">
        <v>0</v>
      </c>
      <c r="M379" t="n">
        <v>0</v>
      </c>
      <c r="N379" t="n">
        <v>0</v>
      </c>
      <c r="O379" t="n">
        <v>0</v>
      </c>
      <c r="P379" t="n">
        <v>0</v>
      </c>
      <c r="Q379" t="n">
        <v>0</v>
      </c>
      <c r="R379" s="2" t="inlineStr"/>
    </row>
    <row r="380" ht="15" customHeight="1">
      <c r="A380" t="inlineStr">
        <is>
          <t>A 528-2023</t>
        </is>
      </c>
      <c r="B380" s="1" t="n">
        <v>44924</v>
      </c>
      <c r="C380" s="1" t="n">
        <v>45363</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524-2023</t>
        </is>
      </c>
      <c r="B381" s="1" t="n">
        <v>44924</v>
      </c>
      <c r="C381" s="1" t="n">
        <v>45363</v>
      </c>
      <c r="D381" t="inlineStr">
        <is>
          <t>VÄSTERNORRLANDS LÄN</t>
        </is>
      </c>
      <c r="E381" t="inlineStr">
        <is>
          <t>TIMRÅ</t>
        </is>
      </c>
      <c r="G381" t="n">
        <v>3</v>
      </c>
      <c r="H381" t="n">
        <v>0</v>
      </c>
      <c r="I381" t="n">
        <v>0</v>
      </c>
      <c r="J381" t="n">
        <v>0</v>
      </c>
      <c r="K381" t="n">
        <v>0</v>
      </c>
      <c r="L381" t="n">
        <v>0</v>
      </c>
      <c r="M381" t="n">
        <v>0</v>
      </c>
      <c r="N381" t="n">
        <v>0</v>
      </c>
      <c r="O381" t="n">
        <v>0</v>
      </c>
      <c r="P381" t="n">
        <v>0</v>
      </c>
      <c r="Q381" t="n">
        <v>0</v>
      </c>
      <c r="R381" s="2" t="inlineStr"/>
    </row>
    <row r="382" ht="15" customHeight="1">
      <c r="A382" t="inlineStr">
        <is>
          <t>A 704-2023</t>
        </is>
      </c>
      <c r="B382" s="1" t="n">
        <v>44930</v>
      </c>
      <c r="C382" s="1" t="n">
        <v>45363</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1416-2023</t>
        </is>
      </c>
      <c r="B383" s="1" t="n">
        <v>44936</v>
      </c>
      <c r="C383" s="1" t="n">
        <v>45363</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1415-2023</t>
        </is>
      </c>
      <c r="B384" s="1" t="n">
        <v>44936</v>
      </c>
      <c r="C384" s="1" t="n">
        <v>45363</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1896-2023</t>
        </is>
      </c>
      <c r="B385" s="1" t="n">
        <v>44939</v>
      </c>
      <c r="C385" s="1" t="n">
        <v>45363</v>
      </c>
      <c r="D385" t="inlineStr">
        <is>
          <t>VÄSTERNORRLANDS LÄN</t>
        </is>
      </c>
      <c r="E385" t="inlineStr">
        <is>
          <t>TIMRÅ</t>
        </is>
      </c>
      <c r="G385" t="n">
        <v>7.6</v>
      </c>
      <c r="H385" t="n">
        <v>0</v>
      </c>
      <c r="I385" t="n">
        <v>0</v>
      </c>
      <c r="J385" t="n">
        <v>0</v>
      </c>
      <c r="K385" t="n">
        <v>0</v>
      </c>
      <c r="L385" t="n">
        <v>0</v>
      </c>
      <c r="M385" t="n">
        <v>0</v>
      </c>
      <c r="N385" t="n">
        <v>0</v>
      </c>
      <c r="O385" t="n">
        <v>0</v>
      </c>
      <c r="P385" t="n">
        <v>0</v>
      </c>
      <c r="Q385" t="n">
        <v>0</v>
      </c>
      <c r="R385" s="2" t="inlineStr"/>
    </row>
    <row r="386" ht="15" customHeight="1">
      <c r="A386" t="inlineStr">
        <is>
          <t>A 1935-2023</t>
        </is>
      </c>
      <c r="B386" s="1" t="n">
        <v>44939</v>
      </c>
      <c r="C386" s="1" t="n">
        <v>45363</v>
      </c>
      <c r="D386" t="inlineStr">
        <is>
          <t>VÄSTERNORRLANDS LÄN</t>
        </is>
      </c>
      <c r="E386" t="inlineStr">
        <is>
          <t>TIMRÅ</t>
        </is>
      </c>
      <c r="G386" t="n">
        <v>5</v>
      </c>
      <c r="H386" t="n">
        <v>0</v>
      </c>
      <c r="I386" t="n">
        <v>0</v>
      </c>
      <c r="J386" t="n">
        <v>0</v>
      </c>
      <c r="K386" t="n">
        <v>0</v>
      </c>
      <c r="L386" t="n">
        <v>0</v>
      </c>
      <c r="M386" t="n">
        <v>0</v>
      </c>
      <c r="N386" t="n">
        <v>0</v>
      </c>
      <c r="O386" t="n">
        <v>0</v>
      </c>
      <c r="P386" t="n">
        <v>0</v>
      </c>
      <c r="Q386" t="n">
        <v>0</v>
      </c>
      <c r="R386" s="2" t="inlineStr"/>
    </row>
    <row r="387" ht="15" customHeight="1">
      <c r="A387" t="inlineStr">
        <is>
          <t>A 2434-2023</t>
        </is>
      </c>
      <c r="B387" s="1" t="n">
        <v>44943</v>
      </c>
      <c r="C387" s="1" t="n">
        <v>45363</v>
      </c>
      <c r="D387" t="inlineStr">
        <is>
          <t>VÄSTERNORRLANDS LÄN</t>
        </is>
      </c>
      <c r="E387" t="inlineStr">
        <is>
          <t>TIMRÅ</t>
        </is>
      </c>
      <c r="G387" t="n">
        <v>6.6</v>
      </c>
      <c r="H387" t="n">
        <v>0</v>
      </c>
      <c r="I387" t="n">
        <v>0</v>
      </c>
      <c r="J387" t="n">
        <v>0</v>
      </c>
      <c r="K387" t="n">
        <v>0</v>
      </c>
      <c r="L387" t="n">
        <v>0</v>
      </c>
      <c r="M387" t="n">
        <v>0</v>
      </c>
      <c r="N387" t="n">
        <v>0</v>
      </c>
      <c r="O387" t="n">
        <v>0</v>
      </c>
      <c r="P387" t="n">
        <v>0</v>
      </c>
      <c r="Q387" t="n">
        <v>0</v>
      </c>
      <c r="R387" s="2" t="inlineStr"/>
    </row>
    <row r="388" ht="15" customHeight="1">
      <c r="A388" t="inlineStr">
        <is>
          <t>A 4124-2023</t>
        </is>
      </c>
      <c r="B388" s="1" t="n">
        <v>44952</v>
      </c>
      <c r="C388" s="1" t="n">
        <v>45363</v>
      </c>
      <c r="D388" t="inlineStr">
        <is>
          <t>VÄSTERNORRLANDS LÄN</t>
        </is>
      </c>
      <c r="E388" t="inlineStr">
        <is>
          <t>TIMRÅ</t>
        </is>
      </c>
      <c r="G388" t="n">
        <v>4.4</v>
      </c>
      <c r="H388" t="n">
        <v>0</v>
      </c>
      <c r="I388" t="n">
        <v>0</v>
      </c>
      <c r="J388" t="n">
        <v>0</v>
      </c>
      <c r="K388" t="n">
        <v>0</v>
      </c>
      <c r="L388" t="n">
        <v>0</v>
      </c>
      <c r="M388" t="n">
        <v>0</v>
      </c>
      <c r="N388" t="n">
        <v>0</v>
      </c>
      <c r="O388" t="n">
        <v>0</v>
      </c>
      <c r="P388" t="n">
        <v>0</v>
      </c>
      <c r="Q388" t="n">
        <v>0</v>
      </c>
      <c r="R388" s="2" t="inlineStr"/>
    </row>
    <row r="389" ht="15" customHeight="1">
      <c r="A389" t="inlineStr">
        <is>
          <t>A 4123-2023</t>
        </is>
      </c>
      <c r="B389" s="1" t="n">
        <v>44952</v>
      </c>
      <c r="C389" s="1" t="n">
        <v>45363</v>
      </c>
      <c r="D389" t="inlineStr">
        <is>
          <t>VÄSTERNORRLANDS LÄN</t>
        </is>
      </c>
      <c r="E389" t="inlineStr">
        <is>
          <t>TIMRÅ</t>
        </is>
      </c>
      <c r="G389" t="n">
        <v>9.5</v>
      </c>
      <c r="H389" t="n">
        <v>0</v>
      </c>
      <c r="I389" t="n">
        <v>0</v>
      </c>
      <c r="J389" t="n">
        <v>0</v>
      </c>
      <c r="K389" t="n">
        <v>0</v>
      </c>
      <c r="L389" t="n">
        <v>0</v>
      </c>
      <c r="M389" t="n">
        <v>0</v>
      </c>
      <c r="N389" t="n">
        <v>0</v>
      </c>
      <c r="O389" t="n">
        <v>0</v>
      </c>
      <c r="P389" t="n">
        <v>0</v>
      </c>
      <c r="Q389" t="n">
        <v>0</v>
      </c>
      <c r="R389" s="2" t="inlineStr"/>
    </row>
    <row r="390" ht="15" customHeight="1">
      <c r="A390" t="inlineStr">
        <is>
          <t>A 4126-2023</t>
        </is>
      </c>
      <c r="B390" s="1" t="n">
        <v>44952</v>
      </c>
      <c r="C390" s="1" t="n">
        <v>45363</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4125-2023</t>
        </is>
      </c>
      <c r="B391" s="1" t="n">
        <v>44952</v>
      </c>
      <c r="C391" s="1" t="n">
        <v>45363</v>
      </c>
      <c r="D391" t="inlineStr">
        <is>
          <t>VÄSTERNORRLANDS LÄN</t>
        </is>
      </c>
      <c r="E391" t="inlineStr">
        <is>
          <t>TIMRÅ</t>
        </is>
      </c>
      <c r="G391" t="n">
        <v>2.3</v>
      </c>
      <c r="H391" t="n">
        <v>0</v>
      </c>
      <c r="I391" t="n">
        <v>0</v>
      </c>
      <c r="J391" t="n">
        <v>0</v>
      </c>
      <c r="K391" t="n">
        <v>0</v>
      </c>
      <c r="L391" t="n">
        <v>0</v>
      </c>
      <c r="M391" t="n">
        <v>0</v>
      </c>
      <c r="N391" t="n">
        <v>0</v>
      </c>
      <c r="O391" t="n">
        <v>0</v>
      </c>
      <c r="P391" t="n">
        <v>0</v>
      </c>
      <c r="Q391" t="n">
        <v>0</v>
      </c>
      <c r="R391" s="2" t="inlineStr"/>
    </row>
    <row r="392" ht="15" customHeight="1">
      <c r="A392" t="inlineStr">
        <is>
          <t>A 4129-2023</t>
        </is>
      </c>
      <c r="B392" s="1" t="n">
        <v>44952</v>
      </c>
      <c r="C392" s="1" t="n">
        <v>45363</v>
      </c>
      <c r="D392" t="inlineStr">
        <is>
          <t>VÄSTERNORRLANDS LÄN</t>
        </is>
      </c>
      <c r="E392" t="inlineStr">
        <is>
          <t>TIMRÅ</t>
        </is>
      </c>
      <c r="G392" t="n">
        <v>13.3</v>
      </c>
      <c r="H392" t="n">
        <v>0</v>
      </c>
      <c r="I392" t="n">
        <v>0</v>
      </c>
      <c r="J392" t="n">
        <v>0</v>
      </c>
      <c r="K392" t="n">
        <v>0</v>
      </c>
      <c r="L392" t="n">
        <v>0</v>
      </c>
      <c r="M392" t="n">
        <v>0</v>
      </c>
      <c r="N392" t="n">
        <v>0</v>
      </c>
      <c r="O392" t="n">
        <v>0</v>
      </c>
      <c r="P392" t="n">
        <v>0</v>
      </c>
      <c r="Q392" t="n">
        <v>0</v>
      </c>
      <c r="R392" s="2" t="inlineStr"/>
    </row>
    <row r="393" ht="15" customHeight="1">
      <c r="A393" t="inlineStr">
        <is>
          <t>A 6772-2023</t>
        </is>
      </c>
      <c r="B393" s="1" t="n">
        <v>44966</v>
      </c>
      <c r="C393" s="1" t="n">
        <v>45363</v>
      </c>
      <c r="D393" t="inlineStr">
        <is>
          <t>VÄSTERNORRLANDS LÄN</t>
        </is>
      </c>
      <c r="E393" t="inlineStr">
        <is>
          <t>TIMRÅ</t>
        </is>
      </c>
      <c r="G393" t="n">
        <v>1.9</v>
      </c>
      <c r="H393" t="n">
        <v>0</v>
      </c>
      <c r="I393" t="n">
        <v>0</v>
      </c>
      <c r="J393" t="n">
        <v>0</v>
      </c>
      <c r="K393" t="n">
        <v>0</v>
      </c>
      <c r="L393" t="n">
        <v>0</v>
      </c>
      <c r="M393" t="n">
        <v>0</v>
      </c>
      <c r="N393" t="n">
        <v>0</v>
      </c>
      <c r="O393" t="n">
        <v>0</v>
      </c>
      <c r="P393" t="n">
        <v>0</v>
      </c>
      <c r="Q393" t="n">
        <v>0</v>
      </c>
      <c r="R393" s="2" t="inlineStr"/>
    </row>
    <row r="394" ht="15" customHeight="1">
      <c r="A394" t="inlineStr">
        <is>
          <t>A 6770-2023</t>
        </is>
      </c>
      <c r="B394" s="1" t="n">
        <v>44966</v>
      </c>
      <c r="C394" s="1" t="n">
        <v>45363</v>
      </c>
      <c r="D394" t="inlineStr">
        <is>
          <t>VÄSTERNORRLANDS LÄN</t>
        </is>
      </c>
      <c r="E394" t="inlineStr">
        <is>
          <t>TIMRÅ</t>
        </is>
      </c>
      <c r="G394" t="n">
        <v>3.3</v>
      </c>
      <c r="H394" t="n">
        <v>0</v>
      </c>
      <c r="I394" t="n">
        <v>0</v>
      </c>
      <c r="J394" t="n">
        <v>0</v>
      </c>
      <c r="K394" t="n">
        <v>0</v>
      </c>
      <c r="L394" t="n">
        <v>0</v>
      </c>
      <c r="M394" t="n">
        <v>0</v>
      </c>
      <c r="N394" t="n">
        <v>0</v>
      </c>
      <c r="O394" t="n">
        <v>0</v>
      </c>
      <c r="P394" t="n">
        <v>0</v>
      </c>
      <c r="Q394" t="n">
        <v>0</v>
      </c>
      <c r="R394" s="2" t="inlineStr"/>
    </row>
    <row r="395" ht="15" customHeight="1">
      <c r="A395" t="inlineStr">
        <is>
          <t>A 6771-2023</t>
        </is>
      </c>
      <c r="B395" s="1" t="n">
        <v>44966</v>
      </c>
      <c r="C395" s="1" t="n">
        <v>45363</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8632-2023</t>
        </is>
      </c>
      <c r="B396" s="1" t="n">
        <v>44977</v>
      </c>
      <c r="C396" s="1" t="n">
        <v>45363</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9612-2023</t>
        </is>
      </c>
      <c r="B397" s="1" t="n">
        <v>44983</v>
      </c>
      <c r="C397" s="1" t="n">
        <v>45363</v>
      </c>
      <c r="D397" t="inlineStr">
        <is>
          <t>VÄSTERNORRLANDS LÄN</t>
        </is>
      </c>
      <c r="E397" t="inlineStr">
        <is>
          <t>TIMRÅ</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9880-2023</t>
        </is>
      </c>
      <c r="B398" s="1" t="n">
        <v>44984</v>
      </c>
      <c r="C398" s="1" t="n">
        <v>45363</v>
      </c>
      <c r="D398" t="inlineStr">
        <is>
          <t>VÄSTERNORRLANDS LÄN</t>
        </is>
      </c>
      <c r="E398" t="inlineStr">
        <is>
          <t>TIMRÅ</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10103-2023</t>
        </is>
      </c>
      <c r="B399" s="1" t="n">
        <v>44985</v>
      </c>
      <c r="C399" s="1" t="n">
        <v>45363</v>
      </c>
      <c r="D399" t="inlineStr">
        <is>
          <t>VÄSTERNORRLANDS LÄN</t>
        </is>
      </c>
      <c r="E399" t="inlineStr">
        <is>
          <t>TIMRÅ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10104-2023</t>
        </is>
      </c>
      <c r="B400" s="1" t="n">
        <v>44985</v>
      </c>
      <c r="C400" s="1" t="n">
        <v>45363</v>
      </c>
      <c r="D400" t="inlineStr">
        <is>
          <t>VÄSTERNORRLANDS LÄN</t>
        </is>
      </c>
      <c r="E400" t="inlineStr">
        <is>
          <t>TIMRÅ</t>
        </is>
      </c>
      <c r="F400" t="inlineStr">
        <is>
          <t>SCA</t>
        </is>
      </c>
      <c r="G400" t="n">
        <v>10.5</v>
      </c>
      <c r="H400" t="n">
        <v>0</v>
      </c>
      <c r="I400" t="n">
        <v>0</v>
      </c>
      <c r="J400" t="n">
        <v>0</v>
      </c>
      <c r="K400" t="n">
        <v>0</v>
      </c>
      <c r="L400" t="n">
        <v>0</v>
      </c>
      <c r="M400" t="n">
        <v>0</v>
      </c>
      <c r="N400" t="n">
        <v>0</v>
      </c>
      <c r="O400" t="n">
        <v>0</v>
      </c>
      <c r="P400" t="n">
        <v>0</v>
      </c>
      <c r="Q400" t="n">
        <v>0</v>
      </c>
      <c r="R400" s="2" t="inlineStr"/>
    </row>
    <row r="401" ht="15" customHeight="1">
      <c r="A401" t="inlineStr">
        <is>
          <t>A 10312-2023</t>
        </is>
      </c>
      <c r="B401" s="1" t="n">
        <v>44986</v>
      </c>
      <c r="C401" s="1" t="n">
        <v>45363</v>
      </c>
      <c r="D401" t="inlineStr">
        <is>
          <t>VÄSTERNORRLANDS LÄN</t>
        </is>
      </c>
      <c r="E401" t="inlineStr">
        <is>
          <t>TIMRÅ</t>
        </is>
      </c>
      <c r="F401" t="inlineStr">
        <is>
          <t>SCA</t>
        </is>
      </c>
      <c r="G401" t="n">
        <v>38.4</v>
      </c>
      <c r="H401" t="n">
        <v>0</v>
      </c>
      <c r="I401" t="n">
        <v>0</v>
      </c>
      <c r="J401" t="n">
        <v>0</v>
      </c>
      <c r="K401" t="n">
        <v>0</v>
      </c>
      <c r="L401" t="n">
        <v>0</v>
      </c>
      <c r="M401" t="n">
        <v>0</v>
      </c>
      <c r="N401" t="n">
        <v>0</v>
      </c>
      <c r="O401" t="n">
        <v>0</v>
      </c>
      <c r="P401" t="n">
        <v>0</v>
      </c>
      <c r="Q401" t="n">
        <v>0</v>
      </c>
      <c r="R401" s="2" t="inlineStr"/>
    </row>
    <row r="402" ht="15" customHeight="1">
      <c r="A402" t="inlineStr">
        <is>
          <t>A 10556-2023</t>
        </is>
      </c>
      <c r="B402" s="1" t="n">
        <v>44987</v>
      </c>
      <c r="C402" s="1" t="n">
        <v>45363</v>
      </c>
      <c r="D402" t="inlineStr">
        <is>
          <t>VÄSTERNORRLANDS LÄN</t>
        </is>
      </c>
      <c r="E402" t="inlineStr">
        <is>
          <t>TIMRÅ</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10773-2023</t>
        </is>
      </c>
      <c r="B403" s="1" t="n">
        <v>44988</v>
      </c>
      <c r="C403" s="1" t="n">
        <v>45363</v>
      </c>
      <c r="D403" t="inlineStr">
        <is>
          <t>VÄSTERNORRLANDS LÄN</t>
        </is>
      </c>
      <c r="E403" t="inlineStr">
        <is>
          <t>TIMRÅ</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13256-2023</t>
        </is>
      </c>
      <c r="B404" s="1" t="n">
        <v>45002</v>
      </c>
      <c r="C404" s="1" t="n">
        <v>45363</v>
      </c>
      <c r="D404" t="inlineStr">
        <is>
          <t>VÄSTERNORRLANDS LÄN</t>
        </is>
      </c>
      <c r="E404" t="inlineStr">
        <is>
          <t>TIMRÅ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13254-2023</t>
        </is>
      </c>
      <c r="B405" s="1" t="n">
        <v>45002</v>
      </c>
      <c r="C405" s="1" t="n">
        <v>45363</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13255-2023</t>
        </is>
      </c>
      <c r="B406" s="1" t="n">
        <v>45002</v>
      </c>
      <c r="C406" s="1" t="n">
        <v>45363</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13253-2023</t>
        </is>
      </c>
      <c r="B407" s="1" t="n">
        <v>45002</v>
      </c>
      <c r="C407" s="1" t="n">
        <v>45363</v>
      </c>
      <c r="D407" t="inlineStr">
        <is>
          <t>VÄSTERNORRLANDS LÄN</t>
        </is>
      </c>
      <c r="E407" t="inlineStr">
        <is>
          <t>TIMRÅ</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13446-2023</t>
        </is>
      </c>
      <c r="B408" s="1" t="n">
        <v>45005</v>
      </c>
      <c r="C408" s="1" t="n">
        <v>45363</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14865-2023</t>
        </is>
      </c>
      <c r="B409" s="1" t="n">
        <v>45015</v>
      </c>
      <c r="C409" s="1" t="n">
        <v>45363</v>
      </c>
      <c r="D409" t="inlineStr">
        <is>
          <t>VÄSTERNORRLANDS LÄN</t>
        </is>
      </c>
      <c r="E409" t="inlineStr">
        <is>
          <t>TIMRÅ</t>
        </is>
      </c>
      <c r="F409" t="inlineStr">
        <is>
          <t>SCA</t>
        </is>
      </c>
      <c r="G409" t="n">
        <v>20.1</v>
      </c>
      <c r="H409" t="n">
        <v>0</v>
      </c>
      <c r="I409" t="n">
        <v>0</v>
      </c>
      <c r="J409" t="n">
        <v>0</v>
      </c>
      <c r="K409" t="n">
        <v>0</v>
      </c>
      <c r="L409" t="n">
        <v>0</v>
      </c>
      <c r="M409" t="n">
        <v>0</v>
      </c>
      <c r="N409" t="n">
        <v>0</v>
      </c>
      <c r="O409" t="n">
        <v>0</v>
      </c>
      <c r="P409" t="n">
        <v>0</v>
      </c>
      <c r="Q409" t="n">
        <v>0</v>
      </c>
      <c r="R409" s="2" t="inlineStr"/>
    </row>
    <row r="410" ht="15" customHeight="1">
      <c r="A410" t="inlineStr">
        <is>
          <t>A 14863-2023</t>
        </is>
      </c>
      <c r="B410" s="1" t="n">
        <v>45015</v>
      </c>
      <c r="C410" s="1" t="n">
        <v>45363</v>
      </c>
      <c r="D410" t="inlineStr">
        <is>
          <t>VÄSTERNORRLANDS LÄN</t>
        </is>
      </c>
      <c r="E410" t="inlineStr">
        <is>
          <t>TIMRÅ</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14864-2023</t>
        </is>
      </c>
      <c r="B411" s="1" t="n">
        <v>45015</v>
      </c>
      <c r="C411" s="1" t="n">
        <v>45363</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15815-2023</t>
        </is>
      </c>
      <c r="B412" s="1" t="n">
        <v>45022</v>
      </c>
      <c r="C412" s="1" t="n">
        <v>45363</v>
      </c>
      <c r="D412" t="inlineStr">
        <is>
          <t>VÄSTERNORRLANDS LÄN</t>
        </is>
      </c>
      <c r="E412" t="inlineStr">
        <is>
          <t>TIMRÅ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15820-2023</t>
        </is>
      </c>
      <c r="B413" s="1" t="n">
        <v>45022</v>
      </c>
      <c r="C413" s="1" t="n">
        <v>45363</v>
      </c>
      <c r="D413" t="inlineStr">
        <is>
          <t>VÄSTERNORRLANDS LÄN</t>
        </is>
      </c>
      <c r="E413" t="inlineStr">
        <is>
          <t>TIMRÅ</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15816-2023</t>
        </is>
      </c>
      <c r="B414" s="1" t="n">
        <v>45021</v>
      </c>
      <c r="C414" s="1" t="n">
        <v>45363</v>
      </c>
      <c r="D414" t="inlineStr">
        <is>
          <t>VÄSTERNORRLANDS LÄN</t>
        </is>
      </c>
      <c r="E414" t="inlineStr">
        <is>
          <t>TIMRÅ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15821-2023</t>
        </is>
      </c>
      <c r="B415" s="1" t="n">
        <v>45022</v>
      </c>
      <c r="C415" s="1" t="n">
        <v>45363</v>
      </c>
      <c r="D415" t="inlineStr">
        <is>
          <t>VÄSTERNORRLANDS LÄN</t>
        </is>
      </c>
      <c r="E415" t="inlineStr">
        <is>
          <t>TIMRÅ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15823-2023</t>
        </is>
      </c>
      <c r="B416" s="1" t="n">
        <v>45021</v>
      </c>
      <c r="C416" s="1" t="n">
        <v>45363</v>
      </c>
      <c r="D416" t="inlineStr">
        <is>
          <t>VÄSTERNORRLANDS LÄN</t>
        </is>
      </c>
      <c r="E416" t="inlineStr">
        <is>
          <t>TIMRÅ</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16554-2023</t>
        </is>
      </c>
      <c r="B417" s="1" t="n">
        <v>45029</v>
      </c>
      <c r="C417" s="1" t="n">
        <v>45363</v>
      </c>
      <c r="D417" t="inlineStr">
        <is>
          <t>VÄSTERNORRLANDS LÄN</t>
        </is>
      </c>
      <c r="E417" t="inlineStr">
        <is>
          <t>TIMRÅ</t>
        </is>
      </c>
      <c r="G417" t="n">
        <v>3.8</v>
      </c>
      <c r="H417" t="n">
        <v>0</v>
      </c>
      <c r="I417" t="n">
        <v>0</v>
      </c>
      <c r="J417" t="n">
        <v>0</v>
      </c>
      <c r="K417" t="n">
        <v>0</v>
      </c>
      <c r="L417" t="n">
        <v>0</v>
      </c>
      <c r="M417" t="n">
        <v>0</v>
      </c>
      <c r="N417" t="n">
        <v>0</v>
      </c>
      <c r="O417" t="n">
        <v>0</v>
      </c>
      <c r="P417" t="n">
        <v>0</v>
      </c>
      <c r="Q417" t="n">
        <v>0</v>
      </c>
      <c r="R417" s="2" t="inlineStr"/>
    </row>
    <row r="418" ht="15" customHeight="1">
      <c r="A418" t="inlineStr">
        <is>
          <t>A 16555-2023</t>
        </is>
      </c>
      <c r="B418" s="1" t="n">
        <v>45029</v>
      </c>
      <c r="C418" s="1" t="n">
        <v>45363</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16786-2023</t>
        </is>
      </c>
      <c r="B419" s="1" t="n">
        <v>45032</v>
      </c>
      <c r="C419" s="1" t="n">
        <v>45363</v>
      </c>
      <c r="D419" t="inlineStr">
        <is>
          <t>VÄSTERNORRLANDS LÄN</t>
        </is>
      </c>
      <c r="E419" t="inlineStr">
        <is>
          <t>TIMRÅ</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17002-2023</t>
        </is>
      </c>
      <c r="B420" s="1" t="n">
        <v>45033</v>
      </c>
      <c r="C420" s="1" t="n">
        <v>45363</v>
      </c>
      <c r="D420" t="inlineStr">
        <is>
          <t>VÄSTERNORRLANDS LÄN</t>
        </is>
      </c>
      <c r="E420" t="inlineStr">
        <is>
          <t>TIMRÅ</t>
        </is>
      </c>
      <c r="F420" t="inlineStr">
        <is>
          <t>SCA</t>
        </is>
      </c>
      <c r="G420" t="n">
        <v>12.7</v>
      </c>
      <c r="H420" t="n">
        <v>0</v>
      </c>
      <c r="I420" t="n">
        <v>0</v>
      </c>
      <c r="J420" t="n">
        <v>0</v>
      </c>
      <c r="K420" t="n">
        <v>0</v>
      </c>
      <c r="L420" t="n">
        <v>0</v>
      </c>
      <c r="M420" t="n">
        <v>0</v>
      </c>
      <c r="N420" t="n">
        <v>0</v>
      </c>
      <c r="O420" t="n">
        <v>0</v>
      </c>
      <c r="P420" t="n">
        <v>0</v>
      </c>
      <c r="Q420" t="n">
        <v>0</v>
      </c>
      <c r="R420" s="2" t="inlineStr"/>
    </row>
    <row r="421" ht="15" customHeight="1">
      <c r="A421" t="inlineStr">
        <is>
          <t>A 17441-2023</t>
        </is>
      </c>
      <c r="B421" s="1" t="n">
        <v>45036</v>
      </c>
      <c r="C421" s="1" t="n">
        <v>45363</v>
      </c>
      <c r="D421" t="inlineStr">
        <is>
          <t>VÄSTERNORRLANDS LÄN</t>
        </is>
      </c>
      <c r="E421" t="inlineStr">
        <is>
          <t>TIMRÅ</t>
        </is>
      </c>
      <c r="F421" t="inlineStr">
        <is>
          <t>SCA</t>
        </is>
      </c>
      <c r="G421" t="n">
        <v>7.4</v>
      </c>
      <c r="H421" t="n">
        <v>0</v>
      </c>
      <c r="I421" t="n">
        <v>0</v>
      </c>
      <c r="J421" t="n">
        <v>0</v>
      </c>
      <c r="K421" t="n">
        <v>0</v>
      </c>
      <c r="L421" t="n">
        <v>0</v>
      </c>
      <c r="M421" t="n">
        <v>0</v>
      </c>
      <c r="N421" t="n">
        <v>0</v>
      </c>
      <c r="O421" t="n">
        <v>0</v>
      </c>
      <c r="P421" t="n">
        <v>0</v>
      </c>
      <c r="Q421" t="n">
        <v>0</v>
      </c>
      <c r="R421" s="2" t="inlineStr"/>
    </row>
    <row r="422" ht="15" customHeight="1">
      <c r="A422" t="inlineStr">
        <is>
          <t>A 17865-2023</t>
        </is>
      </c>
      <c r="B422" s="1" t="n">
        <v>45038</v>
      </c>
      <c r="C422" s="1" t="n">
        <v>45363</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17936-2023</t>
        </is>
      </c>
      <c r="B423" s="1" t="n">
        <v>45040</v>
      </c>
      <c r="C423" s="1" t="n">
        <v>45363</v>
      </c>
      <c r="D423" t="inlineStr">
        <is>
          <t>VÄSTERNORRLANDS LÄN</t>
        </is>
      </c>
      <c r="E423" t="inlineStr">
        <is>
          <t>TIMRÅ</t>
        </is>
      </c>
      <c r="G423" t="n">
        <v>4.8</v>
      </c>
      <c r="H423" t="n">
        <v>0</v>
      </c>
      <c r="I423" t="n">
        <v>0</v>
      </c>
      <c r="J423" t="n">
        <v>0</v>
      </c>
      <c r="K423" t="n">
        <v>0</v>
      </c>
      <c r="L423" t="n">
        <v>0</v>
      </c>
      <c r="M423" t="n">
        <v>0</v>
      </c>
      <c r="N423" t="n">
        <v>0</v>
      </c>
      <c r="O423" t="n">
        <v>0</v>
      </c>
      <c r="P423" t="n">
        <v>0</v>
      </c>
      <c r="Q423" t="n">
        <v>0</v>
      </c>
      <c r="R423" s="2" t="inlineStr"/>
    </row>
    <row r="424" ht="15" customHeight="1">
      <c r="A424" t="inlineStr">
        <is>
          <t>A 18289-2023</t>
        </is>
      </c>
      <c r="B424" s="1" t="n">
        <v>45040</v>
      </c>
      <c r="C424" s="1" t="n">
        <v>45363</v>
      </c>
      <c r="D424" t="inlineStr">
        <is>
          <t>VÄSTERNORRLANDS LÄN</t>
        </is>
      </c>
      <c r="E424" t="inlineStr">
        <is>
          <t>TIMRÅ</t>
        </is>
      </c>
      <c r="G424" t="n">
        <v>4.5</v>
      </c>
      <c r="H424" t="n">
        <v>0</v>
      </c>
      <c r="I424" t="n">
        <v>0</v>
      </c>
      <c r="J424" t="n">
        <v>0</v>
      </c>
      <c r="K424" t="n">
        <v>0</v>
      </c>
      <c r="L424" t="n">
        <v>0</v>
      </c>
      <c r="M424" t="n">
        <v>0</v>
      </c>
      <c r="N424" t="n">
        <v>0</v>
      </c>
      <c r="O424" t="n">
        <v>0</v>
      </c>
      <c r="P424" t="n">
        <v>0</v>
      </c>
      <c r="Q424" t="n">
        <v>0</v>
      </c>
      <c r="R424" s="2" t="inlineStr"/>
    </row>
    <row r="425" ht="15" customHeight="1">
      <c r="A425" t="inlineStr">
        <is>
          <t>A 18684-2023</t>
        </is>
      </c>
      <c r="B425" s="1" t="n">
        <v>45042</v>
      </c>
      <c r="C425" s="1" t="n">
        <v>45363</v>
      </c>
      <c r="D425" t="inlineStr">
        <is>
          <t>VÄSTERNORRLANDS LÄN</t>
        </is>
      </c>
      <c r="E425" t="inlineStr">
        <is>
          <t>TIMRÅ</t>
        </is>
      </c>
      <c r="G425" t="n">
        <v>5.7</v>
      </c>
      <c r="H425" t="n">
        <v>0</v>
      </c>
      <c r="I425" t="n">
        <v>0</v>
      </c>
      <c r="J425" t="n">
        <v>0</v>
      </c>
      <c r="K425" t="n">
        <v>0</v>
      </c>
      <c r="L425" t="n">
        <v>0</v>
      </c>
      <c r="M425" t="n">
        <v>0</v>
      </c>
      <c r="N425" t="n">
        <v>0</v>
      </c>
      <c r="O425" t="n">
        <v>0</v>
      </c>
      <c r="P425" t="n">
        <v>0</v>
      </c>
      <c r="Q425" t="n">
        <v>0</v>
      </c>
      <c r="R425" s="2" t="inlineStr"/>
    </row>
    <row r="426" ht="15" customHeight="1">
      <c r="A426" t="inlineStr">
        <is>
          <t>A 18778-2023</t>
        </is>
      </c>
      <c r="B426" s="1" t="n">
        <v>45043</v>
      </c>
      <c r="C426" s="1" t="n">
        <v>45363</v>
      </c>
      <c r="D426" t="inlineStr">
        <is>
          <t>VÄSTERNORRLANDS LÄN</t>
        </is>
      </c>
      <c r="E426" t="inlineStr">
        <is>
          <t>TIMRÅ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19244-2023</t>
        </is>
      </c>
      <c r="B427" s="1" t="n">
        <v>45048</v>
      </c>
      <c r="C427" s="1" t="n">
        <v>45363</v>
      </c>
      <c r="D427" t="inlineStr">
        <is>
          <t>VÄSTERNORRLANDS LÄN</t>
        </is>
      </c>
      <c r="E427" t="inlineStr">
        <is>
          <t>TIMRÅ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19440-2023</t>
        </is>
      </c>
      <c r="B428" s="1" t="n">
        <v>45049</v>
      </c>
      <c r="C428" s="1" t="n">
        <v>45363</v>
      </c>
      <c r="D428" t="inlineStr">
        <is>
          <t>VÄSTERNORRLANDS LÄN</t>
        </is>
      </c>
      <c r="E428" t="inlineStr">
        <is>
          <t>TIMRÅ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20097-2023</t>
        </is>
      </c>
      <c r="B429" s="1" t="n">
        <v>45055</v>
      </c>
      <c r="C429" s="1" t="n">
        <v>45363</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20835-2023</t>
        </is>
      </c>
      <c r="B430" s="1" t="n">
        <v>45058</v>
      </c>
      <c r="C430" s="1" t="n">
        <v>45363</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20839-2023</t>
        </is>
      </c>
      <c r="B431" s="1" t="n">
        <v>45058</v>
      </c>
      <c r="C431" s="1" t="n">
        <v>45363</v>
      </c>
      <c r="D431" t="inlineStr">
        <is>
          <t>VÄSTERNORRLANDS LÄN</t>
        </is>
      </c>
      <c r="E431" t="inlineStr">
        <is>
          <t>TIMRÅ</t>
        </is>
      </c>
      <c r="G431" t="n">
        <v>7.2</v>
      </c>
      <c r="H431" t="n">
        <v>0</v>
      </c>
      <c r="I431" t="n">
        <v>0</v>
      </c>
      <c r="J431" t="n">
        <v>0</v>
      </c>
      <c r="K431" t="n">
        <v>0</v>
      </c>
      <c r="L431" t="n">
        <v>0</v>
      </c>
      <c r="M431" t="n">
        <v>0</v>
      </c>
      <c r="N431" t="n">
        <v>0</v>
      </c>
      <c r="O431" t="n">
        <v>0</v>
      </c>
      <c r="P431" t="n">
        <v>0</v>
      </c>
      <c r="Q431" t="n">
        <v>0</v>
      </c>
      <c r="R431" s="2" t="inlineStr"/>
    </row>
    <row r="432" ht="15" customHeight="1">
      <c r="A432" t="inlineStr">
        <is>
          <t>A 20837-2023</t>
        </is>
      </c>
      <c r="B432" s="1" t="n">
        <v>45058</v>
      </c>
      <c r="C432" s="1" t="n">
        <v>45363</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20841-2023</t>
        </is>
      </c>
      <c r="B433" s="1" t="n">
        <v>45058</v>
      </c>
      <c r="C433" s="1" t="n">
        <v>45363</v>
      </c>
      <c r="D433" t="inlineStr">
        <is>
          <t>VÄSTERNORRLANDS LÄN</t>
        </is>
      </c>
      <c r="E433" t="inlineStr">
        <is>
          <t>TIMRÅ</t>
        </is>
      </c>
      <c r="G433" t="n">
        <v>2.1</v>
      </c>
      <c r="H433" t="n">
        <v>0</v>
      </c>
      <c r="I433" t="n">
        <v>0</v>
      </c>
      <c r="J433" t="n">
        <v>0</v>
      </c>
      <c r="K433" t="n">
        <v>0</v>
      </c>
      <c r="L433" t="n">
        <v>0</v>
      </c>
      <c r="M433" t="n">
        <v>0</v>
      </c>
      <c r="N433" t="n">
        <v>0</v>
      </c>
      <c r="O433" t="n">
        <v>0</v>
      </c>
      <c r="P433" t="n">
        <v>0</v>
      </c>
      <c r="Q433" t="n">
        <v>0</v>
      </c>
      <c r="R433" s="2" t="inlineStr"/>
    </row>
    <row r="434" ht="15" customHeight="1">
      <c r="A434" t="inlineStr">
        <is>
          <t>A 20834-2023</t>
        </is>
      </c>
      <c r="B434" s="1" t="n">
        <v>45058</v>
      </c>
      <c r="C434" s="1" t="n">
        <v>45363</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20843-2023</t>
        </is>
      </c>
      <c r="B435" s="1" t="n">
        <v>45058</v>
      </c>
      <c r="C435" s="1" t="n">
        <v>45363</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20840-2023</t>
        </is>
      </c>
      <c r="B436" s="1" t="n">
        <v>45058</v>
      </c>
      <c r="C436" s="1" t="n">
        <v>45363</v>
      </c>
      <c r="D436" t="inlineStr">
        <is>
          <t>VÄSTERNORRLANDS LÄN</t>
        </is>
      </c>
      <c r="E436" t="inlineStr">
        <is>
          <t>TIMRÅ</t>
        </is>
      </c>
      <c r="G436" t="n">
        <v>3.1</v>
      </c>
      <c r="H436" t="n">
        <v>0</v>
      </c>
      <c r="I436" t="n">
        <v>0</v>
      </c>
      <c r="J436" t="n">
        <v>0</v>
      </c>
      <c r="K436" t="n">
        <v>0</v>
      </c>
      <c r="L436" t="n">
        <v>0</v>
      </c>
      <c r="M436" t="n">
        <v>0</v>
      </c>
      <c r="N436" t="n">
        <v>0</v>
      </c>
      <c r="O436" t="n">
        <v>0</v>
      </c>
      <c r="P436" t="n">
        <v>0</v>
      </c>
      <c r="Q436" t="n">
        <v>0</v>
      </c>
      <c r="R436" s="2" t="inlineStr"/>
    </row>
    <row r="437" ht="15" customHeight="1">
      <c r="A437" t="inlineStr">
        <is>
          <t>A 20844-2023</t>
        </is>
      </c>
      <c r="B437" s="1" t="n">
        <v>45058</v>
      </c>
      <c r="C437" s="1" t="n">
        <v>45363</v>
      </c>
      <c r="D437" t="inlineStr">
        <is>
          <t>VÄSTERNORRLANDS LÄN</t>
        </is>
      </c>
      <c r="E437" t="inlineStr">
        <is>
          <t>TIMRÅ</t>
        </is>
      </c>
      <c r="G437" t="n">
        <v>1.8</v>
      </c>
      <c r="H437" t="n">
        <v>0</v>
      </c>
      <c r="I437" t="n">
        <v>0</v>
      </c>
      <c r="J437" t="n">
        <v>0</v>
      </c>
      <c r="K437" t="n">
        <v>0</v>
      </c>
      <c r="L437" t="n">
        <v>0</v>
      </c>
      <c r="M437" t="n">
        <v>0</v>
      </c>
      <c r="N437" t="n">
        <v>0</v>
      </c>
      <c r="O437" t="n">
        <v>0</v>
      </c>
      <c r="P437" t="n">
        <v>0</v>
      </c>
      <c r="Q437" t="n">
        <v>0</v>
      </c>
      <c r="R437" s="2" t="inlineStr"/>
    </row>
    <row r="438" ht="15" customHeight="1">
      <c r="A438" t="inlineStr">
        <is>
          <t>A 20880-2023</t>
        </is>
      </c>
      <c r="B438" s="1" t="n">
        <v>45058</v>
      </c>
      <c r="C438" s="1" t="n">
        <v>45363</v>
      </c>
      <c r="D438" t="inlineStr">
        <is>
          <t>VÄSTERNORRLANDS LÄN</t>
        </is>
      </c>
      <c r="E438" t="inlineStr">
        <is>
          <t>TIMRÅ</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21356-2023</t>
        </is>
      </c>
      <c r="B439" s="1" t="n">
        <v>45063</v>
      </c>
      <c r="C439" s="1" t="n">
        <v>45363</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24305-2023</t>
        </is>
      </c>
      <c r="B440" s="1" t="n">
        <v>45080</v>
      </c>
      <c r="C440" s="1" t="n">
        <v>45363</v>
      </c>
      <c r="D440" t="inlineStr">
        <is>
          <t>VÄSTERNORRLANDS LÄN</t>
        </is>
      </c>
      <c r="E440" t="inlineStr">
        <is>
          <t>TIMRÅ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24304-2023</t>
        </is>
      </c>
      <c r="B441" s="1" t="n">
        <v>45079</v>
      </c>
      <c r="C441" s="1" t="n">
        <v>45363</v>
      </c>
      <c r="D441" t="inlineStr">
        <is>
          <t>VÄSTERNORRLANDS LÄN</t>
        </is>
      </c>
      <c r="E441" t="inlineStr">
        <is>
          <t>TIMRÅ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25301-2023</t>
        </is>
      </c>
      <c r="B442" s="1" t="n">
        <v>45086</v>
      </c>
      <c r="C442" s="1" t="n">
        <v>45363</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45363</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27489-2023</t>
        </is>
      </c>
      <c r="B444" s="1" t="n">
        <v>45092</v>
      </c>
      <c r="C444" s="1" t="n">
        <v>45363</v>
      </c>
      <c r="D444" t="inlineStr">
        <is>
          <t>VÄSTERNORRLANDS LÄN</t>
        </is>
      </c>
      <c r="E444" t="inlineStr">
        <is>
          <t>TIMRÅ</t>
        </is>
      </c>
      <c r="G444" t="n">
        <v>1.1</v>
      </c>
      <c r="H444" t="n">
        <v>0</v>
      </c>
      <c r="I444" t="n">
        <v>0</v>
      </c>
      <c r="J444" t="n">
        <v>0</v>
      </c>
      <c r="K444" t="n">
        <v>0</v>
      </c>
      <c r="L444" t="n">
        <v>0</v>
      </c>
      <c r="M444" t="n">
        <v>0</v>
      </c>
      <c r="N444" t="n">
        <v>0</v>
      </c>
      <c r="O444" t="n">
        <v>0</v>
      </c>
      <c r="P444" t="n">
        <v>0</v>
      </c>
      <c r="Q444" t="n">
        <v>0</v>
      </c>
      <c r="R444" s="2" t="inlineStr"/>
    </row>
    <row r="445" ht="15" customHeight="1">
      <c r="A445" t="inlineStr">
        <is>
          <t>A 26996-2023</t>
        </is>
      </c>
      <c r="B445" s="1" t="n">
        <v>45093</v>
      </c>
      <c r="C445" s="1" t="n">
        <v>45363</v>
      </c>
      <c r="D445" t="inlineStr">
        <is>
          <t>VÄSTERNORRLANDS LÄN</t>
        </is>
      </c>
      <c r="E445" t="inlineStr">
        <is>
          <t>TIMRÅ</t>
        </is>
      </c>
      <c r="G445" t="n">
        <v>8.4</v>
      </c>
      <c r="H445" t="n">
        <v>0</v>
      </c>
      <c r="I445" t="n">
        <v>0</v>
      </c>
      <c r="J445" t="n">
        <v>0</v>
      </c>
      <c r="K445" t="n">
        <v>0</v>
      </c>
      <c r="L445" t="n">
        <v>0</v>
      </c>
      <c r="M445" t="n">
        <v>0</v>
      </c>
      <c r="N445" t="n">
        <v>0</v>
      </c>
      <c r="O445" t="n">
        <v>0</v>
      </c>
      <c r="P445" t="n">
        <v>0</v>
      </c>
      <c r="Q445" t="n">
        <v>0</v>
      </c>
      <c r="R445" s="2" t="inlineStr"/>
    </row>
    <row r="446" ht="15" customHeight="1">
      <c r="A446" t="inlineStr">
        <is>
          <t>A 28007-2023</t>
        </is>
      </c>
      <c r="B446" s="1" t="n">
        <v>45098</v>
      </c>
      <c r="C446" s="1" t="n">
        <v>45363</v>
      </c>
      <c r="D446" t="inlineStr">
        <is>
          <t>VÄSTERNORRLANDS LÄN</t>
        </is>
      </c>
      <c r="E446" t="inlineStr">
        <is>
          <t>TIMRÅ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28373-2023</t>
        </is>
      </c>
      <c r="B447" s="1" t="n">
        <v>45100</v>
      </c>
      <c r="C447" s="1" t="n">
        <v>45363</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28372-2023</t>
        </is>
      </c>
      <c r="B448" s="1" t="n">
        <v>45100</v>
      </c>
      <c r="C448" s="1" t="n">
        <v>45363</v>
      </c>
      <c r="D448" t="inlineStr">
        <is>
          <t>VÄSTERNORRLANDS LÄN</t>
        </is>
      </c>
      <c r="E448" t="inlineStr">
        <is>
          <t>TIMRÅ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28370-2023</t>
        </is>
      </c>
      <c r="B449" s="1" t="n">
        <v>45100</v>
      </c>
      <c r="C449" s="1" t="n">
        <v>45363</v>
      </c>
      <c r="D449" t="inlineStr">
        <is>
          <t>VÄSTERNORRLANDS LÄN</t>
        </is>
      </c>
      <c r="E449" t="inlineStr">
        <is>
          <t>TIMRÅ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28381-2023</t>
        </is>
      </c>
      <c r="B450" s="1" t="n">
        <v>45099</v>
      </c>
      <c r="C450" s="1" t="n">
        <v>45363</v>
      </c>
      <c r="D450" t="inlineStr">
        <is>
          <t>VÄSTERNORRLANDS LÄN</t>
        </is>
      </c>
      <c r="E450" t="inlineStr">
        <is>
          <t>TIMRÅ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28369-2023</t>
        </is>
      </c>
      <c r="B451" s="1" t="n">
        <v>45099</v>
      </c>
      <c r="C451" s="1" t="n">
        <v>45363</v>
      </c>
      <c r="D451" t="inlineStr">
        <is>
          <t>VÄSTERNORRLANDS LÄN</t>
        </is>
      </c>
      <c r="E451" t="inlineStr">
        <is>
          <t>TIMRÅ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28371-2023</t>
        </is>
      </c>
      <c r="B452" s="1" t="n">
        <v>45100</v>
      </c>
      <c r="C452" s="1" t="n">
        <v>45363</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28734-2023</t>
        </is>
      </c>
      <c r="B453" s="1" t="n">
        <v>45104</v>
      </c>
      <c r="C453" s="1" t="n">
        <v>45363</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28750-2023</t>
        </is>
      </c>
      <c r="B454" s="1" t="n">
        <v>45104</v>
      </c>
      <c r="C454" s="1" t="n">
        <v>45363</v>
      </c>
      <c r="D454" t="inlineStr">
        <is>
          <t>VÄSTERNORRLANDS LÄN</t>
        </is>
      </c>
      <c r="E454" t="inlineStr">
        <is>
          <t>TIMRÅ</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31148-2023</t>
        </is>
      </c>
      <c r="B455" s="1" t="n">
        <v>45103</v>
      </c>
      <c r="C455" s="1" t="n">
        <v>45363</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31150-2023</t>
        </is>
      </c>
      <c r="B456" s="1" t="n">
        <v>45103</v>
      </c>
      <c r="C456" s="1" t="n">
        <v>45363</v>
      </c>
      <c r="D456" t="inlineStr">
        <is>
          <t>VÄSTERNORRLANDS LÄN</t>
        </is>
      </c>
      <c r="E456" t="inlineStr">
        <is>
          <t>TIMRÅ</t>
        </is>
      </c>
      <c r="G456" t="n">
        <v>0.3</v>
      </c>
      <c r="H456" t="n">
        <v>0</v>
      </c>
      <c r="I456" t="n">
        <v>0</v>
      </c>
      <c r="J456" t="n">
        <v>0</v>
      </c>
      <c r="K456" t="n">
        <v>0</v>
      </c>
      <c r="L456" t="n">
        <v>0</v>
      </c>
      <c r="M456" t="n">
        <v>0</v>
      </c>
      <c r="N456" t="n">
        <v>0</v>
      </c>
      <c r="O456" t="n">
        <v>0</v>
      </c>
      <c r="P456" t="n">
        <v>0</v>
      </c>
      <c r="Q456" t="n">
        <v>0</v>
      </c>
      <c r="R456" s="2" t="inlineStr"/>
    </row>
    <row r="457" ht="15" customHeight="1">
      <c r="A457" t="inlineStr">
        <is>
          <t>A 31154-2023</t>
        </is>
      </c>
      <c r="B457" s="1" t="n">
        <v>45103</v>
      </c>
      <c r="C457" s="1" t="n">
        <v>45363</v>
      </c>
      <c r="D457" t="inlineStr">
        <is>
          <t>VÄSTERNORRLANDS LÄN</t>
        </is>
      </c>
      <c r="E457" t="inlineStr">
        <is>
          <t>TIMRÅ</t>
        </is>
      </c>
      <c r="G457" t="n">
        <v>0.6</v>
      </c>
      <c r="H457" t="n">
        <v>0</v>
      </c>
      <c r="I457" t="n">
        <v>0</v>
      </c>
      <c r="J457" t="n">
        <v>0</v>
      </c>
      <c r="K457" t="n">
        <v>0</v>
      </c>
      <c r="L457" t="n">
        <v>0</v>
      </c>
      <c r="M457" t="n">
        <v>0</v>
      </c>
      <c r="N457" t="n">
        <v>0</v>
      </c>
      <c r="O457" t="n">
        <v>0</v>
      </c>
      <c r="P457" t="n">
        <v>0</v>
      </c>
      <c r="Q457" t="n">
        <v>0</v>
      </c>
      <c r="R457" s="2" t="inlineStr"/>
    </row>
    <row r="458" ht="15" customHeight="1">
      <c r="A458" t="inlineStr">
        <is>
          <t>A 31381-2023</t>
        </is>
      </c>
      <c r="B458" s="1" t="n">
        <v>45104</v>
      </c>
      <c r="C458" s="1" t="n">
        <v>45363</v>
      </c>
      <c r="D458" t="inlineStr">
        <is>
          <t>VÄSTERNORRLANDS LÄN</t>
        </is>
      </c>
      <c r="E458" t="inlineStr">
        <is>
          <t>TIMRÅ</t>
        </is>
      </c>
      <c r="G458" t="n">
        <v>5.6</v>
      </c>
      <c r="H458" t="n">
        <v>0</v>
      </c>
      <c r="I458" t="n">
        <v>0</v>
      </c>
      <c r="J458" t="n">
        <v>0</v>
      </c>
      <c r="K458" t="n">
        <v>0</v>
      </c>
      <c r="L458" t="n">
        <v>0</v>
      </c>
      <c r="M458" t="n">
        <v>0</v>
      </c>
      <c r="N458" t="n">
        <v>0</v>
      </c>
      <c r="O458" t="n">
        <v>0</v>
      </c>
      <c r="P458" t="n">
        <v>0</v>
      </c>
      <c r="Q458" t="n">
        <v>0</v>
      </c>
      <c r="R458" s="2" t="inlineStr"/>
    </row>
    <row r="459" ht="15" customHeight="1">
      <c r="A459" t="inlineStr">
        <is>
          <t>A 31474-2023</t>
        </is>
      </c>
      <c r="B459" s="1" t="n">
        <v>45104</v>
      </c>
      <c r="C459" s="1" t="n">
        <v>45363</v>
      </c>
      <c r="D459" t="inlineStr">
        <is>
          <t>VÄSTERNORRLANDS LÄN</t>
        </is>
      </c>
      <c r="E459" t="inlineStr">
        <is>
          <t>TIMRÅ</t>
        </is>
      </c>
      <c r="G459" t="n">
        <v>1.3</v>
      </c>
      <c r="H459" t="n">
        <v>0</v>
      </c>
      <c r="I459" t="n">
        <v>0</v>
      </c>
      <c r="J459" t="n">
        <v>0</v>
      </c>
      <c r="K459" t="n">
        <v>0</v>
      </c>
      <c r="L459" t="n">
        <v>0</v>
      </c>
      <c r="M459" t="n">
        <v>0</v>
      </c>
      <c r="N459" t="n">
        <v>0</v>
      </c>
      <c r="O459" t="n">
        <v>0</v>
      </c>
      <c r="P459" t="n">
        <v>0</v>
      </c>
      <c r="Q459" t="n">
        <v>0</v>
      </c>
      <c r="R459" s="2" t="inlineStr"/>
    </row>
    <row r="460" ht="15" customHeight="1">
      <c r="A460" t="inlineStr">
        <is>
          <t>A 31378-2023</t>
        </is>
      </c>
      <c r="B460" s="1" t="n">
        <v>45104</v>
      </c>
      <c r="C460" s="1" t="n">
        <v>45363</v>
      </c>
      <c r="D460" t="inlineStr">
        <is>
          <t>VÄSTERNORRLANDS LÄN</t>
        </is>
      </c>
      <c r="E460" t="inlineStr">
        <is>
          <t>TIMRÅ</t>
        </is>
      </c>
      <c r="G460" t="n">
        <v>2.8</v>
      </c>
      <c r="H460" t="n">
        <v>0</v>
      </c>
      <c r="I460" t="n">
        <v>0</v>
      </c>
      <c r="J460" t="n">
        <v>0</v>
      </c>
      <c r="K460" t="n">
        <v>0</v>
      </c>
      <c r="L460" t="n">
        <v>0</v>
      </c>
      <c r="M460" t="n">
        <v>0</v>
      </c>
      <c r="N460" t="n">
        <v>0</v>
      </c>
      <c r="O460" t="n">
        <v>0</v>
      </c>
      <c r="P460" t="n">
        <v>0</v>
      </c>
      <c r="Q460" t="n">
        <v>0</v>
      </c>
      <c r="R460" s="2" t="inlineStr"/>
    </row>
    <row r="461" ht="15" customHeight="1">
      <c r="A461" t="inlineStr">
        <is>
          <t>A 31343-2023</t>
        </is>
      </c>
      <c r="B461" s="1" t="n">
        <v>45104</v>
      </c>
      <c r="C461" s="1" t="n">
        <v>45363</v>
      </c>
      <c r="D461" t="inlineStr">
        <is>
          <t>VÄSTERNORRLANDS LÄN</t>
        </is>
      </c>
      <c r="E461" t="inlineStr">
        <is>
          <t>TIMRÅ</t>
        </is>
      </c>
      <c r="G461" t="n">
        <v>7.1</v>
      </c>
      <c r="H461" t="n">
        <v>0</v>
      </c>
      <c r="I461" t="n">
        <v>0</v>
      </c>
      <c r="J461" t="n">
        <v>0</v>
      </c>
      <c r="K461" t="n">
        <v>0</v>
      </c>
      <c r="L461" t="n">
        <v>0</v>
      </c>
      <c r="M461" t="n">
        <v>0</v>
      </c>
      <c r="N461" t="n">
        <v>0</v>
      </c>
      <c r="O461" t="n">
        <v>0</v>
      </c>
      <c r="P461" t="n">
        <v>0</v>
      </c>
      <c r="Q461" t="n">
        <v>0</v>
      </c>
      <c r="R461" s="2" t="inlineStr"/>
    </row>
    <row r="462" ht="15" customHeight="1">
      <c r="A462" t="inlineStr">
        <is>
          <t>A 31472-2023</t>
        </is>
      </c>
      <c r="B462" s="1" t="n">
        <v>45104</v>
      </c>
      <c r="C462" s="1" t="n">
        <v>45363</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29599-2023</t>
        </is>
      </c>
      <c r="B463" s="1" t="n">
        <v>45106</v>
      </c>
      <c r="C463" s="1" t="n">
        <v>45363</v>
      </c>
      <c r="D463" t="inlineStr">
        <is>
          <t>VÄSTERNORRLANDS LÄN</t>
        </is>
      </c>
      <c r="E463" t="inlineStr">
        <is>
          <t>TIMRÅ</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29948-2023</t>
        </is>
      </c>
      <c r="B464" s="1" t="n">
        <v>45107</v>
      </c>
      <c r="C464" s="1" t="n">
        <v>45363</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45363</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30315-2023</t>
        </is>
      </c>
      <c r="B466" s="1" t="n">
        <v>45110</v>
      </c>
      <c r="C466" s="1" t="n">
        <v>45363</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30298-2023</t>
        </is>
      </c>
      <c r="B467" s="1" t="n">
        <v>45110</v>
      </c>
      <c r="C467" s="1" t="n">
        <v>45363</v>
      </c>
      <c r="D467" t="inlineStr">
        <is>
          <t>VÄSTERNORRLANDS LÄN</t>
        </is>
      </c>
      <c r="E467" t="inlineStr">
        <is>
          <t>TIMRÅ</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30850-2023</t>
        </is>
      </c>
      <c r="B468" s="1" t="n">
        <v>45112</v>
      </c>
      <c r="C468" s="1" t="n">
        <v>45363</v>
      </c>
      <c r="D468" t="inlineStr">
        <is>
          <t>VÄSTERNORRLANDS LÄN</t>
        </is>
      </c>
      <c r="E468" t="inlineStr">
        <is>
          <t>TIMRÅ</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30835-2023</t>
        </is>
      </c>
      <c r="B469" s="1" t="n">
        <v>45113</v>
      </c>
      <c r="C469" s="1" t="n">
        <v>45363</v>
      </c>
      <c r="D469" t="inlineStr">
        <is>
          <t>VÄSTERNORRLANDS LÄN</t>
        </is>
      </c>
      <c r="E469" t="inlineStr">
        <is>
          <t>TIMRÅ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31562-2023</t>
        </is>
      </c>
      <c r="B470" s="1" t="n">
        <v>45117</v>
      </c>
      <c r="C470" s="1" t="n">
        <v>45363</v>
      </c>
      <c r="D470" t="inlineStr">
        <is>
          <t>VÄSTERNORRLANDS LÄN</t>
        </is>
      </c>
      <c r="E470" t="inlineStr">
        <is>
          <t>TIMRÅ</t>
        </is>
      </c>
      <c r="G470" t="n">
        <v>3.7</v>
      </c>
      <c r="H470" t="n">
        <v>0</v>
      </c>
      <c r="I470" t="n">
        <v>0</v>
      </c>
      <c r="J470" t="n">
        <v>0</v>
      </c>
      <c r="K470" t="n">
        <v>0</v>
      </c>
      <c r="L470" t="n">
        <v>0</v>
      </c>
      <c r="M470" t="n">
        <v>0</v>
      </c>
      <c r="N470" t="n">
        <v>0</v>
      </c>
      <c r="O470" t="n">
        <v>0</v>
      </c>
      <c r="P470" t="n">
        <v>0</v>
      </c>
      <c r="Q470" t="n">
        <v>0</v>
      </c>
      <c r="R470" s="2" t="inlineStr"/>
    </row>
    <row r="471" ht="15" customHeight="1">
      <c r="A471" t="inlineStr">
        <is>
          <t>A 31736-2023</t>
        </is>
      </c>
      <c r="B471" s="1" t="n">
        <v>45117</v>
      </c>
      <c r="C471" s="1" t="n">
        <v>45363</v>
      </c>
      <c r="D471" t="inlineStr">
        <is>
          <t>VÄSTERNORRLANDS LÄN</t>
        </is>
      </c>
      <c r="E471" t="inlineStr">
        <is>
          <t>TIMRÅ</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31741-2023</t>
        </is>
      </c>
      <c r="B472" s="1" t="n">
        <v>45117</v>
      </c>
      <c r="C472" s="1" t="n">
        <v>45363</v>
      </c>
      <c r="D472" t="inlineStr">
        <is>
          <t>VÄSTERNORRLANDS LÄN</t>
        </is>
      </c>
      <c r="E472" t="inlineStr">
        <is>
          <t>TIMRÅ</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32224-2023</t>
        </is>
      </c>
      <c r="B473" s="1" t="n">
        <v>45119</v>
      </c>
      <c r="C473" s="1" t="n">
        <v>45363</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32225-2023</t>
        </is>
      </c>
      <c r="B474" s="1" t="n">
        <v>45119</v>
      </c>
      <c r="C474" s="1" t="n">
        <v>45363</v>
      </c>
      <c r="D474" t="inlineStr">
        <is>
          <t>VÄSTERNORRLANDS LÄN</t>
        </is>
      </c>
      <c r="E474" t="inlineStr">
        <is>
          <t>TIMRÅ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32223-2023</t>
        </is>
      </c>
      <c r="B475" s="1" t="n">
        <v>45119</v>
      </c>
      <c r="C475" s="1" t="n">
        <v>45363</v>
      </c>
      <c r="D475" t="inlineStr">
        <is>
          <t>VÄSTERNORRLANDS LÄN</t>
        </is>
      </c>
      <c r="E475" t="inlineStr">
        <is>
          <t>TIMRÅ</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32226-2023</t>
        </is>
      </c>
      <c r="B476" s="1" t="n">
        <v>45119</v>
      </c>
      <c r="C476" s="1" t="n">
        <v>45363</v>
      </c>
      <c r="D476" t="inlineStr">
        <is>
          <t>VÄSTERNORRLANDS LÄN</t>
        </is>
      </c>
      <c r="E476" t="inlineStr">
        <is>
          <t>TIMRÅ</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32230-2023</t>
        </is>
      </c>
      <c r="B477" s="1" t="n">
        <v>45120</v>
      </c>
      <c r="C477" s="1" t="n">
        <v>45363</v>
      </c>
      <c r="D477" t="inlineStr">
        <is>
          <t>VÄSTERNORRLANDS LÄN</t>
        </is>
      </c>
      <c r="E477" t="inlineStr">
        <is>
          <t>TIMRÅ</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33667-2023</t>
        </is>
      </c>
      <c r="B478" s="1" t="n">
        <v>45119</v>
      </c>
      <c r="C478" s="1" t="n">
        <v>45363</v>
      </c>
      <c r="D478" t="inlineStr">
        <is>
          <t>VÄSTERNORRLANDS LÄN</t>
        </is>
      </c>
      <c r="E478" t="inlineStr">
        <is>
          <t>TIMRÅ</t>
        </is>
      </c>
      <c r="G478" t="n">
        <v>4.8</v>
      </c>
      <c r="H478" t="n">
        <v>0</v>
      </c>
      <c r="I478" t="n">
        <v>0</v>
      </c>
      <c r="J478" t="n">
        <v>0</v>
      </c>
      <c r="K478" t="n">
        <v>0</v>
      </c>
      <c r="L478" t="n">
        <v>0</v>
      </c>
      <c r="M478" t="n">
        <v>0</v>
      </c>
      <c r="N478" t="n">
        <v>0</v>
      </c>
      <c r="O478" t="n">
        <v>0</v>
      </c>
      <c r="P478" t="n">
        <v>0</v>
      </c>
      <c r="Q478" t="n">
        <v>0</v>
      </c>
      <c r="R478" s="2" t="inlineStr"/>
    </row>
    <row r="479" ht="15" customHeight="1">
      <c r="A479" t="inlineStr">
        <is>
          <t>A 33756-2023</t>
        </is>
      </c>
      <c r="B479" s="1" t="n">
        <v>45120</v>
      </c>
      <c r="C479" s="1" t="n">
        <v>45363</v>
      </c>
      <c r="D479" t="inlineStr">
        <is>
          <t>VÄSTERNORRLANDS LÄN</t>
        </is>
      </c>
      <c r="E479" t="inlineStr">
        <is>
          <t>TIMRÅ</t>
        </is>
      </c>
      <c r="G479" t="n">
        <v>10.5</v>
      </c>
      <c r="H479" t="n">
        <v>0</v>
      </c>
      <c r="I479" t="n">
        <v>0</v>
      </c>
      <c r="J479" t="n">
        <v>0</v>
      </c>
      <c r="K479" t="n">
        <v>0</v>
      </c>
      <c r="L479" t="n">
        <v>0</v>
      </c>
      <c r="M479" t="n">
        <v>0</v>
      </c>
      <c r="N479" t="n">
        <v>0</v>
      </c>
      <c r="O479" t="n">
        <v>0</v>
      </c>
      <c r="P479" t="n">
        <v>0</v>
      </c>
      <c r="Q479" t="n">
        <v>0</v>
      </c>
      <c r="R479" s="2" t="inlineStr"/>
    </row>
    <row r="480" ht="15" customHeight="1">
      <c r="A480" t="inlineStr">
        <is>
          <t>A 33043-2023</t>
        </is>
      </c>
      <c r="B480" s="1" t="n">
        <v>45125</v>
      </c>
      <c r="C480" s="1" t="n">
        <v>45363</v>
      </c>
      <c r="D480" t="inlineStr">
        <is>
          <t>VÄSTERNORRLANDS LÄN</t>
        </is>
      </c>
      <c r="E480" t="inlineStr">
        <is>
          <t>TIMRÅ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34172-2023</t>
        </is>
      </c>
      <c r="B481" s="1" t="n">
        <v>45126</v>
      </c>
      <c r="C481" s="1" t="n">
        <v>45363</v>
      </c>
      <c r="D481" t="inlineStr">
        <is>
          <t>VÄSTERNORRLANDS LÄN</t>
        </is>
      </c>
      <c r="E481" t="inlineStr">
        <is>
          <t>TIMRÅ</t>
        </is>
      </c>
      <c r="G481" t="n">
        <v>4</v>
      </c>
      <c r="H481" t="n">
        <v>0</v>
      </c>
      <c r="I481" t="n">
        <v>0</v>
      </c>
      <c r="J481" t="n">
        <v>0</v>
      </c>
      <c r="K481" t="n">
        <v>0</v>
      </c>
      <c r="L481" t="n">
        <v>0</v>
      </c>
      <c r="M481" t="n">
        <v>0</v>
      </c>
      <c r="N481" t="n">
        <v>0</v>
      </c>
      <c r="O481" t="n">
        <v>0</v>
      </c>
      <c r="P481" t="n">
        <v>0</v>
      </c>
      <c r="Q481" t="n">
        <v>0</v>
      </c>
      <c r="R481" s="2" t="inlineStr"/>
    </row>
    <row r="482" ht="15" customHeight="1">
      <c r="A482" t="inlineStr">
        <is>
          <t>A 35342-2023</t>
        </is>
      </c>
      <c r="B482" s="1" t="n">
        <v>45145</v>
      </c>
      <c r="C482" s="1" t="n">
        <v>45363</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35568-2023</t>
        </is>
      </c>
      <c r="B483" s="1" t="n">
        <v>45146</v>
      </c>
      <c r="C483" s="1" t="n">
        <v>45363</v>
      </c>
      <c r="D483" t="inlineStr">
        <is>
          <t>VÄSTERNORRLANDS LÄN</t>
        </is>
      </c>
      <c r="E483" t="inlineStr">
        <is>
          <t>TIMRÅ</t>
        </is>
      </c>
      <c r="G483" t="n">
        <v>3.2</v>
      </c>
      <c r="H483" t="n">
        <v>0</v>
      </c>
      <c r="I483" t="n">
        <v>0</v>
      </c>
      <c r="J483" t="n">
        <v>0</v>
      </c>
      <c r="K483" t="n">
        <v>0</v>
      </c>
      <c r="L483" t="n">
        <v>0</v>
      </c>
      <c r="M483" t="n">
        <v>0</v>
      </c>
      <c r="N483" t="n">
        <v>0</v>
      </c>
      <c r="O483" t="n">
        <v>0</v>
      </c>
      <c r="P483" t="n">
        <v>0</v>
      </c>
      <c r="Q483" t="n">
        <v>0</v>
      </c>
      <c r="R483" s="2" t="inlineStr"/>
    </row>
    <row r="484" ht="15" customHeight="1">
      <c r="A484" t="inlineStr">
        <is>
          <t>A 35763-2023</t>
        </is>
      </c>
      <c r="B484" s="1" t="n">
        <v>45147</v>
      </c>
      <c r="C484" s="1" t="n">
        <v>45363</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35939-2023</t>
        </is>
      </c>
      <c r="B485" s="1" t="n">
        <v>45148</v>
      </c>
      <c r="C485" s="1" t="n">
        <v>45363</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36228-2023</t>
        </is>
      </c>
      <c r="B486" s="1" t="n">
        <v>45149</v>
      </c>
      <c r="C486" s="1" t="n">
        <v>45363</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36992-2023</t>
        </is>
      </c>
      <c r="B487" s="1" t="n">
        <v>45154</v>
      </c>
      <c r="C487" s="1" t="n">
        <v>45363</v>
      </c>
      <c r="D487" t="inlineStr">
        <is>
          <t>VÄSTERNORRLANDS LÄN</t>
        </is>
      </c>
      <c r="E487" t="inlineStr">
        <is>
          <t>TIMRÅ</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36997-2023</t>
        </is>
      </c>
      <c r="B488" s="1" t="n">
        <v>45154</v>
      </c>
      <c r="C488" s="1" t="n">
        <v>45363</v>
      </c>
      <c r="D488" t="inlineStr">
        <is>
          <t>VÄSTERNORRLANDS LÄN</t>
        </is>
      </c>
      <c r="E488" t="inlineStr">
        <is>
          <t>TIMRÅ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37259-2023</t>
        </is>
      </c>
      <c r="B489" s="1" t="n">
        <v>45156</v>
      </c>
      <c r="C489" s="1" t="n">
        <v>45363</v>
      </c>
      <c r="D489" t="inlineStr">
        <is>
          <t>VÄSTERNORRLANDS LÄN</t>
        </is>
      </c>
      <c r="E489" t="inlineStr">
        <is>
          <t>TIMRÅ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37808-2023</t>
        </is>
      </c>
      <c r="B490" s="1" t="n">
        <v>45160</v>
      </c>
      <c r="C490" s="1" t="n">
        <v>45363</v>
      </c>
      <c r="D490" t="inlineStr">
        <is>
          <t>VÄSTERNORRLANDS LÄN</t>
        </is>
      </c>
      <c r="E490" t="inlineStr">
        <is>
          <t>TIMRÅ</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38423-2023</t>
        </is>
      </c>
      <c r="B491" s="1" t="n">
        <v>45160</v>
      </c>
      <c r="C491" s="1" t="n">
        <v>45363</v>
      </c>
      <c r="D491" t="inlineStr">
        <is>
          <t>VÄSTERNORRLANDS LÄN</t>
        </is>
      </c>
      <c r="E491" t="inlineStr">
        <is>
          <t>TIMRÅ</t>
        </is>
      </c>
      <c r="G491" t="n">
        <v>6.4</v>
      </c>
      <c r="H491" t="n">
        <v>0</v>
      </c>
      <c r="I491" t="n">
        <v>0</v>
      </c>
      <c r="J491" t="n">
        <v>0</v>
      </c>
      <c r="K491" t="n">
        <v>0</v>
      </c>
      <c r="L491" t="n">
        <v>0</v>
      </c>
      <c r="M491" t="n">
        <v>0</v>
      </c>
      <c r="N491" t="n">
        <v>0</v>
      </c>
      <c r="O491" t="n">
        <v>0</v>
      </c>
      <c r="P491" t="n">
        <v>0</v>
      </c>
      <c r="Q491" t="n">
        <v>0</v>
      </c>
      <c r="R491" s="2" t="inlineStr"/>
    </row>
    <row r="492" ht="15" customHeight="1">
      <c r="A492" t="inlineStr">
        <is>
          <t>A 38360-2023</t>
        </is>
      </c>
      <c r="B492" s="1" t="n">
        <v>45162</v>
      </c>
      <c r="C492" s="1" t="n">
        <v>45363</v>
      </c>
      <c r="D492" t="inlineStr">
        <is>
          <t>VÄSTERNORRLANDS LÄN</t>
        </is>
      </c>
      <c r="E492" t="inlineStr">
        <is>
          <t>TIMRÅ</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39073-2023</t>
        </is>
      </c>
      <c r="B493" s="1" t="n">
        <v>45163</v>
      </c>
      <c r="C493" s="1" t="n">
        <v>45363</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39081-2023</t>
        </is>
      </c>
      <c r="B494" s="1" t="n">
        <v>45163</v>
      </c>
      <c r="C494" s="1" t="n">
        <v>45363</v>
      </c>
      <c r="D494" t="inlineStr">
        <is>
          <t>VÄSTERNORRLANDS LÄN</t>
        </is>
      </c>
      <c r="E494" t="inlineStr">
        <is>
          <t>TIMRÅ</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39046-2023</t>
        </is>
      </c>
      <c r="B495" s="1" t="n">
        <v>45163</v>
      </c>
      <c r="C495" s="1" t="n">
        <v>45363</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39048-2023</t>
        </is>
      </c>
      <c r="B496" s="1" t="n">
        <v>45164</v>
      </c>
      <c r="C496" s="1" t="n">
        <v>45363</v>
      </c>
      <c r="D496" t="inlineStr">
        <is>
          <t>VÄSTERNORRLANDS LÄN</t>
        </is>
      </c>
      <c r="E496" t="inlineStr">
        <is>
          <t>TIMRÅ</t>
        </is>
      </c>
      <c r="G496" t="n">
        <v>5.1</v>
      </c>
      <c r="H496" t="n">
        <v>0</v>
      </c>
      <c r="I496" t="n">
        <v>0</v>
      </c>
      <c r="J496" t="n">
        <v>0</v>
      </c>
      <c r="K496" t="n">
        <v>0</v>
      </c>
      <c r="L496" t="n">
        <v>0</v>
      </c>
      <c r="M496" t="n">
        <v>0</v>
      </c>
      <c r="N496" t="n">
        <v>0</v>
      </c>
      <c r="O496" t="n">
        <v>0</v>
      </c>
      <c r="P496" t="n">
        <v>0</v>
      </c>
      <c r="Q496" t="n">
        <v>0</v>
      </c>
      <c r="R496" s="2" t="inlineStr"/>
    </row>
    <row r="497" ht="15" customHeight="1">
      <c r="A497" t="inlineStr">
        <is>
          <t>A 39072-2023</t>
        </is>
      </c>
      <c r="B497" s="1" t="n">
        <v>45163</v>
      </c>
      <c r="C497" s="1" t="n">
        <v>45363</v>
      </c>
      <c r="D497" t="inlineStr">
        <is>
          <t>VÄSTERNORRLANDS LÄN</t>
        </is>
      </c>
      <c r="E497" t="inlineStr">
        <is>
          <t>TIMRÅ</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39143-2023</t>
        </is>
      </c>
      <c r="B498" s="1" t="n">
        <v>45165</v>
      </c>
      <c r="C498" s="1" t="n">
        <v>45363</v>
      </c>
      <c r="D498" t="inlineStr">
        <is>
          <t>VÄSTERNORRLANDS LÄN</t>
        </is>
      </c>
      <c r="E498" t="inlineStr">
        <is>
          <t>TIMRÅ</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39142-2023</t>
        </is>
      </c>
      <c r="B499" s="1" t="n">
        <v>45165</v>
      </c>
      <c r="C499" s="1" t="n">
        <v>45363</v>
      </c>
      <c r="D499" t="inlineStr">
        <is>
          <t>VÄSTERNORRLANDS LÄN</t>
        </is>
      </c>
      <c r="E499" t="inlineStr">
        <is>
          <t>TIMRÅ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39693-2023</t>
        </is>
      </c>
      <c r="B500" s="1" t="n">
        <v>45166</v>
      </c>
      <c r="C500" s="1" t="n">
        <v>45363</v>
      </c>
      <c r="D500" t="inlineStr">
        <is>
          <t>VÄSTERNORRLANDS LÄN</t>
        </is>
      </c>
      <c r="E500" t="inlineStr">
        <is>
          <t>TIMRÅ</t>
        </is>
      </c>
      <c r="G500" t="n">
        <v>5.8</v>
      </c>
      <c r="H500" t="n">
        <v>0</v>
      </c>
      <c r="I500" t="n">
        <v>0</v>
      </c>
      <c r="J500" t="n">
        <v>0</v>
      </c>
      <c r="K500" t="n">
        <v>0</v>
      </c>
      <c r="L500" t="n">
        <v>0</v>
      </c>
      <c r="M500" t="n">
        <v>0</v>
      </c>
      <c r="N500" t="n">
        <v>0</v>
      </c>
      <c r="O500" t="n">
        <v>0</v>
      </c>
      <c r="P500" t="n">
        <v>0</v>
      </c>
      <c r="Q500" t="n">
        <v>0</v>
      </c>
      <c r="R500" s="2" t="inlineStr"/>
    </row>
    <row r="501" ht="15" customHeight="1">
      <c r="A501" t="inlineStr">
        <is>
          <t>A 39819-2023</t>
        </is>
      </c>
      <c r="B501" s="1" t="n">
        <v>45167</v>
      </c>
      <c r="C501" s="1" t="n">
        <v>45363</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40112-2023</t>
        </is>
      </c>
      <c r="B502" s="1" t="n">
        <v>45168</v>
      </c>
      <c r="C502" s="1" t="n">
        <v>45363</v>
      </c>
      <c r="D502" t="inlineStr">
        <is>
          <t>VÄSTERNORRLANDS LÄN</t>
        </is>
      </c>
      <c r="E502" t="inlineStr">
        <is>
          <t>TIMRÅ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40769-2023</t>
        </is>
      </c>
      <c r="B503" s="1" t="n">
        <v>45170</v>
      </c>
      <c r="C503" s="1" t="n">
        <v>45363</v>
      </c>
      <c r="D503" t="inlineStr">
        <is>
          <t>VÄSTERNORRLANDS LÄN</t>
        </is>
      </c>
      <c r="E503" t="inlineStr">
        <is>
          <t>TIMRÅ</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40773-2023</t>
        </is>
      </c>
      <c r="B504" s="1" t="n">
        <v>45171</v>
      </c>
      <c r="C504" s="1" t="n">
        <v>45363</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40774-2023</t>
        </is>
      </c>
      <c r="B505" s="1" t="n">
        <v>45171</v>
      </c>
      <c r="C505" s="1" t="n">
        <v>45363</v>
      </c>
      <c r="D505" t="inlineStr">
        <is>
          <t>VÄSTERNORRLANDS LÄN</t>
        </is>
      </c>
      <c r="E505" t="inlineStr">
        <is>
          <t>TIMRÅ</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40767-2023</t>
        </is>
      </c>
      <c r="B506" s="1" t="n">
        <v>45171</v>
      </c>
      <c r="C506" s="1" t="n">
        <v>45363</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40768-2023</t>
        </is>
      </c>
      <c r="B507" s="1" t="n">
        <v>45171</v>
      </c>
      <c r="C507" s="1" t="n">
        <v>45363</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41605-2023</t>
        </is>
      </c>
      <c r="B508" s="1" t="n">
        <v>45175</v>
      </c>
      <c r="C508" s="1" t="n">
        <v>45363</v>
      </c>
      <c r="D508" t="inlineStr">
        <is>
          <t>VÄSTERNORRLANDS LÄN</t>
        </is>
      </c>
      <c r="E508" t="inlineStr">
        <is>
          <t>TIMRÅ</t>
        </is>
      </c>
      <c r="G508" t="n">
        <v>1.6</v>
      </c>
      <c r="H508" t="n">
        <v>0</v>
      </c>
      <c r="I508" t="n">
        <v>0</v>
      </c>
      <c r="J508" t="n">
        <v>0</v>
      </c>
      <c r="K508" t="n">
        <v>0</v>
      </c>
      <c r="L508" t="n">
        <v>0</v>
      </c>
      <c r="M508" t="n">
        <v>0</v>
      </c>
      <c r="N508" t="n">
        <v>0</v>
      </c>
      <c r="O508" t="n">
        <v>0</v>
      </c>
      <c r="P508" t="n">
        <v>0</v>
      </c>
      <c r="Q508" t="n">
        <v>0</v>
      </c>
      <c r="R508" s="2" t="inlineStr"/>
    </row>
    <row r="509" ht="15" customHeight="1">
      <c r="A509" t="inlineStr">
        <is>
          <t>A 42161-2023</t>
        </is>
      </c>
      <c r="B509" s="1" t="n">
        <v>45178</v>
      </c>
      <c r="C509" s="1" t="n">
        <v>45363</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42513-2023</t>
        </is>
      </c>
      <c r="B510" s="1" t="n">
        <v>45180</v>
      </c>
      <c r="C510" s="1" t="n">
        <v>45363</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42516-2023</t>
        </is>
      </c>
      <c r="B511" s="1" t="n">
        <v>45180</v>
      </c>
      <c r="C511" s="1" t="n">
        <v>45363</v>
      </c>
      <c r="D511" t="inlineStr">
        <is>
          <t>VÄSTERNORRLANDS LÄN</t>
        </is>
      </c>
      <c r="E511" t="inlineStr">
        <is>
          <t>TIMRÅ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43124-2023</t>
        </is>
      </c>
      <c r="B512" s="1" t="n">
        <v>45182</v>
      </c>
      <c r="C512" s="1" t="n">
        <v>45363</v>
      </c>
      <c r="D512" t="inlineStr">
        <is>
          <t>VÄSTERNORRLANDS LÄN</t>
        </is>
      </c>
      <c r="E512" t="inlineStr">
        <is>
          <t>TIMRÅ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43130-2023</t>
        </is>
      </c>
      <c r="B513" s="1" t="n">
        <v>45183</v>
      </c>
      <c r="C513" s="1" t="n">
        <v>45363</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43128-2023</t>
        </is>
      </c>
      <c r="B514" s="1" t="n">
        <v>45182</v>
      </c>
      <c r="C514" s="1" t="n">
        <v>45363</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43113-2023</t>
        </is>
      </c>
      <c r="B515" s="1" t="n">
        <v>45182</v>
      </c>
      <c r="C515" s="1" t="n">
        <v>45363</v>
      </c>
      <c r="D515" t="inlineStr">
        <is>
          <t>VÄSTERNORRLANDS LÄN</t>
        </is>
      </c>
      <c r="E515" t="inlineStr">
        <is>
          <t>TIMRÅ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43129-2023</t>
        </is>
      </c>
      <c r="B516" s="1" t="n">
        <v>45182</v>
      </c>
      <c r="C516" s="1" t="n">
        <v>45363</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43411-2023</t>
        </is>
      </c>
      <c r="B517" s="1" t="n">
        <v>45183</v>
      </c>
      <c r="C517" s="1" t="n">
        <v>45363</v>
      </c>
      <c r="D517" t="inlineStr">
        <is>
          <t>VÄSTERNORRLANDS LÄN</t>
        </is>
      </c>
      <c r="E517" t="inlineStr">
        <is>
          <t>TIMRÅ</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43412-2023</t>
        </is>
      </c>
      <c r="B518" s="1" t="n">
        <v>45184</v>
      </c>
      <c r="C518" s="1" t="n">
        <v>45363</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43959-2023</t>
        </is>
      </c>
      <c r="B519" s="1" t="n">
        <v>45188</v>
      </c>
      <c r="C519" s="1" t="n">
        <v>45363</v>
      </c>
      <c r="D519" t="inlineStr">
        <is>
          <t>VÄSTERNORRLANDS LÄN</t>
        </is>
      </c>
      <c r="E519" t="inlineStr">
        <is>
          <t>TIMRÅ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43964-2023</t>
        </is>
      </c>
      <c r="B520" s="1" t="n">
        <v>45187</v>
      </c>
      <c r="C520" s="1" t="n">
        <v>45363</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43983-2023</t>
        </is>
      </c>
      <c r="B521" s="1" t="n">
        <v>45188</v>
      </c>
      <c r="C521" s="1" t="n">
        <v>45363</v>
      </c>
      <c r="D521" t="inlineStr">
        <is>
          <t>VÄSTERNORRLANDS LÄN</t>
        </is>
      </c>
      <c r="E521" t="inlineStr">
        <is>
          <t>TIMRÅ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43962-2023</t>
        </is>
      </c>
      <c r="B522" s="1" t="n">
        <v>45187</v>
      </c>
      <c r="C522" s="1" t="n">
        <v>45363</v>
      </c>
      <c r="D522" t="inlineStr">
        <is>
          <t>VÄSTERNORRLANDS LÄN</t>
        </is>
      </c>
      <c r="E522" t="inlineStr">
        <is>
          <t>TIMRÅ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43994-2023</t>
        </is>
      </c>
      <c r="B523" s="1" t="n">
        <v>45187</v>
      </c>
      <c r="C523" s="1" t="n">
        <v>45363</v>
      </c>
      <c r="D523" t="inlineStr">
        <is>
          <t>VÄSTERNORRLANDS LÄN</t>
        </is>
      </c>
      <c r="E523" t="inlineStr">
        <is>
          <t>TIMRÅ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44405-2023</t>
        </is>
      </c>
      <c r="B524" s="1" t="n">
        <v>45188</v>
      </c>
      <c r="C524" s="1" t="n">
        <v>45363</v>
      </c>
      <c r="D524" t="inlineStr">
        <is>
          <t>VÄSTERNORRLANDS LÄN</t>
        </is>
      </c>
      <c r="E524" t="inlineStr">
        <is>
          <t>TIMRÅ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44404-2023</t>
        </is>
      </c>
      <c r="B525" s="1" t="n">
        <v>45188</v>
      </c>
      <c r="C525" s="1" t="n">
        <v>45363</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44379-2023</t>
        </is>
      </c>
      <c r="B526" s="1" t="n">
        <v>45188</v>
      </c>
      <c r="C526" s="1" t="n">
        <v>45363</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44378-2023</t>
        </is>
      </c>
      <c r="B527" s="1" t="n">
        <v>45189</v>
      </c>
      <c r="C527" s="1" t="n">
        <v>45363</v>
      </c>
      <c r="D527" t="inlineStr">
        <is>
          <t>VÄSTERNORRLANDS LÄN</t>
        </is>
      </c>
      <c r="E527" t="inlineStr">
        <is>
          <t>TIMRÅ</t>
        </is>
      </c>
      <c r="G527" t="n">
        <v>0.6</v>
      </c>
      <c r="H527" t="n">
        <v>0</v>
      </c>
      <c r="I527" t="n">
        <v>0</v>
      </c>
      <c r="J527" t="n">
        <v>0</v>
      </c>
      <c r="K527" t="n">
        <v>0</v>
      </c>
      <c r="L527" t="n">
        <v>0</v>
      </c>
      <c r="M527" t="n">
        <v>0</v>
      </c>
      <c r="N527" t="n">
        <v>0</v>
      </c>
      <c r="O527" t="n">
        <v>0</v>
      </c>
      <c r="P527" t="n">
        <v>0</v>
      </c>
      <c r="Q527" t="n">
        <v>0</v>
      </c>
      <c r="R527" s="2" t="inlineStr"/>
    </row>
    <row r="528" ht="15" customHeight="1">
      <c r="A528" t="inlineStr">
        <is>
          <t>A 45774-2023</t>
        </is>
      </c>
      <c r="B528" s="1" t="n">
        <v>45189</v>
      </c>
      <c r="C528" s="1" t="n">
        <v>45363</v>
      </c>
      <c r="D528" t="inlineStr">
        <is>
          <t>VÄSTERNORRLANDS LÄN</t>
        </is>
      </c>
      <c r="E528" t="inlineStr">
        <is>
          <t>TIMRÅ</t>
        </is>
      </c>
      <c r="G528" t="n">
        <v>2.8</v>
      </c>
      <c r="H528" t="n">
        <v>0</v>
      </c>
      <c r="I528" t="n">
        <v>0</v>
      </c>
      <c r="J528" t="n">
        <v>0</v>
      </c>
      <c r="K528" t="n">
        <v>0</v>
      </c>
      <c r="L528" t="n">
        <v>0</v>
      </c>
      <c r="M528" t="n">
        <v>0</v>
      </c>
      <c r="N528" t="n">
        <v>0</v>
      </c>
      <c r="O528" t="n">
        <v>0</v>
      </c>
      <c r="P528" t="n">
        <v>0</v>
      </c>
      <c r="Q528" t="n">
        <v>0</v>
      </c>
      <c r="R528" s="2" t="inlineStr"/>
    </row>
    <row r="529" ht="15" customHeight="1">
      <c r="A529" t="inlineStr">
        <is>
          <t>A 44991-2023</t>
        </is>
      </c>
      <c r="B529" s="1" t="n">
        <v>45190</v>
      </c>
      <c r="C529" s="1" t="n">
        <v>45363</v>
      </c>
      <c r="D529" t="inlineStr">
        <is>
          <t>VÄSTERNORRLANDS LÄN</t>
        </is>
      </c>
      <c r="E529" t="inlineStr">
        <is>
          <t>TIMRÅ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44990-2023</t>
        </is>
      </c>
      <c r="B530" s="1" t="n">
        <v>45190</v>
      </c>
      <c r="C530" s="1" t="n">
        <v>45363</v>
      </c>
      <c r="D530" t="inlineStr">
        <is>
          <t>VÄSTERNORRLANDS LÄN</t>
        </is>
      </c>
      <c r="E530" t="inlineStr">
        <is>
          <t>TIMRÅ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45723-2023</t>
        </is>
      </c>
      <c r="B531" s="1" t="n">
        <v>45195</v>
      </c>
      <c r="C531" s="1" t="n">
        <v>45363</v>
      </c>
      <c r="D531" t="inlineStr">
        <is>
          <t>VÄSTERNORRLANDS LÄN</t>
        </is>
      </c>
      <c r="E531" t="inlineStr">
        <is>
          <t>TIMRÅ</t>
        </is>
      </c>
      <c r="G531" t="n">
        <v>0.9</v>
      </c>
      <c r="H531" t="n">
        <v>0</v>
      </c>
      <c r="I531" t="n">
        <v>0</v>
      </c>
      <c r="J531" t="n">
        <v>0</v>
      </c>
      <c r="K531" t="n">
        <v>0</v>
      </c>
      <c r="L531" t="n">
        <v>0</v>
      </c>
      <c r="M531" t="n">
        <v>0</v>
      </c>
      <c r="N531" t="n">
        <v>0</v>
      </c>
      <c r="O531" t="n">
        <v>0</v>
      </c>
      <c r="P531" t="n">
        <v>0</v>
      </c>
      <c r="Q531" t="n">
        <v>0</v>
      </c>
      <c r="R531" s="2" t="inlineStr"/>
    </row>
    <row r="532" ht="15" customHeight="1">
      <c r="A532" t="inlineStr">
        <is>
          <t>A 45739-2023</t>
        </is>
      </c>
      <c r="B532" s="1" t="n">
        <v>45195</v>
      </c>
      <c r="C532" s="1" t="n">
        <v>45363</v>
      </c>
      <c r="D532" t="inlineStr">
        <is>
          <t>VÄSTERNORRLANDS LÄN</t>
        </is>
      </c>
      <c r="E532" t="inlineStr">
        <is>
          <t>TIMRÅ</t>
        </is>
      </c>
      <c r="G532" t="n">
        <v>1.5</v>
      </c>
      <c r="H532" t="n">
        <v>0</v>
      </c>
      <c r="I532" t="n">
        <v>0</v>
      </c>
      <c r="J532" t="n">
        <v>0</v>
      </c>
      <c r="K532" t="n">
        <v>0</v>
      </c>
      <c r="L532" t="n">
        <v>0</v>
      </c>
      <c r="M532" t="n">
        <v>0</v>
      </c>
      <c r="N532" t="n">
        <v>0</v>
      </c>
      <c r="O532" t="n">
        <v>0</v>
      </c>
      <c r="P532" t="n">
        <v>0</v>
      </c>
      <c r="Q532" t="n">
        <v>0</v>
      </c>
      <c r="R532" s="2" t="inlineStr"/>
    </row>
    <row r="533" ht="15" customHeight="1">
      <c r="A533" t="inlineStr">
        <is>
          <t>A 47147-2023</t>
        </is>
      </c>
      <c r="B533" s="1" t="n">
        <v>45201</v>
      </c>
      <c r="C533" s="1" t="n">
        <v>45363</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47150-2023</t>
        </is>
      </c>
      <c r="B534" s="1" t="n">
        <v>45201</v>
      </c>
      <c r="C534" s="1" t="n">
        <v>45363</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48769-2023</t>
        </is>
      </c>
      <c r="B535" s="1" t="n">
        <v>45208</v>
      </c>
      <c r="C535" s="1" t="n">
        <v>45363</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48786-2023</t>
        </is>
      </c>
      <c r="B536" s="1" t="n">
        <v>45208</v>
      </c>
      <c r="C536" s="1" t="n">
        <v>45363</v>
      </c>
      <c r="D536" t="inlineStr">
        <is>
          <t>VÄSTERNORRLANDS LÄN</t>
        </is>
      </c>
      <c r="E536" t="inlineStr">
        <is>
          <t>TIMRÅ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48768-2023</t>
        </is>
      </c>
      <c r="B537" s="1" t="n">
        <v>45208</v>
      </c>
      <c r="C537" s="1" t="n">
        <v>45363</v>
      </c>
      <c r="D537" t="inlineStr">
        <is>
          <t>VÄSTERNORRLANDS LÄN</t>
        </is>
      </c>
      <c r="E537" t="inlineStr">
        <is>
          <t>TIMRÅ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48785-2023</t>
        </is>
      </c>
      <c r="B538" s="1" t="n">
        <v>45208</v>
      </c>
      <c r="C538" s="1" t="n">
        <v>45363</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48784-2023</t>
        </is>
      </c>
      <c r="B539" s="1" t="n">
        <v>45208</v>
      </c>
      <c r="C539" s="1" t="n">
        <v>45363</v>
      </c>
      <c r="D539" t="inlineStr">
        <is>
          <t>VÄSTERNORRLANDS LÄN</t>
        </is>
      </c>
      <c r="E539" t="inlineStr">
        <is>
          <t>TIMRÅ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50355-2023</t>
        </is>
      </c>
      <c r="B540" s="1" t="n">
        <v>45209</v>
      </c>
      <c r="C540" s="1" t="n">
        <v>45363</v>
      </c>
      <c r="D540" t="inlineStr">
        <is>
          <t>VÄSTERNORRLANDS LÄN</t>
        </is>
      </c>
      <c r="E540" t="inlineStr">
        <is>
          <t>TIMRÅ</t>
        </is>
      </c>
      <c r="G540" t="n">
        <v>1</v>
      </c>
      <c r="H540" t="n">
        <v>0</v>
      </c>
      <c r="I540" t="n">
        <v>0</v>
      </c>
      <c r="J540" t="n">
        <v>0</v>
      </c>
      <c r="K540" t="n">
        <v>0</v>
      </c>
      <c r="L540" t="n">
        <v>0</v>
      </c>
      <c r="M540" t="n">
        <v>0</v>
      </c>
      <c r="N540" t="n">
        <v>0</v>
      </c>
      <c r="O540" t="n">
        <v>0</v>
      </c>
      <c r="P540" t="n">
        <v>0</v>
      </c>
      <c r="Q540" t="n">
        <v>0</v>
      </c>
      <c r="R540" s="2" t="inlineStr"/>
    </row>
    <row r="541" ht="15" customHeight="1">
      <c r="A541" t="inlineStr">
        <is>
          <t>A 50638-2023</t>
        </is>
      </c>
      <c r="B541" s="1" t="n">
        <v>45210</v>
      </c>
      <c r="C541" s="1" t="n">
        <v>45363</v>
      </c>
      <c r="D541" t="inlineStr">
        <is>
          <t>VÄSTERNORRLANDS LÄN</t>
        </is>
      </c>
      <c r="E541" t="inlineStr">
        <is>
          <t>TIMRÅ</t>
        </is>
      </c>
      <c r="G541" t="n">
        <v>0.9</v>
      </c>
      <c r="H541" t="n">
        <v>0</v>
      </c>
      <c r="I541" t="n">
        <v>0</v>
      </c>
      <c r="J541" t="n">
        <v>0</v>
      </c>
      <c r="K541" t="n">
        <v>0</v>
      </c>
      <c r="L541" t="n">
        <v>0</v>
      </c>
      <c r="M541" t="n">
        <v>0</v>
      </c>
      <c r="N541" t="n">
        <v>0</v>
      </c>
      <c r="O541" t="n">
        <v>0</v>
      </c>
      <c r="P541" t="n">
        <v>0</v>
      </c>
      <c r="Q541" t="n">
        <v>0</v>
      </c>
      <c r="R541" s="2" t="inlineStr"/>
    </row>
    <row r="542" ht="15" customHeight="1">
      <c r="A542" t="inlineStr">
        <is>
          <t>A 50230-2023</t>
        </is>
      </c>
      <c r="B542" s="1" t="n">
        <v>45215</v>
      </c>
      <c r="C542" s="1" t="n">
        <v>45363</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51735-2023</t>
        </is>
      </c>
      <c r="B543" s="1" t="n">
        <v>45215</v>
      </c>
      <c r="C543" s="1" t="n">
        <v>45363</v>
      </c>
      <c r="D543" t="inlineStr">
        <is>
          <t>VÄSTERNORRLANDS LÄN</t>
        </is>
      </c>
      <c r="E543" t="inlineStr">
        <is>
          <t>TIMRÅ</t>
        </is>
      </c>
      <c r="G543" t="n">
        <v>8.5</v>
      </c>
      <c r="H543" t="n">
        <v>0</v>
      </c>
      <c r="I543" t="n">
        <v>0</v>
      </c>
      <c r="J543" t="n">
        <v>0</v>
      </c>
      <c r="K543" t="n">
        <v>0</v>
      </c>
      <c r="L543" t="n">
        <v>0</v>
      </c>
      <c r="M543" t="n">
        <v>0</v>
      </c>
      <c r="N543" t="n">
        <v>0</v>
      </c>
      <c r="O543" t="n">
        <v>0</v>
      </c>
      <c r="P543" t="n">
        <v>0</v>
      </c>
      <c r="Q543" t="n">
        <v>0</v>
      </c>
      <c r="R543" s="2" t="inlineStr"/>
    </row>
    <row r="544" ht="15" customHeight="1">
      <c r="A544" t="inlineStr">
        <is>
          <t>A 51871-2023</t>
        </is>
      </c>
      <c r="B544" s="1" t="n">
        <v>45215</v>
      </c>
      <c r="C544" s="1" t="n">
        <v>45363</v>
      </c>
      <c r="D544" t="inlineStr">
        <is>
          <t>VÄSTERNORRLANDS LÄN</t>
        </is>
      </c>
      <c r="E544" t="inlineStr">
        <is>
          <t>TIMRÅ</t>
        </is>
      </c>
      <c r="G544" t="n">
        <v>7.3</v>
      </c>
      <c r="H544" t="n">
        <v>0</v>
      </c>
      <c r="I544" t="n">
        <v>0</v>
      </c>
      <c r="J544" t="n">
        <v>0</v>
      </c>
      <c r="K544" t="n">
        <v>0</v>
      </c>
      <c r="L544" t="n">
        <v>0</v>
      </c>
      <c r="M544" t="n">
        <v>0</v>
      </c>
      <c r="N544" t="n">
        <v>0</v>
      </c>
      <c r="O544" t="n">
        <v>0</v>
      </c>
      <c r="P544" t="n">
        <v>0</v>
      </c>
      <c r="Q544" t="n">
        <v>0</v>
      </c>
      <c r="R544" s="2" t="inlineStr"/>
    </row>
    <row r="545" ht="15" customHeight="1">
      <c r="A545" t="inlineStr">
        <is>
          <t>A 51113-2023</t>
        </is>
      </c>
      <c r="B545" s="1" t="n">
        <v>45218</v>
      </c>
      <c r="C545" s="1" t="n">
        <v>45363</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53033-2023</t>
        </is>
      </c>
      <c r="B546" s="1" t="n">
        <v>45227</v>
      </c>
      <c r="C546" s="1" t="n">
        <v>45363</v>
      </c>
      <c r="D546" t="inlineStr">
        <is>
          <t>VÄSTERNORRLANDS LÄN</t>
        </is>
      </c>
      <c r="E546" t="inlineStr">
        <is>
          <t>TIMRÅ</t>
        </is>
      </c>
      <c r="G546" t="n">
        <v>3.4</v>
      </c>
      <c r="H546" t="n">
        <v>0</v>
      </c>
      <c r="I546" t="n">
        <v>0</v>
      </c>
      <c r="J546" t="n">
        <v>0</v>
      </c>
      <c r="K546" t="n">
        <v>0</v>
      </c>
      <c r="L546" t="n">
        <v>0</v>
      </c>
      <c r="M546" t="n">
        <v>0</v>
      </c>
      <c r="N546" t="n">
        <v>0</v>
      </c>
      <c r="O546" t="n">
        <v>0</v>
      </c>
      <c r="P546" t="n">
        <v>0</v>
      </c>
      <c r="Q546" t="n">
        <v>0</v>
      </c>
      <c r="R546" s="2" t="inlineStr"/>
    </row>
    <row r="547" ht="15" customHeight="1">
      <c r="A547" t="inlineStr">
        <is>
          <t>A 53448-2023</t>
        </is>
      </c>
      <c r="B547" s="1" t="n">
        <v>45230</v>
      </c>
      <c r="C547" s="1" t="n">
        <v>45363</v>
      </c>
      <c r="D547" t="inlineStr">
        <is>
          <t>VÄSTERNORRLANDS LÄN</t>
        </is>
      </c>
      <c r="E547" t="inlineStr">
        <is>
          <t>TIMRÅ</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53430-2023</t>
        </is>
      </c>
      <c r="B548" s="1" t="n">
        <v>45229</v>
      </c>
      <c r="C548" s="1" t="n">
        <v>45363</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53755-2023</t>
        </is>
      </c>
      <c r="B549" s="1" t="n">
        <v>45230</v>
      </c>
      <c r="C549" s="1" t="n">
        <v>45363</v>
      </c>
      <c r="D549" t="inlineStr">
        <is>
          <t>VÄSTERNORRLANDS LÄN</t>
        </is>
      </c>
      <c r="E549" t="inlineStr">
        <is>
          <t>TIMRÅ</t>
        </is>
      </c>
      <c r="G549" t="n">
        <v>6.5</v>
      </c>
      <c r="H549" t="n">
        <v>0</v>
      </c>
      <c r="I549" t="n">
        <v>0</v>
      </c>
      <c r="J549" t="n">
        <v>0</v>
      </c>
      <c r="K549" t="n">
        <v>0</v>
      </c>
      <c r="L549" t="n">
        <v>0</v>
      </c>
      <c r="M549" t="n">
        <v>0</v>
      </c>
      <c r="N549" t="n">
        <v>0</v>
      </c>
      <c r="O549" t="n">
        <v>0</v>
      </c>
      <c r="P549" t="n">
        <v>0</v>
      </c>
      <c r="Q549" t="n">
        <v>0</v>
      </c>
      <c r="R549" s="2" t="inlineStr"/>
    </row>
    <row r="550" ht="15" customHeight="1">
      <c r="A550" t="inlineStr">
        <is>
          <t>A 54040-2023</t>
        </is>
      </c>
      <c r="B550" s="1" t="n">
        <v>45231</v>
      </c>
      <c r="C550" s="1" t="n">
        <v>45363</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54041-2023</t>
        </is>
      </c>
      <c r="B551" s="1" t="n">
        <v>45231</v>
      </c>
      <c r="C551" s="1" t="n">
        <v>45363</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55441-2023</t>
        </is>
      </c>
      <c r="B552" s="1" t="n">
        <v>45231</v>
      </c>
      <c r="C552" s="1" t="n">
        <v>45363</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54610-2023</t>
        </is>
      </c>
      <c r="B553" s="1" t="n">
        <v>45233</v>
      </c>
      <c r="C553" s="1" t="n">
        <v>45363</v>
      </c>
      <c r="D553" t="inlineStr">
        <is>
          <t>VÄSTERNORRLANDS LÄN</t>
        </is>
      </c>
      <c r="E553" t="inlineStr">
        <is>
          <t>TIMRÅ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55673-2023</t>
        </is>
      </c>
      <c r="B554" s="1" t="n">
        <v>45238</v>
      </c>
      <c r="C554" s="1" t="n">
        <v>45363</v>
      </c>
      <c r="D554" t="inlineStr">
        <is>
          <t>VÄSTERNORRLANDS LÄN</t>
        </is>
      </c>
      <c r="E554" t="inlineStr">
        <is>
          <t>TIMRÅ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55930-2023</t>
        </is>
      </c>
      <c r="B555" s="1" t="n">
        <v>45240</v>
      </c>
      <c r="C555" s="1" t="n">
        <v>45363</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56237-2023</t>
        </is>
      </c>
      <c r="B556" s="1" t="n">
        <v>45240</v>
      </c>
      <c r="C556" s="1" t="n">
        <v>45363</v>
      </c>
      <c r="D556" t="inlineStr">
        <is>
          <t>VÄSTERNORRLANDS LÄN</t>
        </is>
      </c>
      <c r="E556" t="inlineStr">
        <is>
          <t>TIMRÅ</t>
        </is>
      </c>
      <c r="G556" t="n">
        <v>0.7</v>
      </c>
      <c r="H556" t="n">
        <v>0</v>
      </c>
      <c r="I556" t="n">
        <v>0</v>
      </c>
      <c r="J556" t="n">
        <v>0</v>
      </c>
      <c r="K556" t="n">
        <v>0</v>
      </c>
      <c r="L556" t="n">
        <v>0</v>
      </c>
      <c r="M556" t="n">
        <v>0</v>
      </c>
      <c r="N556" t="n">
        <v>0</v>
      </c>
      <c r="O556" t="n">
        <v>0</v>
      </c>
      <c r="P556" t="n">
        <v>0</v>
      </c>
      <c r="Q556" t="n">
        <v>0</v>
      </c>
      <c r="R556" s="2" t="inlineStr"/>
    </row>
    <row r="557" ht="15" customHeight="1">
      <c r="A557" t="inlineStr">
        <is>
          <t>A 56701-2023</t>
        </is>
      </c>
      <c r="B557" s="1" t="n">
        <v>45243</v>
      </c>
      <c r="C557" s="1" t="n">
        <v>45363</v>
      </c>
      <c r="D557" t="inlineStr">
        <is>
          <t>VÄSTERNORRLANDS LÄN</t>
        </is>
      </c>
      <c r="E557" t="inlineStr">
        <is>
          <t>TIMRÅ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56692-2023</t>
        </is>
      </c>
      <c r="B558" s="1" t="n">
        <v>45243</v>
      </c>
      <c r="C558" s="1" t="n">
        <v>45363</v>
      </c>
      <c r="D558" t="inlineStr">
        <is>
          <t>VÄSTERNORRLANDS LÄN</t>
        </is>
      </c>
      <c r="E558" t="inlineStr">
        <is>
          <t>TIMRÅ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56765-2023</t>
        </is>
      </c>
      <c r="B559" s="1" t="n">
        <v>45244</v>
      </c>
      <c r="C559" s="1" t="n">
        <v>45363</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57072-2023</t>
        </is>
      </c>
      <c r="B560" s="1" t="n">
        <v>45245</v>
      </c>
      <c r="C560" s="1" t="n">
        <v>45363</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57762-2023</t>
        </is>
      </c>
      <c r="B561" s="1" t="n">
        <v>45246</v>
      </c>
      <c r="C561" s="1" t="n">
        <v>45363</v>
      </c>
      <c r="D561" t="inlineStr">
        <is>
          <t>VÄSTERNORRLANDS LÄN</t>
        </is>
      </c>
      <c r="E561" t="inlineStr">
        <is>
          <t>TIMRÅ</t>
        </is>
      </c>
      <c r="G561" t="n">
        <v>2.5</v>
      </c>
      <c r="H561" t="n">
        <v>0</v>
      </c>
      <c r="I561" t="n">
        <v>0</v>
      </c>
      <c r="J561" t="n">
        <v>0</v>
      </c>
      <c r="K561" t="n">
        <v>0</v>
      </c>
      <c r="L561" t="n">
        <v>0</v>
      </c>
      <c r="M561" t="n">
        <v>0</v>
      </c>
      <c r="N561" t="n">
        <v>0</v>
      </c>
      <c r="O561" t="n">
        <v>0</v>
      </c>
      <c r="P561" t="n">
        <v>0</v>
      </c>
      <c r="Q561" t="n">
        <v>0</v>
      </c>
      <c r="R561" s="2" t="inlineStr"/>
    </row>
    <row r="562" ht="15" customHeight="1">
      <c r="A562" t="inlineStr">
        <is>
          <t>A 58062-2023</t>
        </is>
      </c>
      <c r="B562" s="1" t="n">
        <v>45247</v>
      </c>
      <c r="C562" s="1" t="n">
        <v>45363</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58081-2023</t>
        </is>
      </c>
      <c r="B563" s="1" t="n">
        <v>45247</v>
      </c>
      <c r="C563" s="1" t="n">
        <v>45363</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58087-2023</t>
        </is>
      </c>
      <c r="B564" s="1" t="n">
        <v>45248</v>
      </c>
      <c r="C564" s="1" t="n">
        <v>45363</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58998-2023</t>
        </is>
      </c>
      <c r="B565" s="1" t="n">
        <v>45250</v>
      </c>
      <c r="C565" s="1" t="n">
        <v>45363</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58766-2023</t>
        </is>
      </c>
      <c r="B566" s="1" t="n">
        <v>45252</v>
      </c>
      <c r="C566" s="1" t="n">
        <v>45363</v>
      </c>
      <c r="D566" t="inlineStr">
        <is>
          <t>VÄSTERNORRLANDS LÄN</t>
        </is>
      </c>
      <c r="E566" t="inlineStr">
        <is>
          <t>TIMRÅ</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58895-2023</t>
        </is>
      </c>
      <c r="B567" s="1" t="n">
        <v>45252</v>
      </c>
      <c r="C567" s="1" t="n">
        <v>45363</v>
      </c>
      <c r="D567" t="inlineStr">
        <is>
          <t>VÄSTERNORRLANDS LÄN</t>
        </is>
      </c>
      <c r="E567" t="inlineStr">
        <is>
          <t>TIMRÅ</t>
        </is>
      </c>
      <c r="G567" t="n">
        <v>3.7</v>
      </c>
      <c r="H567" t="n">
        <v>0</v>
      </c>
      <c r="I567" t="n">
        <v>0</v>
      </c>
      <c r="J567" t="n">
        <v>0</v>
      </c>
      <c r="K567" t="n">
        <v>0</v>
      </c>
      <c r="L567" t="n">
        <v>0</v>
      </c>
      <c r="M567" t="n">
        <v>0</v>
      </c>
      <c r="N567" t="n">
        <v>0</v>
      </c>
      <c r="O567" t="n">
        <v>0</v>
      </c>
      <c r="P567" t="n">
        <v>0</v>
      </c>
      <c r="Q567" t="n">
        <v>0</v>
      </c>
      <c r="R567" s="2" t="inlineStr"/>
    </row>
    <row r="568" ht="15" customHeight="1">
      <c r="A568" t="inlineStr">
        <is>
          <t>A 59401-2023</t>
        </is>
      </c>
      <c r="B568" s="1" t="n">
        <v>45253</v>
      </c>
      <c r="C568" s="1" t="n">
        <v>45363</v>
      </c>
      <c r="D568" t="inlineStr">
        <is>
          <t>VÄSTERNORRLANDS LÄN</t>
        </is>
      </c>
      <c r="E568" t="inlineStr">
        <is>
          <t>TIMRÅ</t>
        </is>
      </c>
      <c r="G568" t="n">
        <v>11.2</v>
      </c>
      <c r="H568" t="n">
        <v>0</v>
      </c>
      <c r="I568" t="n">
        <v>0</v>
      </c>
      <c r="J568" t="n">
        <v>0</v>
      </c>
      <c r="K568" t="n">
        <v>0</v>
      </c>
      <c r="L568" t="n">
        <v>0</v>
      </c>
      <c r="M568" t="n">
        <v>0</v>
      </c>
      <c r="N568" t="n">
        <v>0</v>
      </c>
      <c r="O568" t="n">
        <v>0</v>
      </c>
      <c r="P568" t="n">
        <v>0</v>
      </c>
      <c r="Q568" t="n">
        <v>0</v>
      </c>
      <c r="R568" s="2" t="inlineStr"/>
    </row>
    <row r="569" ht="15" customHeight="1">
      <c r="A569" t="inlineStr">
        <is>
          <t>A 60011-2023</t>
        </is>
      </c>
      <c r="B569" s="1" t="n">
        <v>45257</v>
      </c>
      <c r="C569" s="1" t="n">
        <v>45363</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60074-2023</t>
        </is>
      </c>
      <c r="B570" s="1" t="n">
        <v>45258</v>
      </c>
      <c r="C570" s="1" t="n">
        <v>45363</v>
      </c>
      <c r="D570" t="inlineStr">
        <is>
          <t>VÄSTERNORRLANDS LÄN</t>
        </is>
      </c>
      <c r="E570" t="inlineStr">
        <is>
          <t>TIMRÅ</t>
        </is>
      </c>
      <c r="G570" t="n">
        <v>5</v>
      </c>
      <c r="H570" t="n">
        <v>0</v>
      </c>
      <c r="I570" t="n">
        <v>0</v>
      </c>
      <c r="J570" t="n">
        <v>0</v>
      </c>
      <c r="K570" t="n">
        <v>0</v>
      </c>
      <c r="L570" t="n">
        <v>0</v>
      </c>
      <c r="M570" t="n">
        <v>0</v>
      </c>
      <c r="N570" t="n">
        <v>0</v>
      </c>
      <c r="O570" t="n">
        <v>0</v>
      </c>
      <c r="P570" t="n">
        <v>0</v>
      </c>
      <c r="Q570" t="n">
        <v>0</v>
      </c>
      <c r="R570" s="2" t="inlineStr"/>
    </row>
    <row r="571" ht="15" customHeight="1">
      <c r="A571" t="inlineStr">
        <is>
          <t>A 61606-2023</t>
        </is>
      </c>
      <c r="B571" s="1" t="n">
        <v>45261</v>
      </c>
      <c r="C571" s="1" t="n">
        <v>45363</v>
      </c>
      <c r="D571" t="inlineStr">
        <is>
          <t>VÄSTERNORRLANDS LÄN</t>
        </is>
      </c>
      <c r="E571" t="inlineStr">
        <is>
          <t>TIMRÅ</t>
        </is>
      </c>
      <c r="G571" t="n">
        <v>0.3</v>
      </c>
      <c r="H571" t="n">
        <v>0</v>
      </c>
      <c r="I571" t="n">
        <v>0</v>
      </c>
      <c r="J571" t="n">
        <v>0</v>
      </c>
      <c r="K571" t="n">
        <v>0</v>
      </c>
      <c r="L571" t="n">
        <v>0</v>
      </c>
      <c r="M571" t="n">
        <v>0</v>
      </c>
      <c r="N571" t="n">
        <v>0</v>
      </c>
      <c r="O571" t="n">
        <v>0</v>
      </c>
      <c r="P571" t="n">
        <v>0</v>
      </c>
      <c r="Q571" t="n">
        <v>0</v>
      </c>
      <c r="R571" s="2" t="inlineStr"/>
    </row>
    <row r="572" ht="15" customHeight="1">
      <c r="A572" t="inlineStr">
        <is>
          <t>A 61613-2023</t>
        </is>
      </c>
      <c r="B572" s="1" t="n">
        <v>45261</v>
      </c>
      <c r="C572" s="1" t="n">
        <v>45363</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61484-2023</t>
        </is>
      </c>
      <c r="B573" s="1" t="n">
        <v>45264</v>
      </c>
      <c r="C573" s="1" t="n">
        <v>45363</v>
      </c>
      <c r="D573" t="inlineStr">
        <is>
          <t>VÄSTERNORRLANDS LÄN</t>
        </is>
      </c>
      <c r="E573" t="inlineStr">
        <is>
          <t>TIMRÅ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61463-2023</t>
        </is>
      </c>
      <c r="B574" s="1" t="n">
        <v>45264</v>
      </c>
      <c r="C574" s="1" t="n">
        <v>45363</v>
      </c>
      <c r="D574" t="inlineStr">
        <is>
          <t>VÄSTERNORRLANDS LÄN</t>
        </is>
      </c>
      <c r="E574" t="inlineStr">
        <is>
          <t>TIMRÅ</t>
        </is>
      </c>
      <c r="G574" t="n">
        <v>2.1</v>
      </c>
      <c r="H574" t="n">
        <v>0</v>
      </c>
      <c r="I574" t="n">
        <v>0</v>
      </c>
      <c r="J574" t="n">
        <v>0</v>
      </c>
      <c r="K574" t="n">
        <v>0</v>
      </c>
      <c r="L574" t="n">
        <v>0</v>
      </c>
      <c r="M574" t="n">
        <v>0</v>
      </c>
      <c r="N574" t="n">
        <v>0</v>
      </c>
      <c r="O574" t="n">
        <v>0</v>
      </c>
      <c r="P574" t="n">
        <v>0</v>
      </c>
      <c r="Q574" t="n">
        <v>0</v>
      </c>
      <c r="R574" s="2" t="inlineStr"/>
    </row>
    <row r="575" ht="15" customHeight="1">
      <c r="A575" t="inlineStr">
        <is>
          <t>A 61785-2023</t>
        </is>
      </c>
      <c r="B575" s="1" t="n">
        <v>45265</v>
      </c>
      <c r="C575" s="1" t="n">
        <v>45363</v>
      </c>
      <c r="D575" t="inlineStr">
        <is>
          <t>VÄSTERNORRLANDS LÄN</t>
        </is>
      </c>
      <c r="E575" t="inlineStr">
        <is>
          <t>TIMRÅ</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62474-2023</t>
        </is>
      </c>
      <c r="B576" s="1" t="n">
        <v>45267</v>
      </c>
      <c r="C576" s="1" t="n">
        <v>45363</v>
      </c>
      <c r="D576" t="inlineStr">
        <is>
          <t>VÄSTERNORRLANDS LÄN</t>
        </is>
      </c>
      <c r="E576" t="inlineStr">
        <is>
          <t>TIMRÅ</t>
        </is>
      </c>
      <c r="G576" t="n">
        <v>4</v>
      </c>
      <c r="H576" t="n">
        <v>0</v>
      </c>
      <c r="I576" t="n">
        <v>0</v>
      </c>
      <c r="J576" t="n">
        <v>0</v>
      </c>
      <c r="K576" t="n">
        <v>0</v>
      </c>
      <c r="L576" t="n">
        <v>0</v>
      </c>
      <c r="M576" t="n">
        <v>0</v>
      </c>
      <c r="N576" t="n">
        <v>0</v>
      </c>
      <c r="O576" t="n">
        <v>0</v>
      </c>
      <c r="P576" t="n">
        <v>0</v>
      </c>
      <c r="Q576" t="n">
        <v>0</v>
      </c>
      <c r="R576" s="2" t="inlineStr"/>
    </row>
    <row r="577" ht="15" customHeight="1">
      <c r="A577" t="inlineStr">
        <is>
          <t>A 63294-2023</t>
        </is>
      </c>
      <c r="B577" s="1" t="n">
        <v>45273</v>
      </c>
      <c r="C577" s="1" t="n">
        <v>45363</v>
      </c>
      <c r="D577" t="inlineStr">
        <is>
          <t>VÄSTERNORRLANDS LÄN</t>
        </is>
      </c>
      <c r="E577" t="inlineStr">
        <is>
          <t>TIMRÅ</t>
        </is>
      </c>
      <c r="F577" t="inlineStr">
        <is>
          <t>SCA</t>
        </is>
      </c>
      <c r="G577" t="n">
        <v>12.9</v>
      </c>
      <c r="H577" t="n">
        <v>0</v>
      </c>
      <c r="I577" t="n">
        <v>0</v>
      </c>
      <c r="J577" t="n">
        <v>0</v>
      </c>
      <c r="K577" t="n">
        <v>0</v>
      </c>
      <c r="L577" t="n">
        <v>0</v>
      </c>
      <c r="M577" t="n">
        <v>0</v>
      </c>
      <c r="N577" t="n">
        <v>0</v>
      </c>
      <c r="O577" t="n">
        <v>0</v>
      </c>
      <c r="P577" t="n">
        <v>0</v>
      </c>
      <c r="Q577" t="n">
        <v>0</v>
      </c>
      <c r="R577" s="2" t="inlineStr"/>
    </row>
    <row r="578" ht="15" customHeight="1">
      <c r="A578" t="inlineStr">
        <is>
          <t>A 63812-2023</t>
        </is>
      </c>
      <c r="B578" s="1" t="n">
        <v>45278</v>
      </c>
      <c r="C578" s="1" t="n">
        <v>45363</v>
      </c>
      <c r="D578" t="inlineStr">
        <is>
          <t>VÄSTERNORRLANDS LÄN</t>
        </is>
      </c>
      <c r="E578" t="inlineStr">
        <is>
          <t>TIMRÅ</t>
        </is>
      </c>
      <c r="G578" t="n">
        <v>3</v>
      </c>
      <c r="H578" t="n">
        <v>0</v>
      </c>
      <c r="I578" t="n">
        <v>0</v>
      </c>
      <c r="J578" t="n">
        <v>0</v>
      </c>
      <c r="K578" t="n">
        <v>0</v>
      </c>
      <c r="L578" t="n">
        <v>0</v>
      </c>
      <c r="M578" t="n">
        <v>0</v>
      </c>
      <c r="N578" t="n">
        <v>0</v>
      </c>
      <c r="O578" t="n">
        <v>0</v>
      </c>
      <c r="P578" t="n">
        <v>0</v>
      </c>
      <c r="Q578" t="n">
        <v>0</v>
      </c>
      <c r="R578" s="2" t="inlineStr"/>
    </row>
    <row r="579" ht="15" customHeight="1">
      <c r="A579" t="inlineStr">
        <is>
          <t>A 64031-2023</t>
        </is>
      </c>
      <c r="B579" s="1" t="n">
        <v>45278</v>
      </c>
      <c r="C579" s="1" t="n">
        <v>45363</v>
      </c>
      <c r="D579" t="inlineStr">
        <is>
          <t>VÄSTERNORRLANDS LÄN</t>
        </is>
      </c>
      <c r="E579" t="inlineStr">
        <is>
          <t>TIMRÅ</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64732-2023</t>
        </is>
      </c>
      <c r="B580" s="1" t="n">
        <v>45281</v>
      </c>
      <c r="C580" s="1" t="n">
        <v>45363</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64756-2023</t>
        </is>
      </c>
      <c r="B581" s="1" t="n">
        <v>45281</v>
      </c>
      <c r="C581" s="1" t="n">
        <v>45363</v>
      </c>
      <c r="D581" t="inlineStr">
        <is>
          <t>VÄSTERNORRLANDS LÄN</t>
        </is>
      </c>
      <c r="E581" t="inlineStr">
        <is>
          <t>TIMRÅ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64755-2023</t>
        </is>
      </c>
      <c r="B582" s="1" t="n">
        <v>45281</v>
      </c>
      <c r="C582" s="1" t="n">
        <v>45363</v>
      </c>
      <c r="D582" t="inlineStr">
        <is>
          <t>VÄSTERNORRLANDS LÄN</t>
        </is>
      </c>
      <c r="E582" t="inlineStr">
        <is>
          <t>TIMRÅ</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252-2024</t>
        </is>
      </c>
      <c r="B583" s="1" t="n">
        <v>45295</v>
      </c>
      <c r="C583" s="1" t="n">
        <v>45363</v>
      </c>
      <c r="D583" t="inlineStr">
        <is>
          <t>VÄSTERNORRLANDS LÄN</t>
        </is>
      </c>
      <c r="E583" t="inlineStr">
        <is>
          <t>TIMRÅ</t>
        </is>
      </c>
      <c r="F583" t="inlineStr">
        <is>
          <t>SCA</t>
        </is>
      </c>
      <c r="G583" t="n">
        <v>12.7</v>
      </c>
      <c r="H583" t="n">
        <v>0</v>
      </c>
      <c r="I583" t="n">
        <v>0</v>
      </c>
      <c r="J583" t="n">
        <v>0</v>
      </c>
      <c r="K583" t="n">
        <v>0</v>
      </c>
      <c r="L583" t="n">
        <v>0</v>
      </c>
      <c r="M583" t="n">
        <v>0</v>
      </c>
      <c r="N583" t="n">
        <v>0</v>
      </c>
      <c r="O583" t="n">
        <v>0</v>
      </c>
      <c r="P583" t="n">
        <v>0</v>
      </c>
      <c r="Q583" t="n">
        <v>0</v>
      </c>
      <c r="R583" s="2" t="inlineStr"/>
    </row>
    <row r="584" ht="15" customHeight="1">
      <c r="A584" t="inlineStr">
        <is>
          <t>A 290-2024</t>
        </is>
      </c>
      <c r="B584" s="1" t="n">
        <v>45295</v>
      </c>
      <c r="C584" s="1" t="n">
        <v>45363</v>
      </c>
      <c r="D584" t="inlineStr">
        <is>
          <t>VÄSTERNORRLANDS LÄN</t>
        </is>
      </c>
      <c r="E584" t="inlineStr">
        <is>
          <t>TIMRÅ</t>
        </is>
      </c>
      <c r="G584" t="n">
        <v>10.5</v>
      </c>
      <c r="H584" t="n">
        <v>0</v>
      </c>
      <c r="I584" t="n">
        <v>0</v>
      </c>
      <c r="J584" t="n">
        <v>0</v>
      </c>
      <c r="K584" t="n">
        <v>0</v>
      </c>
      <c r="L584" t="n">
        <v>0</v>
      </c>
      <c r="M584" t="n">
        <v>0</v>
      </c>
      <c r="N584" t="n">
        <v>0</v>
      </c>
      <c r="O584" t="n">
        <v>0</v>
      </c>
      <c r="P584" t="n">
        <v>0</v>
      </c>
      <c r="Q584" t="n">
        <v>0</v>
      </c>
      <c r="R584" s="2" t="inlineStr"/>
    </row>
    <row r="585" ht="15" customHeight="1">
      <c r="A585" t="inlineStr">
        <is>
          <t>A 661-2024</t>
        </is>
      </c>
      <c r="B585" s="1" t="n">
        <v>45300</v>
      </c>
      <c r="C585" s="1" t="n">
        <v>45363</v>
      </c>
      <c r="D585" t="inlineStr">
        <is>
          <t>VÄSTERNORRLANDS LÄN</t>
        </is>
      </c>
      <c r="E585" t="inlineStr">
        <is>
          <t>TIMRÅ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1273-2024</t>
        </is>
      </c>
      <c r="B586" s="1" t="n">
        <v>45302</v>
      </c>
      <c r="C586" s="1" t="n">
        <v>45363</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1152-2024</t>
        </is>
      </c>
      <c r="B587" s="1" t="n">
        <v>45302</v>
      </c>
      <c r="C587" s="1" t="n">
        <v>45363</v>
      </c>
      <c r="D587" t="inlineStr">
        <is>
          <t>VÄSTERNORRLANDS LÄN</t>
        </is>
      </c>
      <c r="E587" t="inlineStr">
        <is>
          <t>TIMRÅ</t>
        </is>
      </c>
      <c r="G587" t="n">
        <v>5.8</v>
      </c>
      <c r="H587" t="n">
        <v>0</v>
      </c>
      <c r="I587" t="n">
        <v>0</v>
      </c>
      <c r="J587" t="n">
        <v>0</v>
      </c>
      <c r="K587" t="n">
        <v>0</v>
      </c>
      <c r="L587" t="n">
        <v>0</v>
      </c>
      <c r="M587" t="n">
        <v>0</v>
      </c>
      <c r="N587" t="n">
        <v>0</v>
      </c>
      <c r="O587" t="n">
        <v>0</v>
      </c>
      <c r="P587" t="n">
        <v>0</v>
      </c>
      <c r="Q587" t="n">
        <v>0</v>
      </c>
      <c r="R587" s="2" t="inlineStr"/>
    </row>
    <row r="588" ht="15" customHeight="1">
      <c r="A588" t="inlineStr">
        <is>
          <t>A 1185-2024</t>
        </is>
      </c>
      <c r="B588" s="1" t="n">
        <v>45302</v>
      </c>
      <c r="C588" s="1" t="n">
        <v>45363</v>
      </c>
      <c r="D588" t="inlineStr">
        <is>
          <t>VÄSTERNORRLANDS LÄN</t>
        </is>
      </c>
      <c r="E588" t="inlineStr">
        <is>
          <t>TIMRÅ</t>
        </is>
      </c>
      <c r="G588" t="n">
        <v>4.4</v>
      </c>
      <c r="H588" t="n">
        <v>0</v>
      </c>
      <c r="I588" t="n">
        <v>0</v>
      </c>
      <c r="J588" t="n">
        <v>0</v>
      </c>
      <c r="K588" t="n">
        <v>0</v>
      </c>
      <c r="L588" t="n">
        <v>0</v>
      </c>
      <c r="M588" t="n">
        <v>0</v>
      </c>
      <c r="N588" t="n">
        <v>0</v>
      </c>
      <c r="O588" t="n">
        <v>0</v>
      </c>
      <c r="P588" t="n">
        <v>0</v>
      </c>
      <c r="Q588" t="n">
        <v>0</v>
      </c>
      <c r="R588" s="2" t="inlineStr"/>
    </row>
    <row r="589" ht="15" customHeight="1">
      <c r="A589" t="inlineStr">
        <is>
          <t>A 1272-2024</t>
        </is>
      </c>
      <c r="B589" s="1" t="n">
        <v>45302</v>
      </c>
      <c r="C589" s="1" t="n">
        <v>45363</v>
      </c>
      <c r="D589" t="inlineStr">
        <is>
          <t>VÄSTERNORRLANDS LÄN</t>
        </is>
      </c>
      <c r="E589" t="inlineStr">
        <is>
          <t>TIMRÅ</t>
        </is>
      </c>
      <c r="G589" t="n">
        <v>4.3</v>
      </c>
      <c r="H589" t="n">
        <v>0</v>
      </c>
      <c r="I589" t="n">
        <v>0</v>
      </c>
      <c r="J589" t="n">
        <v>0</v>
      </c>
      <c r="K589" t="n">
        <v>0</v>
      </c>
      <c r="L589" t="n">
        <v>0</v>
      </c>
      <c r="M589" t="n">
        <v>0</v>
      </c>
      <c r="N589" t="n">
        <v>0</v>
      </c>
      <c r="O589" t="n">
        <v>0</v>
      </c>
      <c r="P589" t="n">
        <v>0</v>
      </c>
      <c r="Q589" t="n">
        <v>0</v>
      </c>
      <c r="R589" s="2" t="inlineStr"/>
    </row>
    <row r="590" ht="15" customHeight="1">
      <c r="A590" t="inlineStr">
        <is>
          <t>A 1467-2024</t>
        </is>
      </c>
      <c r="B590" s="1" t="n">
        <v>45303</v>
      </c>
      <c r="C590" s="1" t="n">
        <v>45363</v>
      </c>
      <c r="D590" t="inlineStr">
        <is>
          <t>VÄSTERNORRLANDS LÄN</t>
        </is>
      </c>
      <c r="E590" t="inlineStr">
        <is>
          <t>TIMRÅ</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1675-2024</t>
        </is>
      </c>
      <c r="B591" s="1" t="n">
        <v>45306</v>
      </c>
      <c r="C591" s="1" t="n">
        <v>45363</v>
      </c>
      <c r="D591" t="inlineStr">
        <is>
          <t>VÄSTERNORRLANDS LÄN</t>
        </is>
      </c>
      <c r="E591" t="inlineStr">
        <is>
          <t>TIMRÅ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1683-2024</t>
        </is>
      </c>
      <c r="B592" s="1" t="n">
        <v>45307</v>
      </c>
      <c r="C592" s="1" t="n">
        <v>45363</v>
      </c>
      <c r="D592" t="inlineStr">
        <is>
          <t>VÄSTERNORRLANDS LÄN</t>
        </is>
      </c>
      <c r="E592" t="inlineStr">
        <is>
          <t>TIMRÅ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2062-2024</t>
        </is>
      </c>
      <c r="B593" s="1" t="n">
        <v>45308</v>
      </c>
      <c r="C593" s="1" t="n">
        <v>45363</v>
      </c>
      <c r="D593" t="inlineStr">
        <is>
          <t>VÄSTERNORRLANDS LÄN</t>
        </is>
      </c>
      <c r="E593" t="inlineStr">
        <is>
          <t>TIMRÅ</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2949-2024</t>
        </is>
      </c>
      <c r="B594" s="1" t="n">
        <v>45315</v>
      </c>
      <c r="C594" s="1" t="n">
        <v>45363</v>
      </c>
      <c r="D594" t="inlineStr">
        <is>
          <t>VÄSTERNORRLANDS LÄN</t>
        </is>
      </c>
      <c r="E594" t="inlineStr">
        <is>
          <t>TIMRÅ</t>
        </is>
      </c>
      <c r="G594" t="n">
        <v>7</v>
      </c>
      <c r="H594" t="n">
        <v>0</v>
      </c>
      <c r="I594" t="n">
        <v>0</v>
      </c>
      <c r="J594" t="n">
        <v>0</v>
      </c>
      <c r="K594" t="n">
        <v>0</v>
      </c>
      <c r="L594" t="n">
        <v>0</v>
      </c>
      <c r="M594" t="n">
        <v>0</v>
      </c>
      <c r="N594" t="n">
        <v>0</v>
      </c>
      <c r="O594" t="n">
        <v>0</v>
      </c>
      <c r="P594" t="n">
        <v>0</v>
      </c>
      <c r="Q594" t="n">
        <v>0</v>
      </c>
      <c r="R594" s="2" t="inlineStr"/>
    </row>
    <row r="595" ht="15" customHeight="1">
      <c r="A595" t="inlineStr">
        <is>
          <t>A 3229-2024</t>
        </is>
      </c>
      <c r="B595" s="1" t="n">
        <v>45316</v>
      </c>
      <c r="C595" s="1" t="n">
        <v>45363</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3444-2024</t>
        </is>
      </c>
      <c r="B596" s="1" t="n">
        <v>45317</v>
      </c>
      <c r="C596" s="1" t="n">
        <v>45363</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3804-2024</t>
        </is>
      </c>
      <c r="B597" s="1" t="n">
        <v>45321</v>
      </c>
      <c r="C597" s="1" t="n">
        <v>45363</v>
      </c>
      <c r="D597" t="inlineStr">
        <is>
          <t>VÄSTERNORRLANDS LÄN</t>
        </is>
      </c>
      <c r="E597" t="inlineStr">
        <is>
          <t>TIMRÅ</t>
        </is>
      </c>
      <c r="G597" t="n">
        <v>2</v>
      </c>
      <c r="H597" t="n">
        <v>0</v>
      </c>
      <c r="I597" t="n">
        <v>0</v>
      </c>
      <c r="J597" t="n">
        <v>0</v>
      </c>
      <c r="K597" t="n">
        <v>0</v>
      </c>
      <c r="L597" t="n">
        <v>0</v>
      </c>
      <c r="M597" t="n">
        <v>0</v>
      </c>
      <c r="N597" t="n">
        <v>0</v>
      </c>
      <c r="O597" t="n">
        <v>0</v>
      </c>
      <c r="P597" t="n">
        <v>0</v>
      </c>
      <c r="Q597" t="n">
        <v>0</v>
      </c>
      <c r="R597" s="2" t="inlineStr"/>
    </row>
    <row r="598" ht="15" customHeight="1">
      <c r="A598" t="inlineStr">
        <is>
          <t>A 3989-2024</t>
        </is>
      </c>
      <c r="B598" s="1" t="n">
        <v>45322</v>
      </c>
      <c r="C598" s="1" t="n">
        <v>45363</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4596-2024</t>
        </is>
      </c>
      <c r="B599" s="1" t="n">
        <v>45327</v>
      </c>
      <c r="C599" s="1" t="n">
        <v>45363</v>
      </c>
      <c r="D599" t="inlineStr">
        <is>
          <t>VÄSTERNORRLANDS LÄN</t>
        </is>
      </c>
      <c r="E599" t="inlineStr">
        <is>
          <t>TIMRÅ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4821-2024</t>
        </is>
      </c>
      <c r="B600" s="1" t="n">
        <v>45328</v>
      </c>
      <c r="C600" s="1" t="n">
        <v>45363</v>
      </c>
      <c r="D600" t="inlineStr">
        <is>
          <t>VÄSTERNORRLANDS LÄN</t>
        </is>
      </c>
      <c r="E600" t="inlineStr">
        <is>
          <t>TIMRÅ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5265-2024</t>
        </is>
      </c>
      <c r="B601" s="1" t="n">
        <v>45330</v>
      </c>
      <c r="C601" s="1" t="n">
        <v>45363</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5271-2024</t>
        </is>
      </c>
      <c r="B602" s="1" t="n">
        <v>45330</v>
      </c>
      <c r="C602" s="1" t="n">
        <v>45363</v>
      </c>
      <c r="D602" t="inlineStr">
        <is>
          <t>VÄSTERNORRLANDS LÄN</t>
        </is>
      </c>
      <c r="E602" t="inlineStr">
        <is>
          <t>TIMRÅ</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5722-2024</t>
        </is>
      </c>
      <c r="B603" s="1" t="n">
        <v>45334</v>
      </c>
      <c r="C603" s="1" t="n">
        <v>45363</v>
      </c>
      <c r="D603" t="inlineStr">
        <is>
          <t>VÄSTERNORRLANDS LÄN</t>
        </is>
      </c>
      <c r="E603" t="inlineStr">
        <is>
          <t>TIMRÅ</t>
        </is>
      </c>
      <c r="G603" t="n">
        <v>2.2</v>
      </c>
      <c r="H603" t="n">
        <v>0</v>
      </c>
      <c r="I603" t="n">
        <v>0</v>
      </c>
      <c r="J603" t="n">
        <v>0</v>
      </c>
      <c r="K603" t="n">
        <v>0</v>
      </c>
      <c r="L603" t="n">
        <v>0</v>
      </c>
      <c r="M603" t="n">
        <v>0</v>
      </c>
      <c r="N603" t="n">
        <v>0</v>
      </c>
      <c r="O603" t="n">
        <v>0</v>
      </c>
      <c r="P603" t="n">
        <v>0</v>
      </c>
      <c r="Q603" t="n">
        <v>0</v>
      </c>
      <c r="R603" s="2" t="inlineStr"/>
    </row>
    <row r="604" ht="15" customHeight="1">
      <c r="A604" t="inlineStr">
        <is>
          <t>A 5921-2024</t>
        </is>
      </c>
      <c r="B604" s="1" t="n">
        <v>45335</v>
      </c>
      <c r="C604" s="1" t="n">
        <v>45363</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6088-2024</t>
        </is>
      </c>
      <c r="B605" s="1" t="n">
        <v>45336</v>
      </c>
      <c r="C605" s="1" t="n">
        <v>45363</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6893-2024</t>
        </is>
      </c>
      <c r="B606" s="1" t="n">
        <v>45342</v>
      </c>
      <c r="C606" s="1" t="n">
        <v>45363</v>
      </c>
      <c r="D606" t="inlineStr">
        <is>
          <t>VÄSTERNORRLANDS LÄN</t>
        </is>
      </c>
      <c r="E606" t="inlineStr">
        <is>
          <t>TIMRÅ</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7151-2024</t>
        </is>
      </c>
      <c r="B607" s="1" t="n">
        <v>45344</v>
      </c>
      <c r="C607" s="1" t="n">
        <v>45363</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7291-2024</t>
        </is>
      </c>
      <c r="B608" s="1" t="n">
        <v>45344</v>
      </c>
      <c r="C608" s="1" t="n">
        <v>45363</v>
      </c>
      <c r="D608" t="inlineStr">
        <is>
          <t>VÄSTERNORRLANDS LÄN</t>
        </is>
      </c>
      <c r="E608" t="inlineStr">
        <is>
          <t>TIMRÅ</t>
        </is>
      </c>
      <c r="F608" t="inlineStr">
        <is>
          <t>SCA</t>
        </is>
      </c>
      <c r="G608" t="n">
        <v>7.6</v>
      </c>
      <c r="H608" t="n">
        <v>0</v>
      </c>
      <c r="I608" t="n">
        <v>0</v>
      </c>
      <c r="J608" t="n">
        <v>0</v>
      </c>
      <c r="K608" t="n">
        <v>0</v>
      </c>
      <c r="L608" t="n">
        <v>0</v>
      </c>
      <c r="M608" t="n">
        <v>0</v>
      </c>
      <c r="N608" t="n">
        <v>0</v>
      </c>
      <c r="O608" t="n">
        <v>0</v>
      </c>
      <c r="P608" t="n">
        <v>0</v>
      </c>
      <c r="Q608" t="n">
        <v>0</v>
      </c>
      <c r="R608" s="2" t="inlineStr"/>
    </row>
    <row r="609" ht="15" customHeight="1">
      <c r="A609" t="inlineStr">
        <is>
          <t>A 7299-2024</t>
        </is>
      </c>
      <c r="B609" s="1" t="n">
        <v>45344</v>
      </c>
      <c r="C609" s="1" t="n">
        <v>45363</v>
      </c>
      <c r="D609" t="inlineStr">
        <is>
          <t>VÄSTERNORRLANDS LÄN</t>
        </is>
      </c>
      <c r="E609" t="inlineStr">
        <is>
          <t>TIMRÅ</t>
        </is>
      </c>
      <c r="F609" t="inlineStr">
        <is>
          <t>SCA</t>
        </is>
      </c>
      <c r="G609" t="n">
        <v>16.3</v>
      </c>
      <c r="H609" t="n">
        <v>0</v>
      </c>
      <c r="I609" t="n">
        <v>0</v>
      </c>
      <c r="J609" t="n">
        <v>0</v>
      </c>
      <c r="K609" t="n">
        <v>0</v>
      </c>
      <c r="L609" t="n">
        <v>0</v>
      </c>
      <c r="M609" t="n">
        <v>0</v>
      </c>
      <c r="N609" t="n">
        <v>0</v>
      </c>
      <c r="O609" t="n">
        <v>0</v>
      </c>
      <c r="P609" t="n">
        <v>0</v>
      </c>
      <c r="Q609" t="n">
        <v>0</v>
      </c>
      <c r="R609" s="2" t="inlineStr"/>
    </row>
    <row r="610" ht="15" customHeight="1">
      <c r="A610" t="inlineStr">
        <is>
          <t>A 7292-2024</t>
        </is>
      </c>
      <c r="B610" s="1" t="n">
        <v>45344</v>
      </c>
      <c r="C610" s="1" t="n">
        <v>45363</v>
      </c>
      <c r="D610" t="inlineStr">
        <is>
          <t>VÄSTERNORRLANDS LÄN</t>
        </is>
      </c>
      <c r="E610" t="inlineStr">
        <is>
          <t>TIMRÅ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45363</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7478-2024</t>
        </is>
      </c>
      <c r="B612" s="1" t="n">
        <v>45345</v>
      </c>
      <c r="C612" s="1" t="n">
        <v>45363</v>
      </c>
      <c r="D612" t="inlineStr">
        <is>
          <t>VÄSTERNORRLANDS LÄN</t>
        </is>
      </c>
      <c r="E612" t="inlineStr">
        <is>
          <t>TIMRÅ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7476-2024</t>
        </is>
      </c>
      <c r="B613" s="1" t="n">
        <v>45345</v>
      </c>
      <c r="C613" s="1" t="n">
        <v>45363</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7507-2024</t>
        </is>
      </c>
      <c r="B614" s="1" t="n">
        <v>45347</v>
      </c>
      <c r="C614" s="1" t="n">
        <v>45363</v>
      </c>
      <c r="D614" t="inlineStr">
        <is>
          <t>VÄSTERNORRLANDS LÄN</t>
        </is>
      </c>
      <c r="E614" t="inlineStr">
        <is>
          <t>TIMRÅ</t>
        </is>
      </c>
      <c r="F614" t="inlineStr">
        <is>
          <t>SCA</t>
        </is>
      </c>
      <c r="G614" t="n">
        <v>15.5</v>
      </c>
      <c r="H614" t="n">
        <v>0</v>
      </c>
      <c r="I614" t="n">
        <v>0</v>
      </c>
      <c r="J614" t="n">
        <v>0</v>
      </c>
      <c r="K614" t="n">
        <v>0</v>
      </c>
      <c r="L614" t="n">
        <v>0</v>
      </c>
      <c r="M614" t="n">
        <v>0</v>
      </c>
      <c r="N614" t="n">
        <v>0</v>
      </c>
      <c r="O614" t="n">
        <v>0</v>
      </c>
      <c r="P614" t="n">
        <v>0</v>
      </c>
      <c r="Q614" t="n">
        <v>0</v>
      </c>
      <c r="R614" s="2" t="inlineStr"/>
    </row>
    <row r="615" ht="15" customHeight="1">
      <c r="A615" t="inlineStr">
        <is>
          <t>A 7859-2024</t>
        </is>
      </c>
      <c r="B615" s="1" t="n">
        <v>45350</v>
      </c>
      <c r="C615" s="1" t="n">
        <v>45363</v>
      </c>
      <c r="D615" t="inlineStr">
        <is>
          <t>VÄSTERNORRLANDS LÄN</t>
        </is>
      </c>
      <c r="E615" t="inlineStr">
        <is>
          <t>TIMRÅ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8506-2024</t>
        </is>
      </c>
      <c r="B616" s="1" t="n">
        <v>45351</v>
      </c>
      <c r="C616" s="1" t="n">
        <v>45363</v>
      </c>
      <c r="D616" t="inlineStr">
        <is>
          <t>VÄSTERNORRLANDS LÄN</t>
        </is>
      </c>
      <c r="E616" t="inlineStr">
        <is>
          <t>TIMRÅ</t>
        </is>
      </c>
      <c r="G616" t="n">
        <v>3.6</v>
      </c>
      <c r="H616" t="n">
        <v>0</v>
      </c>
      <c r="I616" t="n">
        <v>0</v>
      </c>
      <c r="J616" t="n">
        <v>0</v>
      </c>
      <c r="K616" t="n">
        <v>0</v>
      </c>
      <c r="L616" t="n">
        <v>0</v>
      </c>
      <c r="M616" t="n">
        <v>0</v>
      </c>
      <c r="N616" t="n">
        <v>0</v>
      </c>
      <c r="O616" t="n">
        <v>0</v>
      </c>
      <c r="P616" t="n">
        <v>0</v>
      </c>
      <c r="Q616" t="n">
        <v>0</v>
      </c>
      <c r="R616" s="2" t="inlineStr"/>
    </row>
    <row r="617" ht="15" customHeight="1">
      <c r="A617" t="inlineStr">
        <is>
          <t>A 8237-2024</t>
        </is>
      </c>
      <c r="B617" s="1" t="n">
        <v>45352</v>
      </c>
      <c r="C617" s="1" t="n">
        <v>45363</v>
      </c>
      <c r="D617" t="inlineStr">
        <is>
          <t>VÄSTERNORRLANDS LÄN</t>
        </is>
      </c>
      <c r="E617" t="inlineStr">
        <is>
          <t>TIMRÅ</t>
        </is>
      </c>
      <c r="F617" t="inlineStr">
        <is>
          <t>SCA</t>
        </is>
      </c>
      <c r="G617" t="n">
        <v>14.2</v>
      </c>
      <c r="H617" t="n">
        <v>0</v>
      </c>
      <c r="I617" t="n">
        <v>0</v>
      </c>
      <c r="J617" t="n">
        <v>0</v>
      </c>
      <c r="K617" t="n">
        <v>0</v>
      </c>
      <c r="L617" t="n">
        <v>0</v>
      </c>
      <c r="M617" t="n">
        <v>0</v>
      </c>
      <c r="N617" t="n">
        <v>0</v>
      </c>
      <c r="O617" t="n">
        <v>0</v>
      </c>
      <c r="P617" t="n">
        <v>0</v>
      </c>
      <c r="Q617" t="n">
        <v>0</v>
      </c>
      <c r="R617" s="2" t="inlineStr"/>
    </row>
    <row r="618" ht="15" customHeight="1">
      <c r="A618" t="inlineStr">
        <is>
          <t>A 8526-2024</t>
        </is>
      </c>
      <c r="B618" s="1" t="n">
        <v>45351</v>
      </c>
      <c r="C618" s="1" t="n">
        <v>45363</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8240-2024</t>
        </is>
      </c>
      <c r="B619" s="1" t="n">
        <v>45352</v>
      </c>
      <c r="C619" s="1" t="n">
        <v>45363</v>
      </c>
      <c r="D619" t="inlineStr">
        <is>
          <t>VÄSTERNORRLANDS LÄN</t>
        </is>
      </c>
      <c r="E619" t="inlineStr">
        <is>
          <t>TIMRÅ</t>
        </is>
      </c>
      <c r="F619" t="inlineStr">
        <is>
          <t>SCA</t>
        </is>
      </c>
      <c r="G619" t="n">
        <v>17.4</v>
      </c>
      <c r="H619" t="n">
        <v>0</v>
      </c>
      <c r="I619" t="n">
        <v>0</v>
      </c>
      <c r="J619" t="n">
        <v>0</v>
      </c>
      <c r="K619" t="n">
        <v>0</v>
      </c>
      <c r="L619" t="n">
        <v>0</v>
      </c>
      <c r="M619" t="n">
        <v>0</v>
      </c>
      <c r="N619" t="n">
        <v>0</v>
      </c>
      <c r="O619" t="n">
        <v>0</v>
      </c>
      <c r="P619" t="n">
        <v>0</v>
      </c>
      <c r="Q619" t="n">
        <v>0</v>
      </c>
      <c r="R619" s="2" t="inlineStr"/>
      <c r="U619">
        <f>HYPERLINK("https://klasma.github.io/Logging_2262/knärot/A 8240-2024 karta knärot.png", "A 8240-2024")</f>
        <v/>
      </c>
      <c r="V619">
        <f>HYPERLINK("https://klasma.github.io/Logging_2262/klagomål/A 8240-2024 FSC-klagomål.docx", "A 8240-2024")</f>
        <v/>
      </c>
      <c r="W619">
        <f>HYPERLINK("https://klasma.github.io/Logging_2262/klagomålsmail/A 8240-2024 FSC-klagomål mail.docx", "A 8240-2024")</f>
        <v/>
      </c>
      <c r="X619">
        <f>HYPERLINK("https://klasma.github.io/Logging_2262/tillsyn/A 8240-2024 tillsynsbegäran.docx", "A 8240-2024")</f>
        <v/>
      </c>
      <c r="Y619">
        <f>HYPERLINK("https://klasma.github.io/Logging_2262/tillsynsmail/A 8240-2024 tillsynsbegäran mail.docx", "A 8240-2024")</f>
        <v/>
      </c>
    </row>
    <row r="620" ht="15" customHeight="1">
      <c r="A620" t="inlineStr">
        <is>
          <t>A 8640-2024</t>
        </is>
      </c>
      <c r="B620" s="1" t="n">
        <v>45356</v>
      </c>
      <c r="C620" s="1" t="n">
        <v>45363</v>
      </c>
      <c r="D620" t="inlineStr">
        <is>
          <t>VÄSTERNORRLANDS LÄN</t>
        </is>
      </c>
      <c r="E620" t="inlineStr">
        <is>
          <t>TIMRÅ</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8877-2024</t>
        </is>
      </c>
      <c r="B621" s="1" t="n">
        <v>45357</v>
      </c>
      <c r="C621" s="1" t="n">
        <v>45363</v>
      </c>
      <c r="D621" t="inlineStr">
        <is>
          <t>VÄSTERNORRLANDS LÄN</t>
        </is>
      </c>
      <c r="E621" t="inlineStr">
        <is>
          <t>TIMRÅ</t>
        </is>
      </c>
      <c r="G621" t="n">
        <v>1.9</v>
      </c>
      <c r="H621" t="n">
        <v>0</v>
      </c>
      <c r="I621" t="n">
        <v>0</v>
      </c>
      <c r="J621" t="n">
        <v>0</v>
      </c>
      <c r="K621" t="n">
        <v>0</v>
      </c>
      <c r="L621" t="n">
        <v>0</v>
      </c>
      <c r="M621" t="n">
        <v>0</v>
      </c>
      <c r="N621" t="n">
        <v>0</v>
      </c>
      <c r="O621" t="n">
        <v>0</v>
      </c>
      <c r="P621" t="n">
        <v>0</v>
      </c>
      <c r="Q621" t="n">
        <v>0</v>
      </c>
      <c r="R621" s="2" t="inlineStr"/>
    </row>
    <row r="622" ht="15" customHeight="1">
      <c r="A622" t="inlineStr">
        <is>
          <t>A 9327-2024</t>
        </is>
      </c>
      <c r="B622" s="1" t="n">
        <v>45359</v>
      </c>
      <c r="C622" s="1" t="n">
        <v>45363</v>
      </c>
      <c r="D622" t="inlineStr">
        <is>
          <t>VÄSTERNORRLANDS LÄN</t>
        </is>
      </c>
      <c r="E622" t="inlineStr">
        <is>
          <t>TIMRÅ</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9331-2024</t>
        </is>
      </c>
      <c r="B623" s="1" t="n">
        <v>45359</v>
      </c>
      <c r="C623" s="1" t="n">
        <v>45363</v>
      </c>
      <c r="D623" t="inlineStr">
        <is>
          <t>VÄSTERNORRLANDS LÄN</t>
        </is>
      </c>
      <c r="E623" t="inlineStr">
        <is>
          <t>TIMRÅ</t>
        </is>
      </c>
      <c r="F623" t="inlineStr">
        <is>
          <t>SCA</t>
        </is>
      </c>
      <c r="G623" t="n">
        <v>9.6</v>
      </c>
      <c r="H623" t="n">
        <v>0</v>
      </c>
      <c r="I623" t="n">
        <v>0</v>
      </c>
      <c r="J623" t="n">
        <v>0</v>
      </c>
      <c r="K623" t="n">
        <v>0</v>
      </c>
      <c r="L623" t="n">
        <v>0</v>
      </c>
      <c r="M623" t="n">
        <v>0</v>
      </c>
      <c r="N623" t="n">
        <v>0</v>
      </c>
      <c r="O623" t="n">
        <v>0</v>
      </c>
      <c r="P623" t="n">
        <v>0</v>
      </c>
      <c r="Q623" t="n">
        <v>0</v>
      </c>
      <c r="R623" s="2" t="inlineStr"/>
    </row>
    <row r="624">
      <c r="A624" t="inlineStr">
        <is>
          <t>A 9338-2024</t>
        </is>
      </c>
      <c r="B624" s="1" t="n">
        <v>45359</v>
      </c>
      <c r="C624" s="1" t="n">
        <v>45363</v>
      </c>
      <c r="D624" t="inlineStr">
        <is>
          <t>VÄSTERNORRLANDS LÄN</t>
        </is>
      </c>
      <c r="E624" t="inlineStr">
        <is>
          <t>TIMRÅ</t>
        </is>
      </c>
      <c r="F624" t="inlineStr">
        <is>
          <t>SCA</t>
        </is>
      </c>
      <c r="G624" t="n">
        <v>10.3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2024-03-12T13:57:01Z</dcterms:created>
  <dcterms:modified xmlns:dcterms="http://purl.org/dc/terms/" xmlns:xsi="http://www.w3.org/2001/XMLSchema-instance" xsi:type="dcterms:W3CDTF">2024-03-12T13:57:01Z</dcterms:modified>
</cp:coreProperties>
</file>