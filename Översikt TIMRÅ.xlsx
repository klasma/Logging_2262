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45809</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45809</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45809</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45809</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45809</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45809</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45809</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45809</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45809</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45809</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45809</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45809</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45809</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45809</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45809</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45809</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45809</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45809</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45809</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45809</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45809</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45809</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45809</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45809</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45809</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45809</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45809</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45809</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45809</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45809</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45809</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45809</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45809</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45809</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45809</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45809</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45809</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45809</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45809</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45809</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45809</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45809</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45809</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45809</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45809</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45809</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45809</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45809</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45809</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45809</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45809</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45809</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23158-2025</t>
        </is>
      </c>
      <c r="B56" s="1" t="n">
        <v>45791</v>
      </c>
      <c r="C56" s="1" t="n">
        <v>45809</v>
      </c>
      <c r="D56" t="inlineStr">
        <is>
          <t>VÄSTERNORRLANDS LÄN</t>
        </is>
      </c>
      <c r="E56" t="inlineStr">
        <is>
          <t>TIMRÅ</t>
        </is>
      </c>
      <c r="F56" t="inlineStr">
        <is>
          <t>SCA</t>
        </is>
      </c>
      <c r="G56" t="n">
        <v>4.9</v>
      </c>
      <c r="H56" t="n">
        <v>1</v>
      </c>
      <c r="I56" t="n">
        <v>0</v>
      </c>
      <c r="J56" t="n">
        <v>2</v>
      </c>
      <c r="K56" t="n">
        <v>0</v>
      </c>
      <c r="L56" t="n">
        <v>0</v>
      </c>
      <c r="M56" t="n">
        <v>0</v>
      </c>
      <c r="N56" t="n">
        <v>0</v>
      </c>
      <c r="O56" t="n">
        <v>2</v>
      </c>
      <c r="P56" t="n">
        <v>0</v>
      </c>
      <c r="Q56" t="n">
        <v>3</v>
      </c>
      <c r="R56" s="2" t="inlineStr">
        <is>
          <t>Garnlav
Violettgrå tagellav
Tjäder</t>
        </is>
      </c>
      <c r="S56">
        <f>HYPERLINK("https://klasma.github.io/Logging_222262/artfynd/A 23158-2025 artfynd.xlsx", "A 23158-2025")</f>
        <v/>
      </c>
      <c r="T56">
        <f>HYPERLINK("https://klasma.github.io/Logging_222262/kartor/A 23158-2025 karta.png", "A 23158-2025")</f>
        <v/>
      </c>
      <c r="V56">
        <f>HYPERLINK("https://klasma.github.io/Logging_222262/klagomål/A 23158-2025 FSC-klagomål.docx", "A 23158-2025")</f>
        <v/>
      </c>
      <c r="W56">
        <f>HYPERLINK("https://klasma.github.io/Logging_222262/klagomålsmail/A 23158-2025 FSC-klagomål mail.docx", "A 23158-2025")</f>
        <v/>
      </c>
      <c r="X56">
        <f>HYPERLINK("https://klasma.github.io/Logging_222262/tillsyn/A 23158-2025 tillsynsbegäran.docx", "A 23158-2025")</f>
        <v/>
      </c>
      <c r="Y56">
        <f>HYPERLINK("https://klasma.github.io/Logging_222262/tillsynsmail/A 23158-2025 tillsynsbegäran mail.docx", "A 23158-2025")</f>
        <v/>
      </c>
      <c r="Z56">
        <f>HYPERLINK("https://klasma.github.io/Logging_222262/fåglar/A 23158-2025 prioriterade fågelarter.docx", "A 23158-2025")</f>
        <v/>
      </c>
    </row>
    <row r="57" ht="15" customHeight="1">
      <c r="A57" t="inlineStr">
        <is>
          <t>A 23282-2025</t>
        </is>
      </c>
      <c r="B57" s="1" t="n">
        <v>45791</v>
      </c>
      <c r="C57" s="1" t="n">
        <v>45809</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24430-2025</t>
        </is>
      </c>
      <c r="B58" s="1" t="n">
        <v>45797</v>
      </c>
      <c r="C58" s="1" t="n">
        <v>45809</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18510-2021</t>
        </is>
      </c>
      <c r="B59" s="1" t="n">
        <v>44306</v>
      </c>
      <c r="C59" s="1" t="n">
        <v>45809</v>
      </c>
      <c r="D59" t="inlineStr">
        <is>
          <t>VÄSTERNORRLANDS LÄN</t>
        </is>
      </c>
      <c r="E59" t="inlineStr">
        <is>
          <t>TIMRÅ</t>
        </is>
      </c>
      <c r="G59" t="n">
        <v>28</v>
      </c>
      <c r="H59" t="n">
        <v>1</v>
      </c>
      <c r="I59" t="n">
        <v>1</v>
      </c>
      <c r="J59" t="n">
        <v>1</v>
      </c>
      <c r="K59" t="n">
        <v>0</v>
      </c>
      <c r="L59" t="n">
        <v>0</v>
      </c>
      <c r="M59" t="n">
        <v>0</v>
      </c>
      <c r="N59" t="n">
        <v>0</v>
      </c>
      <c r="O59" t="n">
        <v>1</v>
      </c>
      <c r="P59" t="n">
        <v>0</v>
      </c>
      <c r="Q59" t="n">
        <v>2</v>
      </c>
      <c r="R59" s="2" t="inlineStr">
        <is>
          <t>Sötgräs
Strutbräken</t>
        </is>
      </c>
      <c r="S59">
        <f>HYPERLINK("https://klasma.github.io/Logging_2262/artfynd/A 18510-2021 artfynd.xlsx", "A 18510-2021")</f>
        <v/>
      </c>
      <c r="T59">
        <f>HYPERLINK("https://klasma.github.io/Logging_2262/kartor/A 18510-2021 karta.png", "A 18510-2021")</f>
        <v/>
      </c>
      <c r="V59">
        <f>HYPERLINK("https://klasma.github.io/Logging_2262/klagomål/A 18510-2021 FSC-klagomål.docx", "A 18510-2021")</f>
        <v/>
      </c>
      <c r="W59">
        <f>HYPERLINK("https://klasma.github.io/Logging_2262/klagomålsmail/A 18510-2021 FSC-klagomål mail.docx", "A 18510-2021")</f>
        <v/>
      </c>
      <c r="X59">
        <f>HYPERLINK("https://klasma.github.io/Logging_2262/tillsyn/A 18510-2021 tillsynsbegäran.docx", "A 18510-2021")</f>
        <v/>
      </c>
      <c r="Y59">
        <f>HYPERLINK("https://klasma.github.io/Logging_2262/tillsynsmail/A 18510-2021 tillsynsbegäran mail.docx", "A 18510-2021")</f>
        <v/>
      </c>
    </row>
    <row r="60" ht="15" customHeight="1">
      <c r="A60" t="inlineStr">
        <is>
          <t>A 23222-2022</t>
        </is>
      </c>
      <c r="B60" s="1" t="n">
        <v>44719</v>
      </c>
      <c r="C60" s="1" t="n">
        <v>45809</v>
      </c>
      <c r="D60" t="inlineStr">
        <is>
          <t>VÄSTERNORRLANDS LÄN</t>
        </is>
      </c>
      <c r="E60" t="inlineStr">
        <is>
          <t>TIMRÅ</t>
        </is>
      </c>
      <c r="F60" t="inlineStr">
        <is>
          <t>SCA</t>
        </is>
      </c>
      <c r="G60" t="n">
        <v>4</v>
      </c>
      <c r="H60" t="n">
        <v>0</v>
      </c>
      <c r="I60" t="n">
        <v>0</v>
      </c>
      <c r="J60" t="n">
        <v>2</v>
      </c>
      <c r="K60" t="n">
        <v>0</v>
      </c>
      <c r="L60" t="n">
        <v>0</v>
      </c>
      <c r="M60" t="n">
        <v>0</v>
      </c>
      <c r="N60" t="n">
        <v>0</v>
      </c>
      <c r="O60" t="n">
        <v>2</v>
      </c>
      <c r="P60" t="n">
        <v>0</v>
      </c>
      <c r="Q60" t="n">
        <v>2</v>
      </c>
      <c r="R60" s="2" t="inlineStr">
        <is>
          <t>Gammelgransskål
Garnlav</t>
        </is>
      </c>
      <c r="S60">
        <f>HYPERLINK("https://klasma.github.io/Logging_2262/artfynd/A 23222-2022 artfynd.xlsx", "A 23222-2022")</f>
        <v/>
      </c>
      <c r="T60">
        <f>HYPERLINK("https://klasma.github.io/Logging_2262/kartor/A 23222-2022 karta.png", "A 23222-2022")</f>
        <v/>
      </c>
      <c r="V60">
        <f>HYPERLINK("https://klasma.github.io/Logging_2262/klagomål/A 23222-2022 FSC-klagomål.docx", "A 23222-2022")</f>
        <v/>
      </c>
      <c r="W60">
        <f>HYPERLINK("https://klasma.github.io/Logging_2262/klagomålsmail/A 23222-2022 FSC-klagomål mail.docx", "A 23222-2022")</f>
        <v/>
      </c>
      <c r="X60">
        <f>HYPERLINK("https://klasma.github.io/Logging_2262/tillsyn/A 23222-2022 tillsynsbegäran.docx", "A 23222-2022")</f>
        <v/>
      </c>
      <c r="Y60">
        <f>HYPERLINK("https://klasma.github.io/Logging_2262/tillsynsmail/A 23222-2022 tillsynsbegäran mail.docx", "A 23222-2022")</f>
        <v/>
      </c>
    </row>
    <row r="61" ht="15" customHeight="1">
      <c r="A61" t="inlineStr">
        <is>
          <t>A 30246-2022</t>
        </is>
      </c>
      <c r="B61" s="1" t="n">
        <v>44758</v>
      </c>
      <c r="C61" s="1" t="n">
        <v>45809</v>
      </c>
      <c r="D61" t="inlineStr">
        <is>
          <t>VÄSTERNORRLANDS LÄN</t>
        </is>
      </c>
      <c r="E61" t="inlineStr">
        <is>
          <t>TIMRÅ</t>
        </is>
      </c>
      <c r="F61" t="inlineStr">
        <is>
          <t>SCA</t>
        </is>
      </c>
      <c r="G61" t="n">
        <v>0.8</v>
      </c>
      <c r="H61" t="n">
        <v>1</v>
      </c>
      <c r="I61" t="n">
        <v>0</v>
      </c>
      <c r="J61" t="n">
        <v>1</v>
      </c>
      <c r="K61" t="n">
        <v>0</v>
      </c>
      <c r="L61" t="n">
        <v>0</v>
      </c>
      <c r="M61" t="n">
        <v>0</v>
      </c>
      <c r="N61" t="n">
        <v>0</v>
      </c>
      <c r="O61" t="n">
        <v>1</v>
      </c>
      <c r="P61" t="n">
        <v>0</v>
      </c>
      <c r="Q61" t="n">
        <v>2</v>
      </c>
      <c r="R61" s="2" t="inlineStr">
        <is>
          <t>Garnlav
Vanlig padda</t>
        </is>
      </c>
      <c r="S61">
        <f>HYPERLINK("https://klasma.github.io/Logging_2262/artfynd/A 30246-2022 artfynd.xlsx", "A 30246-2022")</f>
        <v/>
      </c>
      <c r="T61">
        <f>HYPERLINK("https://klasma.github.io/Logging_2262/kartor/A 30246-2022 karta.png", "A 30246-2022")</f>
        <v/>
      </c>
      <c r="V61">
        <f>HYPERLINK("https://klasma.github.io/Logging_2262/klagomål/A 30246-2022 FSC-klagomål.docx", "A 30246-2022")</f>
        <v/>
      </c>
      <c r="W61">
        <f>HYPERLINK("https://klasma.github.io/Logging_2262/klagomålsmail/A 30246-2022 FSC-klagomål mail.docx", "A 30246-2022")</f>
        <v/>
      </c>
      <c r="X61">
        <f>HYPERLINK("https://klasma.github.io/Logging_2262/tillsyn/A 30246-2022 tillsynsbegäran.docx", "A 30246-2022")</f>
        <v/>
      </c>
      <c r="Y61">
        <f>HYPERLINK("https://klasma.github.io/Logging_2262/tillsynsmail/A 30246-2022 tillsynsbegäran mail.docx", "A 30246-2022")</f>
        <v/>
      </c>
    </row>
    <row r="62" ht="15" customHeight="1">
      <c r="A62" t="inlineStr">
        <is>
          <t>A 42283-2022</t>
        </is>
      </c>
      <c r="B62" s="1" t="n">
        <v>44830</v>
      </c>
      <c r="C62" s="1" t="n">
        <v>45809</v>
      </c>
      <c r="D62" t="inlineStr">
        <is>
          <t>VÄSTERNORRLANDS LÄN</t>
        </is>
      </c>
      <c r="E62" t="inlineStr">
        <is>
          <t>TIMRÅ</t>
        </is>
      </c>
      <c r="F62" t="inlineStr">
        <is>
          <t>SCA</t>
        </is>
      </c>
      <c r="G62" t="n">
        <v>5.2</v>
      </c>
      <c r="H62" t="n">
        <v>0</v>
      </c>
      <c r="I62" t="n">
        <v>0</v>
      </c>
      <c r="J62" t="n">
        <v>2</v>
      </c>
      <c r="K62" t="n">
        <v>0</v>
      </c>
      <c r="L62" t="n">
        <v>0</v>
      </c>
      <c r="M62" t="n">
        <v>0</v>
      </c>
      <c r="N62" t="n">
        <v>0</v>
      </c>
      <c r="O62" t="n">
        <v>2</v>
      </c>
      <c r="P62" t="n">
        <v>0</v>
      </c>
      <c r="Q62" t="n">
        <v>2</v>
      </c>
      <c r="R62" s="2" t="inlineStr">
        <is>
          <t>Garnlav
Lunglav</t>
        </is>
      </c>
      <c r="S62">
        <f>HYPERLINK("https://klasma.github.io/Logging_2262/artfynd/A 42283-2022 artfynd.xlsx", "A 42283-2022")</f>
        <v/>
      </c>
      <c r="T62">
        <f>HYPERLINK("https://klasma.github.io/Logging_2262/kartor/A 42283-2022 karta.png", "A 42283-2022")</f>
        <v/>
      </c>
      <c r="V62">
        <f>HYPERLINK("https://klasma.github.io/Logging_2262/klagomål/A 42283-2022 FSC-klagomål.docx", "A 42283-2022")</f>
        <v/>
      </c>
      <c r="W62">
        <f>HYPERLINK("https://klasma.github.io/Logging_2262/klagomålsmail/A 42283-2022 FSC-klagomål mail.docx", "A 42283-2022")</f>
        <v/>
      </c>
      <c r="X62">
        <f>HYPERLINK("https://klasma.github.io/Logging_2262/tillsyn/A 42283-2022 tillsynsbegäran.docx", "A 42283-2022")</f>
        <v/>
      </c>
      <c r="Y62">
        <f>HYPERLINK("https://klasma.github.io/Logging_2262/tillsynsmail/A 42283-2022 tillsynsbegäran mail.docx", "A 42283-2022")</f>
        <v/>
      </c>
    </row>
    <row r="63" ht="15" customHeight="1">
      <c r="A63" t="inlineStr">
        <is>
          <t>A 42284-2022</t>
        </is>
      </c>
      <c r="B63" s="1" t="n">
        <v>44830</v>
      </c>
      <c r="C63" s="1" t="n">
        <v>45809</v>
      </c>
      <c r="D63" t="inlineStr">
        <is>
          <t>VÄSTERNORRLANDS LÄN</t>
        </is>
      </c>
      <c r="E63" t="inlineStr">
        <is>
          <t>TIMRÅ</t>
        </is>
      </c>
      <c r="F63" t="inlineStr">
        <is>
          <t>SCA</t>
        </is>
      </c>
      <c r="G63" t="n">
        <v>7.4</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42284-2022 artfynd.xlsx", "A 42284-2022")</f>
        <v/>
      </c>
      <c r="T63">
        <f>HYPERLINK("https://klasma.github.io/Logging_2262/kartor/A 42284-2022 karta.png", "A 42284-2022")</f>
        <v/>
      </c>
      <c r="V63">
        <f>HYPERLINK("https://klasma.github.io/Logging_2262/klagomål/A 42284-2022 FSC-klagomål.docx", "A 42284-2022")</f>
        <v/>
      </c>
      <c r="W63">
        <f>HYPERLINK("https://klasma.github.io/Logging_2262/klagomålsmail/A 42284-2022 FSC-klagomål mail.docx", "A 42284-2022")</f>
        <v/>
      </c>
      <c r="X63">
        <f>HYPERLINK("https://klasma.github.io/Logging_2262/tillsyn/A 42284-2022 tillsynsbegäran.docx", "A 42284-2022")</f>
        <v/>
      </c>
      <c r="Y63">
        <f>HYPERLINK("https://klasma.github.io/Logging_2262/tillsynsmail/A 42284-2022 tillsynsbegäran mail.docx", "A 42284-2022")</f>
        <v/>
      </c>
    </row>
    <row r="64" ht="15" customHeight="1">
      <c r="A64" t="inlineStr">
        <is>
          <t>A 42285-2022</t>
        </is>
      </c>
      <c r="B64" s="1" t="n">
        <v>44830</v>
      </c>
      <c r="C64" s="1" t="n">
        <v>45809</v>
      </c>
      <c r="D64" t="inlineStr">
        <is>
          <t>VÄSTERNORRLANDS LÄN</t>
        </is>
      </c>
      <c r="E64" t="inlineStr">
        <is>
          <t>TIMRÅ</t>
        </is>
      </c>
      <c r="F64" t="inlineStr">
        <is>
          <t>SCA</t>
        </is>
      </c>
      <c r="G64" t="n">
        <v>2.9</v>
      </c>
      <c r="H64" t="n">
        <v>0</v>
      </c>
      <c r="I64" t="n">
        <v>2</v>
      </c>
      <c r="J64" t="n">
        <v>0</v>
      </c>
      <c r="K64" t="n">
        <v>0</v>
      </c>
      <c r="L64" t="n">
        <v>0</v>
      </c>
      <c r="M64" t="n">
        <v>0</v>
      </c>
      <c r="N64" t="n">
        <v>0</v>
      </c>
      <c r="O64" t="n">
        <v>0</v>
      </c>
      <c r="P64" t="n">
        <v>0</v>
      </c>
      <c r="Q64" t="n">
        <v>2</v>
      </c>
      <c r="R64" s="2" t="inlineStr">
        <is>
          <t>Korallblylav
Skinnlav</t>
        </is>
      </c>
      <c r="S64">
        <f>HYPERLINK("https://klasma.github.io/Logging_2262/artfynd/A 42285-2022 artfynd.xlsx", "A 42285-2022")</f>
        <v/>
      </c>
      <c r="T64">
        <f>HYPERLINK("https://klasma.github.io/Logging_2262/kartor/A 42285-2022 karta.png", "A 42285-2022")</f>
        <v/>
      </c>
      <c r="V64">
        <f>HYPERLINK("https://klasma.github.io/Logging_2262/klagomål/A 42285-2022 FSC-klagomål.docx", "A 42285-2022")</f>
        <v/>
      </c>
      <c r="W64">
        <f>HYPERLINK("https://klasma.github.io/Logging_2262/klagomålsmail/A 42285-2022 FSC-klagomål mail.docx", "A 42285-2022")</f>
        <v/>
      </c>
      <c r="X64">
        <f>HYPERLINK("https://klasma.github.io/Logging_2262/tillsyn/A 42285-2022 tillsynsbegäran.docx", "A 42285-2022")</f>
        <v/>
      </c>
      <c r="Y64">
        <f>HYPERLINK("https://klasma.github.io/Logging_2262/tillsynsmail/A 42285-2022 tillsynsbegäran mail.docx", "A 42285-2022")</f>
        <v/>
      </c>
    </row>
    <row r="65" ht="15" customHeight="1">
      <c r="A65" t="inlineStr">
        <is>
          <t>A 42889-2022</t>
        </is>
      </c>
      <c r="B65" s="1" t="n">
        <v>44832</v>
      </c>
      <c r="C65" s="1" t="n">
        <v>45809</v>
      </c>
      <c r="D65" t="inlineStr">
        <is>
          <t>VÄSTERNORRLANDS LÄN</t>
        </is>
      </c>
      <c r="E65" t="inlineStr">
        <is>
          <t>TIMRÅ</t>
        </is>
      </c>
      <c r="F65" t="inlineStr">
        <is>
          <t>SCA</t>
        </is>
      </c>
      <c r="G65" t="n">
        <v>2.7</v>
      </c>
      <c r="H65" t="n">
        <v>1</v>
      </c>
      <c r="I65" t="n">
        <v>0</v>
      </c>
      <c r="J65" t="n">
        <v>2</v>
      </c>
      <c r="K65" t="n">
        <v>0</v>
      </c>
      <c r="L65" t="n">
        <v>0</v>
      </c>
      <c r="M65" t="n">
        <v>0</v>
      </c>
      <c r="N65" t="n">
        <v>0</v>
      </c>
      <c r="O65" t="n">
        <v>2</v>
      </c>
      <c r="P65" t="n">
        <v>0</v>
      </c>
      <c r="Q65" t="n">
        <v>2</v>
      </c>
      <c r="R65" s="2" t="inlineStr">
        <is>
          <t>Garnlav
Tretåig hackspett</t>
        </is>
      </c>
      <c r="S65">
        <f>HYPERLINK("https://klasma.github.io/Logging_2262/artfynd/A 42889-2022 artfynd.xlsx", "A 42889-2022")</f>
        <v/>
      </c>
      <c r="T65">
        <f>HYPERLINK("https://klasma.github.io/Logging_2262/kartor/A 42889-2022 karta.png", "A 42889-2022")</f>
        <v/>
      </c>
      <c r="V65">
        <f>HYPERLINK("https://klasma.github.io/Logging_2262/klagomål/A 42889-2022 FSC-klagomål.docx", "A 42889-2022")</f>
        <v/>
      </c>
      <c r="W65">
        <f>HYPERLINK("https://klasma.github.io/Logging_2262/klagomålsmail/A 42889-2022 FSC-klagomål mail.docx", "A 42889-2022")</f>
        <v/>
      </c>
      <c r="X65">
        <f>HYPERLINK("https://klasma.github.io/Logging_2262/tillsyn/A 42889-2022 tillsynsbegäran.docx", "A 42889-2022")</f>
        <v/>
      </c>
      <c r="Y65">
        <f>HYPERLINK("https://klasma.github.io/Logging_2262/tillsynsmail/A 42889-2022 tillsynsbegäran mail.docx", "A 42889-2022")</f>
        <v/>
      </c>
      <c r="Z65">
        <f>HYPERLINK("https://klasma.github.io/Logging_2262/fåglar/A 42889-2022 prioriterade fågelarter.docx", "A 42889-2022")</f>
        <v/>
      </c>
    </row>
    <row r="66" ht="15" customHeight="1">
      <c r="A66" t="inlineStr">
        <is>
          <t>A 49202-2022</t>
        </is>
      </c>
      <c r="B66" s="1" t="n">
        <v>44860</v>
      </c>
      <c r="C66" s="1" t="n">
        <v>45809</v>
      </c>
      <c r="D66" t="inlineStr">
        <is>
          <t>VÄSTERNORRLANDS LÄN</t>
        </is>
      </c>
      <c r="E66" t="inlineStr">
        <is>
          <t>TIMRÅ</t>
        </is>
      </c>
      <c r="F66" t="inlineStr">
        <is>
          <t>SCA</t>
        </is>
      </c>
      <c r="G66" t="n">
        <v>2.2</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49202-2022 artfynd.xlsx", "A 49202-2022")</f>
        <v/>
      </c>
      <c r="T66">
        <f>HYPERLINK("https://klasma.github.io/Logging_2262/kartor/A 49202-2022 karta.png", "A 49202-2022")</f>
        <v/>
      </c>
      <c r="V66">
        <f>HYPERLINK("https://klasma.github.io/Logging_2262/klagomål/A 49202-2022 FSC-klagomål.docx", "A 49202-2022")</f>
        <v/>
      </c>
      <c r="W66">
        <f>HYPERLINK("https://klasma.github.io/Logging_2262/klagomålsmail/A 49202-2022 FSC-klagomål mail.docx", "A 49202-2022")</f>
        <v/>
      </c>
      <c r="X66">
        <f>HYPERLINK("https://klasma.github.io/Logging_2262/tillsyn/A 49202-2022 tillsynsbegäran.docx", "A 49202-2022")</f>
        <v/>
      </c>
      <c r="Y66">
        <f>HYPERLINK("https://klasma.github.io/Logging_2262/tillsynsmail/A 49202-2022 tillsynsbegäran mail.docx", "A 49202-2022")</f>
        <v/>
      </c>
    </row>
    <row r="67" ht="15" customHeight="1">
      <c r="A67" t="inlineStr">
        <is>
          <t>A 29600-2023</t>
        </is>
      </c>
      <c r="B67" s="1" t="n">
        <v>45106</v>
      </c>
      <c r="C67" s="1" t="n">
        <v>45809</v>
      </c>
      <c r="D67" t="inlineStr">
        <is>
          <t>VÄSTERNORRLANDS LÄN</t>
        </is>
      </c>
      <c r="E67" t="inlineStr">
        <is>
          <t>TIMRÅ</t>
        </is>
      </c>
      <c r="F67" t="inlineStr">
        <is>
          <t>Kyrkan</t>
        </is>
      </c>
      <c r="G67" t="n">
        <v>5</v>
      </c>
      <c r="H67" t="n">
        <v>0</v>
      </c>
      <c r="I67" t="n">
        <v>2</v>
      </c>
      <c r="J67" t="n">
        <v>0</v>
      </c>
      <c r="K67" t="n">
        <v>0</v>
      </c>
      <c r="L67" t="n">
        <v>0</v>
      </c>
      <c r="M67" t="n">
        <v>0</v>
      </c>
      <c r="N67" t="n">
        <v>0</v>
      </c>
      <c r="O67" t="n">
        <v>0</v>
      </c>
      <c r="P67" t="n">
        <v>0</v>
      </c>
      <c r="Q67" t="n">
        <v>2</v>
      </c>
      <c r="R67" s="2" t="inlineStr">
        <is>
          <t>Dvärghäxört
Svart trolldruva</t>
        </is>
      </c>
      <c r="S67">
        <f>HYPERLINK("https://klasma.github.io/Logging_2262/artfynd/A 29600-2023 artfynd.xlsx", "A 29600-2023")</f>
        <v/>
      </c>
      <c r="T67">
        <f>HYPERLINK("https://klasma.github.io/Logging_2262/kartor/A 29600-2023 karta.png", "A 29600-2023")</f>
        <v/>
      </c>
      <c r="V67">
        <f>HYPERLINK("https://klasma.github.io/Logging_2262/klagomål/A 29600-2023 FSC-klagomål.docx", "A 29600-2023")</f>
        <v/>
      </c>
      <c r="W67">
        <f>HYPERLINK("https://klasma.github.io/Logging_2262/klagomålsmail/A 29600-2023 FSC-klagomål mail.docx", "A 29600-2023")</f>
        <v/>
      </c>
      <c r="X67">
        <f>HYPERLINK("https://klasma.github.io/Logging_2262/tillsyn/A 29600-2023 tillsynsbegäran.docx", "A 29600-2023")</f>
        <v/>
      </c>
      <c r="Y67">
        <f>HYPERLINK("https://klasma.github.io/Logging_2262/tillsynsmail/A 29600-2023 tillsynsbegäran mail.docx", "A 29600-2023")</f>
        <v/>
      </c>
    </row>
    <row r="68" ht="15" customHeight="1">
      <c r="A68" t="inlineStr">
        <is>
          <t>A 35003-2023</t>
        </is>
      </c>
      <c r="B68" s="1" t="n">
        <v>45142</v>
      </c>
      <c r="C68" s="1" t="n">
        <v>45809</v>
      </c>
      <c r="D68" t="inlineStr">
        <is>
          <t>VÄSTERNORRLANDS LÄN</t>
        </is>
      </c>
      <c r="E68" t="inlineStr">
        <is>
          <t>TIMRÅ</t>
        </is>
      </c>
      <c r="F68" t="inlineStr">
        <is>
          <t>SCA</t>
        </is>
      </c>
      <c r="G68" t="n">
        <v>1.9</v>
      </c>
      <c r="H68" t="n">
        <v>0</v>
      </c>
      <c r="I68" t="n">
        <v>0</v>
      </c>
      <c r="J68" t="n">
        <v>2</v>
      </c>
      <c r="K68" t="n">
        <v>0</v>
      </c>
      <c r="L68" t="n">
        <v>0</v>
      </c>
      <c r="M68" t="n">
        <v>0</v>
      </c>
      <c r="N68" t="n">
        <v>0</v>
      </c>
      <c r="O68" t="n">
        <v>2</v>
      </c>
      <c r="P68" t="n">
        <v>0</v>
      </c>
      <c r="Q68" t="n">
        <v>2</v>
      </c>
      <c r="R68" s="2" t="inlineStr">
        <is>
          <t>Lunglav
Ullticka</t>
        </is>
      </c>
      <c r="S68">
        <f>HYPERLINK("https://klasma.github.io/Logging_2262/artfynd/A 35003-2023 artfynd.xlsx", "A 35003-2023")</f>
        <v/>
      </c>
      <c r="T68">
        <f>HYPERLINK("https://klasma.github.io/Logging_2262/kartor/A 35003-2023 karta.png", "A 35003-2023")</f>
        <v/>
      </c>
      <c r="V68">
        <f>HYPERLINK("https://klasma.github.io/Logging_2262/klagomål/A 35003-2023 FSC-klagomål.docx", "A 35003-2023")</f>
        <v/>
      </c>
      <c r="W68">
        <f>HYPERLINK("https://klasma.github.io/Logging_2262/klagomålsmail/A 35003-2023 FSC-klagomål mail.docx", "A 35003-2023")</f>
        <v/>
      </c>
      <c r="X68">
        <f>HYPERLINK("https://klasma.github.io/Logging_2262/tillsyn/A 35003-2023 tillsynsbegäran.docx", "A 35003-2023")</f>
        <v/>
      </c>
      <c r="Y68">
        <f>HYPERLINK("https://klasma.github.io/Logging_2262/tillsynsmail/A 35003-2023 tillsynsbegäran mail.docx", "A 35003-2023")</f>
        <v/>
      </c>
    </row>
    <row r="69" ht="15" customHeight="1">
      <c r="A69" t="inlineStr">
        <is>
          <t>A 43413-2023</t>
        </is>
      </c>
      <c r="B69" s="1" t="n">
        <v>45183</v>
      </c>
      <c r="C69" s="1" t="n">
        <v>45809</v>
      </c>
      <c r="D69" t="inlineStr">
        <is>
          <t>VÄSTERNORRLANDS LÄN</t>
        </is>
      </c>
      <c r="E69" t="inlineStr">
        <is>
          <t>TIMRÅ</t>
        </is>
      </c>
      <c r="F69" t="inlineStr">
        <is>
          <t>SCA</t>
        </is>
      </c>
      <c r="G69" t="n">
        <v>4.1</v>
      </c>
      <c r="H69" t="n">
        <v>0</v>
      </c>
      <c r="I69" t="n">
        <v>0</v>
      </c>
      <c r="J69" t="n">
        <v>2</v>
      </c>
      <c r="K69" t="n">
        <v>0</v>
      </c>
      <c r="L69" t="n">
        <v>0</v>
      </c>
      <c r="M69" t="n">
        <v>0</v>
      </c>
      <c r="N69" t="n">
        <v>0</v>
      </c>
      <c r="O69" t="n">
        <v>2</v>
      </c>
      <c r="P69" t="n">
        <v>0</v>
      </c>
      <c r="Q69" t="n">
        <v>2</v>
      </c>
      <c r="R69" s="2" t="inlineStr">
        <is>
          <t>Garnlav
Harticka</t>
        </is>
      </c>
      <c r="S69">
        <f>HYPERLINK("https://klasma.github.io/Logging_2262/artfynd/A 43413-2023 artfynd.xlsx", "A 43413-2023")</f>
        <v/>
      </c>
      <c r="T69">
        <f>HYPERLINK("https://klasma.github.io/Logging_2262/kartor/A 43413-2023 karta.png", "A 43413-2023")</f>
        <v/>
      </c>
      <c r="V69">
        <f>HYPERLINK("https://klasma.github.io/Logging_2262/klagomål/A 43413-2023 FSC-klagomål.docx", "A 43413-2023")</f>
        <v/>
      </c>
      <c r="W69">
        <f>HYPERLINK("https://klasma.github.io/Logging_2262/klagomålsmail/A 43413-2023 FSC-klagomål mail.docx", "A 43413-2023")</f>
        <v/>
      </c>
      <c r="X69">
        <f>HYPERLINK("https://klasma.github.io/Logging_2262/tillsyn/A 43413-2023 tillsynsbegäran.docx", "A 43413-2023")</f>
        <v/>
      </c>
      <c r="Y69">
        <f>HYPERLINK("https://klasma.github.io/Logging_2262/tillsynsmail/A 43413-2023 tillsynsbegäran mail.docx", "A 43413-2023")</f>
        <v/>
      </c>
    </row>
    <row r="70" ht="15" customHeight="1">
      <c r="A70" t="inlineStr">
        <is>
          <t>A 45343-2023</t>
        </is>
      </c>
      <c r="B70" s="1" t="n">
        <v>45191</v>
      </c>
      <c r="C70" s="1" t="n">
        <v>45809</v>
      </c>
      <c r="D70" t="inlineStr">
        <is>
          <t>VÄSTERNORRLANDS LÄN</t>
        </is>
      </c>
      <c r="E70" t="inlineStr">
        <is>
          <t>TIMRÅ</t>
        </is>
      </c>
      <c r="F70" t="inlineStr">
        <is>
          <t>SCA</t>
        </is>
      </c>
      <c r="G70" t="n">
        <v>9.5</v>
      </c>
      <c r="H70" t="n">
        <v>1</v>
      </c>
      <c r="I70" t="n">
        <v>1</v>
      </c>
      <c r="J70" t="n">
        <v>1</v>
      </c>
      <c r="K70" t="n">
        <v>0</v>
      </c>
      <c r="L70" t="n">
        <v>0</v>
      </c>
      <c r="M70" t="n">
        <v>0</v>
      </c>
      <c r="N70" t="n">
        <v>0</v>
      </c>
      <c r="O70" t="n">
        <v>1</v>
      </c>
      <c r="P70" t="n">
        <v>0</v>
      </c>
      <c r="Q70" t="n">
        <v>2</v>
      </c>
      <c r="R70" s="2" t="inlineStr">
        <is>
          <t>Garnlav
Plattlummer</t>
        </is>
      </c>
      <c r="S70">
        <f>HYPERLINK("https://klasma.github.io/Logging_2262/artfynd/A 45343-2023 artfynd.xlsx", "A 45343-2023")</f>
        <v/>
      </c>
      <c r="T70">
        <f>HYPERLINK("https://klasma.github.io/Logging_2262/kartor/A 45343-2023 karta.png", "A 45343-2023")</f>
        <v/>
      </c>
      <c r="V70">
        <f>HYPERLINK("https://klasma.github.io/Logging_2262/klagomål/A 45343-2023 FSC-klagomål.docx", "A 45343-2023")</f>
        <v/>
      </c>
      <c r="W70">
        <f>HYPERLINK("https://klasma.github.io/Logging_2262/klagomålsmail/A 45343-2023 FSC-klagomål mail.docx", "A 45343-2023")</f>
        <v/>
      </c>
      <c r="X70">
        <f>HYPERLINK("https://klasma.github.io/Logging_2262/tillsyn/A 45343-2023 tillsynsbegäran.docx", "A 45343-2023")</f>
        <v/>
      </c>
      <c r="Y70">
        <f>HYPERLINK("https://klasma.github.io/Logging_2262/tillsynsmail/A 45343-2023 tillsynsbegäran mail.docx", "A 45343-2023")</f>
        <v/>
      </c>
    </row>
    <row r="71" ht="15" customHeight="1">
      <c r="A71" t="inlineStr">
        <is>
          <t>A 45737-2023</t>
        </is>
      </c>
      <c r="B71" s="1" t="n">
        <v>45195</v>
      </c>
      <c r="C71" s="1" t="n">
        <v>45809</v>
      </c>
      <c r="D71" t="inlineStr">
        <is>
          <t>VÄSTERNORRLANDS LÄN</t>
        </is>
      </c>
      <c r="E71" t="inlineStr">
        <is>
          <t>TIMRÅ</t>
        </is>
      </c>
      <c r="G71" t="n">
        <v>1.6</v>
      </c>
      <c r="H71" t="n">
        <v>0</v>
      </c>
      <c r="I71" t="n">
        <v>2</v>
      </c>
      <c r="J71" t="n">
        <v>0</v>
      </c>
      <c r="K71" t="n">
        <v>0</v>
      </c>
      <c r="L71" t="n">
        <v>0</v>
      </c>
      <c r="M71" t="n">
        <v>0</v>
      </c>
      <c r="N71" t="n">
        <v>0</v>
      </c>
      <c r="O71" t="n">
        <v>0</v>
      </c>
      <c r="P71" t="n">
        <v>0</v>
      </c>
      <c r="Q71" t="n">
        <v>2</v>
      </c>
      <c r="R71" s="2" t="inlineStr">
        <is>
          <t>Strutbräken
Svart trolldruva</t>
        </is>
      </c>
      <c r="S71">
        <f>HYPERLINK("https://klasma.github.io/Logging_2262/artfynd/A 45737-2023 artfynd.xlsx", "A 45737-2023")</f>
        <v/>
      </c>
      <c r="T71">
        <f>HYPERLINK("https://klasma.github.io/Logging_2262/kartor/A 45737-2023 karta.png", "A 45737-2023")</f>
        <v/>
      </c>
      <c r="V71">
        <f>HYPERLINK("https://klasma.github.io/Logging_2262/klagomål/A 45737-2023 FSC-klagomål.docx", "A 45737-2023")</f>
        <v/>
      </c>
      <c r="W71">
        <f>HYPERLINK("https://klasma.github.io/Logging_2262/klagomålsmail/A 45737-2023 FSC-klagomål mail.docx", "A 45737-2023")</f>
        <v/>
      </c>
      <c r="X71">
        <f>HYPERLINK("https://klasma.github.io/Logging_2262/tillsyn/A 45737-2023 tillsynsbegäran.docx", "A 45737-2023")</f>
        <v/>
      </c>
      <c r="Y71">
        <f>HYPERLINK("https://klasma.github.io/Logging_2262/tillsynsmail/A 45737-2023 tillsynsbegäran mail.docx", "A 45737-2023")</f>
        <v/>
      </c>
    </row>
    <row r="72" ht="15" customHeight="1">
      <c r="A72" t="inlineStr">
        <is>
          <t>A 8694-2024</t>
        </is>
      </c>
      <c r="B72" s="1" t="n">
        <v>45352</v>
      </c>
      <c r="C72" s="1" t="n">
        <v>45809</v>
      </c>
      <c r="D72" t="inlineStr">
        <is>
          <t>VÄSTERNORRLANDS LÄN</t>
        </is>
      </c>
      <c r="E72" t="inlineStr">
        <is>
          <t>TIMRÅ</t>
        </is>
      </c>
      <c r="G72" t="n">
        <v>3.8</v>
      </c>
      <c r="H72" t="n">
        <v>0</v>
      </c>
      <c r="I72" t="n">
        <v>1</v>
      </c>
      <c r="J72" t="n">
        <v>1</v>
      </c>
      <c r="K72" t="n">
        <v>0</v>
      </c>
      <c r="L72" t="n">
        <v>0</v>
      </c>
      <c r="M72" t="n">
        <v>0</v>
      </c>
      <c r="N72" t="n">
        <v>0</v>
      </c>
      <c r="O72" t="n">
        <v>1</v>
      </c>
      <c r="P72" t="n">
        <v>0</v>
      </c>
      <c r="Q72" t="n">
        <v>2</v>
      </c>
      <c r="R72" s="2" t="inlineStr">
        <is>
          <t>Veckticka
Stor aspticka</t>
        </is>
      </c>
      <c r="S72">
        <f>HYPERLINK("https://klasma.github.io/Logging_2262/artfynd/A 8694-2024 artfynd.xlsx", "A 8694-2024")</f>
        <v/>
      </c>
      <c r="T72">
        <f>HYPERLINK("https://klasma.github.io/Logging_2262/kartor/A 8694-2024 karta.png", "A 8694-2024")</f>
        <v/>
      </c>
      <c r="V72">
        <f>HYPERLINK("https://klasma.github.io/Logging_2262/klagomål/A 8694-2024 FSC-klagomål.docx", "A 8694-2024")</f>
        <v/>
      </c>
      <c r="W72">
        <f>HYPERLINK("https://klasma.github.io/Logging_2262/klagomålsmail/A 8694-2024 FSC-klagomål mail.docx", "A 8694-2024")</f>
        <v/>
      </c>
      <c r="X72">
        <f>HYPERLINK("https://klasma.github.io/Logging_2262/tillsyn/A 8694-2024 tillsynsbegäran.docx", "A 8694-2024")</f>
        <v/>
      </c>
      <c r="Y72">
        <f>HYPERLINK("https://klasma.github.io/Logging_2262/tillsynsmail/A 8694-2024 tillsynsbegäran mail.docx", "A 8694-2024")</f>
        <v/>
      </c>
    </row>
    <row r="73" ht="15" customHeight="1">
      <c r="A73" t="inlineStr">
        <is>
          <t>A 16254-2024</t>
        </is>
      </c>
      <c r="B73" s="1" t="n">
        <v>45407</v>
      </c>
      <c r="C73" s="1" t="n">
        <v>45809</v>
      </c>
      <c r="D73" t="inlineStr">
        <is>
          <t>VÄSTERNORRLANDS LÄN</t>
        </is>
      </c>
      <c r="E73" t="inlineStr">
        <is>
          <t>TIMRÅ</t>
        </is>
      </c>
      <c r="F73" t="inlineStr">
        <is>
          <t>SCA</t>
        </is>
      </c>
      <c r="G73" t="n">
        <v>44.8</v>
      </c>
      <c r="H73" t="n">
        <v>2</v>
      </c>
      <c r="I73" t="n">
        <v>0</v>
      </c>
      <c r="J73" t="n">
        <v>0</v>
      </c>
      <c r="K73" t="n">
        <v>0</v>
      </c>
      <c r="L73" t="n">
        <v>0</v>
      </c>
      <c r="M73" t="n">
        <v>0</v>
      </c>
      <c r="N73" t="n">
        <v>0</v>
      </c>
      <c r="O73" t="n">
        <v>0</v>
      </c>
      <c r="P73" t="n">
        <v>0</v>
      </c>
      <c r="Q73" t="n">
        <v>2</v>
      </c>
      <c r="R73" s="2" t="inlineStr">
        <is>
          <t>Tjäder
Blåsippa</t>
        </is>
      </c>
      <c r="S73">
        <f>HYPERLINK("https://klasma.github.io/Logging_2262/artfynd/A 16254-2024 artfynd.xlsx", "A 16254-2024")</f>
        <v/>
      </c>
      <c r="T73">
        <f>HYPERLINK("https://klasma.github.io/Logging_2262/kartor/A 16254-2024 karta.png", "A 16254-2024")</f>
        <v/>
      </c>
      <c r="U73">
        <f>HYPERLINK("https://klasma.github.io/Logging_2262/knärot/A 16254-2024 karta knärot.png", "A 16254-2024")</f>
        <v/>
      </c>
      <c r="V73">
        <f>HYPERLINK("https://klasma.github.io/Logging_2262/klagomål/A 16254-2024 FSC-klagomål.docx", "A 16254-2024")</f>
        <v/>
      </c>
      <c r="W73">
        <f>HYPERLINK("https://klasma.github.io/Logging_2262/klagomålsmail/A 16254-2024 FSC-klagomål mail.docx", "A 16254-2024")</f>
        <v/>
      </c>
      <c r="X73">
        <f>HYPERLINK("https://klasma.github.io/Logging_2262/tillsyn/A 16254-2024 tillsynsbegäran.docx", "A 16254-2024")</f>
        <v/>
      </c>
      <c r="Y73">
        <f>HYPERLINK("https://klasma.github.io/Logging_2262/tillsynsmail/A 16254-2024 tillsynsbegäran mail.docx", "A 16254-2024")</f>
        <v/>
      </c>
      <c r="Z73">
        <f>HYPERLINK("https://klasma.github.io/Logging_2262/fåglar/A 16254-2024 prioriterade fågelarter.docx", "A 16254-2024")</f>
        <v/>
      </c>
    </row>
    <row r="74" ht="15" customHeight="1">
      <c r="A74" t="inlineStr">
        <is>
          <t>A 16244-2024</t>
        </is>
      </c>
      <c r="B74" s="1" t="n">
        <v>45407</v>
      </c>
      <c r="C74" s="1" t="n">
        <v>45809</v>
      </c>
      <c r="D74" t="inlineStr">
        <is>
          <t>VÄSTERNORRLANDS LÄN</t>
        </is>
      </c>
      <c r="E74" t="inlineStr">
        <is>
          <t>TIMRÅ</t>
        </is>
      </c>
      <c r="F74" t="inlineStr">
        <is>
          <t>SCA</t>
        </is>
      </c>
      <c r="G74" t="n">
        <v>22.8</v>
      </c>
      <c r="H74" t="n">
        <v>2</v>
      </c>
      <c r="I74" t="n">
        <v>0</v>
      </c>
      <c r="J74" t="n">
        <v>0</v>
      </c>
      <c r="K74" t="n">
        <v>0</v>
      </c>
      <c r="L74" t="n">
        <v>0</v>
      </c>
      <c r="M74" t="n">
        <v>0</v>
      </c>
      <c r="N74" t="n">
        <v>0</v>
      </c>
      <c r="O74" t="n">
        <v>0</v>
      </c>
      <c r="P74" t="n">
        <v>0</v>
      </c>
      <c r="Q74" t="n">
        <v>2</v>
      </c>
      <c r="R74" s="2" t="inlineStr">
        <is>
          <t>Orre
Tjäder</t>
        </is>
      </c>
      <c r="S74">
        <f>HYPERLINK("https://klasma.github.io/Logging_2262/artfynd/A 16244-2024 artfynd.xlsx", "A 16244-2024")</f>
        <v/>
      </c>
      <c r="T74">
        <f>HYPERLINK("https://klasma.github.io/Logging_2262/kartor/A 16244-2024 karta.png", "A 16244-2024")</f>
        <v/>
      </c>
      <c r="V74">
        <f>HYPERLINK("https://klasma.github.io/Logging_2262/klagomål/A 16244-2024 FSC-klagomål.docx", "A 16244-2024")</f>
        <v/>
      </c>
      <c r="W74">
        <f>HYPERLINK("https://klasma.github.io/Logging_2262/klagomålsmail/A 16244-2024 FSC-klagomål mail.docx", "A 16244-2024")</f>
        <v/>
      </c>
      <c r="X74">
        <f>HYPERLINK("https://klasma.github.io/Logging_2262/tillsyn/A 16244-2024 tillsynsbegäran.docx", "A 16244-2024")</f>
        <v/>
      </c>
      <c r="Y74">
        <f>HYPERLINK("https://klasma.github.io/Logging_2262/tillsynsmail/A 16244-2024 tillsynsbegäran mail.docx", "A 16244-2024")</f>
        <v/>
      </c>
      <c r="Z74">
        <f>HYPERLINK("https://klasma.github.io/Logging_2262/fåglar/A 16244-2024 prioriterade fågelarter.docx", "A 16244-2024")</f>
        <v/>
      </c>
    </row>
    <row r="75" ht="15" customHeight="1">
      <c r="A75" t="inlineStr">
        <is>
          <t>A 39800-2024</t>
        </is>
      </c>
      <c r="B75" s="1" t="n">
        <v>45553</v>
      </c>
      <c r="C75" s="1" t="n">
        <v>45809</v>
      </c>
      <c r="D75" t="inlineStr">
        <is>
          <t>VÄSTERNORRLANDS LÄN</t>
        </is>
      </c>
      <c r="E75" t="inlineStr">
        <is>
          <t>TIMRÅ</t>
        </is>
      </c>
      <c r="F75" t="inlineStr">
        <is>
          <t>SCA</t>
        </is>
      </c>
      <c r="G75" t="n">
        <v>2.9</v>
      </c>
      <c r="H75" t="n">
        <v>0</v>
      </c>
      <c r="I75" t="n">
        <v>1</v>
      </c>
      <c r="J75" t="n">
        <v>1</v>
      </c>
      <c r="K75" t="n">
        <v>0</v>
      </c>
      <c r="L75" t="n">
        <v>0</v>
      </c>
      <c r="M75" t="n">
        <v>0</v>
      </c>
      <c r="N75" t="n">
        <v>0</v>
      </c>
      <c r="O75" t="n">
        <v>1</v>
      </c>
      <c r="P75" t="n">
        <v>0</v>
      </c>
      <c r="Q75" t="n">
        <v>2</v>
      </c>
      <c r="R75" s="2" t="inlineStr">
        <is>
          <t>Garnlav
Vedticka</t>
        </is>
      </c>
      <c r="S75">
        <f>HYPERLINK("https://klasma.github.io/Logging_2262/artfynd/A 39800-2024 artfynd.xlsx", "A 39800-2024")</f>
        <v/>
      </c>
      <c r="T75">
        <f>HYPERLINK("https://klasma.github.io/Logging_2262/kartor/A 39800-2024 karta.png", "A 39800-2024")</f>
        <v/>
      </c>
      <c r="V75">
        <f>HYPERLINK("https://klasma.github.io/Logging_2262/klagomål/A 39800-2024 FSC-klagomål.docx", "A 39800-2024")</f>
        <v/>
      </c>
      <c r="W75">
        <f>HYPERLINK("https://klasma.github.io/Logging_2262/klagomålsmail/A 39800-2024 FSC-klagomål mail.docx", "A 39800-2024")</f>
        <v/>
      </c>
      <c r="X75">
        <f>HYPERLINK("https://klasma.github.io/Logging_2262/tillsyn/A 39800-2024 tillsynsbegäran.docx", "A 39800-2024")</f>
        <v/>
      </c>
      <c r="Y75">
        <f>HYPERLINK("https://klasma.github.io/Logging_2262/tillsynsmail/A 39800-2024 tillsynsbegäran mail.docx", "A 39800-2024")</f>
        <v/>
      </c>
    </row>
    <row r="76" ht="15" customHeight="1">
      <c r="A76" t="inlineStr">
        <is>
          <t>A 41784-2024</t>
        </is>
      </c>
      <c r="B76" s="1" t="n">
        <v>45561</v>
      </c>
      <c r="C76" s="1" t="n">
        <v>45809</v>
      </c>
      <c r="D76" t="inlineStr">
        <is>
          <t>VÄSTERNORRLANDS LÄN</t>
        </is>
      </c>
      <c r="E76" t="inlineStr">
        <is>
          <t>TIMRÅ</t>
        </is>
      </c>
      <c r="F76" t="inlineStr">
        <is>
          <t>SCA</t>
        </is>
      </c>
      <c r="G76" t="n">
        <v>10.7</v>
      </c>
      <c r="H76" t="n">
        <v>1</v>
      </c>
      <c r="I76" t="n">
        <v>0</v>
      </c>
      <c r="J76" t="n">
        <v>1</v>
      </c>
      <c r="K76" t="n">
        <v>1</v>
      </c>
      <c r="L76" t="n">
        <v>0</v>
      </c>
      <c r="M76" t="n">
        <v>0</v>
      </c>
      <c r="N76" t="n">
        <v>0</v>
      </c>
      <c r="O76" t="n">
        <v>2</v>
      </c>
      <c r="P76" t="n">
        <v>1</v>
      </c>
      <c r="Q76" t="n">
        <v>2</v>
      </c>
      <c r="R76" s="2" t="inlineStr">
        <is>
          <t>Knärot
Koralltaggsvamp</t>
        </is>
      </c>
      <c r="S76">
        <f>HYPERLINK("https://klasma.github.io/Logging_2262/artfynd/A 41784-2024 artfynd.xlsx", "A 41784-2024")</f>
        <v/>
      </c>
      <c r="T76">
        <f>HYPERLINK("https://klasma.github.io/Logging_2262/kartor/A 41784-2024 karta.png", "A 41784-2024")</f>
        <v/>
      </c>
      <c r="U76">
        <f>HYPERLINK("https://klasma.github.io/Logging_2262/knärot/A 41784-2024 karta knärot.png", "A 41784-2024")</f>
        <v/>
      </c>
      <c r="V76">
        <f>HYPERLINK("https://klasma.github.io/Logging_2262/klagomål/A 41784-2024 FSC-klagomål.docx", "A 41784-2024")</f>
        <v/>
      </c>
      <c r="W76">
        <f>HYPERLINK("https://klasma.github.io/Logging_2262/klagomålsmail/A 41784-2024 FSC-klagomål mail.docx", "A 41784-2024")</f>
        <v/>
      </c>
      <c r="X76">
        <f>HYPERLINK("https://klasma.github.io/Logging_2262/tillsyn/A 41784-2024 tillsynsbegäran.docx", "A 41784-2024")</f>
        <v/>
      </c>
      <c r="Y76">
        <f>HYPERLINK("https://klasma.github.io/Logging_2262/tillsynsmail/A 41784-2024 tillsynsbegäran mail.docx", "A 41784-2024")</f>
        <v/>
      </c>
    </row>
    <row r="77" ht="15" customHeight="1">
      <c r="A77" t="inlineStr">
        <is>
          <t>A 53287-2024</t>
        </is>
      </c>
      <c r="B77" s="1" t="n">
        <v>45614</v>
      </c>
      <c r="C77" s="1" t="n">
        <v>45809</v>
      </c>
      <c r="D77" t="inlineStr">
        <is>
          <t>VÄSTERNORRLANDS LÄN</t>
        </is>
      </c>
      <c r="E77" t="inlineStr">
        <is>
          <t>TIMRÅ</t>
        </is>
      </c>
      <c r="F77" t="inlineStr">
        <is>
          <t>SCA</t>
        </is>
      </c>
      <c r="G77" t="n">
        <v>2</v>
      </c>
      <c r="H77" t="n">
        <v>0</v>
      </c>
      <c r="I77" t="n">
        <v>2</v>
      </c>
      <c r="J77" t="n">
        <v>0</v>
      </c>
      <c r="K77" t="n">
        <v>0</v>
      </c>
      <c r="L77" t="n">
        <v>0</v>
      </c>
      <c r="M77" t="n">
        <v>0</v>
      </c>
      <c r="N77" t="n">
        <v>0</v>
      </c>
      <c r="O77" t="n">
        <v>0</v>
      </c>
      <c r="P77" t="n">
        <v>0</v>
      </c>
      <c r="Q77" t="n">
        <v>2</v>
      </c>
      <c r="R77" s="2" t="inlineStr">
        <is>
          <t>Korallblylav
Slanklav</t>
        </is>
      </c>
      <c r="S77">
        <f>HYPERLINK("https://klasma.github.io/Logging_2262/artfynd/A 53287-2024 artfynd.xlsx", "A 53287-2024")</f>
        <v/>
      </c>
      <c r="T77">
        <f>HYPERLINK("https://klasma.github.io/Logging_2262/kartor/A 53287-2024 karta.png", "A 53287-2024")</f>
        <v/>
      </c>
      <c r="V77">
        <f>HYPERLINK("https://klasma.github.io/Logging_2262/klagomål/A 53287-2024 FSC-klagomål.docx", "A 53287-2024")</f>
        <v/>
      </c>
      <c r="W77">
        <f>HYPERLINK("https://klasma.github.io/Logging_2262/klagomålsmail/A 53287-2024 FSC-klagomål mail.docx", "A 53287-2024")</f>
        <v/>
      </c>
      <c r="X77">
        <f>HYPERLINK("https://klasma.github.io/Logging_2262/tillsyn/A 53287-2024 tillsynsbegäran.docx", "A 53287-2024")</f>
        <v/>
      </c>
      <c r="Y77">
        <f>HYPERLINK("https://klasma.github.io/Logging_2262/tillsynsmail/A 53287-2024 tillsynsbegäran mail.docx", "A 53287-2024")</f>
        <v/>
      </c>
    </row>
    <row r="78" ht="15" customHeight="1">
      <c r="A78" t="inlineStr">
        <is>
          <t>A 55709-2024</t>
        </is>
      </c>
      <c r="B78" s="1" t="n">
        <v>45622</v>
      </c>
      <c r="C78" s="1" t="n">
        <v>45809</v>
      </c>
      <c r="D78" t="inlineStr">
        <is>
          <t>VÄSTERNORRLANDS LÄN</t>
        </is>
      </c>
      <c r="E78" t="inlineStr">
        <is>
          <t>TIMRÅ</t>
        </is>
      </c>
      <c r="F78" t="inlineStr">
        <is>
          <t>SCA</t>
        </is>
      </c>
      <c r="G78" t="n">
        <v>1.8</v>
      </c>
      <c r="H78" t="n">
        <v>0</v>
      </c>
      <c r="I78" t="n">
        <v>1</v>
      </c>
      <c r="J78" t="n">
        <v>1</v>
      </c>
      <c r="K78" t="n">
        <v>0</v>
      </c>
      <c r="L78" t="n">
        <v>0</v>
      </c>
      <c r="M78" t="n">
        <v>0</v>
      </c>
      <c r="N78" t="n">
        <v>0</v>
      </c>
      <c r="O78" t="n">
        <v>1</v>
      </c>
      <c r="P78" t="n">
        <v>0</v>
      </c>
      <c r="Q78" t="n">
        <v>2</v>
      </c>
      <c r="R78" s="2" t="inlineStr">
        <is>
          <t>Lunglav
Skinnlav</t>
        </is>
      </c>
      <c r="S78">
        <f>HYPERLINK("https://klasma.github.io/Logging_2262/artfynd/A 55709-2024 artfynd.xlsx", "A 55709-2024")</f>
        <v/>
      </c>
      <c r="T78">
        <f>HYPERLINK("https://klasma.github.io/Logging_2262/kartor/A 55709-2024 karta.png", "A 55709-2024")</f>
        <v/>
      </c>
      <c r="V78">
        <f>HYPERLINK("https://klasma.github.io/Logging_2262/klagomål/A 55709-2024 FSC-klagomål.docx", "A 55709-2024")</f>
        <v/>
      </c>
      <c r="W78">
        <f>HYPERLINK("https://klasma.github.io/Logging_2262/klagomålsmail/A 55709-2024 FSC-klagomål mail.docx", "A 55709-2024")</f>
        <v/>
      </c>
      <c r="X78">
        <f>HYPERLINK("https://klasma.github.io/Logging_2262/tillsyn/A 55709-2024 tillsynsbegäran.docx", "A 55709-2024")</f>
        <v/>
      </c>
      <c r="Y78">
        <f>HYPERLINK("https://klasma.github.io/Logging_2262/tillsynsmail/A 55709-2024 tillsynsbegäran mail.docx", "A 55709-2024")</f>
        <v/>
      </c>
    </row>
    <row r="79" ht="15" customHeight="1">
      <c r="A79" t="inlineStr">
        <is>
          <t>A 60670-2024</t>
        </is>
      </c>
      <c r="B79" s="1" t="n">
        <v>45642</v>
      </c>
      <c r="C79" s="1" t="n">
        <v>45809</v>
      </c>
      <c r="D79" t="inlineStr">
        <is>
          <t>VÄSTERNORRLANDS LÄN</t>
        </is>
      </c>
      <c r="E79" t="inlineStr">
        <is>
          <t>TIMRÅ</t>
        </is>
      </c>
      <c r="G79" t="n">
        <v>2.9</v>
      </c>
      <c r="H79" t="n">
        <v>1</v>
      </c>
      <c r="I79" t="n">
        <v>1</v>
      </c>
      <c r="J79" t="n">
        <v>0</v>
      </c>
      <c r="K79" t="n">
        <v>0</v>
      </c>
      <c r="L79" t="n">
        <v>0</v>
      </c>
      <c r="M79" t="n">
        <v>0</v>
      </c>
      <c r="N79" t="n">
        <v>0</v>
      </c>
      <c r="O79" t="n">
        <v>0</v>
      </c>
      <c r="P79" t="n">
        <v>0</v>
      </c>
      <c r="Q79" t="n">
        <v>2</v>
      </c>
      <c r="R79" s="2" t="inlineStr">
        <is>
          <t>Dvärghäxört
Fläcknycklar</t>
        </is>
      </c>
      <c r="S79">
        <f>HYPERLINK("https://klasma.github.io/Logging_2262/artfynd/A 60670-2024 artfynd.xlsx", "A 60670-2024")</f>
        <v/>
      </c>
      <c r="T79">
        <f>HYPERLINK("https://klasma.github.io/Logging_2262/kartor/A 60670-2024 karta.png", "A 60670-2024")</f>
        <v/>
      </c>
      <c r="V79">
        <f>HYPERLINK("https://klasma.github.io/Logging_2262/klagomål/A 60670-2024 FSC-klagomål.docx", "A 60670-2024")</f>
        <v/>
      </c>
      <c r="W79">
        <f>HYPERLINK("https://klasma.github.io/Logging_2262/klagomålsmail/A 60670-2024 FSC-klagomål mail.docx", "A 60670-2024")</f>
        <v/>
      </c>
      <c r="X79">
        <f>HYPERLINK("https://klasma.github.io/Logging_2262/tillsyn/A 60670-2024 tillsynsbegäran.docx", "A 60670-2024")</f>
        <v/>
      </c>
      <c r="Y79">
        <f>HYPERLINK("https://klasma.github.io/Logging_2262/tillsynsmail/A 60670-2024 tillsynsbegäran mail.docx", "A 60670-2024")</f>
        <v/>
      </c>
    </row>
    <row r="80" ht="15" customHeight="1">
      <c r="A80" t="inlineStr">
        <is>
          <t>A 18399-2025</t>
        </is>
      </c>
      <c r="B80" s="1" t="n">
        <v>45762</v>
      </c>
      <c r="C80" s="1" t="n">
        <v>45809</v>
      </c>
      <c r="D80" t="inlineStr">
        <is>
          <t>VÄSTERNORRLANDS LÄN</t>
        </is>
      </c>
      <c r="E80" t="inlineStr">
        <is>
          <t>TIMRÅ</t>
        </is>
      </c>
      <c r="G80" t="n">
        <v>1.8</v>
      </c>
      <c r="H80" t="n">
        <v>1</v>
      </c>
      <c r="I80" t="n">
        <v>0</v>
      </c>
      <c r="J80" t="n">
        <v>1</v>
      </c>
      <c r="K80" t="n">
        <v>0</v>
      </c>
      <c r="L80" t="n">
        <v>0</v>
      </c>
      <c r="M80" t="n">
        <v>0</v>
      </c>
      <c r="N80" t="n">
        <v>0</v>
      </c>
      <c r="O80" t="n">
        <v>1</v>
      </c>
      <c r="P80" t="n">
        <v>0</v>
      </c>
      <c r="Q80" t="n">
        <v>2</v>
      </c>
      <c r="R80" s="2" t="inlineStr">
        <is>
          <t>Slåtterfibbla
Kopparödla</t>
        </is>
      </c>
      <c r="S80">
        <f>HYPERLINK("https://klasma.github.io/Logging_222262/artfynd/A 18399-2025 artfynd.xlsx", "A 18399-2025")</f>
        <v/>
      </c>
      <c r="T80">
        <f>HYPERLINK("https://klasma.github.io/Logging_222262/kartor/A 18399-2025 karta.png", "A 18399-2025")</f>
        <v/>
      </c>
      <c r="V80">
        <f>HYPERLINK("https://klasma.github.io/Logging_222262/klagomål/A 18399-2025 FSC-klagomål.docx", "A 18399-2025")</f>
        <v/>
      </c>
      <c r="W80">
        <f>HYPERLINK("https://klasma.github.io/Logging_222262/klagomålsmail/A 18399-2025 FSC-klagomål mail.docx", "A 18399-2025")</f>
        <v/>
      </c>
      <c r="X80">
        <f>HYPERLINK("https://klasma.github.io/Logging_222262/tillsyn/A 18399-2025 tillsynsbegäran.docx", "A 18399-2025")</f>
        <v/>
      </c>
      <c r="Y80">
        <f>HYPERLINK("https://klasma.github.io/Logging_222262/tillsynsmail/A 18399-2025 tillsynsbegäran mail.docx", "A 18399-2025")</f>
        <v/>
      </c>
    </row>
    <row r="81" ht="15" customHeight="1">
      <c r="A81" t="inlineStr">
        <is>
          <t>A 18827-2025</t>
        </is>
      </c>
      <c r="B81" s="1" t="n">
        <v>45764</v>
      </c>
      <c r="C81" s="1" t="n">
        <v>45809</v>
      </c>
      <c r="D81" t="inlineStr">
        <is>
          <t>VÄSTERNORRLANDS LÄN</t>
        </is>
      </c>
      <c r="E81" t="inlineStr">
        <is>
          <t>TIMRÅ</t>
        </is>
      </c>
      <c r="F81" t="inlineStr">
        <is>
          <t>SCA</t>
        </is>
      </c>
      <c r="G81" t="n">
        <v>6.5</v>
      </c>
      <c r="H81" t="n">
        <v>0</v>
      </c>
      <c r="I81" t="n">
        <v>0</v>
      </c>
      <c r="J81" t="n">
        <v>1</v>
      </c>
      <c r="K81" t="n">
        <v>1</v>
      </c>
      <c r="L81" t="n">
        <v>0</v>
      </c>
      <c r="M81" t="n">
        <v>0</v>
      </c>
      <c r="N81" t="n">
        <v>0</v>
      </c>
      <c r="O81" t="n">
        <v>2</v>
      </c>
      <c r="P81" t="n">
        <v>1</v>
      </c>
      <c r="Q81" t="n">
        <v>2</v>
      </c>
      <c r="R81" s="2" t="inlineStr">
        <is>
          <t>Laxporing
Doftskinn</t>
        </is>
      </c>
      <c r="S81">
        <f>HYPERLINK("https://klasma.github.io/Logging_222262/artfynd/A 18827-2025 artfynd.xlsx", "A 18827-2025")</f>
        <v/>
      </c>
      <c r="T81">
        <f>HYPERLINK("https://klasma.github.io/Logging_222262/kartor/A 18827-2025 karta.png", "A 18827-2025")</f>
        <v/>
      </c>
      <c r="V81">
        <f>HYPERLINK("https://klasma.github.io/Logging_222262/klagomål/A 18827-2025 FSC-klagomål.docx", "A 18827-2025")</f>
        <v/>
      </c>
      <c r="W81">
        <f>HYPERLINK("https://klasma.github.io/Logging_222262/klagomålsmail/A 18827-2025 FSC-klagomål mail.docx", "A 18827-2025")</f>
        <v/>
      </c>
      <c r="X81">
        <f>HYPERLINK("https://klasma.github.io/Logging_222262/tillsyn/A 18827-2025 tillsynsbegäran.docx", "A 18827-2025")</f>
        <v/>
      </c>
      <c r="Y81">
        <f>HYPERLINK("https://klasma.github.io/Logging_222262/tillsynsmail/A 18827-2025 tillsynsbegäran mail.docx", "A 18827-2025")</f>
        <v/>
      </c>
    </row>
    <row r="82" ht="15" customHeight="1">
      <c r="A82" t="inlineStr">
        <is>
          <t>A 20882-2025</t>
        </is>
      </c>
      <c r="B82" s="1" t="n">
        <v>45777</v>
      </c>
      <c r="C82" s="1" t="n">
        <v>45809</v>
      </c>
      <c r="D82" t="inlineStr">
        <is>
          <t>VÄSTERNORRLANDS LÄN</t>
        </is>
      </c>
      <c r="E82" t="inlineStr">
        <is>
          <t>TIMRÅ</t>
        </is>
      </c>
      <c r="F82" t="inlineStr">
        <is>
          <t>SCA</t>
        </is>
      </c>
      <c r="G82" t="n">
        <v>3.3</v>
      </c>
      <c r="H82" t="n">
        <v>0</v>
      </c>
      <c r="I82" t="n">
        <v>0</v>
      </c>
      <c r="J82" t="n">
        <v>2</v>
      </c>
      <c r="K82" t="n">
        <v>0</v>
      </c>
      <c r="L82" t="n">
        <v>0</v>
      </c>
      <c r="M82" t="n">
        <v>0</v>
      </c>
      <c r="N82" t="n">
        <v>0</v>
      </c>
      <c r="O82" t="n">
        <v>2</v>
      </c>
      <c r="P82" t="n">
        <v>0</v>
      </c>
      <c r="Q82" t="n">
        <v>2</v>
      </c>
      <c r="R82" s="2" t="inlineStr">
        <is>
          <t>Garnlav
Lunglav</t>
        </is>
      </c>
      <c r="S82">
        <f>HYPERLINK("https://klasma.github.io/Logging_222262/artfynd/A 20882-2025 artfynd.xlsx", "A 20882-2025")</f>
        <v/>
      </c>
      <c r="T82">
        <f>HYPERLINK("https://klasma.github.io/Logging_222262/kartor/A 20882-2025 karta.png", "A 20882-2025")</f>
        <v/>
      </c>
      <c r="V82">
        <f>HYPERLINK("https://klasma.github.io/Logging_222262/klagomål/A 20882-2025 FSC-klagomål.docx", "A 20882-2025")</f>
        <v/>
      </c>
      <c r="W82">
        <f>HYPERLINK("https://klasma.github.io/Logging_222262/klagomålsmail/A 20882-2025 FSC-klagomål mail.docx", "A 20882-2025")</f>
        <v/>
      </c>
      <c r="X82">
        <f>HYPERLINK("https://klasma.github.io/Logging_222262/tillsyn/A 20882-2025 tillsynsbegäran.docx", "A 20882-2025")</f>
        <v/>
      </c>
      <c r="Y82">
        <f>HYPERLINK("https://klasma.github.io/Logging_222262/tillsynsmail/A 20882-2025 tillsynsbegäran mail.docx", "A 20882-2025")</f>
        <v/>
      </c>
    </row>
    <row r="83" ht="15" customHeight="1">
      <c r="A83" t="inlineStr">
        <is>
          <t>A 21621-2025</t>
        </is>
      </c>
      <c r="B83" s="1" t="n">
        <v>45783</v>
      </c>
      <c r="C83" s="1" t="n">
        <v>45809</v>
      </c>
      <c r="D83" t="inlineStr">
        <is>
          <t>VÄSTERNORRLANDS LÄN</t>
        </is>
      </c>
      <c r="E83" t="inlineStr">
        <is>
          <t>TIMRÅ</t>
        </is>
      </c>
      <c r="F83" t="inlineStr">
        <is>
          <t>SCA</t>
        </is>
      </c>
      <c r="G83" t="n">
        <v>1.6</v>
      </c>
      <c r="H83" t="n">
        <v>1</v>
      </c>
      <c r="I83" t="n">
        <v>0</v>
      </c>
      <c r="J83" t="n">
        <v>1</v>
      </c>
      <c r="K83" t="n">
        <v>1</v>
      </c>
      <c r="L83" t="n">
        <v>0</v>
      </c>
      <c r="M83" t="n">
        <v>0</v>
      </c>
      <c r="N83" t="n">
        <v>0</v>
      </c>
      <c r="O83" t="n">
        <v>2</v>
      </c>
      <c r="P83" t="n">
        <v>1</v>
      </c>
      <c r="Q83" t="n">
        <v>2</v>
      </c>
      <c r="R83" s="2" t="inlineStr">
        <is>
          <t>Knärot
Rosenticka</t>
        </is>
      </c>
      <c r="S83">
        <f>HYPERLINK("https://klasma.github.io/Logging_222262/artfynd/A 21621-2025 artfynd.xlsx", "A 21621-2025")</f>
        <v/>
      </c>
      <c r="T83">
        <f>HYPERLINK("https://klasma.github.io/Logging_222262/kartor/A 21621-2025 karta.png", "A 21621-2025")</f>
        <v/>
      </c>
      <c r="U83">
        <f>HYPERLINK("https://klasma.github.io/Logging_222262/knärot/A 21621-2025 karta knärot.png", "A 21621-2025")</f>
        <v/>
      </c>
      <c r="V83">
        <f>HYPERLINK("https://klasma.github.io/Logging_222262/klagomål/A 21621-2025 FSC-klagomål.docx", "A 21621-2025")</f>
        <v/>
      </c>
      <c r="W83">
        <f>HYPERLINK("https://klasma.github.io/Logging_222262/klagomålsmail/A 21621-2025 FSC-klagomål mail.docx", "A 21621-2025")</f>
        <v/>
      </c>
      <c r="X83">
        <f>HYPERLINK("https://klasma.github.io/Logging_222262/tillsyn/A 21621-2025 tillsynsbegäran.docx", "A 21621-2025")</f>
        <v/>
      </c>
      <c r="Y83">
        <f>HYPERLINK("https://klasma.github.io/Logging_222262/tillsynsmail/A 21621-2025 tillsynsbegäran mail.docx", "A 21621-2025")</f>
        <v/>
      </c>
    </row>
    <row r="84" ht="15" customHeight="1">
      <c r="A84" t="inlineStr">
        <is>
          <t>A 22072-2025</t>
        </is>
      </c>
      <c r="B84" s="1" t="n">
        <v>45785</v>
      </c>
      <c r="C84" s="1" t="n">
        <v>45809</v>
      </c>
      <c r="D84" t="inlineStr">
        <is>
          <t>VÄSTERNORRLANDS LÄN</t>
        </is>
      </c>
      <c r="E84" t="inlineStr">
        <is>
          <t>TIMRÅ</t>
        </is>
      </c>
      <c r="F84" t="inlineStr">
        <is>
          <t>SCA</t>
        </is>
      </c>
      <c r="G84" t="n">
        <v>1.1</v>
      </c>
      <c r="H84" t="n">
        <v>0</v>
      </c>
      <c r="I84" t="n">
        <v>0</v>
      </c>
      <c r="J84" t="n">
        <v>2</v>
      </c>
      <c r="K84" t="n">
        <v>0</v>
      </c>
      <c r="L84" t="n">
        <v>0</v>
      </c>
      <c r="M84" t="n">
        <v>0</v>
      </c>
      <c r="N84" t="n">
        <v>0</v>
      </c>
      <c r="O84" t="n">
        <v>2</v>
      </c>
      <c r="P84" t="n">
        <v>0</v>
      </c>
      <c r="Q84" t="n">
        <v>2</v>
      </c>
      <c r="R84" s="2" t="inlineStr">
        <is>
          <t>Gammelgransskål
Ullticka</t>
        </is>
      </c>
      <c r="S84">
        <f>HYPERLINK("https://klasma.github.io/Logging_222262/artfynd/A 22072-2025 artfynd.xlsx", "A 22072-2025")</f>
        <v/>
      </c>
      <c r="T84">
        <f>HYPERLINK("https://klasma.github.io/Logging_222262/kartor/A 22072-2025 karta.png", "A 22072-2025")</f>
        <v/>
      </c>
      <c r="V84">
        <f>HYPERLINK("https://klasma.github.io/Logging_222262/klagomål/A 22072-2025 FSC-klagomål.docx", "A 22072-2025")</f>
        <v/>
      </c>
      <c r="W84">
        <f>HYPERLINK("https://klasma.github.io/Logging_222262/klagomålsmail/A 22072-2025 FSC-klagomål mail.docx", "A 22072-2025")</f>
        <v/>
      </c>
      <c r="X84">
        <f>HYPERLINK("https://klasma.github.io/Logging_222262/tillsyn/A 22072-2025 tillsynsbegäran.docx", "A 22072-2025")</f>
        <v/>
      </c>
      <c r="Y84">
        <f>HYPERLINK("https://klasma.github.io/Logging_222262/tillsynsmail/A 22072-2025 tillsynsbegäran mail.docx", "A 22072-2025")</f>
        <v/>
      </c>
    </row>
    <row r="85" ht="15" customHeight="1">
      <c r="A85" t="inlineStr">
        <is>
          <t>A 22204-2025</t>
        </is>
      </c>
      <c r="B85" s="1" t="n">
        <v>45785</v>
      </c>
      <c r="C85" s="1" t="n">
        <v>45809</v>
      </c>
      <c r="D85" t="inlineStr">
        <is>
          <t>VÄSTERNORRLANDS LÄN</t>
        </is>
      </c>
      <c r="E85" t="inlineStr">
        <is>
          <t>TIMRÅ</t>
        </is>
      </c>
      <c r="F85" t="inlineStr">
        <is>
          <t>SCA</t>
        </is>
      </c>
      <c r="G85" t="n">
        <v>7.1</v>
      </c>
      <c r="H85" t="n">
        <v>0</v>
      </c>
      <c r="I85" t="n">
        <v>0</v>
      </c>
      <c r="J85" t="n">
        <v>2</v>
      </c>
      <c r="K85" t="n">
        <v>0</v>
      </c>
      <c r="L85" t="n">
        <v>0</v>
      </c>
      <c r="M85" t="n">
        <v>0</v>
      </c>
      <c r="N85" t="n">
        <v>0</v>
      </c>
      <c r="O85" t="n">
        <v>2</v>
      </c>
      <c r="P85" t="n">
        <v>0</v>
      </c>
      <c r="Q85" t="n">
        <v>2</v>
      </c>
      <c r="R85" s="2" t="inlineStr">
        <is>
          <t>Rosenticka
Ullticka</t>
        </is>
      </c>
      <c r="S85">
        <f>HYPERLINK("https://klasma.github.io/Logging_222262/artfynd/A 22204-2025 artfynd.xlsx", "A 22204-2025")</f>
        <v/>
      </c>
      <c r="T85">
        <f>HYPERLINK("https://klasma.github.io/Logging_222262/kartor/A 22204-2025 karta.png", "A 22204-2025")</f>
        <v/>
      </c>
      <c r="V85">
        <f>HYPERLINK("https://klasma.github.io/Logging_222262/klagomål/A 22204-2025 FSC-klagomål.docx", "A 22204-2025")</f>
        <v/>
      </c>
      <c r="W85">
        <f>HYPERLINK("https://klasma.github.io/Logging_222262/klagomålsmail/A 22204-2025 FSC-klagomål mail.docx", "A 22204-2025")</f>
        <v/>
      </c>
      <c r="X85">
        <f>HYPERLINK("https://klasma.github.io/Logging_222262/tillsyn/A 22204-2025 tillsynsbegäran.docx", "A 22204-2025")</f>
        <v/>
      </c>
      <c r="Y85">
        <f>HYPERLINK("https://klasma.github.io/Logging_222262/tillsynsmail/A 22204-2025 tillsynsbegäran mail.docx", "A 22204-2025")</f>
        <v/>
      </c>
    </row>
    <row r="86" ht="15" customHeight="1">
      <c r="A86" t="inlineStr">
        <is>
          <t>A 22379-2025</t>
        </is>
      </c>
      <c r="B86" s="1" t="n">
        <v>45786</v>
      </c>
      <c r="C86" s="1" t="n">
        <v>45809</v>
      </c>
      <c r="D86" t="inlineStr">
        <is>
          <t>VÄSTERNORRLANDS LÄN</t>
        </is>
      </c>
      <c r="E86" t="inlineStr">
        <is>
          <t>TIMRÅ</t>
        </is>
      </c>
      <c r="F86" t="inlineStr">
        <is>
          <t>SCA</t>
        </is>
      </c>
      <c r="G86" t="n">
        <v>8.300000000000001</v>
      </c>
      <c r="H86" t="n">
        <v>0</v>
      </c>
      <c r="I86" t="n">
        <v>0</v>
      </c>
      <c r="J86" t="n">
        <v>2</v>
      </c>
      <c r="K86" t="n">
        <v>0</v>
      </c>
      <c r="L86" t="n">
        <v>0</v>
      </c>
      <c r="M86" t="n">
        <v>0</v>
      </c>
      <c r="N86" t="n">
        <v>0</v>
      </c>
      <c r="O86" t="n">
        <v>2</v>
      </c>
      <c r="P86" t="n">
        <v>0</v>
      </c>
      <c r="Q86" t="n">
        <v>2</v>
      </c>
      <c r="R86" s="2" t="inlineStr">
        <is>
          <t>Lunglav
Mörk kolflarnlav</t>
        </is>
      </c>
      <c r="S86">
        <f>HYPERLINK("https://klasma.github.io/Logging_222262/artfynd/A 22379-2025 artfynd.xlsx", "A 22379-2025")</f>
        <v/>
      </c>
      <c r="T86">
        <f>HYPERLINK("https://klasma.github.io/Logging_222262/kartor/A 22379-2025 karta.png", "A 22379-2025")</f>
        <v/>
      </c>
      <c r="V86">
        <f>HYPERLINK("https://klasma.github.io/Logging_222262/klagomål/A 22379-2025 FSC-klagomål.docx", "A 22379-2025")</f>
        <v/>
      </c>
      <c r="W86">
        <f>HYPERLINK("https://klasma.github.io/Logging_222262/klagomålsmail/A 22379-2025 FSC-klagomål mail.docx", "A 22379-2025")</f>
        <v/>
      </c>
      <c r="X86">
        <f>HYPERLINK("https://klasma.github.io/Logging_222262/tillsyn/A 22379-2025 tillsynsbegäran.docx", "A 22379-2025")</f>
        <v/>
      </c>
      <c r="Y86">
        <f>HYPERLINK("https://klasma.github.io/Logging_222262/tillsynsmail/A 22379-2025 tillsynsbegäran mail.docx", "A 22379-2025")</f>
        <v/>
      </c>
    </row>
    <row r="87" ht="15" customHeight="1">
      <c r="A87" t="inlineStr">
        <is>
          <t>A 66710-2019</t>
        </is>
      </c>
      <c r="B87" s="1" t="n">
        <v>43809</v>
      </c>
      <c r="C87" s="1" t="n">
        <v>45809</v>
      </c>
      <c r="D87" t="inlineStr">
        <is>
          <t>VÄSTERNORRLANDS LÄN</t>
        </is>
      </c>
      <c r="E87" t="inlineStr">
        <is>
          <t>TIMRÅ</t>
        </is>
      </c>
      <c r="G87" t="n">
        <v>2.9</v>
      </c>
      <c r="H87" t="n">
        <v>0</v>
      </c>
      <c r="I87" t="n">
        <v>0</v>
      </c>
      <c r="J87" t="n">
        <v>1</v>
      </c>
      <c r="K87" t="n">
        <v>0</v>
      </c>
      <c r="L87" t="n">
        <v>0</v>
      </c>
      <c r="M87" t="n">
        <v>0</v>
      </c>
      <c r="N87" t="n">
        <v>0</v>
      </c>
      <c r="O87" t="n">
        <v>1</v>
      </c>
      <c r="P87" t="n">
        <v>0</v>
      </c>
      <c r="Q87" t="n">
        <v>1</v>
      </c>
      <c r="R87" s="2" t="inlineStr">
        <is>
          <t>Ullticka</t>
        </is>
      </c>
      <c r="S87">
        <f>HYPERLINK("https://klasma.github.io/Logging_2262/artfynd/A 66710-2019 artfynd.xlsx", "A 66710-2019")</f>
        <v/>
      </c>
      <c r="T87">
        <f>HYPERLINK("https://klasma.github.io/Logging_2262/kartor/A 66710-2019 karta.png", "A 66710-2019")</f>
        <v/>
      </c>
      <c r="V87">
        <f>HYPERLINK("https://klasma.github.io/Logging_2262/klagomål/A 66710-2019 FSC-klagomål.docx", "A 66710-2019")</f>
        <v/>
      </c>
      <c r="W87">
        <f>HYPERLINK("https://klasma.github.io/Logging_2262/klagomålsmail/A 66710-2019 FSC-klagomål mail.docx", "A 66710-2019")</f>
        <v/>
      </c>
      <c r="X87">
        <f>HYPERLINK("https://klasma.github.io/Logging_2262/tillsyn/A 66710-2019 tillsynsbegäran.docx", "A 66710-2019")</f>
        <v/>
      </c>
      <c r="Y87">
        <f>HYPERLINK("https://klasma.github.io/Logging_2262/tillsynsmail/A 66710-2019 tillsynsbegäran mail.docx", "A 66710-2019")</f>
        <v/>
      </c>
    </row>
    <row r="88" ht="15" customHeight="1">
      <c r="A88" t="inlineStr">
        <is>
          <t>A 24277-2020</t>
        </is>
      </c>
      <c r="B88" s="1" t="n">
        <v>43971</v>
      </c>
      <c r="C88" s="1" t="n">
        <v>45809</v>
      </c>
      <c r="D88" t="inlineStr">
        <is>
          <t>VÄSTERNORRLANDS LÄN</t>
        </is>
      </c>
      <c r="E88" t="inlineStr">
        <is>
          <t>TIMRÅ</t>
        </is>
      </c>
      <c r="G88" t="n">
        <v>6</v>
      </c>
      <c r="H88" t="n">
        <v>1</v>
      </c>
      <c r="I88" t="n">
        <v>0</v>
      </c>
      <c r="J88" t="n">
        <v>0</v>
      </c>
      <c r="K88" t="n">
        <v>1</v>
      </c>
      <c r="L88" t="n">
        <v>0</v>
      </c>
      <c r="M88" t="n">
        <v>0</v>
      </c>
      <c r="N88" t="n">
        <v>0</v>
      </c>
      <c r="O88" t="n">
        <v>1</v>
      </c>
      <c r="P88" t="n">
        <v>1</v>
      </c>
      <c r="Q88" t="n">
        <v>1</v>
      </c>
      <c r="R88" s="2" t="inlineStr">
        <is>
          <t>Bergviol</t>
        </is>
      </c>
      <c r="S88">
        <f>HYPERLINK("https://klasma.github.io/Logging_2262/artfynd/A 24277-2020 artfynd.xlsx", "A 24277-2020")</f>
        <v/>
      </c>
      <c r="T88">
        <f>HYPERLINK("https://klasma.github.io/Logging_2262/kartor/A 24277-2020 karta.png", "A 24277-2020")</f>
        <v/>
      </c>
      <c r="V88">
        <f>HYPERLINK("https://klasma.github.io/Logging_2262/klagomål/A 24277-2020 FSC-klagomål.docx", "A 24277-2020")</f>
        <v/>
      </c>
      <c r="W88">
        <f>HYPERLINK("https://klasma.github.io/Logging_2262/klagomålsmail/A 24277-2020 FSC-klagomål mail.docx", "A 24277-2020")</f>
        <v/>
      </c>
      <c r="X88">
        <f>HYPERLINK("https://klasma.github.io/Logging_2262/tillsyn/A 24277-2020 tillsynsbegäran.docx", "A 24277-2020")</f>
        <v/>
      </c>
      <c r="Y88">
        <f>HYPERLINK("https://klasma.github.io/Logging_2262/tillsynsmail/A 24277-2020 tillsynsbegäran mail.docx", "A 24277-2020")</f>
        <v/>
      </c>
    </row>
    <row r="89" ht="15" customHeight="1">
      <c r="A89" t="inlineStr">
        <is>
          <t>A 27879-2020</t>
        </is>
      </c>
      <c r="B89" s="1" t="n">
        <v>43994</v>
      </c>
      <c r="C89" s="1" t="n">
        <v>45809</v>
      </c>
      <c r="D89" t="inlineStr">
        <is>
          <t>VÄSTERNORRLANDS LÄN</t>
        </is>
      </c>
      <c r="E89" t="inlineStr">
        <is>
          <t>TIMRÅ</t>
        </is>
      </c>
      <c r="G89" t="n">
        <v>5.5</v>
      </c>
      <c r="H89" t="n">
        <v>1</v>
      </c>
      <c r="I89" t="n">
        <v>0</v>
      </c>
      <c r="J89" t="n">
        <v>0</v>
      </c>
      <c r="K89" t="n">
        <v>0</v>
      </c>
      <c r="L89" t="n">
        <v>0</v>
      </c>
      <c r="M89" t="n">
        <v>0</v>
      </c>
      <c r="N89" t="n">
        <v>0</v>
      </c>
      <c r="O89" t="n">
        <v>0</v>
      </c>
      <c r="P89" t="n">
        <v>0</v>
      </c>
      <c r="Q89" t="n">
        <v>1</v>
      </c>
      <c r="R89" s="2" t="inlineStr">
        <is>
          <t>Mindre vattensalamander</t>
        </is>
      </c>
      <c r="S89">
        <f>HYPERLINK("https://klasma.github.io/Logging_2262/artfynd/A 27879-2020 artfynd.xlsx", "A 27879-2020")</f>
        <v/>
      </c>
      <c r="T89">
        <f>HYPERLINK("https://klasma.github.io/Logging_2262/kartor/A 27879-2020 karta.png", "A 27879-2020")</f>
        <v/>
      </c>
      <c r="V89">
        <f>HYPERLINK("https://klasma.github.io/Logging_2262/klagomål/A 27879-2020 FSC-klagomål.docx", "A 27879-2020")</f>
        <v/>
      </c>
      <c r="W89">
        <f>HYPERLINK("https://klasma.github.io/Logging_2262/klagomålsmail/A 27879-2020 FSC-klagomål mail.docx", "A 27879-2020")</f>
        <v/>
      </c>
      <c r="X89">
        <f>HYPERLINK("https://klasma.github.io/Logging_2262/tillsyn/A 27879-2020 tillsynsbegäran.docx", "A 27879-2020")</f>
        <v/>
      </c>
      <c r="Y89">
        <f>HYPERLINK("https://klasma.github.io/Logging_2262/tillsynsmail/A 27879-2020 tillsynsbegäran mail.docx", "A 27879-2020")</f>
        <v/>
      </c>
    </row>
    <row r="90" ht="15" customHeight="1">
      <c r="A90" t="inlineStr">
        <is>
          <t>A 40407-2020</t>
        </is>
      </c>
      <c r="B90" s="1" t="n">
        <v>44068</v>
      </c>
      <c r="C90" s="1" t="n">
        <v>45809</v>
      </c>
      <c r="D90" t="inlineStr">
        <is>
          <t>VÄSTERNORRLANDS LÄN</t>
        </is>
      </c>
      <c r="E90" t="inlineStr">
        <is>
          <t>TIMRÅ</t>
        </is>
      </c>
      <c r="G90" t="n">
        <v>3.6</v>
      </c>
      <c r="H90" t="n">
        <v>0</v>
      </c>
      <c r="I90" t="n">
        <v>0</v>
      </c>
      <c r="J90" t="n">
        <v>1</v>
      </c>
      <c r="K90" t="n">
        <v>0</v>
      </c>
      <c r="L90" t="n">
        <v>0</v>
      </c>
      <c r="M90" t="n">
        <v>0</v>
      </c>
      <c r="N90" t="n">
        <v>0</v>
      </c>
      <c r="O90" t="n">
        <v>1</v>
      </c>
      <c r="P90" t="n">
        <v>0</v>
      </c>
      <c r="Q90" t="n">
        <v>1</v>
      </c>
      <c r="R90" s="2" t="inlineStr">
        <is>
          <t>Ullticka</t>
        </is>
      </c>
      <c r="S90">
        <f>HYPERLINK("https://klasma.github.io/Logging_2262/artfynd/A 40407-2020 artfynd.xlsx", "A 40407-2020")</f>
        <v/>
      </c>
      <c r="T90">
        <f>HYPERLINK("https://klasma.github.io/Logging_2262/kartor/A 40407-2020 karta.png", "A 40407-2020")</f>
        <v/>
      </c>
      <c r="V90">
        <f>HYPERLINK("https://klasma.github.io/Logging_2262/klagomål/A 40407-2020 FSC-klagomål.docx", "A 40407-2020")</f>
        <v/>
      </c>
      <c r="W90">
        <f>HYPERLINK("https://klasma.github.io/Logging_2262/klagomålsmail/A 40407-2020 FSC-klagomål mail.docx", "A 40407-2020")</f>
        <v/>
      </c>
      <c r="X90">
        <f>HYPERLINK("https://klasma.github.io/Logging_2262/tillsyn/A 40407-2020 tillsynsbegäran.docx", "A 40407-2020")</f>
        <v/>
      </c>
      <c r="Y90">
        <f>HYPERLINK("https://klasma.github.io/Logging_2262/tillsynsmail/A 40407-2020 tillsynsbegäran mail.docx", "A 40407-2020")</f>
        <v/>
      </c>
    </row>
    <row r="91" ht="15" customHeight="1">
      <c r="A91" t="inlineStr">
        <is>
          <t>A 69202-2020</t>
        </is>
      </c>
      <c r="B91" s="1" t="n">
        <v>44191</v>
      </c>
      <c r="C91" s="1" t="n">
        <v>45809</v>
      </c>
      <c r="D91" t="inlineStr">
        <is>
          <t>VÄSTERNORRLANDS LÄN</t>
        </is>
      </c>
      <c r="E91" t="inlineStr">
        <is>
          <t>TIMRÅ</t>
        </is>
      </c>
      <c r="F91" t="inlineStr">
        <is>
          <t>SCA</t>
        </is>
      </c>
      <c r="G91" t="n">
        <v>12</v>
      </c>
      <c r="H91" t="n">
        <v>0</v>
      </c>
      <c r="I91" t="n">
        <v>0</v>
      </c>
      <c r="J91" t="n">
        <v>1</v>
      </c>
      <c r="K91" t="n">
        <v>0</v>
      </c>
      <c r="L91" t="n">
        <v>0</v>
      </c>
      <c r="M91" t="n">
        <v>0</v>
      </c>
      <c r="N91" t="n">
        <v>0</v>
      </c>
      <c r="O91" t="n">
        <v>1</v>
      </c>
      <c r="P91" t="n">
        <v>0</v>
      </c>
      <c r="Q91" t="n">
        <v>1</v>
      </c>
      <c r="R91" s="2" t="inlineStr">
        <is>
          <t>Garnlav</t>
        </is>
      </c>
      <c r="S91">
        <f>HYPERLINK("https://klasma.github.io/Logging_2262/artfynd/A 69202-2020 artfynd.xlsx", "A 69202-2020")</f>
        <v/>
      </c>
      <c r="T91">
        <f>HYPERLINK("https://klasma.github.io/Logging_2262/kartor/A 69202-2020 karta.png", "A 69202-2020")</f>
        <v/>
      </c>
      <c r="V91">
        <f>HYPERLINK("https://klasma.github.io/Logging_2262/klagomål/A 69202-2020 FSC-klagomål.docx", "A 69202-2020")</f>
        <v/>
      </c>
      <c r="W91">
        <f>HYPERLINK("https://klasma.github.io/Logging_2262/klagomålsmail/A 69202-2020 FSC-klagomål mail.docx", "A 69202-2020")</f>
        <v/>
      </c>
      <c r="X91">
        <f>HYPERLINK("https://klasma.github.io/Logging_2262/tillsyn/A 69202-2020 tillsynsbegäran.docx", "A 69202-2020")</f>
        <v/>
      </c>
      <c r="Y91">
        <f>HYPERLINK("https://klasma.github.io/Logging_2262/tillsynsmail/A 69202-2020 tillsynsbegäran mail.docx", "A 69202-2020")</f>
        <v/>
      </c>
    </row>
    <row r="92" ht="15" customHeight="1">
      <c r="A92" t="inlineStr">
        <is>
          <t>A 18969-2021</t>
        </is>
      </c>
      <c r="B92" s="1" t="n">
        <v>44308</v>
      </c>
      <c r="C92" s="1" t="n">
        <v>45809</v>
      </c>
      <c r="D92" t="inlineStr">
        <is>
          <t>VÄSTERNORRLANDS LÄN</t>
        </is>
      </c>
      <c r="E92" t="inlineStr">
        <is>
          <t>TIMRÅ</t>
        </is>
      </c>
      <c r="G92" t="n">
        <v>7.4</v>
      </c>
      <c r="H92" t="n">
        <v>0</v>
      </c>
      <c r="I92" t="n">
        <v>1</v>
      </c>
      <c r="J92" t="n">
        <v>0</v>
      </c>
      <c r="K92" t="n">
        <v>0</v>
      </c>
      <c r="L92" t="n">
        <v>0</v>
      </c>
      <c r="M92" t="n">
        <v>0</v>
      </c>
      <c r="N92" t="n">
        <v>0</v>
      </c>
      <c r="O92" t="n">
        <v>0</v>
      </c>
      <c r="P92" t="n">
        <v>0</v>
      </c>
      <c r="Q92" t="n">
        <v>1</v>
      </c>
      <c r="R92" s="2" t="inlineStr">
        <is>
          <t>Strutbräken</t>
        </is>
      </c>
      <c r="S92">
        <f>HYPERLINK("https://klasma.github.io/Logging_2262/artfynd/A 18969-2021 artfynd.xlsx", "A 18969-2021")</f>
        <v/>
      </c>
      <c r="T92">
        <f>HYPERLINK("https://klasma.github.io/Logging_2262/kartor/A 18969-2021 karta.png", "A 18969-2021")</f>
        <v/>
      </c>
      <c r="V92">
        <f>HYPERLINK("https://klasma.github.io/Logging_2262/klagomål/A 18969-2021 FSC-klagomål.docx", "A 18969-2021")</f>
        <v/>
      </c>
      <c r="W92">
        <f>HYPERLINK("https://klasma.github.io/Logging_2262/klagomålsmail/A 18969-2021 FSC-klagomål mail.docx", "A 18969-2021")</f>
        <v/>
      </c>
      <c r="X92">
        <f>HYPERLINK("https://klasma.github.io/Logging_2262/tillsyn/A 18969-2021 tillsynsbegäran.docx", "A 18969-2021")</f>
        <v/>
      </c>
      <c r="Y92">
        <f>HYPERLINK("https://klasma.github.io/Logging_2262/tillsynsmail/A 18969-2021 tillsynsbegäran mail.docx", "A 18969-2021")</f>
        <v/>
      </c>
    </row>
    <row r="93" ht="15" customHeight="1">
      <c r="A93" t="inlineStr">
        <is>
          <t>A 20679-2021</t>
        </is>
      </c>
      <c r="B93" s="1" t="n">
        <v>44316</v>
      </c>
      <c r="C93" s="1" t="n">
        <v>45809</v>
      </c>
      <c r="D93" t="inlineStr">
        <is>
          <t>VÄSTERNORRLANDS LÄN</t>
        </is>
      </c>
      <c r="E93" t="inlineStr">
        <is>
          <t>TIMRÅ</t>
        </is>
      </c>
      <c r="G93" t="n">
        <v>12.6</v>
      </c>
      <c r="H93" t="n">
        <v>1</v>
      </c>
      <c r="I93" t="n">
        <v>0</v>
      </c>
      <c r="J93" t="n">
        <v>1</v>
      </c>
      <c r="K93" t="n">
        <v>0</v>
      </c>
      <c r="L93" t="n">
        <v>0</v>
      </c>
      <c r="M93" t="n">
        <v>0</v>
      </c>
      <c r="N93" t="n">
        <v>0</v>
      </c>
      <c r="O93" t="n">
        <v>1</v>
      </c>
      <c r="P93" t="n">
        <v>0</v>
      </c>
      <c r="Q93" t="n">
        <v>1</v>
      </c>
      <c r="R93" s="2" t="inlineStr">
        <is>
          <t>Havsörn</t>
        </is>
      </c>
      <c r="S93">
        <f>HYPERLINK("https://klasma.github.io/Logging_2262/artfynd/A 20679-2021 artfynd.xlsx", "A 20679-2021")</f>
        <v/>
      </c>
      <c r="T93">
        <f>HYPERLINK("https://klasma.github.io/Logging_2262/kartor/A 20679-2021 karta.png", "A 20679-2021")</f>
        <v/>
      </c>
      <c r="V93">
        <f>HYPERLINK("https://klasma.github.io/Logging_2262/klagomål/A 20679-2021 FSC-klagomål.docx", "A 20679-2021")</f>
        <v/>
      </c>
      <c r="W93">
        <f>HYPERLINK("https://klasma.github.io/Logging_2262/klagomålsmail/A 20679-2021 FSC-klagomål mail.docx", "A 20679-2021")</f>
        <v/>
      </c>
      <c r="X93">
        <f>HYPERLINK("https://klasma.github.io/Logging_2262/tillsyn/A 20679-2021 tillsynsbegäran.docx", "A 20679-2021")</f>
        <v/>
      </c>
      <c r="Y93">
        <f>HYPERLINK("https://klasma.github.io/Logging_2262/tillsynsmail/A 20679-2021 tillsynsbegäran mail.docx", "A 20679-2021")</f>
        <v/>
      </c>
      <c r="Z93">
        <f>HYPERLINK("https://klasma.github.io/Logging_2262/fåglar/A 20679-2021 prioriterade fågelarter.docx", "A 20679-2021")</f>
        <v/>
      </c>
    </row>
    <row r="94" ht="15" customHeight="1">
      <c r="A94" t="inlineStr">
        <is>
          <t>A 12753-2022</t>
        </is>
      </c>
      <c r="B94" s="1" t="n">
        <v>44641</v>
      </c>
      <c r="C94" s="1" t="n">
        <v>45809</v>
      </c>
      <c r="D94" t="inlineStr">
        <is>
          <t>VÄSTERNORRLANDS LÄN</t>
        </is>
      </c>
      <c r="E94" t="inlineStr">
        <is>
          <t>TIMRÅ</t>
        </is>
      </c>
      <c r="G94" t="n">
        <v>1.6</v>
      </c>
      <c r="H94" t="n">
        <v>0</v>
      </c>
      <c r="I94" t="n">
        <v>1</v>
      </c>
      <c r="J94" t="n">
        <v>0</v>
      </c>
      <c r="K94" t="n">
        <v>0</v>
      </c>
      <c r="L94" t="n">
        <v>0</v>
      </c>
      <c r="M94" t="n">
        <v>0</v>
      </c>
      <c r="N94" t="n">
        <v>0</v>
      </c>
      <c r="O94" t="n">
        <v>0</v>
      </c>
      <c r="P94" t="n">
        <v>0</v>
      </c>
      <c r="Q94" t="n">
        <v>1</v>
      </c>
      <c r="R94" s="2" t="inlineStr">
        <is>
          <t>Strutbräken</t>
        </is>
      </c>
      <c r="S94">
        <f>HYPERLINK("https://klasma.github.io/Logging_2262/artfynd/A 12753-2022 artfynd.xlsx", "A 12753-2022")</f>
        <v/>
      </c>
      <c r="T94">
        <f>HYPERLINK("https://klasma.github.io/Logging_2262/kartor/A 12753-2022 karta.png", "A 12753-2022")</f>
        <v/>
      </c>
      <c r="V94">
        <f>HYPERLINK("https://klasma.github.io/Logging_2262/klagomål/A 12753-2022 FSC-klagomål.docx", "A 12753-2022")</f>
        <v/>
      </c>
      <c r="W94">
        <f>HYPERLINK("https://klasma.github.io/Logging_2262/klagomålsmail/A 12753-2022 FSC-klagomål mail.docx", "A 12753-2022")</f>
        <v/>
      </c>
      <c r="X94">
        <f>HYPERLINK("https://klasma.github.io/Logging_2262/tillsyn/A 12753-2022 tillsynsbegäran.docx", "A 12753-2022")</f>
        <v/>
      </c>
      <c r="Y94">
        <f>HYPERLINK("https://klasma.github.io/Logging_2262/tillsynsmail/A 12753-2022 tillsynsbegäran mail.docx", "A 12753-2022")</f>
        <v/>
      </c>
    </row>
    <row r="95" ht="15" customHeight="1">
      <c r="A95" t="inlineStr">
        <is>
          <t>A 12785-2022</t>
        </is>
      </c>
      <c r="B95" s="1" t="n">
        <v>44641</v>
      </c>
      <c r="C95" s="1" t="n">
        <v>45809</v>
      </c>
      <c r="D95" t="inlineStr">
        <is>
          <t>VÄSTERNORRLANDS LÄN</t>
        </is>
      </c>
      <c r="E95" t="inlineStr">
        <is>
          <t>TIMRÅ</t>
        </is>
      </c>
      <c r="G95" t="n">
        <v>2.2</v>
      </c>
      <c r="H95" t="n">
        <v>0</v>
      </c>
      <c r="I95" t="n">
        <v>1</v>
      </c>
      <c r="J95" t="n">
        <v>0</v>
      </c>
      <c r="K95" t="n">
        <v>0</v>
      </c>
      <c r="L95" t="n">
        <v>0</v>
      </c>
      <c r="M95" t="n">
        <v>0</v>
      </c>
      <c r="N95" t="n">
        <v>0</v>
      </c>
      <c r="O95" t="n">
        <v>0</v>
      </c>
      <c r="P95" t="n">
        <v>0</v>
      </c>
      <c r="Q95" t="n">
        <v>1</v>
      </c>
      <c r="R95" s="2" t="inlineStr">
        <is>
          <t>Ögonpyrola</t>
        </is>
      </c>
      <c r="S95">
        <f>HYPERLINK("https://klasma.github.io/Logging_2262/artfynd/A 12785-2022 artfynd.xlsx", "A 12785-2022")</f>
        <v/>
      </c>
      <c r="T95">
        <f>HYPERLINK("https://klasma.github.io/Logging_2262/kartor/A 12785-2022 karta.png", "A 12785-2022")</f>
        <v/>
      </c>
      <c r="V95">
        <f>HYPERLINK("https://klasma.github.io/Logging_2262/klagomål/A 12785-2022 FSC-klagomål.docx", "A 12785-2022")</f>
        <v/>
      </c>
      <c r="W95">
        <f>HYPERLINK("https://klasma.github.io/Logging_2262/klagomålsmail/A 12785-2022 FSC-klagomål mail.docx", "A 12785-2022")</f>
        <v/>
      </c>
      <c r="X95">
        <f>HYPERLINK("https://klasma.github.io/Logging_2262/tillsyn/A 12785-2022 tillsynsbegäran.docx", "A 12785-2022")</f>
        <v/>
      </c>
      <c r="Y95">
        <f>HYPERLINK("https://klasma.github.io/Logging_2262/tillsynsmail/A 12785-2022 tillsynsbegäran mail.docx", "A 12785-2022")</f>
        <v/>
      </c>
    </row>
    <row r="96" ht="15" customHeight="1">
      <c r="A96" t="inlineStr">
        <is>
          <t>A 57242-2022</t>
        </is>
      </c>
      <c r="B96" s="1" t="n">
        <v>44889</v>
      </c>
      <c r="C96" s="1" t="n">
        <v>45809</v>
      </c>
      <c r="D96" t="inlineStr">
        <is>
          <t>VÄSTERNORRLANDS LÄN</t>
        </is>
      </c>
      <c r="E96" t="inlineStr">
        <is>
          <t>TIMRÅ</t>
        </is>
      </c>
      <c r="G96" t="n">
        <v>18.8</v>
      </c>
      <c r="H96" t="n">
        <v>0</v>
      </c>
      <c r="I96" t="n">
        <v>0</v>
      </c>
      <c r="J96" t="n">
        <v>0</v>
      </c>
      <c r="K96" t="n">
        <v>0</v>
      </c>
      <c r="L96" t="n">
        <v>1</v>
      </c>
      <c r="M96" t="n">
        <v>0</v>
      </c>
      <c r="N96" t="n">
        <v>0</v>
      </c>
      <c r="O96" t="n">
        <v>1</v>
      </c>
      <c r="P96" t="n">
        <v>1</v>
      </c>
      <c r="Q96" t="n">
        <v>1</v>
      </c>
      <c r="R96" s="2" t="inlineStr">
        <is>
          <t>Flodpärlmussla</t>
        </is>
      </c>
      <c r="S96">
        <f>HYPERLINK("https://klasma.github.io/Logging_2262/artfynd/A 57242-2022 artfynd.xlsx", "A 57242-2022")</f>
        <v/>
      </c>
      <c r="T96">
        <f>HYPERLINK("https://klasma.github.io/Logging_2262/kartor/A 57242-2022 karta.png", "A 57242-2022")</f>
        <v/>
      </c>
      <c r="V96">
        <f>HYPERLINK("https://klasma.github.io/Logging_2262/klagomål/A 57242-2022 FSC-klagomål.docx", "A 57242-2022")</f>
        <v/>
      </c>
      <c r="W96">
        <f>HYPERLINK("https://klasma.github.io/Logging_2262/klagomålsmail/A 57242-2022 FSC-klagomål mail.docx", "A 57242-2022")</f>
        <v/>
      </c>
      <c r="X96">
        <f>HYPERLINK("https://klasma.github.io/Logging_2262/tillsyn/A 57242-2022 tillsynsbegäran.docx", "A 57242-2022")</f>
        <v/>
      </c>
      <c r="Y96">
        <f>HYPERLINK("https://klasma.github.io/Logging_2262/tillsynsmail/A 57242-2022 tillsynsbegäran mail.docx", "A 57242-2022")</f>
        <v/>
      </c>
    </row>
    <row r="97" ht="15" customHeight="1">
      <c r="A97" t="inlineStr">
        <is>
          <t>A 10313-2023</t>
        </is>
      </c>
      <c r="B97" s="1" t="n">
        <v>44986</v>
      </c>
      <c r="C97" s="1" t="n">
        <v>45809</v>
      </c>
      <c r="D97" t="inlineStr">
        <is>
          <t>VÄSTERNORRLANDS LÄN</t>
        </is>
      </c>
      <c r="E97" t="inlineStr">
        <is>
          <t>TIMRÅ</t>
        </is>
      </c>
      <c r="F97" t="inlineStr">
        <is>
          <t>SCA</t>
        </is>
      </c>
      <c r="G97" t="n">
        <v>39.3</v>
      </c>
      <c r="H97" t="n">
        <v>1</v>
      </c>
      <c r="I97" t="n">
        <v>0</v>
      </c>
      <c r="J97" t="n">
        <v>1</v>
      </c>
      <c r="K97" t="n">
        <v>0</v>
      </c>
      <c r="L97" t="n">
        <v>0</v>
      </c>
      <c r="M97" t="n">
        <v>0</v>
      </c>
      <c r="N97" t="n">
        <v>0</v>
      </c>
      <c r="O97" t="n">
        <v>1</v>
      </c>
      <c r="P97" t="n">
        <v>0</v>
      </c>
      <c r="Q97" t="n">
        <v>1</v>
      </c>
      <c r="R97" s="2" t="inlineStr">
        <is>
          <t>Slaguggla</t>
        </is>
      </c>
      <c r="S97">
        <f>HYPERLINK("https://klasma.github.io/Logging_2262/artfynd/A 10313-2023 artfynd.xlsx", "A 10313-2023")</f>
        <v/>
      </c>
      <c r="T97">
        <f>HYPERLINK("https://klasma.github.io/Logging_2262/kartor/A 10313-2023 karta.png", "A 10313-2023")</f>
        <v/>
      </c>
      <c r="V97">
        <f>HYPERLINK("https://klasma.github.io/Logging_2262/klagomål/A 10313-2023 FSC-klagomål.docx", "A 10313-2023")</f>
        <v/>
      </c>
      <c r="W97">
        <f>HYPERLINK("https://klasma.github.io/Logging_2262/klagomålsmail/A 10313-2023 FSC-klagomål mail.docx", "A 10313-2023")</f>
        <v/>
      </c>
      <c r="X97">
        <f>HYPERLINK("https://klasma.github.io/Logging_2262/tillsyn/A 10313-2023 tillsynsbegäran.docx", "A 10313-2023")</f>
        <v/>
      </c>
      <c r="Y97">
        <f>HYPERLINK("https://klasma.github.io/Logging_2262/tillsynsmail/A 10313-2023 tillsynsbegäran mail.docx", "A 10313-2023")</f>
        <v/>
      </c>
      <c r="Z97">
        <f>HYPERLINK("https://klasma.github.io/Logging_2262/fåglar/A 10313-2023 prioriterade fågelarter.docx", "A 10313-2023")</f>
        <v/>
      </c>
    </row>
    <row r="98" ht="15" customHeight="1">
      <c r="A98" t="inlineStr">
        <is>
          <t>A 30850-2023</t>
        </is>
      </c>
      <c r="B98" s="1" t="n">
        <v>45112</v>
      </c>
      <c r="C98" s="1" t="n">
        <v>45809</v>
      </c>
      <c r="D98" t="inlineStr">
        <is>
          <t>VÄSTERNORRLANDS LÄN</t>
        </is>
      </c>
      <c r="E98" t="inlineStr">
        <is>
          <t>TIMRÅ</t>
        </is>
      </c>
      <c r="F98" t="inlineStr">
        <is>
          <t>SCA</t>
        </is>
      </c>
      <c r="G98" t="n">
        <v>16.1</v>
      </c>
      <c r="H98" t="n">
        <v>0</v>
      </c>
      <c r="I98" t="n">
        <v>0</v>
      </c>
      <c r="J98" t="n">
        <v>1</v>
      </c>
      <c r="K98" t="n">
        <v>0</v>
      </c>
      <c r="L98" t="n">
        <v>0</v>
      </c>
      <c r="M98" t="n">
        <v>0</v>
      </c>
      <c r="N98" t="n">
        <v>0</v>
      </c>
      <c r="O98" t="n">
        <v>1</v>
      </c>
      <c r="P98" t="n">
        <v>0</v>
      </c>
      <c r="Q98" t="n">
        <v>1</v>
      </c>
      <c r="R98" s="2" t="inlineStr">
        <is>
          <t>Lunglav</t>
        </is>
      </c>
      <c r="S98">
        <f>HYPERLINK("https://klasma.github.io/Logging_2262/artfynd/A 30850-2023 artfynd.xlsx", "A 30850-2023")</f>
        <v/>
      </c>
      <c r="T98">
        <f>HYPERLINK("https://klasma.github.io/Logging_2262/kartor/A 30850-2023 karta.png", "A 30850-2023")</f>
        <v/>
      </c>
      <c r="V98">
        <f>HYPERLINK("https://klasma.github.io/Logging_2262/klagomål/A 30850-2023 FSC-klagomål.docx", "A 30850-2023")</f>
        <v/>
      </c>
      <c r="W98">
        <f>HYPERLINK("https://klasma.github.io/Logging_2262/klagomålsmail/A 30850-2023 FSC-klagomål mail.docx", "A 30850-2023")</f>
        <v/>
      </c>
      <c r="X98">
        <f>HYPERLINK("https://klasma.github.io/Logging_2262/tillsyn/A 30850-2023 tillsynsbegäran.docx", "A 30850-2023")</f>
        <v/>
      </c>
      <c r="Y98">
        <f>HYPERLINK("https://klasma.github.io/Logging_2262/tillsynsmail/A 30850-2023 tillsynsbegäran mail.docx", "A 30850-2023")</f>
        <v/>
      </c>
    </row>
    <row r="99" ht="15" customHeight="1">
      <c r="A99" t="inlineStr">
        <is>
          <t>A 33330-2023</t>
        </is>
      </c>
      <c r="B99" s="1" t="n">
        <v>45127</v>
      </c>
      <c r="C99" s="1" t="n">
        <v>45809</v>
      </c>
      <c r="D99" t="inlineStr">
        <is>
          <t>VÄSTERNORRLANDS LÄN</t>
        </is>
      </c>
      <c r="E99" t="inlineStr">
        <is>
          <t>TIMRÅ</t>
        </is>
      </c>
      <c r="F99" t="inlineStr">
        <is>
          <t>SCA</t>
        </is>
      </c>
      <c r="G99" t="n">
        <v>4</v>
      </c>
      <c r="H99" t="n">
        <v>0</v>
      </c>
      <c r="I99" t="n">
        <v>0</v>
      </c>
      <c r="J99" t="n">
        <v>1</v>
      </c>
      <c r="K99" t="n">
        <v>0</v>
      </c>
      <c r="L99" t="n">
        <v>0</v>
      </c>
      <c r="M99" t="n">
        <v>0</v>
      </c>
      <c r="N99" t="n">
        <v>0</v>
      </c>
      <c r="O99" t="n">
        <v>1</v>
      </c>
      <c r="P99" t="n">
        <v>0</v>
      </c>
      <c r="Q99" t="n">
        <v>1</v>
      </c>
      <c r="R99" s="2" t="inlineStr">
        <is>
          <t>Lunglav</t>
        </is>
      </c>
      <c r="S99">
        <f>HYPERLINK("https://klasma.github.io/Logging_2262/artfynd/A 33330-2023 artfynd.xlsx", "A 33330-2023")</f>
        <v/>
      </c>
      <c r="T99">
        <f>HYPERLINK("https://klasma.github.io/Logging_2262/kartor/A 33330-2023 karta.png", "A 33330-2023")</f>
        <v/>
      </c>
      <c r="V99">
        <f>HYPERLINK("https://klasma.github.io/Logging_2262/klagomål/A 33330-2023 FSC-klagomål.docx", "A 33330-2023")</f>
        <v/>
      </c>
      <c r="W99">
        <f>HYPERLINK("https://klasma.github.io/Logging_2262/klagomålsmail/A 33330-2023 FSC-klagomål mail.docx", "A 33330-2023")</f>
        <v/>
      </c>
      <c r="X99">
        <f>HYPERLINK("https://klasma.github.io/Logging_2262/tillsyn/A 33330-2023 tillsynsbegäran.docx", "A 33330-2023")</f>
        <v/>
      </c>
      <c r="Y99">
        <f>HYPERLINK("https://klasma.github.io/Logging_2262/tillsynsmail/A 33330-2023 tillsynsbegäran mail.docx", "A 33330-2023")</f>
        <v/>
      </c>
    </row>
    <row r="100" ht="15" customHeight="1">
      <c r="A100" t="inlineStr">
        <is>
          <t>A 33503-2023</t>
        </is>
      </c>
      <c r="B100" s="1" t="n">
        <v>45131</v>
      </c>
      <c r="C100" s="1" t="n">
        <v>45809</v>
      </c>
      <c r="D100" t="inlineStr">
        <is>
          <t>VÄSTERNORRLANDS LÄN</t>
        </is>
      </c>
      <c r="E100" t="inlineStr">
        <is>
          <t>TIMRÅ</t>
        </is>
      </c>
      <c r="G100" t="n">
        <v>28.3</v>
      </c>
      <c r="H100" t="n">
        <v>1</v>
      </c>
      <c r="I100" t="n">
        <v>0</v>
      </c>
      <c r="J100" t="n">
        <v>1</v>
      </c>
      <c r="K100" t="n">
        <v>0</v>
      </c>
      <c r="L100" t="n">
        <v>0</v>
      </c>
      <c r="M100" t="n">
        <v>0</v>
      </c>
      <c r="N100" t="n">
        <v>0</v>
      </c>
      <c r="O100" t="n">
        <v>1</v>
      </c>
      <c r="P100" t="n">
        <v>0</v>
      </c>
      <c r="Q100" t="n">
        <v>1</v>
      </c>
      <c r="R100" s="2" t="inlineStr">
        <is>
          <t>Utter</t>
        </is>
      </c>
      <c r="S100">
        <f>HYPERLINK("https://klasma.github.io/Logging_2262/artfynd/A 33503-2023 artfynd.xlsx", "A 33503-2023")</f>
        <v/>
      </c>
      <c r="T100">
        <f>HYPERLINK("https://klasma.github.io/Logging_2262/kartor/A 33503-2023 karta.png", "A 33503-2023")</f>
        <v/>
      </c>
      <c r="V100">
        <f>HYPERLINK("https://klasma.github.io/Logging_2262/klagomål/A 33503-2023 FSC-klagomål.docx", "A 33503-2023")</f>
        <v/>
      </c>
      <c r="W100">
        <f>HYPERLINK("https://klasma.github.io/Logging_2262/klagomålsmail/A 33503-2023 FSC-klagomål mail.docx", "A 33503-2023")</f>
        <v/>
      </c>
      <c r="X100">
        <f>HYPERLINK("https://klasma.github.io/Logging_2262/tillsyn/A 33503-2023 tillsynsbegäran.docx", "A 33503-2023")</f>
        <v/>
      </c>
      <c r="Y100">
        <f>HYPERLINK("https://klasma.github.io/Logging_2262/tillsynsmail/A 33503-2023 tillsynsbegäran mail.docx", "A 33503-2023")</f>
        <v/>
      </c>
    </row>
    <row r="101" ht="15" customHeight="1">
      <c r="A101" t="inlineStr">
        <is>
          <t>A 35510-2023</t>
        </is>
      </c>
      <c r="B101" s="1" t="n">
        <v>45147</v>
      </c>
      <c r="C101" s="1" t="n">
        <v>45809</v>
      </c>
      <c r="D101" t="inlineStr">
        <is>
          <t>VÄSTERNORRLANDS LÄN</t>
        </is>
      </c>
      <c r="E101" t="inlineStr">
        <is>
          <t>TIMRÅ</t>
        </is>
      </c>
      <c r="F101" t="inlineStr">
        <is>
          <t>SCA</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HYPERLINK("https://klasma.github.io/Logging_2262/artfynd/A 35510-2023 artfynd.xlsx", "A 35510-2023")</f>
        <v/>
      </c>
      <c r="T101">
        <f>HYPERLINK("https://klasma.github.io/Logging_2262/kartor/A 35510-2023 karta.png", "A 35510-2023")</f>
        <v/>
      </c>
      <c r="V101">
        <f>HYPERLINK("https://klasma.github.io/Logging_2262/klagomål/A 35510-2023 FSC-klagomål.docx", "A 35510-2023")</f>
        <v/>
      </c>
      <c r="W101">
        <f>HYPERLINK("https://klasma.github.io/Logging_2262/klagomålsmail/A 35510-2023 FSC-klagomål mail.docx", "A 35510-2023")</f>
        <v/>
      </c>
      <c r="X101">
        <f>HYPERLINK("https://klasma.github.io/Logging_2262/tillsyn/A 35510-2023 tillsynsbegäran.docx", "A 35510-2023")</f>
        <v/>
      </c>
      <c r="Y101">
        <f>HYPERLINK("https://klasma.github.io/Logging_2262/tillsynsmail/A 35510-2023 tillsynsbegäran mail.docx", "A 35510-2023")</f>
        <v/>
      </c>
    </row>
    <row r="102" ht="15" customHeight="1">
      <c r="A102" t="inlineStr">
        <is>
          <t>A 39141-2023</t>
        </is>
      </c>
      <c r="B102" s="1" t="n">
        <v>45165</v>
      </c>
      <c r="C102" s="1" t="n">
        <v>45809</v>
      </c>
      <c r="D102" t="inlineStr">
        <is>
          <t>VÄSTERNORRLANDS LÄN</t>
        </is>
      </c>
      <c r="E102" t="inlineStr">
        <is>
          <t>TIMRÅ</t>
        </is>
      </c>
      <c r="F102" t="inlineStr">
        <is>
          <t>SCA</t>
        </is>
      </c>
      <c r="G102" t="n">
        <v>11.3</v>
      </c>
      <c r="H102" t="n">
        <v>1</v>
      </c>
      <c r="I102" t="n">
        <v>1</v>
      </c>
      <c r="J102" t="n">
        <v>0</v>
      </c>
      <c r="K102" t="n">
        <v>0</v>
      </c>
      <c r="L102" t="n">
        <v>0</v>
      </c>
      <c r="M102" t="n">
        <v>0</v>
      </c>
      <c r="N102" t="n">
        <v>0</v>
      </c>
      <c r="O102" t="n">
        <v>0</v>
      </c>
      <c r="P102" t="n">
        <v>0</v>
      </c>
      <c r="Q102" t="n">
        <v>1</v>
      </c>
      <c r="R102" s="2" t="inlineStr">
        <is>
          <t>Plattlummer</t>
        </is>
      </c>
      <c r="S102">
        <f>HYPERLINK("https://klasma.github.io/Logging_2262/artfynd/A 39141-2023 artfynd.xlsx", "A 39141-2023")</f>
        <v/>
      </c>
      <c r="T102">
        <f>HYPERLINK("https://klasma.github.io/Logging_2262/kartor/A 39141-2023 karta.png", "A 39141-2023")</f>
        <v/>
      </c>
      <c r="V102">
        <f>HYPERLINK("https://klasma.github.io/Logging_2262/klagomål/A 39141-2023 FSC-klagomål.docx", "A 39141-2023")</f>
        <v/>
      </c>
      <c r="W102">
        <f>HYPERLINK("https://klasma.github.io/Logging_2262/klagomålsmail/A 39141-2023 FSC-klagomål mail.docx", "A 39141-2023")</f>
        <v/>
      </c>
      <c r="X102">
        <f>HYPERLINK("https://klasma.github.io/Logging_2262/tillsyn/A 39141-2023 tillsynsbegäran.docx", "A 39141-2023")</f>
        <v/>
      </c>
      <c r="Y102">
        <f>HYPERLINK("https://klasma.github.io/Logging_2262/tillsynsmail/A 39141-2023 tillsynsbegäran mail.docx", "A 39141-2023")</f>
        <v/>
      </c>
    </row>
    <row r="103" ht="15" customHeight="1">
      <c r="A103" t="inlineStr">
        <is>
          <t>A 47793-2023</t>
        </is>
      </c>
      <c r="B103" s="1" t="n">
        <v>45203</v>
      </c>
      <c r="C103" s="1" t="n">
        <v>45809</v>
      </c>
      <c r="D103" t="inlineStr">
        <is>
          <t>VÄSTERNORRLANDS LÄN</t>
        </is>
      </c>
      <c r="E103" t="inlineStr">
        <is>
          <t>TIMRÅ</t>
        </is>
      </c>
      <c r="F103" t="inlineStr">
        <is>
          <t>SCA</t>
        </is>
      </c>
      <c r="G103" t="n">
        <v>9.699999999999999</v>
      </c>
      <c r="H103" t="n">
        <v>1</v>
      </c>
      <c r="I103" t="n">
        <v>0</v>
      </c>
      <c r="J103" t="n">
        <v>0</v>
      </c>
      <c r="K103" t="n">
        <v>0</v>
      </c>
      <c r="L103" t="n">
        <v>0</v>
      </c>
      <c r="M103" t="n">
        <v>0</v>
      </c>
      <c r="N103" t="n">
        <v>0</v>
      </c>
      <c r="O103" t="n">
        <v>0</v>
      </c>
      <c r="P103" t="n">
        <v>0</v>
      </c>
      <c r="Q103" t="n">
        <v>1</v>
      </c>
      <c r="R103" s="2" t="inlineStr">
        <is>
          <t>Revlummer</t>
        </is>
      </c>
      <c r="S103">
        <f>HYPERLINK("https://klasma.github.io/Logging_2262/artfynd/A 47793-2023 artfynd.xlsx", "A 47793-2023")</f>
        <v/>
      </c>
      <c r="T103">
        <f>HYPERLINK("https://klasma.github.io/Logging_2262/kartor/A 47793-2023 karta.png", "A 47793-2023")</f>
        <v/>
      </c>
      <c r="V103">
        <f>HYPERLINK("https://klasma.github.io/Logging_2262/klagomål/A 47793-2023 FSC-klagomål.docx", "A 47793-2023")</f>
        <v/>
      </c>
      <c r="W103">
        <f>HYPERLINK("https://klasma.github.io/Logging_2262/klagomålsmail/A 47793-2023 FSC-klagomål mail.docx", "A 47793-2023")</f>
        <v/>
      </c>
      <c r="X103">
        <f>HYPERLINK("https://klasma.github.io/Logging_2262/tillsyn/A 47793-2023 tillsynsbegäran.docx", "A 47793-2023")</f>
        <v/>
      </c>
      <c r="Y103">
        <f>HYPERLINK("https://klasma.github.io/Logging_2262/tillsynsmail/A 47793-2023 tillsynsbegäran mail.docx", "A 47793-2023")</f>
        <v/>
      </c>
    </row>
    <row r="104" ht="15" customHeight="1">
      <c r="A104" t="inlineStr">
        <is>
          <t>A 47792-2023</t>
        </is>
      </c>
      <c r="B104" s="1" t="n">
        <v>45203</v>
      </c>
      <c r="C104" s="1" t="n">
        <v>45809</v>
      </c>
      <c r="D104" t="inlineStr">
        <is>
          <t>VÄSTERNORRLANDS LÄN</t>
        </is>
      </c>
      <c r="E104" t="inlineStr">
        <is>
          <t>TIMRÅ</t>
        </is>
      </c>
      <c r="F104" t="inlineStr">
        <is>
          <t>SCA</t>
        </is>
      </c>
      <c r="G104" t="n">
        <v>4.1</v>
      </c>
      <c r="H104" t="n">
        <v>0</v>
      </c>
      <c r="I104" t="n">
        <v>1</v>
      </c>
      <c r="J104" t="n">
        <v>0</v>
      </c>
      <c r="K104" t="n">
        <v>0</v>
      </c>
      <c r="L104" t="n">
        <v>0</v>
      </c>
      <c r="M104" t="n">
        <v>0</v>
      </c>
      <c r="N104" t="n">
        <v>0</v>
      </c>
      <c r="O104" t="n">
        <v>0</v>
      </c>
      <c r="P104" t="n">
        <v>0</v>
      </c>
      <c r="Q104" t="n">
        <v>1</v>
      </c>
      <c r="R104" s="2" t="inlineStr">
        <is>
          <t>Gräsull</t>
        </is>
      </c>
      <c r="S104">
        <f>HYPERLINK("https://klasma.github.io/Logging_2262/artfynd/A 47792-2023 artfynd.xlsx", "A 47792-2023")</f>
        <v/>
      </c>
      <c r="T104">
        <f>HYPERLINK("https://klasma.github.io/Logging_2262/kartor/A 47792-2023 karta.png", "A 47792-2023")</f>
        <v/>
      </c>
      <c r="V104">
        <f>HYPERLINK("https://klasma.github.io/Logging_2262/klagomål/A 47792-2023 FSC-klagomål.docx", "A 47792-2023")</f>
        <v/>
      </c>
      <c r="W104">
        <f>HYPERLINK("https://klasma.github.io/Logging_2262/klagomålsmail/A 47792-2023 FSC-klagomål mail.docx", "A 47792-2023")</f>
        <v/>
      </c>
      <c r="X104">
        <f>HYPERLINK("https://klasma.github.io/Logging_2262/tillsyn/A 47792-2023 tillsynsbegäran.docx", "A 47792-2023")</f>
        <v/>
      </c>
      <c r="Y104">
        <f>HYPERLINK("https://klasma.github.io/Logging_2262/tillsynsmail/A 47792-2023 tillsynsbegäran mail.docx", "A 47792-2023")</f>
        <v/>
      </c>
    </row>
    <row r="105" ht="15" customHeight="1">
      <c r="A105" t="inlineStr">
        <is>
          <t>A 49329-2023</t>
        </is>
      </c>
      <c r="B105" s="1" t="n">
        <v>45210</v>
      </c>
      <c r="C105" s="1" t="n">
        <v>45809</v>
      </c>
      <c r="D105" t="inlineStr">
        <is>
          <t>VÄSTERNORRLANDS LÄN</t>
        </is>
      </c>
      <c r="E105" t="inlineStr">
        <is>
          <t>TIMRÅ</t>
        </is>
      </c>
      <c r="F105" t="inlineStr">
        <is>
          <t>SCA</t>
        </is>
      </c>
      <c r="G105" t="n">
        <v>12.9</v>
      </c>
      <c r="H105" t="n">
        <v>0</v>
      </c>
      <c r="I105" t="n">
        <v>0</v>
      </c>
      <c r="J105" t="n">
        <v>1</v>
      </c>
      <c r="K105" t="n">
        <v>0</v>
      </c>
      <c r="L105" t="n">
        <v>0</v>
      </c>
      <c r="M105" t="n">
        <v>0</v>
      </c>
      <c r="N105" t="n">
        <v>0</v>
      </c>
      <c r="O105" t="n">
        <v>1</v>
      </c>
      <c r="P105" t="n">
        <v>0</v>
      </c>
      <c r="Q105" t="n">
        <v>1</v>
      </c>
      <c r="R105" s="2" t="inlineStr">
        <is>
          <t>Ullticka</t>
        </is>
      </c>
      <c r="S105">
        <f>HYPERLINK("https://klasma.github.io/Logging_2262/artfynd/A 49329-2023 artfynd.xlsx", "A 49329-2023")</f>
        <v/>
      </c>
      <c r="T105">
        <f>HYPERLINK("https://klasma.github.io/Logging_2262/kartor/A 49329-2023 karta.png", "A 49329-2023")</f>
        <v/>
      </c>
      <c r="V105">
        <f>HYPERLINK("https://klasma.github.io/Logging_2262/klagomål/A 49329-2023 FSC-klagomål.docx", "A 49329-2023")</f>
        <v/>
      </c>
      <c r="W105">
        <f>HYPERLINK("https://klasma.github.io/Logging_2262/klagomålsmail/A 49329-2023 FSC-klagomål mail.docx", "A 49329-2023")</f>
        <v/>
      </c>
      <c r="X105">
        <f>HYPERLINK("https://klasma.github.io/Logging_2262/tillsyn/A 49329-2023 tillsynsbegäran.docx", "A 49329-2023")</f>
        <v/>
      </c>
      <c r="Y105">
        <f>HYPERLINK("https://klasma.github.io/Logging_2262/tillsynsmail/A 49329-2023 tillsynsbegäran mail.docx", "A 49329-2023")</f>
        <v/>
      </c>
    </row>
    <row r="106" ht="15" customHeight="1">
      <c r="A106" t="inlineStr">
        <is>
          <t>A 56372-2023</t>
        </is>
      </c>
      <c r="B106" s="1" t="n">
        <v>45243</v>
      </c>
      <c r="C106" s="1" t="n">
        <v>45809</v>
      </c>
      <c r="D106" t="inlineStr">
        <is>
          <t>VÄSTERNORRLANDS LÄN</t>
        </is>
      </c>
      <c r="E106" t="inlineStr">
        <is>
          <t>TIMRÅ</t>
        </is>
      </c>
      <c r="G106" t="n">
        <v>6.9</v>
      </c>
      <c r="H106" t="n">
        <v>1</v>
      </c>
      <c r="I106" t="n">
        <v>0</v>
      </c>
      <c r="J106" t="n">
        <v>0</v>
      </c>
      <c r="K106" t="n">
        <v>1</v>
      </c>
      <c r="L106" t="n">
        <v>0</v>
      </c>
      <c r="M106" t="n">
        <v>0</v>
      </c>
      <c r="N106" t="n">
        <v>0</v>
      </c>
      <c r="O106" t="n">
        <v>1</v>
      </c>
      <c r="P106" t="n">
        <v>1</v>
      </c>
      <c r="Q106" t="n">
        <v>1</v>
      </c>
      <c r="R106" s="2" t="inlineStr">
        <is>
          <t>Knärot</t>
        </is>
      </c>
      <c r="S106">
        <f>HYPERLINK("https://klasma.github.io/Logging_2262/artfynd/A 56372-2023 artfynd.xlsx", "A 56372-2023")</f>
        <v/>
      </c>
      <c r="T106">
        <f>HYPERLINK("https://klasma.github.io/Logging_2262/kartor/A 56372-2023 karta.png", "A 56372-2023")</f>
        <v/>
      </c>
      <c r="U106">
        <f>HYPERLINK("https://klasma.github.io/Logging_2262/knärot/A 56372-2023 karta knärot.png", "A 56372-2023")</f>
        <v/>
      </c>
      <c r="V106">
        <f>HYPERLINK("https://klasma.github.io/Logging_2262/klagomål/A 56372-2023 FSC-klagomål.docx", "A 56372-2023")</f>
        <v/>
      </c>
      <c r="W106">
        <f>HYPERLINK("https://klasma.github.io/Logging_2262/klagomålsmail/A 56372-2023 FSC-klagomål mail.docx", "A 56372-2023")</f>
        <v/>
      </c>
      <c r="X106">
        <f>HYPERLINK("https://klasma.github.io/Logging_2262/tillsyn/A 56372-2023 tillsynsbegäran.docx", "A 56372-2023")</f>
        <v/>
      </c>
      <c r="Y106">
        <f>HYPERLINK("https://klasma.github.io/Logging_2262/tillsynsmail/A 56372-2023 tillsynsbegäran mail.docx", "A 56372-2023")</f>
        <v/>
      </c>
    </row>
    <row r="107" ht="15" customHeight="1">
      <c r="A107" t="inlineStr">
        <is>
          <t>A 58464-2023</t>
        </is>
      </c>
      <c r="B107" s="1" t="n">
        <v>45250</v>
      </c>
      <c r="C107" s="1" t="n">
        <v>45809</v>
      </c>
      <c r="D107" t="inlineStr">
        <is>
          <t>VÄSTERNORRLANDS LÄN</t>
        </is>
      </c>
      <c r="E107" t="inlineStr">
        <is>
          <t>TIMRÅ</t>
        </is>
      </c>
      <c r="F107" t="inlineStr">
        <is>
          <t>SCA</t>
        </is>
      </c>
      <c r="G107" t="n">
        <v>6.5</v>
      </c>
      <c r="H107" t="n">
        <v>0</v>
      </c>
      <c r="I107" t="n">
        <v>0</v>
      </c>
      <c r="J107" t="n">
        <v>1</v>
      </c>
      <c r="K107" t="n">
        <v>0</v>
      </c>
      <c r="L107" t="n">
        <v>0</v>
      </c>
      <c r="M107" t="n">
        <v>0</v>
      </c>
      <c r="N107" t="n">
        <v>0</v>
      </c>
      <c r="O107" t="n">
        <v>1</v>
      </c>
      <c r="P107" t="n">
        <v>0</v>
      </c>
      <c r="Q107" t="n">
        <v>1</v>
      </c>
      <c r="R107" s="2" t="inlineStr">
        <is>
          <t>Granticka</t>
        </is>
      </c>
      <c r="S107">
        <f>HYPERLINK("https://klasma.github.io/Logging_2262/artfynd/A 58464-2023 artfynd.xlsx", "A 58464-2023")</f>
        <v/>
      </c>
      <c r="T107">
        <f>HYPERLINK("https://klasma.github.io/Logging_2262/kartor/A 58464-2023 karta.png", "A 58464-2023")</f>
        <v/>
      </c>
      <c r="V107">
        <f>HYPERLINK("https://klasma.github.io/Logging_2262/klagomål/A 58464-2023 FSC-klagomål.docx", "A 58464-2023")</f>
        <v/>
      </c>
      <c r="W107">
        <f>HYPERLINK("https://klasma.github.io/Logging_2262/klagomålsmail/A 58464-2023 FSC-klagomål mail.docx", "A 58464-2023")</f>
        <v/>
      </c>
      <c r="X107">
        <f>HYPERLINK("https://klasma.github.io/Logging_2262/tillsyn/A 58464-2023 tillsynsbegäran.docx", "A 58464-2023")</f>
        <v/>
      </c>
      <c r="Y107">
        <f>HYPERLINK("https://klasma.github.io/Logging_2262/tillsynsmail/A 58464-2023 tillsynsbegäran mail.docx", "A 58464-2023")</f>
        <v/>
      </c>
    </row>
    <row r="108" ht="15" customHeight="1">
      <c r="A108" t="inlineStr">
        <is>
          <t>A 1152-2024</t>
        </is>
      </c>
      <c r="B108" s="1" t="n">
        <v>45302</v>
      </c>
      <c r="C108" s="1" t="n">
        <v>45809</v>
      </c>
      <c r="D108" t="inlineStr">
        <is>
          <t>VÄSTERNORRLANDS LÄN</t>
        </is>
      </c>
      <c r="E108" t="inlineStr">
        <is>
          <t>TIMRÅ</t>
        </is>
      </c>
      <c r="G108" t="n">
        <v>5.8</v>
      </c>
      <c r="H108" t="n">
        <v>0</v>
      </c>
      <c r="I108" t="n">
        <v>1</v>
      </c>
      <c r="J108" t="n">
        <v>0</v>
      </c>
      <c r="K108" t="n">
        <v>0</v>
      </c>
      <c r="L108" t="n">
        <v>0</v>
      </c>
      <c r="M108" t="n">
        <v>0</v>
      </c>
      <c r="N108" t="n">
        <v>0</v>
      </c>
      <c r="O108" t="n">
        <v>0</v>
      </c>
      <c r="P108" t="n">
        <v>0</v>
      </c>
      <c r="Q108" t="n">
        <v>1</v>
      </c>
      <c r="R108" s="2" t="inlineStr">
        <is>
          <t>Tibast</t>
        </is>
      </c>
      <c r="S108">
        <f>HYPERLINK("https://klasma.github.io/Logging_2262/artfynd/A 1152-2024 artfynd.xlsx", "A 1152-2024")</f>
        <v/>
      </c>
      <c r="T108">
        <f>HYPERLINK("https://klasma.github.io/Logging_2262/kartor/A 1152-2024 karta.png", "A 1152-2024")</f>
        <v/>
      </c>
      <c r="V108">
        <f>HYPERLINK("https://klasma.github.io/Logging_2262/klagomål/A 1152-2024 FSC-klagomål.docx", "A 1152-2024")</f>
        <v/>
      </c>
      <c r="W108">
        <f>HYPERLINK("https://klasma.github.io/Logging_2262/klagomålsmail/A 1152-2024 FSC-klagomål mail.docx", "A 1152-2024")</f>
        <v/>
      </c>
      <c r="X108">
        <f>HYPERLINK("https://klasma.github.io/Logging_2262/tillsyn/A 1152-2024 tillsynsbegäran.docx", "A 1152-2024")</f>
        <v/>
      </c>
      <c r="Y108">
        <f>HYPERLINK("https://klasma.github.io/Logging_2262/tillsynsmail/A 1152-2024 tillsynsbegäran mail.docx", "A 1152-2024")</f>
        <v/>
      </c>
    </row>
    <row r="109" ht="15" customHeight="1">
      <c r="A109" t="inlineStr">
        <is>
          <t>A 7904-2024</t>
        </is>
      </c>
      <c r="B109" s="1" t="n">
        <v>45349</v>
      </c>
      <c r="C109" s="1" t="n">
        <v>45809</v>
      </c>
      <c r="D109" t="inlineStr">
        <is>
          <t>VÄSTERNORRLANDS LÄN</t>
        </is>
      </c>
      <c r="E109" t="inlineStr">
        <is>
          <t>TIMRÅ</t>
        </is>
      </c>
      <c r="G109" t="n">
        <v>7.3</v>
      </c>
      <c r="H109" t="n">
        <v>1</v>
      </c>
      <c r="I109" t="n">
        <v>0</v>
      </c>
      <c r="J109" t="n">
        <v>0</v>
      </c>
      <c r="K109" t="n">
        <v>1</v>
      </c>
      <c r="L109" t="n">
        <v>0</v>
      </c>
      <c r="M109" t="n">
        <v>0</v>
      </c>
      <c r="N109" t="n">
        <v>0</v>
      </c>
      <c r="O109" t="n">
        <v>1</v>
      </c>
      <c r="P109" t="n">
        <v>1</v>
      </c>
      <c r="Q109" t="n">
        <v>1</v>
      </c>
      <c r="R109" s="2" t="inlineStr">
        <is>
          <t>Bergviol</t>
        </is>
      </c>
      <c r="S109">
        <f>HYPERLINK("https://klasma.github.io/Logging_2262/artfynd/A 7904-2024 artfynd.xlsx", "A 7904-2024")</f>
        <v/>
      </c>
      <c r="T109">
        <f>HYPERLINK("https://klasma.github.io/Logging_2262/kartor/A 7904-2024 karta.png", "A 7904-2024")</f>
        <v/>
      </c>
      <c r="V109">
        <f>HYPERLINK("https://klasma.github.io/Logging_2262/klagomål/A 7904-2024 FSC-klagomål.docx", "A 7904-2024")</f>
        <v/>
      </c>
      <c r="W109">
        <f>HYPERLINK("https://klasma.github.io/Logging_2262/klagomålsmail/A 7904-2024 FSC-klagomål mail.docx", "A 7904-2024")</f>
        <v/>
      </c>
      <c r="X109">
        <f>HYPERLINK("https://klasma.github.io/Logging_2262/tillsyn/A 7904-2024 tillsynsbegäran.docx", "A 7904-2024")</f>
        <v/>
      </c>
      <c r="Y109">
        <f>HYPERLINK("https://klasma.github.io/Logging_2262/tillsynsmail/A 7904-2024 tillsynsbegäran mail.docx", "A 7904-2024")</f>
        <v/>
      </c>
    </row>
    <row r="110" ht="15" customHeight="1">
      <c r="A110" t="inlineStr">
        <is>
          <t>A 8998-2024</t>
        </is>
      </c>
      <c r="B110" s="1" t="n">
        <v>45356</v>
      </c>
      <c r="C110" s="1" t="n">
        <v>45809</v>
      </c>
      <c r="D110" t="inlineStr">
        <is>
          <t>VÄSTERNORRLANDS LÄN</t>
        </is>
      </c>
      <c r="E110" t="inlineStr">
        <is>
          <t>TIMRÅ</t>
        </is>
      </c>
      <c r="G110" t="n">
        <v>2.1</v>
      </c>
      <c r="H110" t="n">
        <v>0</v>
      </c>
      <c r="I110" t="n">
        <v>1</v>
      </c>
      <c r="J110" t="n">
        <v>0</v>
      </c>
      <c r="K110" t="n">
        <v>0</v>
      </c>
      <c r="L110" t="n">
        <v>0</v>
      </c>
      <c r="M110" t="n">
        <v>0</v>
      </c>
      <c r="N110" t="n">
        <v>0</v>
      </c>
      <c r="O110" t="n">
        <v>0</v>
      </c>
      <c r="P110" t="n">
        <v>0</v>
      </c>
      <c r="Q110" t="n">
        <v>1</v>
      </c>
      <c r="R110" s="2" t="inlineStr">
        <is>
          <t>Strutbräken</t>
        </is>
      </c>
      <c r="S110">
        <f>HYPERLINK("https://klasma.github.io/Logging_2262/artfynd/A 8998-2024 artfynd.xlsx", "A 8998-2024")</f>
        <v/>
      </c>
      <c r="T110">
        <f>HYPERLINK("https://klasma.github.io/Logging_2262/kartor/A 8998-2024 karta.png", "A 8998-2024")</f>
        <v/>
      </c>
      <c r="V110">
        <f>HYPERLINK("https://klasma.github.io/Logging_2262/klagomål/A 8998-2024 FSC-klagomål.docx", "A 8998-2024")</f>
        <v/>
      </c>
      <c r="W110">
        <f>HYPERLINK("https://klasma.github.io/Logging_2262/klagomålsmail/A 8998-2024 FSC-klagomål mail.docx", "A 8998-2024")</f>
        <v/>
      </c>
      <c r="X110">
        <f>HYPERLINK("https://klasma.github.io/Logging_2262/tillsyn/A 8998-2024 tillsynsbegäran.docx", "A 8998-2024")</f>
        <v/>
      </c>
      <c r="Y110">
        <f>HYPERLINK("https://klasma.github.io/Logging_2262/tillsynsmail/A 8998-2024 tillsynsbegäran mail.docx", "A 8998-2024")</f>
        <v/>
      </c>
    </row>
    <row r="111" ht="15" customHeight="1">
      <c r="A111" t="inlineStr">
        <is>
          <t>A 14168-2024</t>
        </is>
      </c>
      <c r="B111" s="1" t="n">
        <v>45392</v>
      </c>
      <c r="C111" s="1" t="n">
        <v>45809</v>
      </c>
      <c r="D111" t="inlineStr">
        <is>
          <t>VÄSTERNORRLANDS LÄN</t>
        </is>
      </c>
      <c r="E111" t="inlineStr">
        <is>
          <t>TIMRÅ</t>
        </is>
      </c>
      <c r="F111" t="inlineStr">
        <is>
          <t>SCA</t>
        </is>
      </c>
      <c r="G111" t="n">
        <v>6.3</v>
      </c>
      <c r="H111" t="n">
        <v>0</v>
      </c>
      <c r="I111" t="n">
        <v>1</v>
      </c>
      <c r="J111" t="n">
        <v>0</v>
      </c>
      <c r="K111" t="n">
        <v>0</v>
      </c>
      <c r="L111" t="n">
        <v>0</v>
      </c>
      <c r="M111" t="n">
        <v>0</v>
      </c>
      <c r="N111" t="n">
        <v>0</v>
      </c>
      <c r="O111" t="n">
        <v>0</v>
      </c>
      <c r="P111" t="n">
        <v>0</v>
      </c>
      <c r="Q111" t="n">
        <v>1</v>
      </c>
      <c r="R111" s="2" t="inlineStr">
        <is>
          <t>Vedticka</t>
        </is>
      </c>
      <c r="S111">
        <f>HYPERLINK("https://klasma.github.io/Logging_2262/artfynd/A 14168-2024 artfynd.xlsx", "A 14168-2024")</f>
        <v/>
      </c>
      <c r="T111">
        <f>HYPERLINK("https://klasma.github.io/Logging_2262/kartor/A 14168-2024 karta.png", "A 14168-2024")</f>
        <v/>
      </c>
      <c r="V111">
        <f>HYPERLINK("https://klasma.github.io/Logging_2262/klagomål/A 14168-2024 FSC-klagomål.docx", "A 14168-2024")</f>
        <v/>
      </c>
      <c r="W111">
        <f>HYPERLINK("https://klasma.github.io/Logging_2262/klagomålsmail/A 14168-2024 FSC-klagomål mail.docx", "A 14168-2024")</f>
        <v/>
      </c>
      <c r="X111">
        <f>HYPERLINK("https://klasma.github.io/Logging_2262/tillsyn/A 14168-2024 tillsynsbegäran.docx", "A 14168-2024")</f>
        <v/>
      </c>
      <c r="Y111">
        <f>HYPERLINK("https://klasma.github.io/Logging_2262/tillsynsmail/A 14168-2024 tillsynsbegäran mail.docx", "A 14168-2024")</f>
        <v/>
      </c>
    </row>
    <row r="112" ht="15" customHeight="1">
      <c r="A112" t="inlineStr">
        <is>
          <t>A 15477-2024</t>
        </is>
      </c>
      <c r="B112" s="1" t="n">
        <v>45401</v>
      </c>
      <c r="C112" s="1" t="n">
        <v>45809</v>
      </c>
      <c r="D112" t="inlineStr">
        <is>
          <t>VÄSTERNORRLANDS LÄN</t>
        </is>
      </c>
      <c r="E112" t="inlineStr">
        <is>
          <t>TIMRÅ</t>
        </is>
      </c>
      <c r="G112" t="n">
        <v>2.1</v>
      </c>
      <c r="H112" t="n">
        <v>0</v>
      </c>
      <c r="I112" t="n">
        <v>0</v>
      </c>
      <c r="J112" t="n">
        <v>1</v>
      </c>
      <c r="K112" t="n">
        <v>0</v>
      </c>
      <c r="L112" t="n">
        <v>0</v>
      </c>
      <c r="M112" t="n">
        <v>0</v>
      </c>
      <c r="N112" t="n">
        <v>0</v>
      </c>
      <c r="O112" t="n">
        <v>1</v>
      </c>
      <c r="P112" t="n">
        <v>0</v>
      </c>
      <c r="Q112" t="n">
        <v>1</v>
      </c>
      <c r="R112" s="2" t="inlineStr">
        <is>
          <t>Tallticka</t>
        </is>
      </c>
      <c r="S112">
        <f>HYPERLINK("https://klasma.github.io/Logging_2262/artfynd/A 15477-2024 artfynd.xlsx", "A 15477-2024")</f>
        <v/>
      </c>
      <c r="T112">
        <f>HYPERLINK("https://klasma.github.io/Logging_2262/kartor/A 15477-2024 karta.png", "A 15477-2024")</f>
        <v/>
      </c>
      <c r="V112">
        <f>HYPERLINK("https://klasma.github.io/Logging_2262/klagomål/A 15477-2024 FSC-klagomål.docx", "A 15477-2024")</f>
        <v/>
      </c>
      <c r="W112">
        <f>HYPERLINK("https://klasma.github.io/Logging_2262/klagomålsmail/A 15477-2024 FSC-klagomål mail.docx", "A 15477-2024")</f>
        <v/>
      </c>
      <c r="X112">
        <f>HYPERLINK("https://klasma.github.io/Logging_2262/tillsyn/A 15477-2024 tillsynsbegäran.docx", "A 15477-2024")</f>
        <v/>
      </c>
      <c r="Y112">
        <f>HYPERLINK("https://klasma.github.io/Logging_2262/tillsynsmail/A 15477-2024 tillsynsbegäran mail.docx", "A 15477-2024")</f>
        <v/>
      </c>
    </row>
    <row r="113" ht="15" customHeight="1">
      <c r="A113" t="inlineStr">
        <is>
          <t>A 20350-2024</t>
        </is>
      </c>
      <c r="B113" s="1" t="n">
        <v>45435</v>
      </c>
      <c r="C113" s="1" t="n">
        <v>45809</v>
      </c>
      <c r="D113" t="inlineStr">
        <is>
          <t>VÄSTERNORRLANDS LÄN</t>
        </is>
      </c>
      <c r="E113" t="inlineStr">
        <is>
          <t>TIMRÅ</t>
        </is>
      </c>
      <c r="F113" t="inlineStr">
        <is>
          <t>SCA</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HYPERLINK("https://klasma.github.io/Logging_2262/artfynd/A 20350-2024 artfynd.xlsx", "A 20350-2024")</f>
        <v/>
      </c>
      <c r="T113">
        <f>HYPERLINK("https://klasma.github.io/Logging_2262/kartor/A 20350-2024 karta.png", "A 20350-2024")</f>
        <v/>
      </c>
      <c r="V113">
        <f>HYPERLINK("https://klasma.github.io/Logging_2262/klagomål/A 20350-2024 FSC-klagomål.docx", "A 20350-2024")</f>
        <v/>
      </c>
      <c r="W113">
        <f>HYPERLINK("https://klasma.github.io/Logging_2262/klagomålsmail/A 20350-2024 FSC-klagomål mail.docx", "A 20350-2024")</f>
        <v/>
      </c>
      <c r="X113">
        <f>HYPERLINK("https://klasma.github.io/Logging_2262/tillsyn/A 20350-2024 tillsynsbegäran.docx", "A 20350-2024")</f>
        <v/>
      </c>
      <c r="Y113">
        <f>HYPERLINK("https://klasma.github.io/Logging_2262/tillsynsmail/A 20350-2024 tillsynsbegäran mail.docx", "A 20350-2024")</f>
        <v/>
      </c>
    </row>
    <row r="114" ht="15" customHeight="1">
      <c r="A114" t="inlineStr">
        <is>
          <t>A 21845-2024</t>
        </is>
      </c>
      <c r="B114" s="1" t="n">
        <v>45442</v>
      </c>
      <c r="C114" s="1" t="n">
        <v>45809</v>
      </c>
      <c r="D114" t="inlineStr">
        <is>
          <t>VÄSTERNORRLANDS LÄN</t>
        </is>
      </c>
      <c r="E114" t="inlineStr">
        <is>
          <t>TIMRÅ</t>
        </is>
      </c>
      <c r="F114" t="inlineStr">
        <is>
          <t>SCA</t>
        </is>
      </c>
      <c r="G114" t="n">
        <v>14.7</v>
      </c>
      <c r="H114" t="n">
        <v>0</v>
      </c>
      <c r="I114" t="n">
        <v>0</v>
      </c>
      <c r="J114" t="n">
        <v>1</v>
      </c>
      <c r="K114" t="n">
        <v>0</v>
      </c>
      <c r="L114" t="n">
        <v>0</v>
      </c>
      <c r="M114" t="n">
        <v>0</v>
      </c>
      <c r="N114" t="n">
        <v>0</v>
      </c>
      <c r="O114" t="n">
        <v>1</v>
      </c>
      <c r="P114" t="n">
        <v>0</v>
      </c>
      <c r="Q114" t="n">
        <v>1</v>
      </c>
      <c r="R114" s="2" t="inlineStr">
        <is>
          <t>Lunglav</t>
        </is>
      </c>
      <c r="S114">
        <f>HYPERLINK("https://klasma.github.io/Logging_2262/artfynd/A 21845-2024 artfynd.xlsx", "A 21845-2024")</f>
        <v/>
      </c>
      <c r="T114">
        <f>HYPERLINK("https://klasma.github.io/Logging_2262/kartor/A 21845-2024 karta.png", "A 21845-2024")</f>
        <v/>
      </c>
      <c r="V114">
        <f>HYPERLINK("https://klasma.github.io/Logging_2262/klagomål/A 21845-2024 FSC-klagomål.docx", "A 21845-2024")</f>
        <v/>
      </c>
      <c r="W114">
        <f>HYPERLINK("https://klasma.github.io/Logging_2262/klagomålsmail/A 21845-2024 FSC-klagomål mail.docx", "A 21845-2024")</f>
        <v/>
      </c>
      <c r="X114">
        <f>HYPERLINK("https://klasma.github.io/Logging_2262/tillsyn/A 21845-2024 tillsynsbegäran.docx", "A 21845-2024")</f>
        <v/>
      </c>
      <c r="Y114">
        <f>HYPERLINK("https://klasma.github.io/Logging_2262/tillsynsmail/A 21845-2024 tillsynsbegäran mail.docx", "A 21845-2024")</f>
        <v/>
      </c>
    </row>
    <row r="115" ht="15" customHeight="1">
      <c r="A115" t="inlineStr">
        <is>
          <t>A 39150-2024</t>
        </is>
      </c>
      <c r="B115" s="1" t="n">
        <v>45548</v>
      </c>
      <c r="C115" s="1" t="n">
        <v>45809</v>
      </c>
      <c r="D115" t="inlineStr">
        <is>
          <t>VÄSTERNORRLANDS LÄN</t>
        </is>
      </c>
      <c r="E115" t="inlineStr">
        <is>
          <t>TIMRÅ</t>
        </is>
      </c>
      <c r="G115" t="n">
        <v>4.4</v>
      </c>
      <c r="H115" t="n">
        <v>0</v>
      </c>
      <c r="I115" t="n">
        <v>1</v>
      </c>
      <c r="J115" t="n">
        <v>0</v>
      </c>
      <c r="K115" t="n">
        <v>0</v>
      </c>
      <c r="L115" t="n">
        <v>0</v>
      </c>
      <c r="M115" t="n">
        <v>0</v>
      </c>
      <c r="N115" t="n">
        <v>0</v>
      </c>
      <c r="O115" t="n">
        <v>0</v>
      </c>
      <c r="P115" t="n">
        <v>0</v>
      </c>
      <c r="Q115" t="n">
        <v>1</v>
      </c>
      <c r="R115" s="2" t="inlineStr">
        <is>
          <t>Ögonpyrola</t>
        </is>
      </c>
      <c r="S115">
        <f>HYPERLINK("https://klasma.github.io/Logging_2262/artfynd/A 39150-2024 artfynd.xlsx", "A 39150-2024")</f>
        <v/>
      </c>
      <c r="T115">
        <f>HYPERLINK("https://klasma.github.io/Logging_2262/kartor/A 39150-2024 karta.png", "A 39150-2024")</f>
        <v/>
      </c>
      <c r="V115">
        <f>HYPERLINK("https://klasma.github.io/Logging_2262/klagomål/A 39150-2024 FSC-klagomål.docx", "A 39150-2024")</f>
        <v/>
      </c>
      <c r="W115">
        <f>HYPERLINK("https://klasma.github.io/Logging_2262/klagomålsmail/A 39150-2024 FSC-klagomål mail.docx", "A 39150-2024")</f>
        <v/>
      </c>
      <c r="X115">
        <f>HYPERLINK("https://klasma.github.io/Logging_2262/tillsyn/A 39150-2024 tillsynsbegäran.docx", "A 39150-2024")</f>
        <v/>
      </c>
      <c r="Y115">
        <f>HYPERLINK("https://klasma.github.io/Logging_2262/tillsynsmail/A 39150-2024 tillsynsbegäran mail.docx", "A 39150-2024")</f>
        <v/>
      </c>
    </row>
    <row r="116" ht="15" customHeight="1">
      <c r="A116" t="inlineStr">
        <is>
          <t>A 40659-2024</t>
        </is>
      </c>
      <c r="B116" s="1" t="n">
        <v>45558</v>
      </c>
      <c r="C116" s="1" t="n">
        <v>45809</v>
      </c>
      <c r="D116" t="inlineStr">
        <is>
          <t>VÄSTERNORRLANDS LÄN</t>
        </is>
      </c>
      <c r="E116" t="inlineStr">
        <is>
          <t>TIMRÅ</t>
        </is>
      </c>
      <c r="F116" t="inlineStr">
        <is>
          <t>SCA</t>
        </is>
      </c>
      <c r="G116" t="n">
        <v>0.7</v>
      </c>
      <c r="H116" t="n">
        <v>0</v>
      </c>
      <c r="I116" t="n">
        <v>0</v>
      </c>
      <c r="J116" t="n">
        <v>1</v>
      </c>
      <c r="K116" t="n">
        <v>0</v>
      </c>
      <c r="L116" t="n">
        <v>0</v>
      </c>
      <c r="M116" t="n">
        <v>0</v>
      </c>
      <c r="N116" t="n">
        <v>0</v>
      </c>
      <c r="O116" t="n">
        <v>1</v>
      </c>
      <c r="P116" t="n">
        <v>0</v>
      </c>
      <c r="Q116" t="n">
        <v>1</v>
      </c>
      <c r="R116" s="2" t="inlineStr">
        <is>
          <t>Rosenticka</t>
        </is>
      </c>
      <c r="S116">
        <f>HYPERLINK("https://klasma.github.io/Logging_2262/artfynd/A 40659-2024 artfynd.xlsx", "A 40659-2024")</f>
        <v/>
      </c>
      <c r="T116">
        <f>HYPERLINK("https://klasma.github.io/Logging_2262/kartor/A 40659-2024 karta.png", "A 40659-2024")</f>
        <v/>
      </c>
      <c r="V116">
        <f>HYPERLINK("https://klasma.github.io/Logging_2262/klagomål/A 40659-2024 FSC-klagomål.docx", "A 40659-2024")</f>
        <v/>
      </c>
      <c r="W116">
        <f>HYPERLINK("https://klasma.github.io/Logging_2262/klagomålsmail/A 40659-2024 FSC-klagomål mail.docx", "A 40659-2024")</f>
        <v/>
      </c>
      <c r="X116">
        <f>HYPERLINK("https://klasma.github.io/Logging_2262/tillsyn/A 40659-2024 tillsynsbegäran.docx", "A 40659-2024")</f>
        <v/>
      </c>
      <c r="Y116">
        <f>HYPERLINK("https://klasma.github.io/Logging_2262/tillsynsmail/A 40659-2024 tillsynsbegäran mail.docx", "A 40659-2024")</f>
        <v/>
      </c>
    </row>
    <row r="117" ht="15" customHeight="1">
      <c r="A117" t="inlineStr">
        <is>
          <t>A 45721-2024</t>
        </is>
      </c>
      <c r="B117" s="1" t="n">
        <v>45579</v>
      </c>
      <c r="C117" s="1" t="n">
        <v>45809</v>
      </c>
      <c r="D117" t="inlineStr">
        <is>
          <t>VÄSTERNORRLANDS LÄN</t>
        </is>
      </c>
      <c r="E117" t="inlineStr">
        <is>
          <t>TIMRÅ</t>
        </is>
      </c>
      <c r="F117" t="inlineStr">
        <is>
          <t>SCA</t>
        </is>
      </c>
      <c r="G117" t="n">
        <v>6</v>
      </c>
      <c r="H117" t="n">
        <v>0</v>
      </c>
      <c r="I117" t="n">
        <v>0</v>
      </c>
      <c r="J117" t="n">
        <v>1</v>
      </c>
      <c r="K117" t="n">
        <v>0</v>
      </c>
      <c r="L117" t="n">
        <v>0</v>
      </c>
      <c r="M117" t="n">
        <v>0</v>
      </c>
      <c r="N117" t="n">
        <v>0</v>
      </c>
      <c r="O117" t="n">
        <v>1</v>
      </c>
      <c r="P117" t="n">
        <v>0</v>
      </c>
      <c r="Q117" t="n">
        <v>1</v>
      </c>
      <c r="R117" s="2" t="inlineStr">
        <is>
          <t>Gammelgransskål</t>
        </is>
      </c>
      <c r="S117">
        <f>HYPERLINK("https://klasma.github.io/Logging_2262/artfynd/A 45721-2024 artfynd.xlsx", "A 45721-2024")</f>
        <v/>
      </c>
      <c r="T117">
        <f>HYPERLINK("https://klasma.github.io/Logging_2262/kartor/A 45721-2024 karta.png", "A 45721-2024")</f>
        <v/>
      </c>
      <c r="V117">
        <f>HYPERLINK("https://klasma.github.io/Logging_2262/klagomål/A 45721-2024 FSC-klagomål.docx", "A 45721-2024")</f>
        <v/>
      </c>
      <c r="W117">
        <f>HYPERLINK("https://klasma.github.io/Logging_2262/klagomålsmail/A 45721-2024 FSC-klagomål mail.docx", "A 45721-2024")</f>
        <v/>
      </c>
      <c r="X117">
        <f>HYPERLINK("https://klasma.github.io/Logging_2262/tillsyn/A 45721-2024 tillsynsbegäran.docx", "A 45721-2024")</f>
        <v/>
      </c>
      <c r="Y117">
        <f>HYPERLINK("https://klasma.github.io/Logging_2262/tillsynsmail/A 45721-2024 tillsynsbegäran mail.docx", "A 45721-2024")</f>
        <v/>
      </c>
    </row>
    <row r="118" ht="15" customHeight="1">
      <c r="A118" t="inlineStr">
        <is>
          <t>A 53295-2024</t>
        </is>
      </c>
      <c r="B118" s="1" t="n">
        <v>45614</v>
      </c>
      <c r="C118" s="1" t="n">
        <v>45809</v>
      </c>
      <c r="D118" t="inlineStr">
        <is>
          <t>VÄSTERNORRLANDS LÄN</t>
        </is>
      </c>
      <c r="E118" t="inlineStr">
        <is>
          <t>TIMRÅ</t>
        </is>
      </c>
      <c r="F118" t="inlineStr">
        <is>
          <t>SCA</t>
        </is>
      </c>
      <c r="G118" t="n">
        <v>1.9</v>
      </c>
      <c r="H118" t="n">
        <v>0</v>
      </c>
      <c r="I118" t="n">
        <v>0</v>
      </c>
      <c r="J118" t="n">
        <v>1</v>
      </c>
      <c r="K118" t="n">
        <v>0</v>
      </c>
      <c r="L118" t="n">
        <v>0</v>
      </c>
      <c r="M118" t="n">
        <v>0</v>
      </c>
      <c r="N118" t="n">
        <v>0</v>
      </c>
      <c r="O118" t="n">
        <v>1</v>
      </c>
      <c r="P118" t="n">
        <v>0</v>
      </c>
      <c r="Q118" t="n">
        <v>1</v>
      </c>
      <c r="R118" s="2" t="inlineStr">
        <is>
          <t>Vedskivlav</t>
        </is>
      </c>
      <c r="S118">
        <f>HYPERLINK("https://klasma.github.io/Logging_2262/artfynd/A 53295-2024 artfynd.xlsx", "A 53295-2024")</f>
        <v/>
      </c>
      <c r="T118">
        <f>HYPERLINK("https://klasma.github.io/Logging_2262/kartor/A 53295-2024 karta.png", "A 53295-2024")</f>
        <v/>
      </c>
      <c r="V118">
        <f>HYPERLINK("https://klasma.github.io/Logging_2262/klagomål/A 53295-2024 FSC-klagomål.docx", "A 53295-2024")</f>
        <v/>
      </c>
      <c r="W118">
        <f>HYPERLINK("https://klasma.github.io/Logging_2262/klagomålsmail/A 53295-2024 FSC-klagomål mail.docx", "A 53295-2024")</f>
        <v/>
      </c>
      <c r="X118">
        <f>HYPERLINK("https://klasma.github.io/Logging_2262/tillsyn/A 53295-2024 tillsynsbegäran.docx", "A 53295-2024")</f>
        <v/>
      </c>
      <c r="Y118">
        <f>HYPERLINK("https://klasma.github.io/Logging_2262/tillsynsmail/A 53295-2024 tillsynsbegäran mail.docx", "A 53295-2024")</f>
        <v/>
      </c>
    </row>
    <row r="119" ht="15" customHeight="1">
      <c r="A119" t="inlineStr">
        <is>
          <t>A 53300-2024</t>
        </is>
      </c>
      <c r="B119" s="1" t="n">
        <v>45614</v>
      </c>
      <c r="C119" s="1" t="n">
        <v>45809</v>
      </c>
      <c r="D119" t="inlineStr">
        <is>
          <t>VÄSTERNORRLANDS LÄN</t>
        </is>
      </c>
      <c r="E119" t="inlineStr">
        <is>
          <t>TIMRÅ</t>
        </is>
      </c>
      <c r="F119" t="inlineStr">
        <is>
          <t>SCA</t>
        </is>
      </c>
      <c r="G119" t="n">
        <v>1</v>
      </c>
      <c r="H119" t="n">
        <v>0</v>
      </c>
      <c r="I119" t="n">
        <v>0</v>
      </c>
      <c r="J119" t="n">
        <v>1</v>
      </c>
      <c r="K119" t="n">
        <v>0</v>
      </c>
      <c r="L119" t="n">
        <v>0</v>
      </c>
      <c r="M119" t="n">
        <v>0</v>
      </c>
      <c r="N119" t="n">
        <v>0</v>
      </c>
      <c r="O119" t="n">
        <v>1</v>
      </c>
      <c r="P119" t="n">
        <v>0</v>
      </c>
      <c r="Q119" t="n">
        <v>1</v>
      </c>
      <c r="R119" s="2" t="inlineStr">
        <is>
          <t>Garnlav</t>
        </is>
      </c>
      <c r="S119">
        <f>HYPERLINK("https://klasma.github.io/Logging_2262/artfynd/A 53300-2024 artfynd.xlsx", "A 53300-2024")</f>
        <v/>
      </c>
      <c r="T119">
        <f>HYPERLINK("https://klasma.github.io/Logging_2262/kartor/A 53300-2024 karta.png", "A 53300-2024")</f>
        <v/>
      </c>
      <c r="V119">
        <f>HYPERLINK("https://klasma.github.io/Logging_2262/klagomål/A 53300-2024 FSC-klagomål.docx", "A 53300-2024")</f>
        <v/>
      </c>
      <c r="W119">
        <f>HYPERLINK("https://klasma.github.io/Logging_2262/klagomålsmail/A 53300-2024 FSC-klagomål mail.docx", "A 53300-2024")</f>
        <v/>
      </c>
      <c r="X119">
        <f>HYPERLINK("https://klasma.github.io/Logging_2262/tillsyn/A 53300-2024 tillsynsbegäran.docx", "A 53300-2024")</f>
        <v/>
      </c>
      <c r="Y119">
        <f>HYPERLINK("https://klasma.github.io/Logging_2262/tillsynsmail/A 53300-2024 tillsynsbegäran mail.docx", "A 53300-2024")</f>
        <v/>
      </c>
    </row>
    <row r="120" ht="15" customHeight="1">
      <c r="A120" t="inlineStr">
        <is>
          <t>A 56287-2024</t>
        </is>
      </c>
      <c r="B120" s="1" t="n">
        <v>45624</v>
      </c>
      <c r="C120" s="1" t="n">
        <v>45809</v>
      </c>
      <c r="D120" t="inlineStr">
        <is>
          <t>VÄSTERNORRLANDS LÄN</t>
        </is>
      </c>
      <c r="E120" t="inlineStr">
        <is>
          <t>TIMRÅ</t>
        </is>
      </c>
      <c r="F120" t="inlineStr">
        <is>
          <t>SCA</t>
        </is>
      </c>
      <c r="G120" t="n">
        <v>10.2</v>
      </c>
      <c r="H120" t="n">
        <v>0</v>
      </c>
      <c r="I120" t="n">
        <v>0</v>
      </c>
      <c r="J120" t="n">
        <v>1</v>
      </c>
      <c r="K120" t="n">
        <v>0</v>
      </c>
      <c r="L120" t="n">
        <v>0</v>
      </c>
      <c r="M120" t="n">
        <v>0</v>
      </c>
      <c r="N120" t="n">
        <v>0</v>
      </c>
      <c r="O120" t="n">
        <v>1</v>
      </c>
      <c r="P120" t="n">
        <v>0</v>
      </c>
      <c r="Q120" t="n">
        <v>1</v>
      </c>
      <c r="R120" s="2" t="inlineStr">
        <is>
          <t>Garnlav</t>
        </is>
      </c>
      <c r="S120">
        <f>HYPERLINK("https://klasma.github.io/Logging_2262/artfynd/A 56287-2024 artfynd.xlsx", "A 56287-2024")</f>
        <v/>
      </c>
      <c r="T120">
        <f>HYPERLINK("https://klasma.github.io/Logging_2262/kartor/A 56287-2024 karta.png", "A 56287-2024")</f>
        <v/>
      </c>
      <c r="V120">
        <f>HYPERLINK("https://klasma.github.io/Logging_2262/klagomål/A 56287-2024 FSC-klagomål.docx", "A 56287-2024")</f>
        <v/>
      </c>
      <c r="W120">
        <f>HYPERLINK("https://klasma.github.io/Logging_2262/klagomålsmail/A 56287-2024 FSC-klagomål mail.docx", "A 56287-2024")</f>
        <v/>
      </c>
      <c r="X120">
        <f>HYPERLINK("https://klasma.github.io/Logging_2262/tillsyn/A 56287-2024 tillsynsbegäran.docx", "A 56287-2024")</f>
        <v/>
      </c>
      <c r="Y120">
        <f>HYPERLINK("https://klasma.github.io/Logging_2262/tillsynsmail/A 56287-2024 tillsynsbegäran mail.docx", "A 56287-2024")</f>
        <v/>
      </c>
    </row>
    <row r="121" ht="15" customHeight="1">
      <c r="A121" t="inlineStr">
        <is>
          <t>A 62081-2024</t>
        </is>
      </c>
      <c r="B121" s="1" t="n">
        <v>45656</v>
      </c>
      <c r="C121" s="1" t="n">
        <v>45809</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2295-2025</t>
        </is>
      </c>
      <c r="B122" s="1" t="n">
        <v>45673</v>
      </c>
      <c r="C122" s="1" t="n">
        <v>45809</v>
      </c>
      <c r="D122" t="inlineStr">
        <is>
          <t>VÄSTERNORRLANDS LÄN</t>
        </is>
      </c>
      <c r="E122" t="inlineStr">
        <is>
          <t>TIMRÅ</t>
        </is>
      </c>
      <c r="F122" t="inlineStr">
        <is>
          <t>SCA</t>
        </is>
      </c>
      <c r="G122" t="n">
        <v>5.1</v>
      </c>
      <c r="H122" t="n">
        <v>0</v>
      </c>
      <c r="I122" t="n">
        <v>0</v>
      </c>
      <c r="J122" t="n">
        <v>1</v>
      </c>
      <c r="K122" t="n">
        <v>0</v>
      </c>
      <c r="L122" t="n">
        <v>0</v>
      </c>
      <c r="M122" t="n">
        <v>0</v>
      </c>
      <c r="N122" t="n">
        <v>0</v>
      </c>
      <c r="O122" t="n">
        <v>1</v>
      </c>
      <c r="P122" t="n">
        <v>0</v>
      </c>
      <c r="Q122" t="n">
        <v>1</v>
      </c>
      <c r="R122" s="2" t="inlineStr">
        <is>
          <t>Ullticka</t>
        </is>
      </c>
      <c r="S122">
        <f>HYPERLINK("https://klasma.github.io/Logging_2262/artfynd/A 2295-2025 artfynd.xlsx", "A 2295-2025")</f>
        <v/>
      </c>
      <c r="T122">
        <f>HYPERLINK("https://klasma.github.io/Logging_2262/kartor/A 2295-2025 karta.png", "A 2295-2025")</f>
        <v/>
      </c>
      <c r="V122">
        <f>HYPERLINK("https://klasma.github.io/Logging_2262/klagomål/A 2295-2025 FSC-klagomål.docx", "A 2295-2025")</f>
        <v/>
      </c>
      <c r="W122">
        <f>HYPERLINK("https://klasma.github.io/Logging_2262/klagomålsmail/A 2295-2025 FSC-klagomål mail.docx", "A 2295-2025")</f>
        <v/>
      </c>
      <c r="X122">
        <f>HYPERLINK("https://klasma.github.io/Logging_2262/tillsyn/A 2295-2025 tillsynsbegäran.docx", "A 2295-2025")</f>
        <v/>
      </c>
      <c r="Y122">
        <f>HYPERLINK("https://klasma.github.io/Logging_2262/tillsynsmail/A 2295-2025 tillsynsbegäran mail.docx", "A 2295-2025")</f>
        <v/>
      </c>
    </row>
    <row r="123" ht="15" customHeight="1">
      <c r="A123" t="inlineStr">
        <is>
          <t>A 7272-2025</t>
        </is>
      </c>
      <c r="B123" s="1" t="n">
        <v>45702</v>
      </c>
      <c r="C123" s="1" t="n">
        <v>45809</v>
      </c>
      <c r="D123" t="inlineStr">
        <is>
          <t>VÄSTERNORRLANDS LÄN</t>
        </is>
      </c>
      <c r="E123" t="inlineStr">
        <is>
          <t>TIMRÅ</t>
        </is>
      </c>
      <c r="G123" t="n">
        <v>2.9</v>
      </c>
      <c r="H123" t="n">
        <v>0</v>
      </c>
      <c r="I123" t="n">
        <v>0</v>
      </c>
      <c r="J123" t="n">
        <v>1</v>
      </c>
      <c r="K123" t="n">
        <v>0</v>
      </c>
      <c r="L123" t="n">
        <v>0</v>
      </c>
      <c r="M123" t="n">
        <v>0</v>
      </c>
      <c r="N123" t="n">
        <v>0</v>
      </c>
      <c r="O123" t="n">
        <v>1</v>
      </c>
      <c r="P123" t="n">
        <v>0</v>
      </c>
      <c r="Q123" t="n">
        <v>1</v>
      </c>
      <c r="R123" s="2" t="inlineStr">
        <is>
          <t>Reliktbock</t>
        </is>
      </c>
      <c r="S123">
        <f>HYPERLINK("https://klasma.github.io/Logging_2262/artfynd/A 7272-2025 artfynd.xlsx", "A 7272-2025")</f>
        <v/>
      </c>
      <c r="T123">
        <f>HYPERLINK("https://klasma.github.io/Logging_2262/kartor/A 7272-2025 karta.png", "A 7272-2025")</f>
        <v/>
      </c>
      <c r="V123">
        <f>HYPERLINK("https://klasma.github.io/Logging_2262/klagomål/A 7272-2025 FSC-klagomål.docx", "A 7272-2025")</f>
        <v/>
      </c>
      <c r="W123">
        <f>HYPERLINK("https://klasma.github.io/Logging_2262/klagomålsmail/A 7272-2025 FSC-klagomål mail.docx", "A 7272-2025")</f>
        <v/>
      </c>
      <c r="X123">
        <f>HYPERLINK("https://klasma.github.io/Logging_2262/tillsyn/A 7272-2025 tillsynsbegäran.docx", "A 7272-2025")</f>
        <v/>
      </c>
      <c r="Y123">
        <f>HYPERLINK("https://klasma.github.io/Logging_2262/tillsynsmail/A 7272-2025 tillsynsbegäran mail.docx", "A 7272-2025")</f>
        <v/>
      </c>
    </row>
    <row r="124" ht="15" customHeight="1">
      <c r="A124" t="inlineStr">
        <is>
          <t>A 16301-2025</t>
        </is>
      </c>
      <c r="B124" s="1" t="n">
        <v>45751</v>
      </c>
      <c r="C124" s="1" t="n">
        <v>45809</v>
      </c>
      <c r="D124" t="inlineStr">
        <is>
          <t>VÄSTERNORRLANDS LÄN</t>
        </is>
      </c>
      <c r="E124" t="inlineStr">
        <is>
          <t>TIMRÅ</t>
        </is>
      </c>
      <c r="F124" t="inlineStr">
        <is>
          <t>SCA</t>
        </is>
      </c>
      <c r="G124" t="n">
        <v>1.6</v>
      </c>
      <c r="H124" t="n">
        <v>0</v>
      </c>
      <c r="I124" t="n">
        <v>0</v>
      </c>
      <c r="J124" t="n">
        <v>1</v>
      </c>
      <c r="K124" t="n">
        <v>0</v>
      </c>
      <c r="L124" t="n">
        <v>0</v>
      </c>
      <c r="M124" t="n">
        <v>0</v>
      </c>
      <c r="N124" t="n">
        <v>0</v>
      </c>
      <c r="O124" t="n">
        <v>1</v>
      </c>
      <c r="P124" t="n">
        <v>0</v>
      </c>
      <c r="Q124" t="n">
        <v>1</v>
      </c>
      <c r="R124" s="2" t="inlineStr">
        <is>
          <t>Lunglav</t>
        </is>
      </c>
      <c r="S124">
        <f>HYPERLINK("https://klasma.github.io/Logging_222262/artfynd/A 16301-2025 artfynd.xlsx", "A 16301-2025")</f>
        <v/>
      </c>
      <c r="T124">
        <f>HYPERLINK("https://klasma.github.io/Logging_222262/kartor/A 16301-2025 karta.png", "A 16301-2025")</f>
        <v/>
      </c>
      <c r="U124">
        <f>HYPERLINK("https://klasma.github.io/Logging_222262/knärot/A 16301-2025 karta knärot.png", "A 16301-2025")</f>
        <v/>
      </c>
      <c r="V124">
        <f>HYPERLINK("https://klasma.github.io/Logging_222262/klagomål/A 16301-2025 FSC-klagomål.docx", "A 16301-2025")</f>
        <v/>
      </c>
      <c r="W124">
        <f>HYPERLINK("https://klasma.github.io/Logging_222262/klagomålsmail/A 16301-2025 FSC-klagomål mail.docx", "A 16301-2025")</f>
        <v/>
      </c>
      <c r="X124">
        <f>HYPERLINK("https://klasma.github.io/Logging_222262/tillsyn/A 16301-2025 tillsynsbegäran.docx", "A 16301-2025")</f>
        <v/>
      </c>
      <c r="Y124">
        <f>HYPERLINK("https://klasma.github.io/Logging_222262/tillsynsmail/A 16301-2025 tillsynsbegäran mail.docx", "A 16301-2025")</f>
        <v/>
      </c>
    </row>
    <row r="125" ht="15" customHeight="1">
      <c r="A125" t="inlineStr">
        <is>
          <t>A 22050-2025</t>
        </is>
      </c>
      <c r="B125" s="1" t="n">
        <v>45785</v>
      </c>
      <c r="C125" s="1" t="n">
        <v>45809</v>
      </c>
      <c r="D125" t="inlineStr">
        <is>
          <t>VÄSTERNORRLANDS LÄN</t>
        </is>
      </c>
      <c r="E125" t="inlineStr">
        <is>
          <t>TIMRÅ</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HYPERLINK("https://klasma.github.io/Logging_222262/artfynd/A 22050-2025 artfynd.xlsx", "A 22050-2025")</f>
        <v/>
      </c>
      <c r="T125">
        <f>HYPERLINK("https://klasma.github.io/Logging_222262/kartor/A 22050-2025 karta.png", "A 22050-2025")</f>
        <v/>
      </c>
      <c r="V125">
        <f>HYPERLINK("https://klasma.github.io/Logging_222262/klagomål/A 22050-2025 FSC-klagomål.docx", "A 22050-2025")</f>
        <v/>
      </c>
      <c r="W125">
        <f>HYPERLINK("https://klasma.github.io/Logging_222262/klagomålsmail/A 22050-2025 FSC-klagomål mail.docx", "A 22050-2025")</f>
        <v/>
      </c>
      <c r="X125">
        <f>HYPERLINK("https://klasma.github.io/Logging_222262/tillsyn/A 22050-2025 tillsynsbegäran.docx", "A 22050-2025")</f>
        <v/>
      </c>
      <c r="Y125">
        <f>HYPERLINK("https://klasma.github.io/Logging_222262/tillsynsmail/A 22050-2025 tillsynsbegäran mail.docx", "A 22050-2025")</f>
        <v/>
      </c>
    </row>
    <row r="126" ht="15" customHeight="1">
      <c r="A126" t="inlineStr">
        <is>
          <t>A 22212-2025</t>
        </is>
      </c>
      <c r="B126" s="1" t="n">
        <v>45785</v>
      </c>
      <c r="C126" s="1" t="n">
        <v>45809</v>
      </c>
      <c r="D126" t="inlineStr">
        <is>
          <t>VÄSTERNORRLANDS LÄN</t>
        </is>
      </c>
      <c r="E126" t="inlineStr">
        <is>
          <t>TIMRÅ</t>
        </is>
      </c>
      <c r="F126" t="inlineStr">
        <is>
          <t>SCA</t>
        </is>
      </c>
      <c r="G126" t="n">
        <v>6.9</v>
      </c>
      <c r="H126" t="n">
        <v>0</v>
      </c>
      <c r="I126" t="n">
        <v>0</v>
      </c>
      <c r="J126" t="n">
        <v>1</v>
      </c>
      <c r="K126" t="n">
        <v>0</v>
      </c>
      <c r="L126" t="n">
        <v>0</v>
      </c>
      <c r="M126" t="n">
        <v>0</v>
      </c>
      <c r="N126" t="n">
        <v>0</v>
      </c>
      <c r="O126" t="n">
        <v>1</v>
      </c>
      <c r="P126" t="n">
        <v>0</v>
      </c>
      <c r="Q126" t="n">
        <v>1</v>
      </c>
      <c r="R126" s="2" t="inlineStr">
        <is>
          <t>Ullticka</t>
        </is>
      </c>
      <c r="S126">
        <f>HYPERLINK("https://klasma.github.io/Logging_222262/artfynd/A 22212-2025 artfynd.xlsx", "A 22212-2025")</f>
        <v/>
      </c>
      <c r="T126">
        <f>HYPERLINK("https://klasma.github.io/Logging_222262/kartor/A 22212-2025 karta.png", "A 22212-2025")</f>
        <v/>
      </c>
      <c r="V126">
        <f>HYPERLINK("https://klasma.github.io/Logging_222262/klagomål/A 22212-2025 FSC-klagomål.docx", "A 22212-2025")</f>
        <v/>
      </c>
      <c r="W126">
        <f>HYPERLINK("https://klasma.github.io/Logging_222262/klagomålsmail/A 22212-2025 FSC-klagomål mail.docx", "A 22212-2025")</f>
        <v/>
      </c>
      <c r="X126">
        <f>HYPERLINK("https://klasma.github.io/Logging_222262/tillsyn/A 22212-2025 tillsynsbegäran.docx", "A 22212-2025")</f>
        <v/>
      </c>
      <c r="Y126">
        <f>HYPERLINK("https://klasma.github.io/Logging_222262/tillsynsmail/A 22212-2025 tillsynsbegäran mail.docx", "A 22212-2025")</f>
        <v/>
      </c>
    </row>
    <row r="127" ht="15" customHeight="1">
      <c r="A127" t="inlineStr">
        <is>
          <t>A 22427-2025</t>
        </is>
      </c>
      <c r="B127" s="1" t="n">
        <v>45786</v>
      </c>
      <c r="C127" s="1" t="n">
        <v>45809</v>
      </c>
      <c r="D127" t="inlineStr">
        <is>
          <t>VÄSTERNORRLANDS LÄN</t>
        </is>
      </c>
      <c r="E127" t="inlineStr">
        <is>
          <t>TIMRÅ</t>
        </is>
      </c>
      <c r="F127" t="inlineStr">
        <is>
          <t>SCA</t>
        </is>
      </c>
      <c r="G127" t="n">
        <v>7.1</v>
      </c>
      <c r="H127" t="n">
        <v>0</v>
      </c>
      <c r="I127" t="n">
        <v>0</v>
      </c>
      <c r="J127" t="n">
        <v>1</v>
      </c>
      <c r="K127" t="n">
        <v>0</v>
      </c>
      <c r="L127" t="n">
        <v>0</v>
      </c>
      <c r="M127" t="n">
        <v>0</v>
      </c>
      <c r="N127" t="n">
        <v>0</v>
      </c>
      <c r="O127" t="n">
        <v>1</v>
      </c>
      <c r="P127" t="n">
        <v>0</v>
      </c>
      <c r="Q127" t="n">
        <v>1</v>
      </c>
      <c r="R127" s="2" t="inlineStr">
        <is>
          <t>Lunglav</t>
        </is>
      </c>
      <c r="S127">
        <f>HYPERLINK("https://klasma.github.io/Logging_222262/artfynd/A 22427-2025 artfynd.xlsx", "A 22427-2025")</f>
        <v/>
      </c>
      <c r="T127">
        <f>HYPERLINK("https://klasma.github.io/Logging_222262/kartor/A 22427-2025 karta.png", "A 22427-2025")</f>
        <v/>
      </c>
      <c r="V127">
        <f>HYPERLINK("https://klasma.github.io/Logging_222262/klagomål/A 22427-2025 FSC-klagomål.docx", "A 22427-2025")</f>
        <v/>
      </c>
      <c r="W127">
        <f>HYPERLINK("https://klasma.github.io/Logging_222262/klagomålsmail/A 22427-2025 FSC-klagomål mail.docx", "A 22427-2025")</f>
        <v/>
      </c>
      <c r="X127">
        <f>HYPERLINK("https://klasma.github.io/Logging_222262/tillsyn/A 22427-2025 tillsynsbegäran.docx", "A 22427-2025")</f>
        <v/>
      </c>
      <c r="Y127">
        <f>HYPERLINK("https://klasma.github.io/Logging_222262/tillsynsmail/A 22427-2025 tillsynsbegäran mail.docx", "A 22427-2025")</f>
        <v/>
      </c>
    </row>
    <row r="128" ht="15" customHeight="1">
      <c r="A128" t="inlineStr">
        <is>
          <t>A 22819-2025</t>
        </is>
      </c>
      <c r="B128" s="1" t="n">
        <v>45789</v>
      </c>
      <c r="C128" s="1" t="n">
        <v>45809</v>
      </c>
      <c r="D128" t="inlineStr">
        <is>
          <t>VÄSTERNORRLANDS LÄN</t>
        </is>
      </c>
      <c r="E128" t="inlineStr">
        <is>
          <t>TIMRÅ</t>
        </is>
      </c>
      <c r="G128" t="n">
        <v>1.2</v>
      </c>
      <c r="H128" t="n">
        <v>1</v>
      </c>
      <c r="I128" t="n">
        <v>0</v>
      </c>
      <c r="J128" t="n">
        <v>0</v>
      </c>
      <c r="K128" t="n">
        <v>0</v>
      </c>
      <c r="L128" t="n">
        <v>0</v>
      </c>
      <c r="M128" t="n">
        <v>0</v>
      </c>
      <c r="N128" t="n">
        <v>0</v>
      </c>
      <c r="O128" t="n">
        <v>0</v>
      </c>
      <c r="P128" t="n">
        <v>0</v>
      </c>
      <c r="Q128" t="n">
        <v>1</v>
      </c>
      <c r="R128" s="2" t="inlineStr">
        <is>
          <t>Orre</t>
        </is>
      </c>
      <c r="S128">
        <f>HYPERLINK("https://klasma.github.io/Logging_222262/artfynd/A 22819-2025 artfynd.xlsx", "A 22819-2025")</f>
        <v/>
      </c>
      <c r="T128">
        <f>HYPERLINK("https://klasma.github.io/Logging_222262/kartor/A 22819-2025 karta.png", "A 22819-2025")</f>
        <v/>
      </c>
      <c r="V128">
        <f>HYPERLINK("https://klasma.github.io/Logging_222262/klagomål/A 22819-2025 FSC-klagomål.docx", "A 22819-2025")</f>
        <v/>
      </c>
      <c r="W128">
        <f>HYPERLINK("https://klasma.github.io/Logging_222262/klagomålsmail/A 22819-2025 FSC-klagomål mail.docx", "A 22819-2025")</f>
        <v/>
      </c>
      <c r="X128">
        <f>HYPERLINK("https://klasma.github.io/Logging_222262/tillsyn/A 22819-2025 tillsynsbegäran.docx", "A 22819-2025")</f>
        <v/>
      </c>
      <c r="Y128">
        <f>HYPERLINK("https://klasma.github.io/Logging_222262/tillsynsmail/A 22819-2025 tillsynsbegäran mail.docx", "A 22819-2025")</f>
        <v/>
      </c>
      <c r="Z128">
        <f>HYPERLINK("https://klasma.github.io/Logging_222262/fåglar/A 22819-2025 prioriterade fågelarter.docx", "A 22819-2025")</f>
        <v/>
      </c>
    </row>
    <row r="129" ht="15" customHeight="1">
      <c r="A129" t="inlineStr">
        <is>
          <t>A 22897-2025</t>
        </is>
      </c>
      <c r="B129" s="1" t="n">
        <v>45790</v>
      </c>
      <c r="C129" s="1" t="n">
        <v>45809</v>
      </c>
      <c r="D129" t="inlineStr">
        <is>
          <t>VÄSTERNORRLANDS LÄN</t>
        </is>
      </c>
      <c r="E129" t="inlineStr">
        <is>
          <t>TIMRÅ</t>
        </is>
      </c>
      <c r="F129" t="inlineStr">
        <is>
          <t>SCA</t>
        </is>
      </c>
      <c r="G129" t="n">
        <v>6.2</v>
      </c>
      <c r="H129" t="n">
        <v>0</v>
      </c>
      <c r="I129" t="n">
        <v>0</v>
      </c>
      <c r="J129" t="n">
        <v>1</v>
      </c>
      <c r="K129" t="n">
        <v>0</v>
      </c>
      <c r="L129" t="n">
        <v>0</v>
      </c>
      <c r="M129" t="n">
        <v>0</v>
      </c>
      <c r="N129" t="n">
        <v>0</v>
      </c>
      <c r="O129" t="n">
        <v>1</v>
      </c>
      <c r="P129" t="n">
        <v>0</v>
      </c>
      <c r="Q129" t="n">
        <v>1</v>
      </c>
      <c r="R129" s="2" t="inlineStr">
        <is>
          <t>Garnlav</t>
        </is>
      </c>
      <c r="S129">
        <f>HYPERLINK("https://klasma.github.io/Logging_222262/artfynd/A 22897-2025 artfynd.xlsx", "A 22897-2025")</f>
        <v/>
      </c>
      <c r="T129">
        <f>HYPERLINK("https://klasma.github.io/Logging_222262/kartor/A 22897-2025 karta.png", "A 22897-2025")</f>
        <v/>
      </c>
      <c r="V129">
        <f>HYPERLINK("https://klasma.github.io/Logging_222262/klagomål/A 22897-2025 FSC-klagomål.docx", "A 22897-2025")</f>
        <v/>
      </c>
      <c r="W129">
        <f>HYPERLINK("https://klasma.github.io/Logging_222262/klagomålsmail/A 22897-2025 FSC-klagomål mail.docx", "A 22897-2025")</f>
        <v/>
      </c>
      <c r="X129">
        <f>HYPERLINK("https://klasma.github.io/Logging_222262/tillsyn/A 22897-2025 tillsynsbegäran.docx", "A 22897-2025")</f>
        <v/>
      </c>
      <c r="Y129">
        <f>HYPERLINK("https://klasma.github.io/Logging_222262/tillsynsmail/A 22897-2025 tillsynsbegäran mail.docx", "A 22897-2025")</f>
        <v/>
      </c>
    </row>
    <row r="130" ht="15" customHeight="1">
      <c r="A130" t="inlineStr">
        <is>
          <t>A 23171-2025</t>
        </is>
      </c>
      <c r="B130" s="1" t="n">
        <v>45791</v>
      </c>
      <c r="C130" s="1" t="n">
        <v>45809</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HYPERLINK("https://klasma.github.io/Logging_222262/artfynd/A 23171-2025 artfynd.xlsx", "A 23171-2025")</f>
        <v/>
      </c>
      <c r="T130">
        <f>HYPERLINK("https://klasma.github.io/Logging_222262/kartor/A 23171-2025 karta.png", "A 23171-2025")</f>
        <v/>
      </c>
      <c r="V130">
        <f>HYPERLINK("https://klasma.github.io/Logging_222262/klagomål/A 23171-2025 FSC-klagomål.docx", "A 23171-2025")</f>
        <v/>
      </c>
      <c r="W130">
        <f>HYPERLINK("https://klasma.github.io/Logging_222262/klagomålsmail/A 23171-2025 FSC-klagomål mail.docx", "A 23171-2025")</f>
        <v/>
      </c>
      <c r="X130">
        <f>HYPERLINK("https://klasma.github.io/Logging_222262/tillsyn/A 23171-2025 tillsynsbegäran.docx", "A 23171-2025")</f>
        <v/>
      </c>
      <c r="Y130">
        <f>HYPERLINK("https://klasma.github.io/Logging_222262/tillsynsmail/A 23171-2025 tillsynsbegäran mail.docx", "A 23171-2025")</f>
        <v/>
      </c>
    </row>
    <row r="131" ht="15" customHeight="1">
      <c r="A131" t="inlineStr">
        <is>
          <t>A 23159-2025</t>
        </is>
      </c>
      <c r="B131" s="1" t="n">
        <v>45791</v>
      </c>
      <c r="C131" s="1" t="n">
        <v>45809</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HYPERLINK("https://klasma.github.io/Logging_222262/artfynd/A 23159-2025 artfynd.xlsx", "A 23159-2025")</f>
        <v/>
      </c>
      <c r="T131">
        <f>HYPERLINK("https://klasma.github.io/Logging_222262/kartor/A 23159-2025 karta.png", "A 23159-2025")</f>
        <v/>
      </c>
      <c r="V131">
        <f>HYPERLINK("https://klasma.github.io/Logging_222262/klagomål/A 23159-2025 FSC-klagomål.docx", "A 23159-2025")</f>
        <v/>
      </c>
      <c r="W131">
        <f>HYPERLINK("https://klasma.github.io/Logging_222262/klagomålsmail/A 23159-2025 FSC-klagomål mail.docx", "A 23159-2025")</f>
        <v/>
      </c>
      <c r="X131">
        <f>HYPERLINK("https://klasma.github.io/Logging_222262/tillsyn/A 23159-2025 tillsynsbegäran.docx", "A 23159-2025")</f>
        <v/>
      </c>
      <c r="Y131">
        <f>HYPERLINK("https://klasma.github.io/Logging_222262/tillsynsmail/A 23159-2025 tillsynsbegäran mail.docx", "A 23159-2025")</f>
        <v/>
      </c>
    </row>
    <row r="132" ht="15" customHeight="1">
      <c r="A132" t="inlineStr">
        <is>
          <t>A 23283-2025</t>
        </is>
      </c>
      <c r="B132" s="1" t="n">
        <v>45791</v>
      </c>
      <c r="C132" s="1" t="n">
        <v>45809</v>
      </c>
      <c r="D132" t="inlineStr">
        <is>
          <t>VÄSTERNORRLANDS LÄN</t>
        </is>
      </c>
      <c r="E132" t="inlineStr">
        <is>
          <t>TIMRÅ</t>
        </is>
      </c>
      <c r="F132" t="inlineStr">
        <is>
          <t>SCA</t>
        </is>
      </c>
      <c r="G132" t="n">
        <v>1.3</v>
      </c>
      <c r="H132" t="n">
        <v>0</v>
      </c>
      <c r="I132" t="n">
        <v>0</v>
      </c>
      <c r="J132" t="n">
        <v>1</v>
      </c>
      <c r="K132" t="n">
        <v>0</v>
      </c>
      <c r="L132" t="n">
        <v>0</v>
      </c>
      <c r="M132" t="n">
        <v>0</v>
      </c>
      <c r="N132" t="n">
        <v>0</v>
      </c>
      <c r="O132" t="n">
        <v>1</v>
      </c>
      <c r="P132" t="n">
        <v>0</v>
      </c>
      <c r="Q132" t="n">
        <v>1</v>
      </c>
      <c r="R132" s="2" t="inlineStr">
        <is>
          <t>Lunglav</t>
        </is>
      </c>
      <c r="S132">
        <f>HYPERLINK("https://klasma.github.io/Logging_222262/artfynd/A 23283-2025 artfynd.xlsx", "A 23283-2025")</f>
        <v/>
      </c>
      <c r="T132">
        <f>HYPERLINK("https://klasma.github.io/Logging_222262/kartor/A 23283-2025 karta.png", "A 23283-2025")</f>
        <v/>
      </c>
      <c r="V132">
        <f>HYPERLINK("https://klasma.github.io/Logging_222262/klagomål/A 23283-2025 FSC-klagomål.docx", "A 23283-2025")</f>
        <v/>
      </c>
      <c r="W132">
        <f>HYPERLINK("https://klasma.github.io/Logging_222262/klagomålsmail/A 23283-2025 FSC-klagomål mail.docx", "A 23283-2025")</f>
        <v/>
      </c>
      <c r="X132">
        <f>HYPERLINK("https://klasma.github.io/Logging_222262/tillsyn/A 23283-2025 tillsynsbegäran.docx", "A 23283-2025")</f>
        <v/>
      </c>
      <c r="Y132">
        <f>HYPERLINK("https://klasma.github.io/Logging_222262/tillsynsmail/A 23283-2025 tillsynsbegäran mail.docx", "A 23283-2025")</f>
        <v/>
      </c>
    </row>
    <row r="133" ht="15" customHeight="1">
      <c r="A133" t="inlineStr">
        <is>
          <t>A 24423-2025</t>
        </is>
      </c>
      <c r="B133" s="1" t="n">
        <v>45797</v>
      </c>
      <c r="C133" s="1" t="n">
        <v>45809</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Gammelgransskål</t>
        </is>
      </c>
      <c r="S133">
        <f>HYPERLINK("https://klasma.github.io/Logging_222262/artfynd/A 24423-2025 artfynd.xlsx", "A 24423-2025")</f>
        <v/>
      </c>
      <c r="T133">
        <f>HYPERLINK("https://klasma.github.io/Logging_222262/kartor/A 24423-2025 karta.png", "A 24423-2025")</f>
        <v/>
      </c>
      <c r="V133">
        <f>HYPERLINK("https://klasma.github.io/Logging_222262/klagomål/A 24423-2025 FSC-klagomål.docx", "A 24423-2025")</f>
        <v/>
      </c>
      <c r="W133">
        <f>HYPERLINK("https://klasma.github.io/Logging_222262/klagomålsmail/A 24423-2025 FSC-klagomål mail.docx", "A 24423-2025")</f>
        <v/>
      </c>
      <c r="X133">
        <f>HYPERLINK("https://klasma.github.io/Logging_222262/tillsyn/A 24423-2025 tillsynsbegäran.docx", "A 24423-2025")</f>
        <v/>
      </c>
      <c r="Y133">
        <f>HYPERLINK("https://klasma.github.io/Logging_222262/tillsynsmail/A 24423-2025 tillsynsbegäran mail.docx", "A 24423-2025")</f>
        <v/>
      </c>
    </row>
    <row r="134" ht="15" customHeight="1">
      <c r="A134" t="inlineStr">
        <is>
          <t>A 17858-2019</t>
        </is>
      </c>
      <c r="B134" s="1" t="n">
        <v>43556</v>
      </c>
      <c r="C134" s="1" t="n">
        <v>45809</v>
      </c>
      <c r="D134" t="inlineStr">
        <is>
          <t>VÄSTERNORRLANDS LÄN</t>
        </is>
      </c>
      <c r="E134" t="inlineStr">
        <is>
          <t>TIMRÅ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18703-2019</t>
        </is>
      </c>
      <c r="B135" s="1" t="n">
        <v>43559</v>
      </c>
      <c r="C135" s="1" t="n">
        <v>45809</v>
      </c>
      <c r="D135" t="inlineStr">
        <is>
          <t>VÄSTERNORRLANDS LÄN</t>
        </is>
      </c>
      <c r="E135" t="inlineStr">
        <is>
          <t>TIMRÅ</t>
        </is>
      </c>
      <c r="G135" t="n">
        <v>5</v>
      </c>
      <c r="H135" t="n">
        <v>0</v>
      </c>
      <c r="I135" t="n">
        <v>0</v>
      </c>
      <c r="J135" t="n">
        <v>0</v>
      </c>
      <c r="K135" t="n">
        <v>0</v>
      </c>
      <c r="L135" t="n">
        <v>0</v>
      </c>
      <c r="M135" t="n">
        <v>0</v>
      </c>
      <c r="N135" t="n">
        <v>0</v>
      </c>
      <c r="O135" t="n">
        <v>0</v>
      </c>
      <c r="P135" t="n">
        <v>0</v>
      </c>
      <c r="Q135" t="n">
        <v>0</v>
      </c>
      <c r="R135" s="2" t="inlineStr"/>
    </row>
    <row r="136" ht="15" customHeight="1">
      <c r="A136" t="inlineStr">
        <is>
          <t>A 20205-2019</t>
        </is>
      </c>
      <c r="B136" s="1" t="n">
        <v>43570</v>
      </c>
      <c r="C136" s="1" t="n">
        <v>45809</v>
      </c>
      <c r="D136" t="inlineStr">
        <is>
          <t>VÄSTERNORRLANDS LÄN</t>
        </is>
      </c>
      <c r="E136" t="inlineStr">
        <is>
          <t>TIMRÅ</t>
        </is>
      </c>
      <c r="F136" t="inlineStr">
        <is>
          <t>SCA</t>
        </is>
      </c>
      <c r="G136" t="n">
        <v>29.1</v>
      </c>
      <c r="H136" t="n">
        <v>0</v>
      </c>
      <c r="I136" t="n">
        <v>0</v>
      </c>
      <c r="J136" t="n">
        <v>0</v>
      </c>
      <c r="K136" t="n">
        <v>0</v>
      </c>
      <c r="L136" t="n">
        <v>0</v>
      </c>
      <c r="M136" t="n">
        <v>0</v>
      </c>
      <c r="N136" t="n">
        <v>0</v>
      </c>
      <c r="O136" t="n">
        <v>0</v>
      </c>
      <c r="P136" t="n">
        <v>0</v>
      </c>
      <c r="Q136" t="n">
        <v>0</v>
      </c>
      <c r="R136" s="2" t="inlineStr"/>
    </row>
    <row r="137" ht="15" customHeight="1">
      <c r="A137" t="inlineStr">
        <is>
          <t>A 20591-2019</t>
        </is>
      </c>
      <c r="B137" s="1" t="n">
        <v>43572</v>
      </c>
      <c r="C137" s="1" t="n">
        <v>45809</v>
      </c>
      <c r="D137" t="inlineStr">
        <is>
          <t>VÄSTERNORRLANDS LÄN</t>
        </is>
      </c>
      <c r="E137" t="inlineStr">
        <is>
          <t>TIMRÅ</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22036-2019</t>
        </is>
      </c>
      <c r="B138" s="1" t="n">
        <v>43584</v>
      </c>
      <c r="C138" s="1" t="n">
        <v>45809</v>
      </c>
      <c r="D138" t="inlineStr">
        <is>
          <t>VÄSTERNORRLANDS LÄN</t>
        </is>
      </c>
      <c r="E138" t="inlineStr">
        <is>
          <t>TIMRÅ</t>
        </is>
      </c>
      <c r="G138" t="n">
        <v>0.4</v>
      </c>
      <c r="H138" t="n">
        <v>0</v>
      </c>
      <c r="I138" t="n">
        <v>0</v>
      </c>
      <c r="J138" t="n">
        <v>0</v>
      </c>
      <c r="K138" t="n">
        <v>0</v>
      </c>
      <c r="L138" t="n">
        <v>0</v>
      </c>
      <c r="M138" t="n">
        <v>0</v>
      </c>
      <c r="N138" t="n">
        <v>0</v>
      </c>
      <c r="O138" t="n">
        <v>0</v>
      </c>
      <c r="P138" t="n">
        <v>0</v>
      </c>
      <c r="Q138" t="n">
        <v>0</v>
      </c>
      <c r="R138" s="2" t="inlineStr"/>
    </row>
    <row r="139" ht="15" customHeight="1">
      <c r="A139" t="inlineStr">
        <is>
          <t>A 22345-2019</t>
        </is>
      </c>
      <c r="B139" s="1" t="n">
        <v>43587</v>
      </c>
      <c r="C139" s="1" t="n">
        <v>45809</v>
      </c>
      <c r="D139" t="inlineStr">
        <is>
          <t>VÄSTERNORRLANDS LÄN</t>
        </is>
      </c>
      <c r="E139" t="inlineStr">
        <is>
          <t>TIMRÅ</t>
        </is>
      </c>
      <c r="G139" t="n">
        <v>0.3</v>
      </c>
      <c r="H139" t="n">
        <v>0</v>
      </c>
      <c r="I139" t="n">
        <v>0</v>
      </c>
      <c r="J139" t="n">
        <v>0</v>
      </c>
      <c r="K139" t="n">
        <v>0</v>
      </c>
      <c r="L139" t="n">
        <v>0</v>
      </c>
      <c r="M139" t="n">
        <v>0</v>
      </c>
      <c r="N139" t="n">
        <v>0</v>
      </c>
      <c r="O139" t="n">
        <v>0</v>
      </c>
      <c r="P139" t="n">
        <v>0</v>
      </c>
      <c r="Q139" t="n">
        <v>0</v>
      </c>
      <c r="R139" s="2" t="inlineStr"/>
    </row>
    <row r="140" ht="15" customHeight="1">
      <c r="A140" t="inlineStr">
        <is>
          <t>A 23074-2019</t>
        </is>
      </c>
      <c r="B140" s="1" t="n">
        <v>43591</v>
      </c>
      <c r="C140" s="1" t="n">
        <v>45809</v>
      </c>
      <c r="D140" t="inlineStr">
        <is>
          <t>VÄSTERNORRLANDS LÄN</t>
        </is>
      </c>
      <c r="E140" t="inlineStr">
        <is>
          <t>TIMRÅ</t>
        </is>
      </c>
      <c r="G140" t="n">
        <v>1.3</v>
      </c>
      <c r="H140" t="n">
        <v>0</v>
      </c>
      <c r="I140" t="n">
        <v>0</v>
      </c>
      <c r="J140" t="n">
        <v>0</v>
      </c>
      <c r="K140" t="n">
        <v>0</v>
      </c>
      <c r="L140" t="n">
        <v>0</v>
      </c>
      <c r="M140" t="n">
        <v>0</v>
      </c>
      <c r="N140" t="n">
        <v>0</v>
      </c>
      <c r="O140" t="n">
        <v>0</v>
      </c>
      <c r="P140" t="n">
        <v>0</v>
      </c>
      <c r="Q140" t="n">
        <v>0</v>
      </c>
      <c r="R140" s="2" t="inlineStr"/>
    </row>
    <row r="141" ht="15" customHeight="1">
      <c r="A141" t="inlineStr">
        <is>
          <t>A 24767-2019</t>
        </is>
      </c>
      <c r="B141" s="1" t="n">
        <v>43601</v>
      </c>
      <c r="C141" s="1" t="n">
        <v>45809</v>
      </c>
      <c r="D141" t="inlineStr">
        <is>
          <t>VÄSTERNORRLANDS LÄN</t>
        </is>
      </c>
      <c r="E141" t="inlineStr">
        <is>
          <t>TIMRÅ</t>
        </is>
      </c>
      <c r="G141" t="n">
        <v>6.1</v>
      </c>
      <c r="H141" t="n">
        <v>0</v>
      </c>
      <c r="I141" t="n">
        <v>0</v>
      </c>
      <c r="J141" t="n">
        <v>0</v>
      </c>
      <c r="K141" t="n">
        <v>0</v>
      </c>
      <c r="L141" t="n">
        <v>0</v>
      </c>
      <c r="M141" t="n">
        <v>0</v>
      </c>
      <c r="N141" t="n">
        <v>0</v>
      </c>
      <c r="O141" t="n">
        <v>0</v>
      </c>
      <c r="P141" t="n">
        <v>0</v>
      </c>
      <c r="Q141" t="n">
        <v>0</v>
      </c>
      <c r="R141" s="2" t="inlineStr"/>
    </row>
    <row r="142" ht="15" customHeight="1">
      <c r="A142" t="inlineStr">
        <is>
          <t>A 29163-2019</t>
        </is>
      </c>
      <c r="B142" s="1" t="n">
        <v>43628</v>
      </c>
      <c r="C142" s="1" t="n">
        <v>45809</v>
      </c>
      <c r="D142" t="inlineStr">
        <is>
          <t>VÄSTERNORRLANDS LÄN</t>
        </is>
      </c>
      <c r="E142" t="inlineStr">
        <is>
          <t>TIMRÅ</t>
        </is>
      </c>
      <c r="G142" t="n">
        <v>4.6</v>
      </c>
      <c r="H142" t="n">
        <v>0</v>
      </c>
      <c r="I142" t="n">
        <v>0</v>
      </c>
      <c r="J142" t="n">
        <v>0</v>
      </c>
      <c r="K142" t="n">
        <v>0</v>
      </c>
      <c r="L142" t="n">
        <v>0</v>
      </c>
      <c r="M142" t="n">
        <v>0</v>
      </c>
      <c r="N142" t="n">
        <v>0</v>
      </c>
      <c r="O142" t="n">
        <v>0</v>
      </c>
      <c r="P142" t="n">
        <v>0</v>
      </c>
      <c r="Q142" t="n">
        <v>0</v>
      </c>
      <c r="R142" s="2" t="inlineStr"/>
    </row>
    <row r="143" ht="15" customHeight="1">
      <c r="A143" t="inlineStr">
        <is>
          <t>A 29485-2019</t>
        </is>
      </c>
      <c r="B143" s="1" t="n">
        <v>43629</v>
      </c>
      <c r="C143" s="1" t="n">
        <v>45809</v>
      </c>
      <c r="D143" t="inlineStr">
        <is>
          <t>VÄSTERNORRLANDS LÄN</t>
        </is>
      </c>
      <c r="E143" t="inlineStr">
        <is>
          <t>TIMRÅ</t>
        </is>
      </c>
      <c r="G143" t="n">
        <v>3.4</v>
      </c>
      <c r="H143" t="n">
        <v>0</v>
      </c>
      <c r="I143" t="n">
        <v>0</v>
      </c>
      <c r="J143" t="n">
        <v>0</v>
      </c>
      <c r="K143" t="n">
        <v>0</v>
      </c>
      <c r="L143" t="n">
        <v>0</v>
      </c>
      <c r="M143" t="n">
        <v>0</v>
      </c>
      <c r="N143" t="n">
        <v>0</v>
      </c>
      <c r="O143" t="n">
        <v>0</v>
      </c>
      <c r="P143" t="n">
        <v>0</v>
      </c>
      <c r="Q143" t="n">
        <v>0</v>
      </c>
      <c r="R143" s="2" t="inlineStr"/>
    </row>
    <row r="144" ht="15" customHeight="1">
      <c r="A144" t="inlineStr">
        <is>
          <t>A 29751-2019</t>
        </is>
      </c>
      <c r="B144" s="1" t="n">
        <v>43630</v>
      </c>
      <c r="C144" s="1" t="n">
        <v>45809</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32982-2019</t>
        </is>
      </c>
      <c r="B145" s="1" t="n">
        <v>43648</v>
      </c>
      <c r="C145" s="1" t="n">
        <v>45809</v>
      </c>
      <c r="D145" t="inlineStr">
        <is>
          <t>VÄSTERNORRLANDS LÄN</t>
        </is>
      </c>
      <c r="E145" t="inlineStr">
        <is>
          <t>TIMRÅ</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33835-2019</t>
        </is>
      </c>
      <c r="B146" s="1" t="n">
        <v>43651</v>
      </c>
      <c r="C146" s="1" t="n">
        <v>45809</v>
      </c>
      <c r="D146" t="inlineStr">
        <is>
          <t>VÄSTERNORRLANDS LÄN</t>
        </is>
      </c>
      <c r="E146" t="inlineStr">
        <is>
          <t>TIMRÅ</t>
        </is>
      </c>
      <c r="G146" t="n">
        <v>6.2</v>
      </c>
      <c r="H146" t="n">
        <v>0</v>
      </c>
      <c r="I146" t="n">
        <v>0</v>
      </c>
      <c r="J146" t="n">
        <v>0</v>
      </c>
      <c r="K146" t="n">
        <v>0</v>
      </c>
      <c r="L146" t="n">
        <v>0</v>
      </c>
      <c r="M146" t="n">
        <v>0</v>
      </c>
      <c r="N146" t="n">
        <v>0</v>
      </c>
      <c r="O146" t="n">
        <v>0</v>
      </c>
      <c r="P146" t="n">
        <v>0</v>
      </c>
      <c r="Q146" t="n">
        <v>0</v>
      </c>
      <c r="R146" s="2" t="inlineStr"/>
    </row>
    <row r="147" ht="15" customHeight="1">
      <c r="A147" t="inlineStr">
        <is>
          <t>A 33834-2019</t>
        </is>
      </c>
      <c r="B147" s="1" t="n">
        <v>43651</v>
      </c>
      <c r="C147" s="1" t="n">
        <v>45809</v>
      </c>
      <c r="D147" t="inlineStr">
        <is>
          <t>VÄSTERNORRLANDS LÄN</t>
        </is>
      </c>
      <c r="E147" t="inlineStr">
        <is>
          <t>TIMRÅ</t>
        </is>
      </c>
      <c r="G147" t="n">
        <v>4.5</v>
      </c>
      <c r="H147" t="n">
        <v>0</v>
      </c>
      <c r="I147" t="n">
        <v>0</v>
      </c>
      <c r="J147" t="n">
        <v>0</v>
      </c>
      <c r="K147" t="n">
        <v>0</v>
      </c>
      <c r="L147" t="n">
        <v>0</v>
      </c>
      <c r="M147" t="n">
        <v>0</v>
      </c>
      <c r="N147" t="n">
        <v>0</v>
      </c>
      <c r="O147" t="n">
        <v>0</v>
      </c>
      <c r="P147" t="n">
        <v>0</v>
      </c>
      <c r="Q147" t="n">
        <v>0</v>
      </c>
      <c r="R147" s="2" t="inlineStr"/>
    </row>
    <row r="148" ht="15" customHeight="1">
      <c r="A148" t="inlineStr">
        <is>
          <t>A 34106-2019</t>
        </is>
      </c>
      <c r="B148" s="1" t="n">
        <v>43654</v>
      </c>
      <c r="C148" s="1" t="n">
        <v>45809</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35877-2019</t>
        </is>
      </c>
      <c r="B149" s="1" t="n">
        <v>43665</v>
      </c>
      <c r="C149" s="1" t="n">
        <v>45809</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36176-2019</t>
        </is>
      </c>
      <c r="B150" s="1" t="n">
        <v>43668</v>
      </c>
      <c r="C150" s="1" t="n">
        <v>45809</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36806-2019</t>
        </is>
      </c>
      <c r="B151" s="1" t="n">
        <v>43672</v>
      </c>
      <c r="C151" s="1" t="n">
        <v>45809</v>
      </c>
      <c r="D151" t="inlineStr">
        <is>
          <t>VÄSTERNORRLANDS LÄN</t>
        </is>
      </c>
      <c r="E151" t="inlineStr">
        <is>
          <t>TIMRÅ</t>
        </is>
      </c>
      <c r="G151" t="n">
        <v>3.8</v>
      </c>
      <c r="H151" t="n">
        <v>0</v>
      </c>
      <c r="I151" t="n">
        <v>0</v>
      </c>
      <c r="J151" t="n">
        <v>0</v>
      </c>
      <c r="K151" t="n">
        <v>0</v>
      </c>
      <c r="L151" t="n">
        <v>0</v>
      </c>
      <c r="M151" t="n">
        <v>0</v>
      </c>
      <c r="N151" t="n">
        <v>0</v>
      </c>
      <c r="O151" t="n">
        <v>0</v>
      </c>
      <c r="P151" t="n">
        <v>0</v>
      </c>
      <c r="Q151" t="n">
        <v>0</v>
      </c>
      <c r="R151" s="2" t="inlineStr"/>
    </row>
    <row r="152" ht="15" customHeight="1">
      <c r="A152" t="inlineStr">
        <is>
          <t>A 40956-2019</t>
        </is>
      </c>
      <c r="B152" s="1" t="n">
        <v>43697</v>
      </c>
      <c r="C152" s="1" t="n">
        <v>45809</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43975-2019</t>
        </is>
      </c>
      <c r="B153" s="1" t="n">
        <v>43708</v>
      </c>
      <c r="C153" s="1" t="n">
        <v>45809</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44673-2019</t>
        </is>
      </c>
      <c r="B154" s="1" t="n">
        <v>43712</v>
      </c>
      <c r="C154" s="1" t="n">
        <v>45809</v>
      </c>
      <c r="D154" t="inlineStr">
        <is>
          <t>VÄSTERNORRLANDS LÄN</t>
        </is>
      </c>
      <c r="E154" t="inlineStr">
        <is>
          <t>TIMRÅ</t>
        </is>
      </c>
      <c r="G154" t="n">
        <v>1.8</v>
      </c>
      <c r="H154" t="n">
        <v>0</v>
      </c>
      <c r="I154" t="n">
        <v>0</v>
      </c>
      <c r="J154" t="n">
        <v>0</v>
      </c>
      <c r="K154" t="n">
        <v>0</v>
      </c>
      <c r="L154" t="n">
        <v>0</v>
      </c>
      <c r="M154" t="n">
        <v>0</v>
      </c>
      <c r="N154" t="n">
        <v>0</v>
      </c>
      <c r="O154" t="n">
        <v>0</v>
      </c>
      <c r="P154" t="n">
        <v>0</v>
      </c>
      <c r="Q154" t="n">
        <v>0</v>
      </c>
      <c r="R154" s="2" t="inlineStr"/>
    </row>
    <row r="155" ht="15" customHeight="1">
      <c r="A155" t="inlineStr">
        <is>
          <t>A 47656-2019</t>
        </is>
      </c>
      <c r="B155" s="1" t="n">
        <v>43724</v>
      </c>
      <c r="C155" s="1" t="n">
        <v>45809</v>
      </c>
      <c r="D155" t="inlineStr">
        <is>
          <t>VÄSTERNORRLANDS LÄN</t>
        </is>
      </c>
      <c r="E155" t="inlineStr">
        <is>
          <t>TIMRÅ</t>
        </is>
      </c>
      <c r="G155" t="n">
        <v>8</v>
      </c>
      <c r="H155" t="n">
        <v>0</v>
      </c>
      <c r="I155" t="n">
        <v>0</v>
      </c>
      <c r="J155" t="n">
        <v>0</v>
      </c>
      <c r="K155" t="n">
        <v>0</v>
      </c>
      <c r="L155" t="n">
        <v>0</v>
      </c>
      <c r="M155" t="n">
        <v>0</v>
      </c>
      <c r="N155" t="n">
        <v>0</v>
      </c>
      <c r="O155" t="n">
        <v>0</v>
      </c>
      <c r="P155" t="n">
        <v>0</v>
      </c>
      <c r="Q155" t="n">
        <v>0</v>
      </c>
      <c r="R155" s="2" t="inlineStr"/>
    </row>
    <row r="156" ht="15" customHeight="1">
      <c r="A156" t="inlineStr">
        <is>
          <t>A 48964-2019</t>
        </is>
      </c>
      <c r="B156" s="1" t="n">
        <v>43728</v>
      </c>
      <c r="C156" s="1" t="n">
        <v>45809</v>
      </c>
      <c r="D156" t="inlineStr">
        <is>
          <t>VÄSTERNORRLANDS LÄN</t>
        </is>
      </c>
      <c r="E156" t="inlineStr">
        <is>
          <t>TIMRÅ</t>
        </is>
      </c>
      <c r="G156" t="n">
        <v>7.8</v>
      </c>
      <c r="H156" t="n">
        <v>0</v>
      </c>
      <c r="I156" t="n">
        <v>0</v>
      </c>
      <c r="J156" t="n">
        <v>0</v>
      </c>
      <c r="K156" t="n">
        <v>0</v>
      </c>
      <c r="L156" t="n">
        <v>0</v>
      </c>
      <c r="M156" t="n">
        <v>0</v>
      </c>
      <c r="N156" t="n">
        <v>0</v>
      </c>
      <c r="O156" t="n">
        <v>0</v>
      </c>
      <c r="P156" t="n">
        <v>0</v>
      </c>
      <c r="Q156" t="n">
        <v>0</v>
      </c>
      <c r="R156" s="2" t="inlineStr"/>
    </row>
    <row r="157" ht="15" customHeight="1">
      <c r="A157" t="inlineStr">
        <is>
          <t>A 50604-2019</t>
        </is>
      </c>
      <c r="B157" s="1" t="n">
        <v>43735</v>
      </c>
      <c r="C157" s="1" t="n">
        <v>45809</v>
      </c>
      <c r="D157" t="inlineStr">
        <is>
          <t>VÄSTERNORRLANDS LÄN</t>
        </is>
      </c>
      <c r="E157" t="inlineStr">
        <is>
          <t>TIMRÅ</t>
        </is>
      </c>
      <c r="G157" t="n">
        <v>7.7</v>
      </c>
      <c r="H157" t="n">
        <v>0</v>
      </c>
      <c r="I157" t="n">
        <v>0</v>
      </c>
      <c r="J157" t="n">
        <v>0</v>
      </c>
      <c r="K157" t="n">
        <v>0</v>
      </c>
      <c r="L157" t="n">
        <v>0</v>
      </c>
      <c r="M157" t="n">
        <v>0</v>
      </c>
      <c r="N157" t="n">
        <v>0</v>
      </c>
      <c r="O157" t="n">
        <v>0</v>
      </c>
      <c r="P157" t="n">
        <v>0</v>
      </c>
      <c r="Q157" t="n">
        <v>0</v>
      </c>
      <c r="R157" s="2" t="inlineStr"/>
    </row>
    <row r="158" ht="15" customHeight="1">
      <c r="A158" t="inlineStr">
        <is>
          <t>A 51297-2019</t>
        </is>
      </c>
      <c r="B158" s="1" t="n">
        <v>43739</v>
      </c>
      <c r="C158" s="1" t="n">
        <v>45809</v>
      </c>
      <c r="D158" t="inlineStr">
        <is>
          <t>VÄSTERNORRLANDS LÄN</t>
        </is>
      </c>
      <c r="E158" t="inlineStr">
        <is>
          <t>TIMRÅ</t>
        </is>
      </c>
      <c r="G158" t="n">
        <v>2</v>
      </c>
      <c r="H158" t="n">
        <v>0</v>
      </c>
      <c r="I158" t="n">
        <v>0</v>
      </c>
      <c r="J158" t="n">
        <v>0</v>
      </c>
      <c r="K158" t="n">
        <v>0</v>
      </c>
      <c r="L158" t="n">
        <v>0</v>
      </c>
      <c r="M158" t="n">
        <v>0</v>
      </c>
      <c r="N158" t="n">
        <v>0</v>
      </c>
      <c r="O158" t="n">
        <v>0</v>
      </c>
      <c r="P158" t="n">
        <v>0</v>
      </c>
      <c r="Q158" t="n">
        <v>0</v>
      </c>
      <c r="R158" s="2" t="inlineStr"/>
    </row>
    <row r="159" ht="15" customHeight="1">
      <c r="A159" t="inlineStr">
        <is>
          <t>A 52869-2019</t>
        </is>
      </c>
      <c r="B159" s="1" t="n">
        <v>43739</v>
      </c>
      <c r="C159" s="1" t="n">
        <v>45809</v>
      </c>
      <c r="D159" t="inlineStr">
        <is>
          <t>VÄSTERNORRLANDS LÄN</t>
        </is>
      </c>
      <c r="E159" t="inlineStr">
        <is>
          <t>TIMRÅ</t>
        </is>
      </c>
      <c r="G159" t="n">
        <v>4</v>
      </c>
      <c r="H159" t="n">
        <v>0</v>
      </c>
      <c r="I159" t="n">
        <v>0</v>
      </c>
      <c r="J159" t="n">
        <v>0</v>
      </c>
      <c r="K159" t="n">
        <v>0</v>
      </c>
      <c r="L159" t="n">
        <v>0</v>
      </c>
      <c r="M159" t="n">
        <v>0</v>
      </c>
      <c r="N159" t="n">
        <v>0</v>
      </c>
      <c r="O159" t="n">
        <v>0</v>
      </c>
      <c r="P159" t="n">
        <v>0</v>
      </c>
      <c r="Q159" t="n">
        <v>0</v>
      </c>
      <c r="R159" s="2" t="inlineStr"/>
    </row>
    <row r="160" ht="15" customHeight="1">
      <c r="A160" t="inlineStr">
        <is>
          <t>A 51907-2019</t>
        </is>
      </c>
      <c r="B160" s="1" t="n">
        <v>43741</v>
      </c>
      <c r="C160" s="1" t="n">
        <v>45809</v>
      </c>
      <c r="D160" t="inlineStr">
        <is>
          <t>VÄSTERNORRLANDS LÄN</t>
        </is>
      </c>
      <c r="E160" t="inlineStr">
        <is>
          <t>TIMRÅ</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53162-2019</t>
        </is>
      </c>
      <c r="B161" s="1" t="n">
        <v>43747</v>
      </c>
      <c r="C161" s="1" t="n">
        <v>45809</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54072-2019</t>
        </is>
      </c>
      <c r="B162" s="1" t="n">
        <v>43752</v>
      </c>
      <c r="C162" s="1" t="n">
        <v>45809</v>
      </c>
      <c r="D162" t="inlineStr">
        <is>
          <t>VÄSTERNORRLANDS LÄN</t>
        </is>
      </c>
      <c r="E162" t="inlineStr">
        <is>
          <t>TIMRÅ</t>
        </is>
      </c>
      <c r="G162" t="n">
        <v>12.8</v>
      </c>
      <c r="H162" t="n">
        <v>0</v>
      </c>
      <c r="I162" t="n">
        <v>0</v>
      </c>
      <c r="J162" t="n">
        <v>0</v>
      </c>
      <c r="K162" t="n">
        <v>0</v>
      </c>
      <c r="L162" t="n">
        <v>0</v>
      </c>
      <c r="M162" t="n">
        <v>0</v>
      </c>
      <c r="N162" t="n">
        <v>0</v>
      </c>
      <c r="O162" t="n">
        <v>0</v>
      </c>
      <c r="P162" t="n">
        <v>0</v>
      </c>
      <c r="Q162" t="n">
        <v>0</v>
      </c>
      <c r="R162" s="2" t="inlineStr"/>
    </row>
    <row r="163" ht="15" customHeight="1">
      <c r="A163" t="inlineStr">
        <is>
          <t>A 54365-2019</t>
        </is>
      </c>
      <c r="B163" s="1" t="n">
        <v>43753</v>
      </c>
      <c r="C163" s="1" t="n">
        <v>45809</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56316-2019</t>
        </is>
      </c>
      <c r="B164" s="1" t="n">
        <v>43756</v>
      </c>
      <c r="C164" s="1" t="n">
        <v>45809</v>
      </c>
      <c r="D164" t="inlineStr">
        <is>
          <t>VÄSTERNORRLANDS LÄN</t>
        </is>
      </c>
      <c r="E164" t="inlineStr">
        <is>
          <t>TIMRÅ</t>
        </is>
      </c>
      <c r="G164" t="n">
        <v>2.6</v>
      </c>
      <c r="H164" t="n">
        <v>0</v>
      </c>
      <c r="I164" t="n">
        <v>0</v>
      </c>
      <c r="J164" t="n">
        <v>0</v>
      </c>
      <c r="K164" t="n">
        <v>0</v>
      </c>
      <c r="L164" t="n">
        <v>0</v>
      </c>
      <c r="M164" t="n">
        <v>0</v>
      </c>
      <c r="N164" t="n">
        <v>0</v>
      </c>
      <c r="O164" t="n">
        <v>0</v>
      </c>
      <c r="P164" t="n">
        <v>0</v>
      </c>
      <c r="Q164" t="n">
        <v>0</v>
      </c>
      <c r="R164" s="2" t="inlineStr"/>
    </row>
    <row r="165" ht="15" customHeight="1">
      <c r="A165" t="inlineStr">
        <is>
          <t>A 55809-2019</t>
        </is>
      </c>
      <c r="B165" s="1" t="n">
        <v>43759</v>
      </c>
      <c r="C165" s="1" t="n">
        <v>45809</v>
      </c>
      <c r="D165" t="inlineStr">
        <is>
          <t>VÄSTERNORRLANDS LÄN</t>
        </is>
      </c>
      <c r="E165" t="inlineStr">
        <is>
          <t>TIMRÅ</t>
        </is>
      </c>
      <c r="G165" t="n">
        <v>5.9</v>
      </c>
      <c r="H165" t="n">
        <v>0</v>
      </c>
      <c r="I165" t="n">
        <v>0</v>
      </c>
      <c r="J165" t="n">
        <v>0</v>
      </c>
      <c r="K165" t="n">
        <v>0</v>
      </c>
      <c r="L165" t="n">
        <v>0</v>
      </c>
      <c r="M165" t="n">
        <v>0</v>
      </c>
      <c r="N165" t="n">
        <v>0</v>
      </c>
      <c r="O165" t="n">
        <v>0</v>
      </c>
      <c r="P165" t="n">
        <v>0</v>
      </c>
      <c r="Q165" t="n">
        <v>0</v>
      </c>
      <c r="R165" s="2" t="inlineStr"/>
    </row>
    <row r="166" ht="15" customHeight="1">
      <c r="A166" t="inlineStr">
        <is>
          <t>A 56065-2019</t>
        </is>
      </c>
      <c r="B166" s="1" t="n">
        <v>43759</v>
      </c>
      <c r="C166" s="1" t="n">
        <v>45809</v>
      </c>
      <c r="D166" t="inlineStr">
        <is>
          <t>VÄSTERNORRLANDS LÄN</t>
        </is>
      </c>
      <c r="E166" t="inlineStr">
        <is>
          <t>TIMRÅ</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56178-2019</t>
        </is>
      </c>
      <c r="B167" s="1" t="n">
        <v>43761</v>
      </c>
      <c r="C167" s="1" t="n">
        <v>45809</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58711-2019</t>
        </is>
      </c>
      <c r="B168" s="1" t="n">
        <v>43768</v>
      </c>
      <c r="C168" s="1" t="n">
        <v>45809</v>
      </c>
      <c r="D168" t="inlineStr">
        <is>
          <t>VÄSTERNORRLANDS LÄN</t>
        </is>
      </c>
      <c r="E168" t="inlineStr">
        <is>
          <t>TIMRÅ</t>
        </is>
      </c>
      <c r="G168" t="n">
        <v>3.6</v>
      </c>
      <c r="H168" t="n">
        <v>0</v>
      </c>
      <c r="I168" t="n">
        <v>0</v>
      </c>
      <c r="J168" t="n">
        <v>0</v>
      </c>
      <c r="K168" t="n">
        <v>0</v>
      </c>
      <c r="L168" t="n">
        <v>0</v>
      </c>
      <c r="M168" t="n">
        <v>0</v>
      </c>
      <c r="N168" t="n">
        <v>0</v>
      </c>
      <c r="O168" t="n">
        <v>0</v>
      </c>
      <c r="P168" t="n">
        <v>0</v>
      </c>
      <c r="Q168" t="n">
        <v>0</v>
      </c>
      <c r="R168" s="2" t="inlineStr"/>
    </row>
    <row r="169" ht="15" customHeight="1">
      <c r="A169" t="inlineStr">
        <is>
          <t>A 58867-2019</t>
        </is>
      </c>
      <c r="B169" s="1" t="n">
        <v>43774</v>
      </c>
      <c r="C169" s="1" t="n">
        <v>45809</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60849-2019</t>
        </is>
      </c>
      <c r="B170" s="1" t="n">
        <v>43781</v>
      </c>
      <c r="C170" s="1" t="n">
        <v>45809</v>
      </c>
      <c r="D170" t="inlineStr">
        <is>
          <t>VÄSTERNORRLANDS LÄN</t>
        </is>
      </c>
      <c r="E170" t="inlineStr">
        <is>
          <t>TIMRÅ</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62282-2019</t>
        </is>
      </c>
      <c r="B171" s="1" t="n">
        <v>43782</v>
      </c>
      <c r="C171" s="1" t="n">
        <v>45809</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63685-2019</t>
        </is>
      </c>
      <c r="B172" s="1" t="n">
        <v>43788</v>
      </c>
      <c r="C172" s="1" t="n">
        <v>45809</v>
      </c>
      <c r="D172" t="inlineStr">
        <is>
          <t>VÄSTERNORRLANDS LÄN</t>
        </is>
      </c>
      <c r="E172" t="inlineStr">
        <is>
          <t>TIMRÅ</t>
        </is>
      </c>
      <c r="G172" t="n">
        <v>1.9</v>
      </c>
      <c r="H172" t="n">
        <v>0</v>
      </c>
      <c r="I172" t="n">
        <v>0</v>
      </c>
      <c r="J172" t="n">
        <v>0</v>
      </c>
      <c r="K172" t="n">
        <v>0</v>
      </c>
      <c r="L172" t="n">
        <v>0</v>
      </c>
      <c r="M172" t="n">
        <v>0</v>
      </c>
      <c r="N172" t="n">
        <v>0</v>
      </c>
      <c r="O172" t="n">
        <v>0</v>
      </c>
      <c r="P172" t="n">
        <v>0</v>
      </c>
      <c r="Q172" t="n">
        <v>0</v>
      </c>
      <c r="R172" s="2" t="inlineStr"/>
    </row>
    <row r="173" ht="15" customHeight="1">
      <c r="A173" t="inlineStr">
        <is>
          <t>A 63836-2019</t>
        </is>
      </c>
      <c r="B173" s="1" t="n">
        <v>43795</v>
      </c>
      <c r="C173" s="1" t="n">
        <v>45809</v>
      </c>
      <c r="D173" t="inlineStr">
        <is>
          <t>VÄSTERNORRLANDS LÄN</t>
        </is>
      </c>
      <c r="E173" t="inlineStr">
        <is>
          <t>TIMRÅ</t>
        </is>
      </c>
      <c r="F173" t="inlineStr">
        <is>
          <t>Kyrkan</t>
        </is>
      </c>
      <c r="G173" t="n">
        <v>4.9</v>
      </c>
      <c r="H173" t="n">
        <v>0</v>
      </c>
      <c r="I173" t="n">
        <v>0</v>
      </c>
      <c r="J173" t="n">
        <v>0</v>
      </c>
      <c r="K173" t="n">
        <v>0</v>
      </c>
      <c r="L173" t="n">
        <v>0</v>
      </c>
      <c r="M173" t="n">
        <v>0</v>
      </c>
      <c r="N173" t="n">
        <v>0</v>
      </c>
      <c r="O173" t="n">
        <v>0</v>
      </c>
      <c r="P173" t="n">
        <v>0</v>
      </c>
      <c r="Q173" t="n">
        <v>0</v>
      </c>
      <c r="R173" s="2" t="inlineStr"/>
    </row>
    <row r="174" ht="15" customHeight="1">
      <c r="A174" t="inlineStr">
        <is>
          <t>A 65954-2019</t>
        </is>
      </c>
      <c r="B174" s="1" t="n">
        <v>43801</v>
      </c>
      <c r="C174" s="1" t="n">
        <v>45809</v>
      </c>
      <c r="D174" t="inlineStr">
        <is>
          <t>VÄSTERNORRLANDS LÄN</t>
        </is>
      </c>
      <c r="E174" t="inlineStr">
        <is>
          <t>TIMRÅ</t>
        </is>
      </c>
      <c r="G174" t="n">
        <v>9.1</v>
      </c>
      <c r="H174" t="n">
        <v>0</v>
      </c>
      <c r="I174" t="n">
        <v>0</v>
      </c>
      <c r="J174" t="n">
        <v>0</v>
      </c>
      <c r="K174" t="n">
        <v>0</v>
      </c>
      <c r="L174" t="n">
        <v>0</v>
      </c>
      <c r="M174" t="n">
        <v>0</v>
      </c>
      <c r="N174" t="n">
        <v>0</v>
      </c>
      <c r="O174" t="n">
        <v>0</v>
      </c>
      <c r="P174" t="n">
        <v>0</v>
      </c>
      <c r="Q174" t="n">
        <v>0</v>
      </c>
      <c r="R174" s="2" t="inlineStr"/>
    </row>
    <row r="175" ht="15" customHeight="1">
      <c r="A175" t="inlineStr">
        <is>
          <t>A 65367-2019</t>
        </is>
      </c>
      <c r="B175" s="1" t="n">
        <v>43803</v>
      </c>
      <c r="C175" s="1" t="n">
        <v>45809</v>
      </c>
      <c r="D175" t="inlineStr">
        <is>
          <t>VÄSTERNORRLANDS LÄN</t>
        </is>
      </c>
      <c r="E175" t="inlineStr">
        <is>
          <t>TIMRÅ</t>
        </is>
      </c>
      <c r="G175" t="n">
        <v>1.7</v>
      </c>
      <c r="H175" t="n">
        <v>0</v>
      </c>
      <c r="I175" t="n">
        <v>0</v>
      </c>
      <c r="J175" t="n">
        <v>0</v>
      </c>
      <c r="K175" t="n">
        <v>0</v>
      </c>
      <c r="L175" t="n">
        <v>0</v>
      </c>
      <c r="M175" t="n">
        <v>0</v>
      </c>
      <c r="N175" t="n">
        <v>0</v>
      </c>
      <c r="O175" t="n">
        <v>0</v>
      </c>
      <c r="P175" t="n">
        <v>0</v>
      </c>
      <c r="Q175" t="n">
        <v>0</v>
      </c>
      <c r="R175" s="2" t="inlineStr"/>
    </row>
    <row r="176" ht="15" customHeight="1">
      <c r="A176" t="inlineStr">
        <is>
          <t>A 66385-2019</t>
        </is>
      </c>
      <c r="B176" s="1" t="n">
        <v>43808</v>
      </c>
      <c r="C176" s="1" t="n">
        <v>45809</v>
      </c>
      <c r="D176" t="inlineStr">
        <is>
          <t>VÄSTERNORRLANDS LÄN</t>
        </is>
      </c>
      <c r="E176" t="inlineStr">
        <is>
          <t>TIMRÅ</t>
        </is>
      </c>
      <c r="G176" t="n">
        <v>1.5</v>
      </c>
      <c r="H176" t="n">
        <v>0</v>
      </c>
      <c r="I176" t="n">
        <v>0</v>
      </c>
      <c r="J176" t="n">
        <v>0</v>
      </c>
      <c r="K176" t="n">
        <v>0</v>
      </c>
      <c r="L176" t="n">
        <v>0</v>
      </c>
      <c r="M176" t="n">
        <v>0</v>
      </c>
      <c r="N176" t="n">
        <v>0</v>
      </c>
      <c r="O176" t="n">
        <v>0</v>
      </c>
      <c r="P176" t="n">
        <v>0</v>
      </c>
      <c r="Q176" t="n">
        <v>0</v>
      </c>
      <c r="R176" s="2" t="inlineStr"/>
    </row>
    <row r="177" ht="15" customHeight="1">
      <c r="A177" t="inlineStr">
        <is>
          <t>A 66415-2019</t>
        </is>
      </c>
      <c r="B177" s="1" t="n">
        <v>43808</v>
      </c>
      <c r="C177" s="1" t="n">
        <v>45809</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66387-2019</t>
        </is>
      </c>
      <c r="B178" s="1" t="n">
        <v>43808</v>
      </c>
      <c r="C178" s="1" t="n">
        <v>45809</v>
      </c>
      <c r="D178" t="inlineStr">
        <is>
          <t>VÄSTERNORRLANDS LÄN</t>
        </is>
      </c>
      <c r="E178" t="inlineStr">
        <is>
          <t>TIMRÅ</t>
        </is>
      </c>
      <c r="G178" t="n">
        <v>0.5</v>
      </c>
      <c r="H178" t="n">
        <v>0</v>
      </c>
      <c r="I178" t="n">
        <v>0</v>
      </c>
      <c r="J178" t="n">
        <v>0</v>
      </c>
      <c r="K178" t="n">
        <v>0</v>
      </c>
      <c r="L178" t="n">
        <v>0</v>
      </c>
      <c r="M178" t="n">
        <v>0</v>
      </c>
      <c r="N178" t="n">
        <v>0</v>
      </c>
      <c r="O178" t="n">
        <v>0</v>
      </c>
      <c r="P178" t="n">
        <v>0</v>
      </c>
      <c r="Q178" t="n">
        <v>0</v>
      </c>
      <c r="R178" s="2" t="inlineStr"/>
    </row>
    <row r="179" ht="15" customHeight="1">
      <c r="A179" t="inlineStr">
        <is>
          <t>A 67825-2019</t>
        </is>
      </c>
      <c r="B179" s="1" t="n">
        <v>43815</v>
      </c>
      <c r="C179" s="1" t="n">
        <v>45809</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1298-2020</t>
        </is>
      </c>
      <c r="B180" s="1" t="n">
        <v>43842</v>
      </c>
      <c r="C180" s="1" t="n">
        <v>45809</v>
      </c>
      <c r="D180" t="inlineStr">
        <is>
          <t>VÄSTERNORRLANDS LÄN</t>
        </is>
      </c>
      <c r="E180" t="inlineStr">
        <is>
          <t>TIMRÅ</t>
        </is>
      </c>
      <c r="G180" t="n">
        <v>10.8</v>
      </c>
      <c r="H180" t="n">
        <v>0</v>
      </c>
      <c r="I180" t="n">
        <v>0</v>
      </c>
      <c r="J180" t="n">
        <v>0</v>
      </c>
      <c r="K180" t="n">
        <v>0</v>
      </c>
      <c r="L180" t="n">
        <v>0</v>
      </c>
      <c r="M180" t="n">
        <v>0</v>
      </c>
      <c r="N180" t="n">
        <v>0</v>
      </c>
      <c r="O180" t="n">
        <v>0</v>
      </c>
      <c r="P180" t="n">
        <v>0</v>
      </c>
      <c r="Q180" t="n">
        <v>0</v>
      </c>
      <c r="R180" s="2" t="inlineStr"/>
    </row>
    <row r="181" ht="15" customHeight="1">
      <c r="A181" t="inlineStr">
        <is>
          <t>A 3007-2020</t>
        </is>
      </c>
      <c r="B181" s="1" t="n">
        <v>43850</v>
      </c>
      <c r="C181" s="1" t="n">
        <v>45809</v>
      </c>
      <c r="D181" t="inlineStr">
        <is>
          <t>VÄSTERNORRLANDS LÄN</t>
        </is>
      </c>
      <c r="E181" t="inlineStr">
        <is>
          <t>TIMRÅ</t>
        </is>
      </c>
      <c r="G181" t="n">
        <v>1</v>
      </c>
      <c r="H181" t="n">
        <v>0</v>
      </c>
      <c r="I181" t="n">
        <v>0</v>
      </c>
      <c r="J181" t="n">
        <v>0</v>
      </c>
      <c r="K181" t="n">
        <v>0</v>
      </c>
      <c r="L181" t="n">
        <v>0</v>
      </c>
      <c r="M181" t="n">
        <v>0</v>
      </c>
      <c r="N181" t="n">
        <v>0</v>
      </c>
      <c r="O181" t="n">
        <v>0</v>
      </c>
      <c r="P181" t="n">
        <v>0</v>
      </c>
      <c r="Q181" t="n">
        <v>0</v>
      </c>
      <c r="R181" s="2" t="inlineStr"/>
    </row>
    <row r="182" ht="15" customHeight="1">
      <c r="A182" t="inlineStr">
        <is>
          <t>A 3006-2020</t>
        </is>
      </c>
      <c r="B182" s="1" t="n">
        <v>43850</v>
      </c>
      <c r="C182" s="1" t="n">
        <v>45809</v>
      </c>
      <c r="D182" t="inlineStr">
        <is>
          <t>VÄSTERNORRLANDS LÄN</t>
        </is>
      </c>
      <c r="E182" t="inlineStr">
        <is>
          <t>TIMRÅ</t>
        </is>
      </c>
      <c r="G182" t="n">
        <v>1.3</v>
      </c>
      <c r="H182" t="n">
        <v>0</v>
      </c>
      <c r="I182" t="n">
        <v>0</v>
      </c>
      <c r="J182" t="n">
        <v>0</v>
      </c>
      <c r="K182" t="n">
        <v>0</v>
      </c>
      <c r="L182" t="n">
        <v>0</v>
      </c>
      <c r="M182" t="n">
        <v>0</v>
      </c>
      <c r="N182" t="n">
        <v>0</v>
      </c>
      <c r="O182" t="n">
        <v>0</v>
      </c>
      <c r="P182" t="n">
        <v>0</v>
      </c>
      <c r="Q182" t="n">
        <v>0</v>
      </c>
      <c r="R182" s="2" t="inlineStr"/>
    </row>
    <row r="183" ht="15" customHeight="1">
      <c r="A183" t="inlineStr">
        <is>
          <t>A 3010-2020</t>
        </is>
      </c>
      <c r="B183" s="1" t="n">
        <v>43850</v>
      </c>
      <c r="C183" s="1" t="n">
        <v>45809</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3030-2020</t>
        </is>
      </c>
      <c r="B184" s="1" t="n">
        <v>43851</v>
      </c>
      <c r="C184" s="1" t="n">
        <v>45809</v>
      </c>
      <c r="D184" t="inlineStr">
        <is>
          <t>VÄSTERNORRLANDS LÄN</t>
        </is>
      </c>
      <c r="E184" t="inlineStr">
        <is>
          <t>TIMRÅ</t>
        </is>
      </c>
      <c r="F184" t="inlineStr">
        <is>
          <t>Kyrkan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3285-2020</t>
        </is>
      </c>
      <c r="B185" s="1" t="n">
        <v>43852</v>
      </c>
      <c r="C185" s="1" t="n">
        <v>45809</v>
      </c>
      <c r="D185" t="inlineStr">
        <is>
          <t>VÄSTERNORRLANDS LÄN</t>
        </is>
      </c>
      <c r="E185" t="inlineStr">
        <is>
          <t>TIMRÅ</t>
        </is>
      </c>
      <c r="G185" t="n">
        <v>0.6</v>
      </c>
      <c r="H185" t="n">
        <v>0</v>
      </c>
      <c r="I185" t="n">
        <v>0</v>
      </c>
      <c r="J185" t="n">
        <v>0</v>
      </c>
      <c r="K185" t="n">
        <v>0</v>
      </c>
      <c r="L185" t="n">
        <v>0</v>
      </c>
      <c r="M185" t="n">
        <v>0</v>
      </c>
      <c r="N185" t="n">
        <v>0</v>
      </c>
      <c r="O185" t="n">
        <v>0</v>
      </c>
      <c r="P185" t="n">
        <v>0</v>
      </c>
      <c r="Q185" t="n">
        <v>0</v>
      </c>
      <c r="R185" s="2" t="inlineStr"/>
    </row>
    <row r="186" ht="15" customHeight="1">
      <c r="A186" t="inlineStr">
        <is>
          <t>A 3283-2020</t>
        </is>
      </c>
      <c r="B186" s="1" t="n">
        <v>43852</v>
      </c>
      <c r="C186" s="1" t="n">
        <v>45809</v>
      </c>
      <c r="D186" t="inlineStr">
        <is>
          <t>VÄSTERNORRLANDS LÄN</t>
        </is>
      </c>
      <c r="E186" t="inlineStr">
        <is>
          <t>TIMRÅ</t>
        </is>
      </c>
      <c r="G186" t="n">
        <v>3</v>
      </c>
      <c r="H186" t="n">
        <v>0</v>
      </c>
      <c r="I186" t="n">
        <v>0</v>
      </c>
      <c r="J186" t="n">
        <v>0</v>
      </c>
      <c r="K186" t="n">
        <v>0</v>
      </c>
      <c r="L186" t="n">
        <v>0</v>
      </c>
      <c r="M186" t="n">
        <v>0</v>
      </c>
      <c r="N186" t="n">
        <v>0</v>
      </c>
      <c r="O186" t="n">
        <v>0</v>
      </c>
      <c r="P186" t="n">
        <v>0</v>
      </c>
      <c r="Q186" t="n">
        <v>0</v>
      </c>
      <c r="R186" s="2" t="inlineStr"/>
    </row>
    <row r="187" ht="15" customHeight="1">
      <c r="A187" t="inlineStr">
        <is>
          <t>A 7134-2020</t>
        </is>
      </c>
      <c r="B187" s="1" t="n">
        <v>43868</v>
      </c>
      <c r="C187" s="1" t="n">
        <v>45809</v>
      </c>
      <c r="D187" t="inlineStr">
        <is>
          <t>VÄSTERNORRLANDS LÄN</t>
        </is>
      </c>
      <c r="E187" t="inlineStr">
        <is>
          <t>TIMRÅ</t>
        </is>
      </c>
      <c r="F187" t="inlineStr">
        <is>
          <t>SCA</t>
        </is>
      </c>
      <c r="G187" t="n">
        <v>25.8</v>
      </c>
      <c r="H187" t="n">
        <v>0</v>
      </c>
      <c r="I187" t="n">
        <v>0</v>
      </c>
      <c r="J187" t="n">
        <v>0</v>
      </c>
      <c r="K187" t="n">
        <v>0</v>
      </c>
      <c r="L187" t="n">
        <v>0</v>
      </c>
      <c r="M187" t="n">
        <v>0</v>
      </c>
      <c r="N187" t="n">
        <v>0</v>
      </c>
      <c r="O187" t="n">
        <v>0</v>
      </c>
      <c r="P187" t="n">
        <v>0</v>
      </c>
      <c r="Q187" t="n">
        <v>0</v>
      </c>
      <c r="R187" s="2" t="inlineStr"/>
    </row>
    <row r="188" ht="15" customHeight="1">
      <c r="A188" t="inlineStr">
        <is>
          <t>A 8279-2020</t>
        </is>
      </c>
      <c r="B188" s="1" t="n">
        <v>43874</v>
      </c>
      <c r="C188" s="1" t="n">
        <v>45809</v>
      </c>
      <c r="D188" t="inlineStr">
        <is>
          <t>VÄSTERNORRLANDS LÄN</t>
        </is>
      </c>
      <c r="E188" t="inlineStr">
        <is>
          <t>TIMRÅ</t>
        </is>
      </c>
      <c r="G188" t="n">
        <v>10.9</v>
      </c>
      <c r="H188" t="n">
        <v>0</v>
      </c>
      <c r="I188" t="n">
        <v>0</v>
      </c>
      <c r="J188" t="n">
        <v>0</v>
      </c>
      <c r="K188" t="n">
        <v>0</v>
      </c>
      <c r="L188" t="n">
        <v>0</v>
      </c>
      <c r="M188" t="n">
        <v>0</v>
      </c>
      <c r="N188" t="n">
        <v>0</v>
      </c>
      <c r="O188" t="n">
        <v>0</v>
      </c>
      <c r="P188" t="n">
        <v>0</v>
      </c>
      <c r="Q188" t="n">
        <v>0</v>
      </c>
      <c r="R188" s="2" t="inlineStr"/>
    </row>
    <row r="189" ht="15" customHeight="1">
      <c r="A189" t="inlineStr">
        <is>
          <t>A 9029-2020</t>
        </is>
      </c>
      <c r="B189" s="1" t="n">
        <v>43879</v>
      </c>
      <c r="C189" s="1" t="n">
        <v>45809</v>
      </c>
      <c r="D189" t="inlineStr">
        <is>
          <t>VÄSTERNORRLANDS LÄN</t>
        </is>
      </c>
      <c r="E189" t="inlineStr">
        <is>
          <t>TIMRÅ</t>
        </is>
      </c>
      <c r="G189" t="n">
        <v>6.3</v>
      </c>
      <c r="H189" t="n">
        <v>0</v>
      </c>
      <c r="I189" t="n">
        <v>0</v>
      </c>
      <c r="J189" t="n">
        <v>0</v>
      </c>
      <c r="K189" t="n">
        <v>0</v>
      </c>
      <c r="L189" t="n">
        <v>0</v>
      </c>
      <c r="M189" t="n">
        <v>0</v>
      </c>
      <c r="N189" t="n">
        <v>0</v>
      </c>
      <c r="O189" t="n">
        <v>0</v>
      </c>
      <c r="P189" t="n">
        <v>0</v>
      </c>
      <c r="Q189" t="n">
        <v>0</v>
      </c>
      <c r="R189" s="2" t="inlineStr"/>
    </row>
    <row r="190" ht="15" customHeight="1">
      <c r="A190" t="inlineStr">
        <is>
          <t>A 9097-2020</t>
        </is>
      </c>
      <c r="B190" s="1" t="n">
        <v>43879</v>
      </c>
      <c r="C190" s="1" t="n">
        <v>45809</v>
      </c>
      <c r="D190" t="inlineStr">
        <is>
          <t>VÄSTERNORRLANDS LÄN</t>
        </is>
      </c>
      <c r="E190" t="inlineStr">
        <is>
          <t>TIMRÅ</t>
        </is>
      </c>
      <c r="G190" t="n">
        <v>7.4</v>
      </c>
      <c r="H190" t="n">
        <v>0</v>
      </c>
      <c r="I190" t="n">
        <v>0</v>
      </c>
      <c r="J190" t="n">
        <v>0</v>
      </c>
      <c r="K190" t="n">
        <v>0</v>
      </c>
      <c r="L190" t="n">
        <v>0</v>
      </c>
      <c r="M190" t="n">
        <v>0</v>
      </c>
      <c r="N190" t="n">
        <v>0</v>
      </c>
      <c r="O190" t="n">
        <v>0</v>
      </c>
      <c r="P190" t="n">
        <v>0</v>
      </c>
      <c r="Q190" t="n">
        <v>0</v>
      </c>
      <c r="R190" s="2" t="inlineStr"/>
    </row>
    <row r="191" ht="15" customHeight="1">
      <c r="A191" t="inlineStr">
        <is>
          <t>A 10377-2020</t>
        </is>
      </c>
      <c r="B191" s="1" t="n">
        <v>43885</v>
      </c>
      <c r="C191" s="1" t="n">
        <v>45809</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13782-2020</t>
        </is>
      </c>
      <c r="B192" s="1" t="n">
        <v>43903</v>
      </c>
      <c r="C192" s="1" t="n">
        <v>45809</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15631-2020</t>
        </is>
      </c>
      <c r="B193" s="1" t="n">
        <v>43914</v>
      </c>
      <c r="C193" s="1" t="n">
        <v>45809</v>
      </c>
      <c r="D193" t="inlineStr">
        <is>
          <t>VÄSTERNORRLANDS LÄN</t>
        </is>
      </c>
      <c r="E193" t="inlineStr">
        <is>
          <t>TIMRÅ</t>
        </is>
      </c>
      <c r="G193" t="n">
        <v>1.1</v>
      </c>
      <c r="H193" t="n">
        <v>0</v>
      </c>
      <c r="I193" t="n">
        <v>0</v>
      </c>
      <c r="J193" t="n">
        <v>0</v>
      </c>
      <c r="K193" t="n">
        <v>0</v>
      </c>
      <c r="L193" t="n">
        <v>0</v>
      </c>
      <c r="M193" t="n">
        <v>0</v>
      </c>
      <c r="N193" t="n">
        <v>0</v>
      </c>
      <c r="O193" t="n">
        <v>0</v>
      </c>
      <c r="P193" t="n">
        <v>0</v>
      </c>
      <c r="Q193" t="n">
        <v>0</v>
      </c>
      <c r="R193" s="2" t="inlineStr"/>
    </row>
    <row r="194" ht="15" customHeight="1">
      <c r="A194" t="inlineStr">
        <is>
          <t>A 17822-2020</t>
        </is>
      </c>
      <c r="B194" s="1" t="n">
        <v>43924</v>
      </c>
      <c r="C194" s="1" t="n">
        <v>45809</v>
      </c>
      <c r="D194" t="inlineStr">
        <is>
          <t>VÄSTERNORRLANDS LÄN</t>
        </is>
      </c>
      <c r="E194" t="inlineStr">
        <is>
          <t>TIMRÅ</t>
        </is>
      </c>
      <c r="G194" t="n">
        <v>0.2</v>
      </c>
      <c r="H194" t="n">
        <v>0</v>
      </c>
      <c r="I194" t="n">
        <v>0</v>
      </c>
      <c r="J194" t="n">
        <v>0</v>
      </c>
      <c r="K194" t="n">
        <v>0</v>
      </c>
      <c r="L194" t="n">
        <v>0</v>
      </c>
      <c r="M194" t="n">
        <v>0</v>
      </c>
      <c r="N194" t="n">
        <v>0</v>
      </c>
      <c r="O194" t="n">
        <v>0</v>
      </c>
      <c r="P194" t="n">
        <v>0</v>
      </c>
      <c r="Q194" t="n">
        <v>0</v>
      </c>
      <c r="R194" s="2" t="inlineStr"/>
    </row>
    <row r="195" ht="15" customHeight="1">
      <c r="A195" t="inlineStr">
        <is>
          <t>A 18107-2020</t>
        </is>
      </c>
      <c r="B195" s="1" t="n">
        <v>43927</v>
      </c>
      <c r="C195" s="1" t="n">
        <v>45809</v>
      </c>
      <c r="D195" t="inlineStr">
        <is>
          <t>VÄSTERNORRLANDS LÄN</t>
        </is>
      </c>
      <c r="E195" t="inlineStr">
        <is>
          <t>TIMRÅ</t>
        </is>
      </c>
      <c r="G195" t="n">
        <v>0.9</v>
      </c>
      <c r="H195" t="n">
        <v>0</v>
      </c>
      <c r="I195" t="n">
        <v>0</v>
      </c>
      <c r="J195" t="n">
        <v>0</v>
      </c>
      <c r="K195" t="n">
        <v>0</v>
      </c>
      <c r="L195" t="n">
        <v>0</v>
      </c>
      <c r="M195" t="n">
        <v>0</v>
      </c>
      <c r="N195" t="n">
        <v>0</v>
      </c>
      <c r="O195" t="n">
        <v>0</v>
      </c>
      <c r="P195" t="n">
        <v>0</v>
      </c>
      <c r="Q195" t="n">
        <v>0</v>
      </c>
      <c r="R195" s="2" t="inlineStr"/>
    </row>
    <row r="196" ht="15" customHeight="1">
      <c r="A196" t="inlineStr">
        <is>
          <t>A 18211-2020</t>
        </is>
      </c>
      <c r="B196" s="1" t="n">
        <v>43927</v>
      </c>
      <c r="C196" s="1" t="n">
        <v>45809</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18208-2020</t>
        </is>
      </c>
      <c r="B197" s="1" t="n">
        <v>43927</v>
      </c>
      <c r="C197" s="1" t="n">
        <v>45809</v>
      </c>
      <c r="D197" t="inlineStr">
        <is>
          <t>VÄSTERNORRLANDS LÄN</t>
        </is>
      </c>
      <c r="E197" t="inlineStr">
        <is>
          <t>TIMRÅ</t>
        </is>
      </c>
      <c r="G197" t="n">
        <v>8.9</v>
      </c>
      <c r="H197" t="n">
        <v>0</v>
      </c>
      <c r="I197" t="n">
        <v>0</v>
      </c>
      <c r="J197" t="n">
        <v>0</v>
      </c>
      <c r="K197" t="n">
        <v>0</v>
      </c>
      <c r="L197" t="n">
        <v>0</v>
      </c>
      <c r="M197" t="n">
        <v>0</v>
      </c>
      <c r="N197" t="n">
        <v>0</v>
      </c>
      <c r="O197" t="n">
        <v>0</v>
      </c>
      <c r="P197" t="n">
        <v>0</v>
      </c>
      <c r="Q197" t="n">
        <v>0</v>
      </c>
      <c r="R197" s="2" t="inlineStr"/>
    </row>
    <row r="198" ht="15" customHeight="1">
      <c r="A198" t="inlineStr">
        <is>
          <t>A 19769-2020</t>
        </is>
      </c>
      <c r="B198" s="1" t="n">
        <v>43937</v>
      </c>
      <c r="C198" s="1" t="n">
        <v>45809</v>
      </c>
      <c r="D198" t="inlineStr">
        <is>
          <t>VÄSTERNORRLANDS LÄN</t>
        </is>
      </c>
      <c r="E198" t="inlineStr">
        <is>
          <t>TIMRÅ</t>
        </is>
      </c>
      <c r="G198" t="n">
        <v>2.1</v>
      </c>
      <c r="H198" t="n">
        <v>0</v>
      </c>
      <c r="I198" t="n">
        <v>0</v>
      </c>
      <c r="J198" t="n">
        <v>0</v>
      </c>
      <c r="K198" t="n">
        <v>0</v>
      </c>
      <c r="L198" t="n">
        <v>0</v>
      </c>
      <c r="M198" t="n">
        <v>0</v>
      </c>
      <c r="N198" t="n">
        <v>0</v>
      </c>
      <c r="O198" t="n">
        <v>0</v>
      </c>
      <c r="P198" t="n">
        <v>0</v>
      </c>
      <c r="Q198" t="n">
        <v>0</v>
      </c>
      <c r="R198" s="2" t="inlineStr"/>
    </row>
    <row r="199" ht="15" customHeight="1">
      <c r="A199" t="inlineStr">
        <is>
          <t>A 19792-2020</t>
        </is>
      </c>
      <c r="B199" s="1" t="n">
        <v>43937</v>
      </c>
      <c r="C199" s="1" t="n">
        <v>45809</v>
      </c>
      <c r="D199" t="inlineStr">
        <is>
          <t>VÄSTERNORRLANDS LÄN</t>
        </is>
      </c>
      <c r="E199" t="inlineStr">
        <is>
          <t>TIMRÅ</t>
        </is>
      </c>
      <c r="G199" t="n">
        <v>1.2</v>
      </c>
      <c r="H199" t="n">
        <v>0</v>
      </c>
      <c r="I199" t="n">
        <v>0</v>
      </c>
      <c r="J199" t="n">
        <v>0</v>
      </c>
      <c r="K199" t="n">
        <v>0</v>
      </c>
      <c r="L199" t="n">
        <v>0</v>
      </c>
      <c r="M199" t="n">
        <v>0</v>
      </c>
      <c r="N199" t="n">
        <v>0</v>
      </c>
      <c r="O199" t="n">
        <v>0</v>
      </c>
      <c r="P199" t="n">
        <v>0</v>
      </c>
      <c r="Q199" t="n">
        <v>0</v>
      </c>
      <c r="R199" s="2" t="inlineStr"/>
    </row>
    <row r="200" ht="15" customHeight="1">
      <c r="A200" t="inlineStr">
        <is>
          <t>A 19311-2020</t>
        </is>
      </c>
      <c r="B200" s="1" t="n">
        <v>43937</v>
      </c>
      <c r="C200" s="1" t="n">
        <v>45809</v>
      </c>
      <c r="D200" t="inlineStr">
        <is>
          <t>VÄSTERNORRLANDS LÄN</t>
        </is>
      </c>
      <c r="E200" t="inlineStr">
        <is>
          <t>TIMRÅ</t>
        </is>
      </c>
      <c r="G200" t="n">
        <v>1.5</v>
      </c>
      <c r="H200" t="n">
        <v>0</v>
      </c>
      <c r="I200" t="n">
        <v>0</v>
      </c>
      <c r="J200" t="n">
        <v>0</v>
      </c>
      <c r="K200" t="n">
        <v>0</v>
      </c>
      <c r="L200" t="n">
        <v>0</v>
      </c>
      <c r="M200" t="n">
        <v>0</v>
      </c>
      <c r="N200" t="n">
        <v>0</v>
      </c>
      <c r="O200" t="n">
        <v>0</v>
      </c>
      <c r="P200" t="n">
        <v>0</v>
      </c>
      <c r="Q200" t="n">
        <v>0</v>
      </c>
      <c r="R200" s="2" t="inlineStr"/>
    </row>
    <row r="201" ht="15" customHeight="1">
      <c r="A201" t="inlineStr">
        <is>
          <t>A 19764-2020</t>
        </is>
      </c>
      <c r="B201" s="1" t="n">
        <v>43937</v>
      </c>
      <c r="C201" s="1" t="n">
        <v>45809</v>
      </c>
      <c r="D201" t="inlineStr">
        <is>
          <t>VÄSTERNORRLANDS LÄN</t>
        </is>
      </c>
      <c r="E201" t="inlineStr">
        <is>
          <t>TIMRÅ</t>
        </is>
      </c>
      <c r="G201" t="n">
        <v>3.1</v>
      </c>
      <c r="H201" t="n">
        <v>0</v>
      </c>
      <c r="I201" t="n">
        <v>0</v>
      </c>
      <c r="J201" t="n">
        <v>0</v>
      </c>
      <c r="K201" t="n">
        <v>0</v>
      </c>
      <c r="L201" t="n">
        <v>0</v>
      </c>
      <c r="M201" t="n">
        <v>0</v>
      </c>
      <c r="N201" t="n">
        <v>0</v>
      </c>
      <c r="O201" t="n">
        <v>0</v>
      </c>
      <c r="P201" t="n">
        <v>0</v>
      </c>
      <c r="Q201" t="n">
        <v>0</v>
      </c>
      <c r="R201" s="2" t="inlineStr"/>
    </row>
    <row r="202" ht="15" customHeight="1">
      <c r="A202" t="inlineStr">
        <is>
          <t>A 19785-2020</t>
        </is>
      </c>
      <c r="B202" s="1" t="n">
        <v>43937</v>
      </c>
      <c r="C202" s="1" t="n">
        <v>45809</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19796-2020</t>
        </is>
      </c>
      <c r="B203" s="1" t="n">
        <v>43937</v>
      </c>
      <c r="C203" s="1" t="n">
        <v>45809</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19809-2020</t>
        </is>
      </c>
      <c r="B204" s="1" t="n">
        <v>43937</v>
      </c>
      <c r="C204" s="1" t="n">
        <v>45809</v>
      </c>
      <c r="D204" t="inlineStr">
        <is>
          <t>VÄSTERNORRLANDS LÄN</t>
        </is>
      </c>
      <c r="E204" t="inlineStr">
        <is>
          <t>TIMRÅ</t>
        </is>
      </c>
      <c r="G204" t="n">
        <v>4.5</v>
      </c>
      <c r="H204" t="n">
        <v>0</v>
      </c>
      <c r="I204" t="n">
        <v>0</v>
      </c>
      <c r="J204" t="n">
        <v>0</v>
      </c>
      <c r="K204" t="n">
        <v>0</v>
      </c>
      <c r="L204" t="n">
        <v>0</v>
      </c>
      <c r="M204" t="n">
        <v>0</v>
      </c>
      <c r="N204" t="n">
        <v>0</v>
      </c>
      <c r="O204" t="n">
        <v>0</v>
      </c>
      <c r="P204" t="n">
        <v>0</v>
      </c>
      <c r="Q204" t="n">
        <v>0</v>
      </c>
      <c r="R204" s="2" t="inlineStr"/>
    </row>
    <row r="205" ht="15" customHeight="1">
      <c r="A205" t="inlineStr">
        <is>
          <t>A 19761-2020</t>
        </is>
      </c>
      <c r="B205" s="1" t="n">
        <v>43937</v>
      </c>
      <c r="C205" s="1" t="n">
        <v>45809</v>
      </c>
      <c r="D205" t="inlineStr">
        <is>
          <t>VÄSTERNORRLANDS LÄN</t>
        </is>
      </c>
      <c r="E205" t="inlineStr">
        <is>
          <t>TIMRÅ</t>
        </is>
      </c>
      <c r="G205" t="n">
        <v>0.4</v>
      </c>
      <c r="H205" t="n">
        <v>0</v>
      </c>
      <c r="I205" t="n">
        <v>0</v>
      </c>
      <c r="J205" t="n">
        <v>0</v>
      </c>
      <c r="K205" t="n">
        <v>0</v>
      </c>
      <c r="L205" t="n">
        <v>0</v>
      </c>
      <c r="M205" t="n">
        <v>0</v>
      </c>
      <c r="N205" t="n">
        <v>0</v>
      </c>
      <c r="O205" t="n">
        <v>0</v>
      </c>
      <c r="P205" t="n">
        <v>0</v>
      </c>
      <c r="Q205" t="n">
        <v>0</v>
      </c>
      <c r="R205" s="2" t="inlineStr"/>
    </row>
    <row r="206" ht="15" customHeight="1">
      <c r="A206" t="inlineStr">
        <is>
          <t>A 19774-2020</t>
        </is>
      </c>
      <c r="B206" s="1" t="n">
        <v>43937</v>
      </c>
      <c r="C206" s="1" t="n">
        <v>45809</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19794-2020</t>
        </is>
      </c>
      <c r="B207" s="1" t="n">
        <v>43937</v>
      </c>
      <c r="C207" s="1" t="n">
        <v>45809</v>
      </c>
      <c r="D207" t="inlineStr">
        <is>
          <t>VÄSTERNORRLANDS LÄN</t>
        </is>
      </c>
      <c r="E207" t="inlineStr">
        <is>
          <t>TIMRÅ</t>
        </is>
      </c>
      <c r="G207" t="n">
        <v>3</v>
      </c>
      <c r="H207" t="n">
        <v>0</v>
      </c>
      <c r="I207" t="n">
        <v>0</v>
      </c>
      <c r="J207" t="n">
        <v>0</v>
      </c>
      <c r="K207" t="n">
        <v>0</v>
      </c>
      <c r="L207" t="n">
        <v>0</v>
      </c>
      <c r="M207" t="n">
        <v>0</v>
      </c>
      <c r="N207" t="n">
        <v>0</v>
      </c>
      <c r="O207" t="n">
        <v>0</v>
      </c>
      <c r="P207" t="n">
        <v>0</v>
      </c>
      <c r="Q207" t="n">
        <v>0</v>
      </c>
      <c r="R207" s="2" t="inlineStr"/>
    </row>
    <row r="208" ht="15" customHeight="1">
      <c r="A208" t="inlineStr">
        <is>
          <t>A 19807-2020</t>
        </is>
      </c>
      <c r="B208" s="1" t="n">
        <v>43937</v>
      </c>
      <c r="C208" s="1" t="n">
        <v>45809</v>
      </c>
      <c r="D208" t="inlineStr">
        <is>
          <t>VÄSTERNORRLANDS LÄN</t>
        </is>
      </c>
      <c r="E208" t="inlineStr">
        <is>
          <t>TIMRÅ</t>
        </is>
      </c>
      <c r="G208" t="n">
        <v>3.4</v>
      </c>
      <c r="H208" t="n">
        <v>0</v>
      </c>
      <c r="I208" t="n">
        <v>0</v>
      </c>
      <c r="J208" t="n">
        <v>0</v>
      </c>
      <c r="K208" t="n">
        <v>0</v>
      </c>
      <c r="L208" t="n">
        <v>0</v>
      </c>
      <c r="M208" t="n">
        <v>0</v>
      </c>
      <c r="N208" t="n">
        <v>0</v>
      </c>
      <c r="O208" t="n">
        <v>0</v>
      </c>
      <c r="P208" t="n">
        <v>0</v>
      </c>
      <c r="Q208" t="n">
        <v>0</v>
      </c>
      <c r="R208" s="2" t="inlineStr"/>
    </row>
    <row r="209" ht="15" customHeight="1">
      <c r="A209" t="inlineStr">
        <is>
          <t>A 19765-2020</t>
        </is>
      </c>
      <c r="B209" s="1" t="n">
        <v>43937</v>
      </c>
      <c r="C209" s="1" t="n">
        <v>45809</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19789-2020</t>
        </is>
      </c>
      <c r="B210" s="1" t="n">
        <v>43937</v>
      </c>
      <c r="C210" s="1" t="n">
        <v>45809</v>
      </c>
      <c r="D210" t="inlineStr">
        <is>
          <t>VÄSTERNORRLANDS LÄN</t>
        </is>
      </c>
      <c r="E210" t="inlineStr">
        <is>
          <t>TIMRÅ</t>
        </is>
      </c>
      <c r="G210" t="n">
        <v>0.3</v>
      </c>
      <c r="H210" t="n">
        <v>0</v>
      </c>
      <c r="I210" t="n">
        <v>0</v>
      </c>
      <c r="J210" t="n">
        <v>0</v>
      </c>
      <c r="K210" t="n">
        <v>0</v>
      </c>
      <c r="L210" t="n">
        <v>0</v>
      </c>
      <c r="M210" t="n">
        <v>0</v>
      </c>
      <c r="N210" t="n">
        <v>0</v>
      </c>
      <c r="O210" t="n">
        <v>0</v>
      </c>
      <c r="P210" t="n">
        <v>0</v>
      </c>
      <c r="Q210" t="n">
        <v>0</v>
      </c>
      <c r="R210" s="2" t="inlineStr"/>
    </row>
    <row r="211" ht="15" customHeight="1">
      <c r="A211" t="inlineStr">
        <is>
          <t>A 21210-2020</t>
        </is>
      </c>
      <c r="B211" s="1" t="n">
        <v>43951</v>
      </c>
      <c r="C211" s="1" t="n">
        <v>45809</v>
      </c>
      <c r="D211" t="inlineStr">
        <is>
          <t>VÄSTERNORRLANDS LÄN</t>
        </is>
      </c>
      <c r="E211" t="inlineStr">
        <is>
          <t>TIMRÅ</t>
        </is>
      </c>
      <c r="G211" t="n">
        <v>1</v>
      </c>
      <c r="H211" t="n">
        <v>0</v>
      </c>
      <c r="I211" t="n">
        <v>0</v>
      </c>
      <c r="J211" t="n">
        <v>0</v>
      </c>
      <c r="K211" t="n">
        <v>0</v>
      </c>
      <c r="L211" t="n">
        <v>0</v>
      </c>
      <c r="M211" t="n">
        <v>0</v>
      </c>
      <c r="N211" t="n">
        <v>0</v>
      </c>
      <c r="O211" t="n">
        <v>0</v>
      </c>
      <c r="P211" t="n">
        <v>0</v>
      </c>
      <c r="Q211" t="n">
        <v>0</v>
      </c>
      <c r="R211" s="2" t="inlineStr"/>
    </row>
    <row r="212" ht="15" customHeight="1">
      <c r="A212" t="inlineStr">
        <is>
          <t>A 21874-2020</t>
        </is>
      </c>
      <c r="B212" s="1" t="n">
        <v>43955</v>
      </c>
      <c r="C212" s="1" t="n">
        <v>45809</v>
      </c>
      <c r="D212" t="inlineStr">
        <is>
          <t>VÄSTERNORRLANDS LÄN</t>
        </is>
      </c>
      <c r="E212" t="inlineStr">
        <is>
          <t>TIMRÅ</t>
        </is>
      </c>
      <c r="G212" t="n">
        <v>7.5</v>
      </c>
      <c r="H212" t="n">
        <v>0</v>
      </c>
      <c r="I212" t="n">
        <v>0</v>
      </c>
      <c r="J212" t="n">
        <v>0</v>
      </c>
      <c r="K212" t="n">
        <v>0</v>
      </c>
      <c r="L212" t="n">
        <v>0</v>
      </c>
      <c r="M212" t="n">
        <v>0</v>
      </c>
      <c r="N212" t="n">
        <v>0</v>
      </c>
      <c r="O212" t="n">
        <v>0</v>
      </c>
      <c r="P212" t="n">
        <v>0</v>
      </c>
      <c r="Q212" t="n">
        <v>0</v>
      </c>
      <c r="R212" s="2" t="inlineStr"/>
    </row>
    <row r="213" ht="15" customHeight="1">
      <c r="A213" t="inlineStr">
        <is>
          <t>A 21598-2020</t>
        </is>
      </c>
      <c r="B213" s="1" t="n">
        <v>43956</v>
      </c>
      <c r="C213" s="1" t="n">
        <v>45809</v>
      </c>
      <c r="D213" t="inlineStr">
        <is>
          <t>VÄSTERNORRLANDS LÄN</t>
        </is>
      </c>
      <c r="E213" t="inlineStr">
        <is>
          <t>TIMRÅ</t>
        </is>
      </c>
      <c r="G213" t="n">
        <v>5</v>
      </c>
      <c r="H213" t="n">
        <v>0</v>
      </c>
      <c r="I213" t="n">
        <v>0</v>
      </c>
      <c r="J213" t="n">
        <v>0</v>
      </c>
      <c r="K213" t="n">
        <v>0</v>
      </c>
      <c r="L213" t="n">
        <v>0</v>
      </c>
      <c r="M213" t="n">
        <v>0</v>
      </c>
      <c r="N213" t="n">
        <v>0</v>
      </c>
      <c r="O213" t="n">
        <v>0</v>
      </c>
      <c r="P213" t="n">
        <v>0</v>
      </c>
      <c r="Q213" t="n">
        <v>0</v>
      </c>
      <c r="R213" s="2" t="inlineStr"/>
    </row>
    <row r="214" ht="15" customHeight="1">
      <c r="A214" t="inlineStr">
        <is>
          <t>A 24263-2020</t>
        </is>
      </c>
      <c r="B214" s="1" t="n">
        <v>43971</v>
      </c>
      <c r="C214" s="1" t="n">
        <v>45809</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29475-2020</t>
        </is>
      </c>
      <c r="B215" s="1" t="n">
        <v>44004</v>
      </c>
      <c r="C215" s="1" t="n">
        <v>45809</v>
      </c>
      <c r="D215" t="inlineStr">
        <is>
          <t>VÄSTERNORRLANDS LÄN</t>
        </is>
      </c>
      <c r="E215" t="inlineStr">
        <is>
          <t>TIMRÅ</t>
        </is>
      </c>
      <c r="G215" t="n">
        <v>2.5</v>
      </c>
      <c r="H215" t="n">
        <v>0</v>
      </c>
      <c r="I215" t="n">
        <v>0</v>
      </c>
      <c r="J215" t="n">
        <v>0</v>
      </c>
      <c r="K215" t="n">
        <v>0</v>
      </c>
      <c r="L215" t="n">
        <v>0</v>
      </c>
      <c r="M215" t="n">
        <v>0</v>
      </c>
      <c r="N215" t="n">
        <v>0</v>
      </c>
      <c r="O215" t="n">
        <v>0</v>
      </c>
      <c r="P215" t="n">
        <v>0</v>
      </c>
      <c r="Q215" t="n">
        <v>0</v>
      </c>
      <c r="R215" s="2" t="inlineStr"/>
    </row>
    <row r="216" ht="15" customHeight="1">
      <c r="A216" t="inlineStr">
        <is>
          <t>A 33966-2020</t>
        </is>
      </c>
      <c r="B216" s="1" t="n">
        <v>44028</v>
      </c>
      <c r="C216" s="1" t="n">
        <v>45809</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35531-2020</t>
        </is>
      </c>
      <c r="B217" s="1" t="n">
        <v>44043</v>
      </c>
      <c r="C217" s="1" t="n">
        <v>45809</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40413-2020</t>
        </is>
      </c>
      <c r="B218" s="1" t="n">
        <v>44068</v>
      </c>
      <c r="C218" s="1" t="n">
        <v>45809</v>
      </c>
      <c r="D218" t="inlineStr">
        <is>
          <t>VÄSTERNORRLANDS LÄN</t>
        </is>
      </c>
      <c r="E218" t="inlineStr">
        <is>
          <t>TIMRÅ</t>
        </is>
      </c>
      <c r="G218" t="n">
        <v>2.5</v>
      </c>
      <c r="H218" t="n">
        <v>0</v>
      </c>
      <c r="I218" t="n">
        <v>0</v>
      </c>
      <c r="J218" t="n">
        <v>0</v>
      </c>
      <c r="K218" t="n">
        <v>0</v>
      </c>
      <c r="L218" t="n">
        <v>0</v>
      </c>
      <c r="M218" t="n">
        <v>0</v>
      </c>
      <c r="N218" t="n">
        <v>0</v>
      </c>
      <c r="O218" t="n">
        <v>0</v>
      </c>
      <c r="P218" t="n">
        <v>0</v>
      </c>
      <c r="Q218" t="n">
        <v>0</v>
      </c>
      <c r="R218" s="2" t="inlineStr"/>
    </row>
    <row r="219" ht="15" customHeight="1">
      <c r="A219" t="inlineStr">
        <is>
          <t>A 40410-2020</t>
        </is>
      </c>
      <c r="B219" s="1" t="n">
        <v>44068</v>
      </c>
      <c r="C219" s="1" t="n">
        <v>45809</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40737-2020</t>
        </is>
      </c>
      <c r="B220" s="1" t="n">
        <v>44069</v>
      </c>
      <c r="C220" s="1" t="n">
        <v>45809</v>
      </c>
      <c r="D220" t="inlineStr">
        <is>
          <t>VÄSTERNORRLANDS LÄN</t>
        </is>
      </c>
      <c r="E220" t="inlineStr">
        <is>
          <t>TIMRÅ</t>
        </is>
      </c>
      <c r="G220" t="n">
        <v>3.1</v>
      </c>
      <c r="H220" t="n">
        <v>0</v>
      </c>
      <c r="I220" t="n">
        <v>0</v>
      </c>
      <c r="J220" t="n">
        <v>0</v>
      </c>
      <c r="K220" t="n">
        <v>0</v>
      </c>
      <c r="L220" t="n">
        <v>0</v>
      </c>
      <c r="M220" t="n">
        <v>0</v>
      </c>
      <c r="N220" t="n">
        <v>0</v>
      </c>
      <c r="O220" t="n">
        <v>0</v>
      </c>
      <c r="P220" t="n">
        <v>0</v>
      </c>
      <c r="Q220" t="n">
        <v>0</v>
      </c>
      <c r="R220" s="2" t="inlineStr"/>
    </row>
    <row r="221" ht="15" customHeight="1">
      <c r="A221" t="inlineStr">
        <is>
          <t>A 42443-2020</t>
        </is>
      </c>
      <c r="B221" s="1" t="n">
        <v>44074</v>
      </c>
      <c r="C221" s="1" t="n">
        <v>45809</v>
      </c>
      <c r="D221" t="inlineStr">
        <is>
          <t>VÄSTERNORRLANDS LÄN</t>
        </is>
      </c>
      <c r="E221" t="inlineStr">
        <is>
          <t>TIMRÅ</t>
        </is>
      </c>
      <c r="G221" t="n">
        <v>1.5</v>
      </c>
      <c r="H221" t="n">
        <v>0</v>
      </c>
      <c r="I221" t="n">
        <v>0</v>
      </c>
      <c r="J221" t="n">
        <v>0</v>
      </c>
      <c r="K221" t="n">
        <v>0</v>
      </c>
      <c r="L221" t="n">
        <v>0</v>
      </c>
      <c r="M221" t="n">
        <v>0</v>
      </c>
      <c r="N221" t="n">
        <v>0</v>
      </c>
      <c r="O221" t="n">
        <v>0</v>
      </c>
      <c r="P221" t="n">
        <v>0</v>
      </c>
      <c r="Q221" t="n">
        <v>0</v>
      </c>
      <c r="R221" s="2" t="inlineStr"/>
    </row>
    <row r="222" ht="15" customHeight="1">
      <c r="A222" t="inlineStr">
        <is>
          <t>A 44503-2020</t>
        </is>
      </c>
      <c r="B222" s="1" t="n">
        <v>44084</v>
      </c>
      <c r="C222" s="1" t="n">
        <v>45809</v>
      </c>
      <c r="D222" t="inlineStr">
        <is>
          <t>VÄSTERNORRLANDS LÄN</t>
        </is>
      </c>
      <c r="E222" t="inlineStr">
        <is>
          <t>TIMRÅ</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48574-2020</t>
        </is>
      </c>
      <c r="B223" s="1" t="n">
        <v>44103</v>
      </c>
      <c r="C223" s="1" t="n">
        <v>45809</v>
      </c>
      <c r="D223" t="inlineStr">
        <is>
          <t>VÄSTERNORRLANDS LÄN</t>
        </is>
      </c>
      <c r="E223" t="inlineStr">
        <is>
          <t>TIMRÅ</t>
        </is>
      </c>
      <c r="G223" t="n">
        <v>1.1</v>
      </c>
      <c r="H223" t="n">
        <v>0</v>
      </c>
      <c r="I223" t="n">
        <v>0</v>
      </c>
      <c r="J223" t="n">
        <v>0</v>
      </c>
      <c r="K223" t="n">
        <v>0</v>
      </c>
      <c r="L223" t="n">
        <v>0</v>
      </c>
      <c r="M223" t="n">
        <v>0</v>
      </c>
      <c r="N223" t="n">
        <v>0</v>
      </c>
      <c r="O223" t="n">
        <v>0</v>
      </c>
      <c r="P223" t="n">
        <v>0</v>
      </c>
      <c r="Q223" t="n">
        <v>0</v>
      </c>
      <c r="R223" s="2" t="inlineStr"/>
    </row>
    <row r="224" ht="15" customHeight="1">
      <c r="A224" t="inlineStr">
        <is>
          <t>A 50162-2020</t>
        </is>
      </c>
      <c r="B224" s="1" t="n">
        <v>44104</v>
      </c>
      <c r="C224" s="1" t="n">
        <v>45809</v>
      </c>
      <c r="D224" t="inlineStr">
        <is>
          <t>VÄSTERNORRLANDS LÄN</t>
        </is>
      </c>
      <c r="E224" t="inlineStr">
        <is>
          <t>TIMRÅ</t>
        </is>
      </c>
      <c r="G224" t="n">
        <v>6</v>
      </c>
      <c r="H224" t="n">
        <v>0</v>
      </c>
      <c r="I224" t="n">
        <v>0</v>
      </c>
      <c r="J224" t="n">
        <v>0</v>
      </c>
      <c r="K224" t="n">
        <v>0</v>
      </c>
      <c r="L224" t="n">
        <v>0</v>
      </c>
      <c r="M224" t="n">
        <v>0</v>
      </c>
      <c r="N224" t="n">
        <v>0</v>
      </c>
      <c r="O224" t="n">
        <v>0</v>
      </c>
      <c r="P224" t="n">
        <v>0</v>
      </c>
      <c r="Q224" t="n">
        <v>0</v>
      </c>
      <c r="R224" s="2" t="inlineStr"/>
    </row>
    <row r="225" ht="15" customHeight="1">
      <c r="A225" t="inlineStr">
        <is>
          <t>A 51330-2020</t>
        </is>
      </c>
      <c r="B225" s="1" t="n">
        <v>44112</v>
      </c>
      <c r="C225" s="1" t="n">
        <v>45809</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53254-2020</t>
        </is>
      </c>
      <c r="B226" s="1" t="n">
        <v>44123</v>
      </c>
      <c r="C226" s="1" t="n">
        <v>45809</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54946-2020</t>
        </is>
      </c>
      <c r="B227" s="1" t="n">
        <v>44129</v>
      </c>
      <c r="C227" s="1" t="n">
        <v>45809</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57007-2020</t>
        </is>
      </c>
      <c r="B228" s="1" t="n">
        <v>44137</v>
      </c>
      <c r="C228" s="1" t="n">
        <v>45809</v>
      </c>
      <c r="D228" t="inlineStr">
        <is>
          <t>VÄSTERNORRLANDS LÄN</t>
        </is>
      </c>
      <c r="E228" t="inlineStr">
        <is>
          <t>TIMRÅ</t>
        </is>
      </c>
      <c r="G228" t="n">
        <v>4.1</v>
      </c>
      <c r="H228" t="n">
        <v>0</v>
      </c>
      <c r="I228" t="n">
        <v>0</v>
      </c>
      <c r="J228" t="n">
        <v>0</v>
      </c>
      <c r="K228" t="n">
        <v>0</v>
      </c>
      <c r="L228" t="n">
        <v>0</v>
      </c>
      <c r="M228" t="n">
        <v>0</v>
      </c>
      <c r="N228" t="n">
        <v>0</v>
      </c>
      <c r="O228" t="n">
        <v>0</v>
      </c>
      <c r="P228" t="n">
        <v>0</v>
      </c>
      <c r="Q228" t="n">
        <v>0</v>
      </c>
      <c r="R228" s="2" t="inlineStr"/>
    </row>
    <row r="229" ht="15" customHeight="1">
      <c r="A229" t="inlineStr">
        <is>
          <t>A 61730-2020</t>
        </is>
      </c>
      <c r="B229" s="1" t="n">
        <v>44158</v>
      </c>
      <c r="C229" s="1" t="n">
        <v>45809</v>
      </c>
      <c r="D229" t="inlineStr">
        <is>
          <t>VÄSTERNORRLANDS LÄN</t>
        </is>
      </c>
      <c r="E229" t="inlineStr">
        <is>
          <t>TIMRÅ</t>
        </is>
      </c>
      <c r="G229" t="n">
        <v>2.8</v>
      </c>
      <c r="H229" t="n">
        <v>0</v>
      </c>
      <c r="I229" t="n">
        <v>0</v>
      </c>
      <c r="J229" t="n">
        <v>0</v>
      </c>
      <c r="K229" t="n">
        <v>0</v>
      </c>
      <c r="L229" t="n">
        <v>0</v>
      </c>
      <c r="M229" t="n">
        <v>0</v>
      </c>
      <c r="N229" t="n">
        <v>0</v>
      </c>
      <c r="O229" t="n">
        <v>0</v>
      </c>
      <c r="P229" t="n">
        <v>0</v>
      </c>
      <c r="Q229" t="n">
        <v>0</v>
      </c>
      <c r="R229" s="2" t="inlineStr"/>
    </row>
    <row r="230" ht="15" customHeight="1">
      <c r="A230" t="inlineStr">
        <is>
          <t>A 63960-2020</t>
        </is>
      </c>
      <c r="B230" s="1" t="n">
        <v>44165</v>
      </c>
      <c r="C230" s="1" t="n">
        <v>45809</v>
      </c>
      <c r="D230" t="inlineStr">
        <is>
          <t>VÄSTERNORRLANDS LÄN</t>
        </is>
      </c>
      <c r="E230" t="inlineStr">
        <is>
          <t>TIMRÅ</t>
        </is>
      </c>
      <c r="G230" t="n">
        <v>3.5</v>
      </c>
      <c r="H230" t="n">
        <v>0</v>
      </c>
      <c r="I230" t="n">
        <v>0</v>
      </c>
      <c r="J230" t="n">
        <v>0</v>
      </c>
      <c r="K230" t="n">
        <v>0</v>
      </c>
      <c r="L230" t="n">
        <v>0</v>
      </c>
      <c r="M230" t="n">
        <v>0</v>
      </c>
      <c r="N230" t="n">
        <v>0</v>
      </c>
      <c r="O230" t="n">
        <v>0</v>
      </c>
      <c r="P230" t="n">
        <v>0</v>
      </c>
      <c r="Q230" t="n">
        <v>0</v>
      </c>
      <c r="R230" s="2" t="inlineStr"/>
    </row>
    <row r="231" ht="15" customHeight="1">
      <c r="A231" t="inlineStr">
        <is>
          <t>A 63927-2020</t>
        </is>
      </c>
      <c r="B231" s="1" t="n">
        <v>44166</v>
      </c>
      <c r="C231" s="1" t="n">
        <v>45809</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64571-2020</t>
        </is>
      </c>
      <c r="B232" s="1" t="n">
        <v>44166</v>
      </c>
      <c r="C232" s="1" t="n">
        <v>45809</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65001-2020</t>
        </is>
      </c>
      <c r="B233" s="1" t="n">
        <v>44167</v>
      </c>
      <c r="C233" s="1" t="n">
        <v>45809</v>
      </c>
      <c r="D233" t="inlineStr">
        <is>
          <t>VÄSTERNORRLANDS LÄN</t>
        </is>
      </c>
      <c r="E233" t="inlineStr">
        <is>
          <t>TIMRÅ</t>
        </is>
      </c>
      <c r="G233" t="n">
        <v>3.3</v>
      </c>
      <c r="H233" t="n">
        <v>0</v>
      </c>
      <c r="I233" t="n">
        <v>0</v>
      </c>
      <c r="J233" t="n">
        <v>0</v>
      </c>
      <c r="K233" t="n">
        <v>0</v>
      </c>
      <c r="L233" t="n">
        <v>0</v>
      </c>
      <c r="M233" t="n">
        <v>0</v>
      </c>
      <c r="N233" t="n">
        <v>0</v>
      </c>
      <c r="O233" t="n">
        <v>0</v>
      </c>
      <c r="P233" t="n">
        <v>0</v>
      </c>
      <c r="Q233" t="n">
        <v>0</v>
      </c>
      <c r="R233" s="2" t="inlineStr"/>
    </row>
    <row r="234" ht="15" customHeight="1">
      <c r="A234" t="inlineStr">
        <is>
          <t>A 66837-2020</t>
        </is>
      </c>
      <c r="B234" s="1" t="n">
        <v>44179</v>
      </c>
      <c r="C234" s="1" t="n">
        <v>45809</v>
      </c>
      <c r="D234" t="inlineStr">
        <is>
          <t>VÄSTERNORRLANDS LÄN</t>
        </is>
      </c>
      <c r="E234" t="inlineStr">
        <is>
          <t>TIMRÅ</t>
        </is>
      </c>
      <c r="F234" t="inlineStr">
        <is>
          <t>Kommuner</t>
        </is>
      </c>
      <c r="G234" t="n">
        <v>1.9</v>
      </c>
      <c r="H234" t="n">
        <v>0</v>
      </c>
      <c r="I234" t="n">
        <v>0</v>
      </c>
      <c r="J234" t="n">
        <v>0</v>
      </c>
      <c r="K234" t="n">
        <v>0</v>
      </c>
      <c r="L234" t="n">
        <v>0</v>
      </c>
      <c r="M234" t="n">
        <v>0</v>
      </c>
      <c r="N234" t="n">
        <v>0</v>
      </c>
      <c r="O234" t="n">
        <v>0</v>
      </c>
      <c r="P234" t="n">
        <v>0</v>
      </c>
      <c r="Q234" t="n">
        <v>0</v>
      </c>
      <c r="R234" s="2" t="inlineStr"/>
    </row>
    <row r="235" ht="15" customHeight="1">
      <c r="A235" t="inlineStr">
        <is>
          <t>A 67610-2020</t>
        </is>
      </c>
      <c r="B235" s="1" t="n">
        <v>44181</v>
      </c>
      <c r="C235" s="1" t="n">
        <v>45809</v>
      </c>
      <c r="D235" t="inlineStr">
        <is>
          <t>VÄSTERNORRLANDS LÄN</t>
        </is>
      </c>
      <c r="E235" t="inlineStr">
        <is>
          <t>TIMRÅ</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69203-2020</t>
        </is>
      </c>
      <c r="B236" s="1" t="n">
        <v>44191</v>
      </c>
      <c r="C236" s="1" t="n">
        <v>45809</v>
      </c>
      <c r="D236" t="inlineStr">
        <is>
          <t>VÄSTERNORRLANDS LÄN</t>
        </is>
      </c>
      <c r="E236" t="inlineStr">
        <is>
          <t>TIMRÅ</t>
        </is>
      </c>
      <c r="F236" t="inlineStr">
        <is>
          <t>SCA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731-2021</t>
        </is>
      </c>
      <c r="B237" s="1" t="n">
        <v>44203</v>
      </c>
      <c r="C237" s="1" t="n">
        <v>45809</v>
      </c>
      <c r="D237" t="inlineStr">
        <is>
          <t>VÄSTERNORRLANDS LÄN</t>
        </is>
      </c>
      <c r="E237" t="inlineStr">
        <is>
          <t>TIMRÅ</t>
        </is>
      </c>
      <c r="G237" t="n">
        <v>3.5</v>
      </c>
      <c r="H237" t="n">
        <v>0</v>
      </c>
      <c r="I237" t="n">
        <v>0</v>
      </c>
      <c r="J237" t="n">
        <v>0</v>
      </c>
      <c r="K237" t="n">
        <v>0</v>
      </c>
      <c r="L237" t="n">
        <v>0</v>
      </c>
      <c r="M237" t="n">
        <v>0</v>
      </c>
      <c r="N237" t="n">
        <v>0</v>
      </c>
      <c r="O237" t="n">
        <v>0</v>
      </c>
      <c r="P237" t="n">
        <v>0</v>
      </c>
      <c r="Q237" t="n">
        <v>0</v>
      </c>
      <c r="R237" s="2" t="inlineStr"/>
    </row>
    <row r="238" ht="15" customHeight="1">
      <c r="A238" t="inlineStr">
        <is>
          <t>A 1555-2021</t>
        </is>
      </c>
      <c r="B238" s="1" t="n">
        <v>44209</v>
      </c>
      <c r="C238" s="1" t="n">
        <v>45809</v>
      </c>
      <c r="D238" t="inlineStr">
        <is>
          <t>VÄSTERNORRLANDS LÄN</t>
        </is>
      </c>
      <c r="E238" t="inlineStr">
        <is>
          <t>TIMRÅ</t>
        </is>
      </c>
      <c r="G238" t="n">
        <v>2.9</v>
      </c>
      <c r="H238" t="n">
        <v>0</v>
      </c>
      <c r="I238" t="n">
        <v>0</v>
      </c>
      <c r="J238" t="n">
        <v>0</v>
      </c>
      <c r="K238" t="n">
        <v>0</v>
      </c>
      <c r="L238" t="n">
        <v>0</v>
      </c>
      <c r="M238" t="n">
        <v>0</v>
      </c>
      <c r="N238" t="n">
        <v>0</v>
      </c>
      <c r="O238" t="n">
        <v>0</v>
      </c>
      <c r="P238" t="n">
        <v>0</v>
      </c>
      <c r="Q238" t="n">
        <v>0</v>
      </c>
      <c r="R238" s="2" t="inlineStr"/>
    </row>
    <row r="239" ht="15" customHeight="1">
      <c r="A239" t="inlineStr">
        <is>
          <t>A 1559-2021</t>
        </is>
      </c>
      <c r="B239" s="1" t="n">
        <v>44209</v>
      </c>
      <c r="C239" s="1" t="n">
        <v>45809</v>
      </c>
      <c r="D239" t="inlineStr">
        <is>
          <t>VÄSTERNORRLANDS LÄN</t>
        </is>
      </c>
      <c r="E239" t="inlineStr">
        <is>
          <t>TIMRÅ</t>
        </is>
      </c>
      <c r="G239" t="n">
        <v>6.7</v>
      </c>
      <c r="H239" t="n">
        <v>0</v>
      </c>
      <c r="I239" t="n">
        <v>0</v>
      </c>
      <c r="J239" t="n">
        <v>0</v>
      </c>
      <c r="K239" t="n">
        <v>0</v>
      </c>
      <c r="L239" t="n">
        <v>0</v>
      </c>
      <c r="M239" t="n">
        <v>0</v>
      </c>
      <c r="N239" t="n">
        <v>0</v>
      </c>
      <c r="O239" t="n">
        <v>0</v>
      </c>
      <c r="P239" t="n">
        <v>0</v>
      </c>
      <c r="Q239" t="n">
        <v>0</v>
      </c>
      <c r="R239" s="2" t="inlineStr"/>
    </row>
    <row r="240" ht="15" customHeight="1">
      <c r="A240" t="inlineStr">
        <is>
          <t>A 2284-2021</t>
        </is>
      </c>
      <c r="B240" s="1" t="n">
        <v>44211</v>
      </c>
      <c r="C240" s="1" t="n">
        <v>45809</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7367-2021</t>
        </is>
      </c>
      <c r="B241" s="1" t="n">
        <v>44237</v>
      </c>
      <c r="C241" s="1" t="n">
        <v>45809</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9472-2021</t>
        </is>
      </c>
      <c r="B242" s="1" t="n">
        <v>44250</v>
      </c>
      <c r="C242" s="1" t="n">
        <v>45809</v>
      </c>
      <c r="D242" t="inlineStr">
        <is>
          <t>VÄSTERNORRLANDS LÄN</t>
        </is>
      </c>
      <c r="E242" t="inlineStr">
        <is>
          <t>TIMRÅ</t>
        </is>
      </c>
      <c r="G242" t="n">
        <v>4</v>
      </c>
      <c r="H242" t="n">
        <v>0</v>
      </c>
      <c r="I242" t="n">
        <v>0</v>
      </c>
      <c r="J242" t="n">
        <v>0</v>
      </c>
      <c r="K242" t="n">
        <v>0</v>
      </c>
      <c r="L242" t="n">
        <v>0</v>
      </c>
      <c r="M242" t="n">
        <v>0</v>
      </c>
      <c r="N242" t="n">
        <v>0</v>
      </c>
      <c r="O242" t="n">
        <v>0</v>
      </c>
      <c r="P242" t="n">
        <v>0</v>
      </c>
      <c r="Q242" t="n">
        <v>0</v>
      </c>
      <c r="R242" s="2" t="inlineStr"/>
    </row>
    <row r="243" ht="15" customHeight="1">
      <c r="A243" t="inlineStr">
        <is>
          <t>A 9503-2021</t>
        </is>
      </c>
      <c r="B243" s="1" t="n">
        <v>44250</v>
      </c>
      <c r="C243" s="1" t="n">
        <v>45809</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9480-2021</t>
        </is>
      </c>
      <c r="B244" s="1" t="n">
        <v>44250</v>
      </c>
      <c r="C244" s="1" t="n">
        <v>45809</v>
      </c>
      <c r="D244" t="inlineStr">
        <is>
          <t>VÄSTERNORRLANDS LÄN</t>
        </is>
      </c>
      <c r="E244" t="inlineStr">
        <is>
          <t>TIMRÅ</t>
        </is>
      </c>
      <c r="G244" t="n">
        <v>2.7</v>
      </c>
      <c r="H244" t="n">
        <v>0</v>
      </c>
      <c r="I244" t="n">
        <v>0</v>
      </c>
      <c r="J244" t="n">
        <v>0</v>
      </c>
      <c r="K244" t="n">
        <v>0</v>
      </c>
      <c r="L244" t="n">
        <v>0</v>
      </c>
      <c r="M244" t="n">
        <v>0</v>
      </c>
      <c r="N244" t="n">
        <v>0</v>
      </c>
      <c r="O244" t="n">
        <v>0</v>
      </c>
      <c r="P244" t="n">
        <v>0</v>
      </c>
      <c r="Q244" t="n">
        <v>0</v>
      </c>
      <c r="R244" s="2" t="inlineStr"/>
    </row>
    <row r="245" ht="15" customHeight="1">
      <c r="A245" t="inlineStr">
        <is>
          <t>A 20487-2021</t>
        </is>
      </c>
      <c r="B245" s="1" t="n">
        <v>44315</v>
      </c>
      <c r="C245" s="1" t="n">
        <v>45809</v>
      </c>
      <c r="D245" t="inlineStr">
        <is>
          <t>VÄSTERNORRLANDS LÄN</t>
        </is>
      </c>
      <c r="E245" t="inlineStr">
        <is>
          <t>TIMRÅ</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20732-2021</t>
        </is>
      </c>
      <c r="B246" s="1" t="n">
        <v>44316</v>
      </c>
      <c r="C246" s="1" t="n">
        <v>45809</v>
      </c>
      <c r="D246" t="inlineStr">
        <is>
          <t>VÄSTERNORRLANDS LÄN</t>
        </is>
      </c>
      <c r="E246" t="inlineStr">
        <is>
          <t>TIMRÅ</t>
        </is>
      </c>
      <c r="G246" t="n">
        <v>3.8</v>
      </c>
      <c r="H246" t="n">
        <v>0</v>
      </c>
      <c r="I246" t="n">
        <v>0</v>
      </c>
      <c r="J246" t="n">
        <v>0</v>
      </c>
      <c r="K246" t="n">
        <v>0</v>
      </c>
      <c r="L246" t="n">
        <v>0</v>
      </c>
      <c r="M246" t="n">
        <v>0</v>
      </c>
      <c r="N246" t="n">
        <v>0</v>
      </c>
      <c r="O246" t="n">
        <v>0</v>
      </c>
      <c r="P246" t="n">
        <v>0</v>
      </c>
      <c r="Q246" t="n">
        <v>0</v>
      </c>
      <c r="R246" s="2" t="inlineStr"/>
    </row>
    <row r="247" ht="15" customHeight="1">
      <c r="A247" t="inlineStr">
        <is>
          <t>A 23611-2021</t>
        </is>
      </c>
      <c r="B247" s="1" t="n">
        <v>44334</v>
      </c>
      <c r="C247" s="1" t="n">
        <v>45809</v>
      </c>
      <c r="D247" t="inlineStr">
        <is>
          <t>VÄSTERNORRLANDS LÄN</t>
        </is>
      </c>
      <c r="E247" t="inlineStr">
        <is>
          <t>TIMRÅ</t>
        </is>
      </c>
      <c r="G247" t="n">
        <v>13.7</v>
      </c>
      <c r="H247" t="n">
        <v>0</v>
      </c>
      <c r="I247" t="n">
        <v>0</v>
      </c>
      <c r="J247" t="n">
        <v>0</v>
      </c>
      <c r="K247" t="n">
        <v>0</v>
      </c>
      <c r="L247" t="n">
        <v>0</v>
      </c>
      <c r="M247" t="n">
        <v>0</v>
      </c>
      <c r="N247" t="n">
        <v>0</v>
      </c>
      <c r="O247" t="n">
        <v>0</v>
      </c>
      <c r="P247" t="n">
        <v>0</v>
      </c>
      <c r="Q247" t="n">
        <v>0</v>
      </c>
      <c r="R247" s="2" t="inlineStr"/>
    </row>
    <row r="248" ht="15" customHeight="1">
      <c r="A248" t="inlineStr">
        <is>
          <t>A 24513-2021</t>
        </is>
      </c>
      <c r="B248" s="1" t="n">
        <v>44338</v>
      </c>
      <c r="C248" s="1" t="n">
        <v>45809</v>
      </c>
      <c r="D248" t="inlineStr">
        <is>
          <t>VÄSTERNORRLANDS LÄN</t>
        </is>
      </c>
      <c r="E248" t="inlineStr">
        <is>
          <t>TIMRÅ</t>
        </is>
      </c>
      <c r="G248" t="n">
        <v>2.6</v>
      </c>
      <c r="H248" t="n">
        <v>0</v>
      </c>
      <c r="I248" t="n">
        <v>0</v>
      </c>
      <c r="J248" t="n">
        <v>0</v>
      </c>
      <c r="K248" t="n">
        <v>0</v>
      </c>
      <c r="L248" t="n">
        <v>0</v>
      </c>
      <c r="M248" t="n">
        <v>0</v>
      </c>
      <c r="N248" t="n">
        <v>0</v>
      </c>
      <c r="O248" t="n">
        <v>0</v>
      </c>
      <c r="P248" t="n">
        <v>0</v>
      </c>
      <c r="Q248" t="n">
        <v>0</v>
      </c>
      <c r="R248" s="2" t="inlineStr"/>
    </row>
    <row r="249" ht="15" customHeight="1">
      <c r="A249" t="inlineStr">
        <is>
          <t>A 26588-2021</t>
        </is>
      </c>
      <c r="B249" s="1" t="n">
        <v>44348</v>
      </c>
      <c r="C249" s="1" t="n">
        <v>45809</v>
      </c>
      <c r="D249" t="inlineStr">
        <is>
          <t>VÄSTERNORRLANDS LÄN</t>
        </is>
      </c>
      <c r="E249" t="inlineStr">
        <is>
          <t>TIMRÅ</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26921-2021</t>
        </is>
      </c>
      <c r="B250" s="1" t="n">
        <v>44349</v>
      </c>
      <c r="C250" s="1" t="n">
        <v>45809</v>
      </c>
      <c r="D250" t="inlineStr">
        <is>
          <t>VÄSTERNORRLANDS LÄN</t>
        </is>
      </c>
      <c r="E250" t="inlineStr">
        <is>
          <t>TIMRÅ</t>
        </is>
      </c>
      <c r="G250" t="n">
        <v>6.6</v>
      </c>
      <c r="H250" t="n">
        <v>0</v>
      </c>
      <c r="I250" t="n">
        <v>0</v>
      </c>
      <c r="J250" t="n">
        <v>0</v>
      </c>
      <c r="K250" t="n">
        <v>0</v>
      </c>
      <c r="L250" t="n">
        <v>0</v>
      </c>
      <c r="M250" t="n">
        <v>0</v>
      </c>
      <c r="N250" t="n">
        <v>0</v>
      </c>
      <c r="O250" t="n">
        <v>0</v>
      </c>
      <c r="P250" t="n">
        <v>0</v>
      </c>
      <c r="Q250" t="n">
        <v>0</v>
      </c>
      <c r="R250" s="2" t="inlineStr"/>
    </row>
    <row r="251" ht="15" customHeight="1">
      <c r="A251" t="inlineStr">
        <is>
          <t>A 26936-2021</t>
        </is>
      </c>
      <c r="B251" s="1" t="n">
        <v>44349</v>
      </c>
      <c r="C251" s="1" t="n">
        <v>45809</v>
      </c>
      <c r="D251" t="inlineStr">
        <is>
          <t>VÄSTERNORRLANDS LÄN</t>
        </is>
      </c>
      <c r="E251" t="inlineStr">
        <is>
          <t>TIMRÅ</t>
        </is>
      </c>
      <c r="G251" t="n">
        <v>4.1</v>
      </c>
      <c r="H251" t="n">
        <v>0</v>
      </c>
      <c r="I251" t="n">
        <v>0</v>
      </c>
      <c r="J251" t="n">
        <v>0</v>
      </c>
      <c r="K251" t="n">
        <v>0</v>
      </c>
      <c r="L251" t="n">
        <v>0</v>
      </c>
      <c r="M251" t="n">
        <v>0</v>
      </c>
      <c r="N251" t="n">
        <v>0</v>
      </c>
      <c r="O251" t="n">
        <v>0</v>
      </c>
      <c r="P251" t="n">
        <v>0</v>
      </c>
      <c r="Q251" t="n">
        <v>0</v>
      </c>
      <c r="R251" s="2" t="inlineStr"/>
    </row>
    <row r="252" ht="15" customHeight="1">
      <c r="A252" t="inlineStr">
        <is>
          <t>A 27243-2021</t>
        </is>
      </c>
      <c r="B252" s="1" t="n">
        <v>44350</v>
      </c>
      <c r="C252" s="1" t="n">
        <v>45809</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28695-2021</t>
        </is>
      </c>
      <c r="B253" s="1" t="n">
        <v>44357</v>
      </c>
      <c r="C253" s="1" t="n">
        <v>45809</v>
      </c>
      <c r="D253" t="inlineStr">
        <is>
          <t>VÄSTERNORRLANDS LÄN</t>
        </is>
      </c>
      <c r="E253" t="inlineStr">
        <is>
          <t>TIMRÅ</t>
        </is>
      </c>
      <c r="G253" t="n">
        <v>3.6</v>
      </c>
      <c r="H253" t="n">
        <v>0</v>
      </c>
      <c r="I253" t="n">
        <v>0</v>
      </c>
      <c r="J253" t="n">
        <v>0</v>
      </c>
      <c r="K253" t="n">
        <v>0</v>
      </c>
      <c r="L253" t="n">
        <v>0</v>
      </c>
      <c r="M253" t="n">
        <v>0</v>
      </c>
      <c r="N253" t="n">
        <v>0</v>
      </c>
      <c r="O253" t="n">
        <v>0</v>
      </c>
      <c r="P253" t="n">
        <v>0</v>
      </c>
      <c r="Q253" t="n">
        <v>0</v>
      </c>
      <c r="R253" s="2" t="inlineStr"/>
    </row>
    <row r="254" ht="15" customHeight="1">
      <c r="A254" t="inlineStr">
        <is>
          <t>A 28706-2021</t>
        </is>
      </c>
      <c r="B254" s="1" t="n">
        <v>44357</v>
      </c>
      <c r="C254" s="1" t="n">
        <v>45809</v>
      </c>
      <c r="D254" t="inlineStr">
        <is>
          <t>VÄSTERNORRLANDS LÄN</t>
        </is>
      </c>
      <c r="E254" t="inlineStr">
        <is>
          <t>TIMRÅ</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28650-2021</t>
        </is>
      </c>
      <c r="B255" s="1" t="n">
        <v>44357</v>
      </c>
      <c r="C255" s="1" t="n">
        <v>45809</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28702-2021</t>
        </is>
      </c>
      <c r="B256" s="1" t="n">
        <v>44357</v>
      </c>
      <c r="C256" s="1" t="n">
        <v>45809</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30098-2021</t>
        </is>
      </c>
      <c r="B257" s="1" t="n">
        <v>44363</v>
      </c>
      <c r="C257" s="1" t="n">
        <v>45809</v>
      </c>
      <c r="D257" t="inlineStr">
        <is>
          <t>VÄSTERNORRLANDS LÄN</t>
        </is>
      </c>
      <c r="E257" t="inlineStr">
        <is>
          <t>TIMRÅ</t>
        </is>
      </c>
      <c r="G257" t="n">
        <v>6.1</v>
      </c>
      <c r="H257" t="n">
        <v>0</v>
      </c>
      <c r="I257" t="n">
        <v>0</v>
      </c>
      <c r="J257" t="n">
        <v>0</v>
      </c>
      <c r="K257" t="n">
        <v>0</v>
      </c>
      <c r="L257" t="n">
        <v>0</v>
      </c>
      <c r="M257" t="n">
        <v>0</v>
      </c>
      <c r="N257" t="n">
        <v>0</v>
      </c>
      <c r="O257" t="n">
        <v>0</v>
      </c>
      <c r="P257" t="n">
        <v>0</v>
      </c>
      <c r="Q257" t="n">
        <v>0</v>
      </c>
      <c r="R257" s="2" t="inlineStr"/>
    </row>
    <row r="258" ht="15" customHeight="1">
      <c r="A258" t="inlineStr">
        <is>
          <t>A 30091-2021</t>
        </is>
      </c>
      <c r="B258" s="1" t="n">
        <v>44363</v>
      </c>
      <c r="C258" s="1" t="n">
        <v>45809</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30591-2021</t>
        </is>
      </c>
      <c r="B259" s="1" t="n">
        <v>44364</v>
      </c>
      <c r="C259" s="1" t="n">
        <v>45809</v>
      </c>
      <c r="D259" t="inlineStr">
        <is>
          <t>VÄSTERNORRLANDS LÄN</t>
        </is>
      </c>
      <c r="E259" t="inlineStr">
        <is>
          <t>TIMRÅ</t>
        </is>
      </c>
      <c r="G259" t="n">
        <v>0.8</v>
      </c>
      <c r="H259" t="n">
        <v>0</v>
      </c>
      <c r="I259" t="n">
        <v>0</v>
      </c>
      <c r="J259" t="n">
        <v>0</v>
      </c>
      <c r="K259" t="n">
        <v>0</v>
      </c>
      <c r="L259" t="n">
        <v>0</v>
      </c>
      <c r="M259" t="n">
        <v>0</v>
      </c>
      <c r="N259" t="n">
        <v>0</v>
      </c>
      <c r="O259" t="n">
        <v>0</v>
      </c>
      <c r="P259" t="n">
        <v>0</v>
      </c>
      <c r="Q259" t="n">
        <v>0</v>
      </c>
      <c r="R259" s="2" t="inlineStr"/>
    </row>
    <row r="260" ht="15" customHeight="1">
      <c r="A260" t="inlineStr">
        <is>
          <t>A 32287-2021</t>
        </is>
      </c>
      <c r="B260" s="1" t="n">
        <v>44371</v>
      </c>
      <c r="C260" s="1" t="n">
        <v>45809</v>
      </c>
      <c r="D260" t="inlineStr">
        <is>
          <t>VÄSTERNORRLANDS LÄN</t>
        </is>
      </c>
      <c r="E260" t="inlineStr">
        <is>
          <t>TIMRÅ</t>
        </is>
      </c>
      <c r="F260" t="inlineStr">
        <is>
          <t>Kyrkan</t>
        </is>
      </c>
      <c r="G260" t="n">
        <v>5</v>
      </c>
      <c r="H260" t="n">
        <v>0</v>
      </c>
      <c r="I260" t="n">
        <v>0</v>
      </c>
      <c r="J260" t="n">
        <v>0</v>
      </c>
      <c r="K260" t="n">
        <v>0</v>
      </c>
      <c r="L260" t="n">
        <v>0</v>
      </c>
      <c r="M260" t="n">
        <v>0</v>
      </c>
      <c r="N260" t="n">
        <v>0</v>
      </c>
      <c r="O260" t="n">
        <v>0</v>
      </c>
      <c r="P260" t="n">
        <v>0</v>
      </c>
      <c r="Q260" t="n">
        <v>0</v>
      </c>
      <c r="R260" s="2" t="inlineStr"/>
    </row>
    <row r="261" ht="15" customHeight="1">
      <c r="A261" t="inlineStr">
        <is>
          <t>A 32210-2021</t>
        </is>
      </c>
      <c r="B261" s="1" t="n">
        <v>44371</v>
      </c>
      <c r="C261" s="1" t="n">
        <v>45809</v>
      </c>
      <c r="D261" t="inlineStr">
        <is>
          <t>VÄSTERNORRLANDS LÄN</t>
        </is>
      </c>
      <c r="E261" t="inlineStr">
        <is>
          <t>TIMRÅ</t>
        </is>
      </c>
      <c r="G261" t="n">
        <v>4.9</v>
      </c>
      <c r="H261" t="n">
        <v>0</v>
      </c>
      <c r="I261" t="n">
        <v>0</v>
      </c>
      <c r="J261" t="n">
        <v>0</v>
      </c>
      <c r="K261" t="n">
        <v>0</v>
      </c>
      <c r="L261" t="n">
        <v>0</v>
      </c>
      <c r="M261" t="n">
        <v>0</v>
      </c>
      <c r="N261" t="n">
        <v>0</v>
      </c>
      <c r="O261" t="n">
        <v>0</v>
      </c>
      <c r="P261" t="n">
        <v>0</v>
      </c>
      <c r="Q261" t="n">
        <v>0</v>
      </c>
      <c r="R261" s="2" t="inlineStr"/>
    </row>
    <row r="262" ht="15" customHeight="1">
      <c r="A262" t="inlineStr">
        <is>
          <t>A 32484-2021</t>
        </is>
      </c>
      <c r="B262" s="1" t="n">
        <v>44371</v>
      </c>
      <c r="C262" s="1" t="n">
        <v>45809</v>
      </c>
      <c r="D262" t="inlineStr">
        <is>
          <t>VÄSTERNORRLANDS LÄN</t>
        </is>
      </c>
      <c r="E262" t="inlineStr">
        <is>
          <t>TIMRÅ</t>
        </is>
      </c>
      <c r="F262" t="inlineStr">
        <is>
          <t>SCA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32487-2021</t>
        </is>
      </c>
      <c r="B263" s="1" t="n">
        <v>44371</v>
      </c>
      <c r="C263" s="1" t="n">
        <v>45809</v>
      </c>
      <c r="D263" t="inlineStr">
        <is>
          <t>VÄSTERNORRLANDS LÄN</t>
        </is>
      </c>
      <c r="E263" t="inlineStr">
        <is>
          <t>TIMRÅ</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32483-2021</t>
        </is>
      </c>
      <c r="B264" s="1" t="n">
        <v>44371</v>
      </c>
      <c r="C264" s="1" t="n">
        <v>45809</v>
      </c>
      <c r="D264" t="inlineStr">
        <is>
          <t>VÄSTERNORRLANDS LÄN</t>
        </is>
      </c>
      <c r="E264" t="inlineStr">
        <is>
          <t>TIMRÅ</t>
        </is>
      </c>
      <c r="F264" t="inlineStr">
        <is>
          <t>Kyrkan</t>
        </is>
      </c>
      <c r="G264" t="n">
        <v>6.3</v>
      </c>
      <c r="H264" t="n">
        <v>0</v>
      </c>
      <c r="I264" t="n">
        <v>0</v>
      </c>
      <c r="J264" t="n">
        <v>0</v>
      </c>
      <c r="K264" t="n">
        <v>0</v>
      </c>
      <c r="L264" t="n">
        <v>0</v>
      </c>
      <c r="M264" t="n">
        <v>0</v>
      </c>
      <c r="N264" t="n">
        <v>0</v>
      </c>
      <c r="O264" t="n">
        <v>0</v>
      </c>
      <c r="P264" t="n">
        <v>0</v>
      </c>
      <c r="Q264" t="n">
        <v>0</v>
      </c>
      <c r="R264" s="2" t="inlineStr"/>
    </row>
    <row r="265" ht="15" customHeight="1">
      <c r="A265" t="inlineStr">
        <is>
          <t>A 34035-2021</t>
        </is>
      </c>
      <c r="B265" s="1" t="n">
        <v>44378</v>
      </c>
      <c r="C265" s="1" t="n">
        <v>45809</v>
      </c>
      <c r="D265" t="inlineStr">
        <is>
          <t>VÄSTERNORRLANDS LÄN</t>
        </is>
      </c>
      <c r="E265" t="inlineStr">
        <is>
          <t>TIMRÅ</t>
        </is>
      </c>
      <c r="G265" t="n">
        <v>4</v>
      </c>
      <c r="H265" t="n">
        <v>0</v>
      </c>
      <c r="I265" t="n">
        <v>0</v>
      </c>
      <c r="J265" t="n">
        <v>0</v>
      </c>
      <c r="K265" t="n">
        <v>0</v>
      </c>
      <c r="L265" t="n">
        <v>0</v>
      </c>
      <c r="M265" t="n">
        <v>0</v>
      </c>
      <c r="N265" t="n">
        <v>0</v>
      </c>
      <c r="O265" t="n">
        <v>0</v>
      </c>
      <c r="P265" t="n">
        <v>0</v>
      </c>
      <c r="Q265" t="n">
        <v>0</v>
      </c>
      <c r="R265" s="2" t="inlineStr"/>
    </row>
    <row r="266" ht="15" customHeight="1">
      <c r="A266" t="inlineStr">
        <is>
          <t>A 34767-2021</t>
        </is>
      </c>
      <c r="B266" s="1" t="n">
        <v>44382</v>
      </c>
      <c r="C266" s="1" t="n">
        <v>45809</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35262-2021</t>
        </is>
      </c>
      <c r="B267" s="1" t="n">
        <v>44384</v>
      </c>
      <c r="C267" s="1" t="n">
        <v>45809</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35413-2021</t>
        </is>
      </c>
      <c r="B268" s="1" t="n">
        <v>44385</v>
      </c>
      <c r="C268" s="1" t="n">
        <v>45809</v>
      </c>
      <c r="D268" t="inlineStr">
        <is>
          <t>VÄSTERNORRLANDS LÄN</t>
        </is>
      </c>
      <c r="E268" t="inlineStr">
        <is>
          <t>TIMRÅ</t>
        </is>
      </c>
      <c r="G268" t="n">
        <v>1</v>
      </c>
      <c r="H268" t="n">
        <v>0</v>
      </c>
      <c r="I268" t="n">
        <v>0</v>
      </c>
      <c r="J268" t="n">
        <v>0</v>
      </c>
      <c r="K268" t="n">
        <v>0</v>
      </c>
      <c r="L268" t="n">
        <v>0</v>
      </c>
      <c r="M268" t="n">
        <v>0</v>
      </c>
      <c r="N268" t="n">
        <v>0</v>
      </c>
      <c r="O268" t="n">
        <v>0</v>
      </c>
      <c r="P268" t="n">
        <v>0</v>
      </c>
      <c r="Q268" t="n">
        <v>0</v>
      </c>
      <c r="R268" s="2" t="inlineStr"/>
    </row>
    <row r="269" ht="15" customHeight="1">
      <c r="A269" t="inlineStr">
        <is>
          <t>A 35417-2021</t>
        </is>
      </c>
      <c r="B269" s="1" t="n">
        <v>44385</v>
      </c>
      <c r="C269" s="1" t="n">
        <v>45809</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36987-2021</t>
        </is>
      </c>
      <c r="B270" s="1" t="n">
        <v>44393</v>
      </c>
      <c r="C270" s="1" t="n">
        <v>45809</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37165-2021</t>
        </is>
      </c>
      <c r="B271" s="1" t="n">
        <v>44396</v>
      </c>
      <c r="C271" s="1" t="n">
        <v>45809</v>
      </c>
      <c r="D271" t="inlineStr">
        <is>
          <t>VÄSTERNORRLANDS LÄN</t>
        </is>
      </c>
      <c r="E271" t="inlineStr">
        <is>
          <t>TIMRÅ</t>
        </is>
      </c>
      <c r="G271" t="n">
        <v>6.8</v>
      </c>
      <c r="H271" t="n">
        <v>0</v>
      </c>
      <c r="I271" t="n">
        <v>0</v>
      </c>
      <c r="J271" t="n">
        <v>0</v>
      </c>
      <c r="K271" t="n">
        <v>0</v>
      </c>
      <c r="L271" t="n">
        <v>0</v>
      </c>
      <c r="M271" t="n">
        <v>0</v>
      </c>
      <c r="N271" t="n">
        <v>0</v>
      </c>
      <c r="O271" t="n">
        <v>0</v>
      </c>
      <c r="P271" t="n">
        <v>0</v>
      </c>
      <c r="Q271" t="n">
        <v>0</v>
      </c>
      <c r="R271" s="2" t="inlineStr"/>
    </row>
    <row r="272" ht="15" customHeight="1">
      <c r="A272" t="inlineStr">
        <is>
          <t>A 39534-2021</t>
        </is>
      </c>
      <c r="B272" s="1" t="n">
        <v>44416</v>
      </c>
      <c r="C272" s="1" t="n">
        <v>45809</v>
      </c>
      <c r="D272" t="inlineStr">
        <is>
          <t>VÄSTERNORRLANDS LÄN</t>
        </is>
      </c>
      <c r="E272" t="inlineStr">
        <is>
          <t>TIMRÅ</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39821-2021</t>
        </is>
      </c>
      <c r="B273" s="1" t="n">
        <v>44417</v>
      </c>
      <c r="C273" s="1" t="n">
        <v>45809</v>
      </c>
      <c r="D273" t="inlineStr">
        <is>
          <t>VÄSTERNORRLANDS LÄN</t>
        </is>
      </c>
      <c r="E273" t="inlineStr">
        <is>
          <t>TIMRÅ</t>
        </is>
      </c>
      <c r="G273" t="n">
        <v>0.4</v>
      </c>
      <c r="H273" t="n">
        <v>0</v>
      </c>
      <c r="I273" t="n">
        <v>0</v>
      </c>
      <c r="J273" t="n">
        <v>0</v>
      </c>
      <c r="K273" t="n">
        <v>0</v>
      </c>
      <c r="L273" t="n">
        <v>0</v>
      </c>
      <c r="M273" t="n">
        <v>0</v>
      </c>
      <c r="N273" t="n">
        <v>0</v>
      </c>
      <c r="O273" t="n">
        <v>0</v>
      </c>
      <c r="P273" t="n">
        <v>0</v>
      </c>
      <c r="Q273" t="n">
        <v>0</v>
      </c>
      <c r="R273" s="2" t="inlineStr"/>
    </row>
    <row r="274" ht="15" customHeight="1">
      <c r="A274" t="inlineStr">
        <is>
          <t>A 40519-2021</t>
        </is>
      </c>
      <c r="B274" s="1" t="n">
        <v>44420</v>
      </c>
      <c r="C274" s="1" t="n">
        <v>45809</v>
      </c>
      <c r="D274" t="inlineStr">
        <is>
          <t>VÄSTERNORRLANDS LÄN</t>
        </is>
      </c>
      <c r="E274" t="inlineStr">
        <is>
          <t>TIMRÅ</t>
        </is>
      </c>
      <c r="G274" t="n">
        <v>1.7</v>
      </c>
      <c r="H274" t="n">
        <v>0</v>
      </c>
      <c r="I274" t="n">
        <v>0</v>
      </c>
      <c r="J274" t="n">
        <v>0</v>
      </c>
      <c r="K274" t="n">
        <v>0</v>
      </c>
      <c r="L274" t="n">
        <v>0</v>
      </c>
      <c r="M274" t="n">
        <v>0</v>
      </c>
      <c r="N274" t="n">
        <v>0</v>
      </c>
      <c r="O274" t="n">
        <v>0</v>
      </c>
      <c r="P274" t="n">
        <v>0</v>
      </c>
      <c r="Q274" t="n">
        <v>0</v>
      </c>
      <c r="R274" s="2" t="inlineStr"/>
    </row>
    <row r="275" ht="15" customHeight="1">
      <c r="A275" t="inlineStr">
        <is>
          <t>A 43848-2021</t>
        </is>
      </c>
      <c r="B275" s="1" t="n">
        <v>44434</v>
      </c>
      <c r="C275" s="1" t="n">
        <v>45809</v>
      </c>
      <c r="D275" t="inlineStr">
        <is>
          <t>VÄSTERNORRLANDS LÄN</t>
        </is>
      </c>
      <c r="E275" t="inlineStr">
        <is>
          <t>TIMRÅ</t>
        </is>
      </c>
      <c r="G275" t="n">
        <v>2.4</v>
      </c>
      <c r="H275" t="n">
        <v>0</v>
      </c>
      <c r="I275" t="n">
        <v>0</v>
      </c>
      <c r="J275" t="n">
        <v>0</v>
      </c>
      <c r="K275" t="n">
        <v>0</v>
      </c>
      <c r="L275" t="n">
        <v>0</v>
      </c>
      <c r="M275" t="n">
        <v>0</v>
      </c>
      <c r="N275" t="n">
        <v>0</v>
      </c>
      <c r="O275" t="n">
        <v>0</v>
      </c>
      <c r="P275" t="n">
        <v>0</v>
      </c>
      <c r="Q275" t="n">
        <v>0</v>
      </c>
      <c r="R275" s="2" t="inlineStr"/>
    </row>
    <row r="276" ht="15" customHeight="1">
      <c r="A276" t="inlineStr">
        <is>
          <t>A 45441-2021</t>
        </is>
      </c>
      <c r="B276" s="1" t="n">
        <v>44440</v>
      </c>
      <c r="C276" s="1" t="n">
        <v>45809</v>
      </c>
      <c r="D276" t="inlineStr">
        <is>
          <t>VÄSTERNORRLANDS LÄN</t>
        </is>
      </c>
      <c r="E276" t="inlineStr">
        <is>
          <t>TIMRÅ</t>
        </is>
      </c>
      <c r="G276" t="n">
        <v>2</v>
      </c>
      <c r="H276" t="n">
        <v>0</v>
      </c>
      <c r="I276" t="n">
        <v>0</v>
      </c>
      <c r="J276" t="n">
        <v>0</v>
      </c>
      <c r="K276" t="n">
        <v>0</v>
      </c>
      <c r="L276" t="n">
        <v>0</v>
      </c>
      <c r="M276" t="n">
        <v>0</v>
      </c>
      <c r="N276" t="n">
        <v>0</v>
      </c>
      <c r="O276" t="n">
        <v>0</v>
      </c>
      <c r="P276" t="n">
        <v>0</v>
      </c>
      <c r="Q276" t="n">
        <v>0</v>
      </c>
      <c r="R276" s="2" t="inlineStr"/>
    </row>
    <row r="277" ht="15" customHeight="1">
      <c r="A277" t="inlineStr">
        <is>
          <t>A 47203-2021</t>
        </is>
      </c>
      <c r="B277" s="1" t="n">
        <v>44447</v>
      </c>
      <c r="C277" s="1" t="n">
        <v>45809</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47569-2021</t>
        </is>
      </c>
      <c r="B278" s="1" t="n">
        <v>44447</v>
      </c>
      <c r="C278" s="1" t="n">
        <v>45809</v>
      </c>
      <c r="D278" t="inlineStr">
        <is>
          <t>VÄSTERNORRLANDS LÄN</t>
        </is>
      </c>
      <c r="E278" t="inlineStr">
        <is>
          <t>TIMRÅ</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47570-2021</t>
        </is>
      </c>
      <c r="B279" s="1" t="n">
        <v>44448</v>
      </c>
      <c r="C279" s="1" t="n">
        <v>45809</v>
      </c>
      <c r="D279" t="inlineStr">
        <is>
          <t>VÄSTERNORRLANDS LÄN</t>
        </is>
      </c>
      <c r="E279" t="inlineStr">
        <is>
          <t>TIMRÅ</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49056-2021</t>
        </is>
      </c>
      <c r="B280" s="1" t="n">
        <v>44453</v>
      </c>
      <c r="C280" s="1" t="n">
        <v>45809</v>
      </c>
      <c r="D280" t="inlineStr">
        <is>
          <t>VÄSTERNORRLANDS LÄN</t>
        </is>
      </c>
      <c r="E280" t="inlineStr">
        <is>
          <t>TIMRÅ</t>
        </is>
      </c>
      <c r="G280" t="n">
        <v>3.4</v>
      </c>
      <c r="H280" t="n">
        <v>0</v>
      </c>
      <c r="I280" t="n">
        <v>0</v>
      </c>
      <c r="J280" t="n">
        <v>0</v>
      </c>
      <c r="K280" t="n">
        <v>0</v>
      </c>
      <c r="L280" t="n">
        <v>0</v>
      </c>
      <c r="M280" t="n">
        <v>0</v>
      </c>
      <c r="N280" t="n">
        <v>0</v>
      </c>
      <c r="O280" t="n">
        <v>0</v>
      </c>
      <c r="P280" t="n">
        <v>0</v>
      </c>
      <c r="Q280" t="n">
        <v>0</v>
      </c>
      <c r="R280" s="2" t="inlineStr"/>
    </row>
    <row r="281" ht="15" customHeight="1">
      <c r="A281" t="inlineStr">
        <is>
          <t>A 49486-2021</t>
        </is>
      </c>
      <c r="B281" s="1" t="n">
        <v>44455</v>
      </c>
      <c r="C281" s="1" t="n">
        <v>45809</v>
      </c>
      <c r="D281" t="inlineStr">
        <is>
          <t>VÄSTERNORRLANDS LÄN</t>
        </is>
      </c>
      <c r="E281" t="inlineStr">
        <is>
          <t>TIMRÅ</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53305-2021</t>
        </is>
      </c>
      <c r="B282" s="1" t="n">
        <v>44467</v>
      </c>
      <c r="C282" s="1" t="n">
        <v>45809</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53699-2021</t>
        </is>
      </c>
      <c r="B283" s="1" t="n">
        <v>44469</v>
      </c>
      <c r="C283" s="1" t="n">
        <v>45809</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53703-2021</t>
        </is>
      </c>
      <c r="B284" s="1" t="n">
        <v>44469</v>
      </c>
      <c r="C284" s="1" t="n">
        <v>45809</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59570-2021</t>
        </is>
      </c>
      <c r="B285" s="1" t="n">
        <v>44491</v>
      </c>
      <c r="C285" s="1" t="n">
        <v>45809</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59964-2021</t>
        </is>
      </c>
      <c r="B286" s="1" t="n">
        <v>44494</v>
      </c>
      <c r="C286" s="1" t="n">
        <v>45809</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64433-2021</t>
        </is>
      </c>
      <c r="B287" s="1" t="n">
        <v>44511</v>
      </c>
      <c r="C287" s="1" t="n">
        <v>45809</v>
      </c>
      <c r="D287" t="inlineStr">
        <is>
          <t>VÄSTERNORRLANDS LÄN</t>
        </is>
      </c>
      <c r="E287" t="inlineStr">
        <is>
          <t>TIMRÅ</t>
        </is>
      </c>
      <c r="G287" t="n">
        <v>0.6</v>
      </c>
      <c r="H287" t="n">
        <v>0</v>
      </c>
      <c r="I287" t="n">
        <v>0</v>
      </c>
      <c r="J287" t="n">
        <v>0</v>
      </c>
      <c r="K287" t="n">
        <v>0</v>
      </c>
      <c r="L287" t="n">
        <v>0</v>
      </c>
      <c r="M287" t="n">
        <v>0</v>
      </c>
      <c r="N287" t="n">
        <v>0</v>
      </c>
      <c r="O287" t="n">
        <v>0</v>
      </c>
      <c r="P287" t="n">
        <v>0</v>
      </c>
      <c r="Q287" t="n">
        <v>0</v>
      </c>
      <c r="R287" s="2" t="inlineStr"/>
    </row>
    <row r="288" ht="15" customHeight="1">
      <c r="A288" t="inlineStr">
        <is>
          <t>A 66154-2021</t>
        </is>
      </c>
      <c r="B288" s="1" t="n">
        <v>44517</v>
      </c>
      <c r="C288" s="1" t="n">
        <v>45809</v>
      </c>
      <c r="D288" t="inlineStr">
        <is>
          <t>VÄSTERNORRLANDS LÄN</t>
        </is>
      </c>
      <c r="E288" t="inlineStr">
        <is>
          <t>TIMRÅ</t>
        </is>
      </c>
      <c r="G288" t="n">
        <v>5.6</v>
      </c>
      <c r="H288" t="n">
        <v>0</v>
      </c>
      <c r="I288" t="n">
        <v>0</v>
      </c>
      <c r="J288" t="n">
        <v>0</v>
      </c>
      <c r="K288" t="n">
        <v>0</v>
      </c>
      <c r="L288" t="n">
        <v>0</v>
      </c>
      <c r="M288" t="n">
        <v>0</v>
      </c>
      <c r="N288" t="n">
        <v>0</v>
      </c>
      <c r="O288" t="n">
        <v>0</v>
      </c>
      <c r="P288" t="n">
        <v>0</v>
      </c>
      <c r="Q288" t="n">
        <v>0</v>
      </c>
      <c r="R288" s="2" t="inlineStr"/>
    </row>
    <row r="289" ht="15" customHeight="1">
      <c r="A289" t="inlineStr">
        <is>
          <t>A 66409-2021</t>
        </is>
      </c>
      <c r="B289" s="1" t="n">
        <v>44518</v>
      </c>
      <c r="C289" s="1" t="n">
        <v>45809</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67065-2021</t>
        </is>
      </c>
      <c r="B290" s="1" t="n">
        <v>44522</v>
      </c>
      <c r="C290" s="1" t="n">
        <v>45809</v>
      </c>
      <c r="D290" t="inlineStr">
        <is>
          <t>VÄSTERNORRLANDS LÄN</t>
        </is>
      </c>
      <c r="E290" t="inlineStr">
        <is>
          <t>TIMRÅ</t>
        </is>
      </c>
      <c r="G290" t="n">
        <v>2.6</v>
      </c>
      <c r="H290" t="n">
        <v>0</v>
      </c>
      <c r="I290" t="n">
        <v>0</v>
      </c>
      <c r="J290" t="n">
        <v>0</v>
      </c>
      <c r="K290" t="n">
        <v>0</v>
      </c>
      <c r="L290" t="n">
        <v>0</v>
      </c>
      <c r="M290" t="n">
        <v>0</v>
      </c>
      <c r="N290" t="n">
        <v>0</v>
      </c>
      <c r="O290" t="n">
        <v>0</v>
      </c>
      <c r="P290" t="n">
        <v>0</v>
      </c>
      <c r="Q290" t="n">
        <v>0</v>
      </c>
      <c r="R290" s="2" t="inlineStr"/>
    </row>
    <row r="291" ht="15" customHeight="1">
      <c r="A291" t="inlineStr">
        <is>
          <t>A 67063-2021</t>
        </is>
      </c>
      <c r="B291" s="1" t="n">
        <v>44522</v>
      </c>
      <c r="C291" s="1" t="n">
        <v>45809</v>
      </c>
      <c r="D291" t="inlineStr">
        <is>
          <t>VÄSTERNORRLANDS LÄN</t>
        </is>
      </c>
      <c r="E291" t="inlineStr">
        <is>
          <t>TIMRÅ</t>
        </is>
      </c>
      <c r="G291" t="n">
        <v>1.9</v>
      </c>
      <c r="H291" t="n">
        <v>0</v>
      </c>
      <c r="I291" t="n">
        <v>0</v>
      </c>
      <c r="J291" t="n">
        <v>0</v>
      </c>
      <c r="K291" t="n">
        <v>0</v>
      </c>
      <c r="L291" t="n">
        <v>0</v>
      </c>
      <c r="M291" t="n">
        <v>0</v>
      </c>
      <c r="N291" t="n">
        <v>0</v>
      </c>
      <c r="O291" t="n">
        <v>0</v>
      </c>
      <c r="P291" t="n">
        <v>0</v>
      </c>
      <c r="Q291" t="n">
        <v>0</v>
      </c>
      <c r="R291" s="2" t="inlineStr"/>
    </row>
    <row r="292" ht="15" customHeight="1">
      <c r="A292" t="inlineStr">
        <is>
          <t>A 67673-2021</t>
        </is>
      </c>
      <c r="B292" s="1" t="n">
        <v>44524</v>
      </c>
      <c r="C292" s="1" t="n">
        <v>45809</v>
      </c>
      <c r="D292" t="inlineStr">
        <is>
          <t>VÄSTERNORRLANDS LÄN</t>
        </is>
      </c>
      <c r="E292" t="inlineStr">
        <is>
          <t>TIMRÅ</t>
        </is>
      </c>
      <c r="G292" t="n">
        <v>6.8</v>
      </c>
      <c r="H292" t="n">
        <v>0</v>
      </c>
      <c r="I292" t="n">
        <v>0</v>
      </c>
      <c r="J292" t="n">
        <v>0</v>
      </c>
      <c r="K292" t="n">
        <v>0</v>
      </c>
      <c r="L292" t="n">
        <v>0</v>
      </c>
      <c r="M292" t="n">
        <v>0</v>
      </c>
      <c r="N292" t="n">
        <v>0</v>
      </c>
      <c r="O292" t="n">
        <v>0</v>
      </c>
      <c r="P292" t="n">
        <v>0</v>
      </c>
      <c r="Q292" t="n">
        <v>0</v>
      </c>
      <c r="R292" s="2" t="inlineStr"/>
    </row>
    <row r="293" ht="15" customHeight="1">
      <c r="A293" t="inlineStr">
        <is>
          <t>A 68391-2021</t>
        </is>
      </c>
      <c r="B293" s="1" t="n">
        <v>44526</v>
      </c>
      <c r="C293" s="1" t="n">
        <v>45809</v>
      </c>
      <c r="D293" t="inlineStr">
        <is>
          <t>VÄSTERNORRLANDS LÄN</t>
        </is>
      </c>
      <c r="E293" t="inlineStr">
        <is>
          <t>TIMRÅ</t>
        </is>
      </c>
      <c r="G293" t="n">
        <v>2.2</v>
      </c>
      <c r="H293" t="n">
        <v>0</v>
      </c>
      <c r="I293" t="n">
        <v>0</v>
      </c>
      <c r="J293" t="n">
        <v>0</v>
      </c>
      <c r="K293" t="n">
        <v>0</v>
      </c>
      <c r="L293" t="n">
        <v>0</v>
      </c>
      <c r="M293" t="n">
        <v>0</v>
      </c>
      <c r="N293" t="n">
        <v>0</v>
      </c>
      <c r="O293" t="n">
        <v>0</v>
      </c>
      <c r="P293" t="n">
        <v>0</v>
      </c>
      <c r="Q293" t="n">
        <v>0</v>
      </c>
      <c r="R293" s="2" t="inlineStr"/>
    </row>
    <row r="294" ht="15" customHeight="1">
      <c r="A294" t="inlineStr">
        <is>
          <t>A 68774-2021</t>
        </is>
      </c>
      <c r="B294" s="1" t="n">
        <v>44529</v>
      </c>
      <c r="C294" s="1" t="n">
        <v>45809</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69274-2021</t>
        </is>
      </c>
      <c r="B295" s="1" t="n">
        <v>44530</v>
      </c>
      <c r="C295" s="1" t="n">
        <v>45809</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69266-2021</t>
        </is>
      </c>
      <c r="B296" s="1" t="n">
        <v>44530</v>
      </c>
      <c r="C296" s="1" t="n">
        <v>45809</v>
      </c>
      <c r="D296" t="inlineStr">
        <is>
          <t>VÄSTERNORRLANDS LÄN</t>
        </is>
      </c>
      <c r="E296" t="inlineStr">
        <is>
          <t>TIMRÅ</t>
        </is>
      </c>
      <c r="G296" t="n">
        <v>0.3</v>
      </c>
      <c r="H296" t="n">
        <v>0</v>
      </c>
      <c r="I296" t="n">
        <v>0</v>
      </c>
      <c r="J296" t="n">
        <v>0</v>
      </c>
      <c r="K296" t="n">
        <v>0</v>
      </c>
      <c r="L296" t="n">
        <v>0</v>
      </c>
      <c r="M296" t="n">
        <v>0</v>
      </c>
      <c r="N296" t="n">
        <v>0</v>
      </c>
      <c r="O296" t="n">
        <v>0</v>
      </c>
      <c r="P296" t="n">
        <v>0</v>
      </c>
      <c r="Q296" t="n">
        <v>0</v>
      </c>
      <c r="R296" s="2" t="inlineStr"/>
    </row>
    <row r="297" ht="15" customHeight="1">
      <c r="A297" t="inlineStr">
        <is>
          <t>A 69278-2021</t>
        </is>
      </c>
      <c r="B297" s="1" t="n">
        <v>44531</v>
      </c>
      <c r="C297" s="1" t="n">
        <v>45809</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69663-2021</t>
        </is>
      </c>
      <c r="B298" s="1" t="n">
        <v>44531</v>
      </c>
      <c r="C298" s="1" t="n">
        <v>45809</v>
      </c>
      <c r="D298" t="inlineStr">
        <is>
          <t>VÄSTERNORRLANDS LÄN</t>
        </is>
      </c>
      <c r="E298" t="inlineStr">
        <is>
          <t>TIMRÅ</t>
        </is>
      </c>
      <c r="G298" t="n">
        <v>1.2</v>
      </c>
      <c r="H298" t="n">
        <v>0</v>
      </c>
      <c r="I298" t="n">
        <v>0</v>
      </c>
      <c r="J298" t="n">
        <v>0</v>
      </c>
      <c r="K298" t="n">
        <v>0</v>
      </c>
      <c r="L298" t="n">
        <v>0</v>
      </c>
      <c r="M298" t="n">
        <v>0</v>
      </c>
      <c r="N298" t="n">
        <v>0</v>
      </c>
      <c r="O298" t="n">
        <v>0</v>
      </c>
      <c r="P298" t="n">
        <v>0</v>
      </c>
      <c r="Q298" t="n">
        <v>0</v>
      </c>
      <c r="R298" s="2" t="inlineStr"/>
    </row>
    <row r="299" ht="15" customHeight="1">
      <c r="A299" t="inlineStr">
        <is>
          <t>A 70507-2021</t>
        </is>
      </c>
      <c r="B299" s="1" t="n">
        <v>44536</v>
      </c>
      <c r="C299" s="1" t="n">
        <v>45809</v>
      </c>
      <c r="D299" t="inlineStr">
        <is>
          <t>VÄSTERNORRLANDS LÄN</t>
        </is>
      </c>
      <c r="E299" t="inlineStr">
        <is>
          <t>TIMRÅ</t>
        </is>
      </c>
      <c r="G299" t="n">
        <v>2.5</v>
      </c>
      <c r="H299" t="n">
        <v>0</v>
      </c>
      <c r="I299" t="n">
        <v>0</v>
      </c>
      <c r="J299" t="n">
        <v>0</v>
      </c>
      <c r="K299" t="n">
        <v>0</v>
      </c>
      <c r="L299" t="n">
        <v>0</v>
      </c>
      <c r="M299" t="n">
        <v>0</v>
      </c>
      <c r="N299" t="n">
        <v>0</v>
      </c>
      <c r="O299" t="n">
        <v>0</v>
      </c>
      <c r="P299" t="n">
        <v>0</v>
      </c>
      <c r="Q299" t="n">
        <v>0</v>
      </c>
      <c r="R299" s="2" t="inlineStr"/>
    </row>
    <row r="300" ht="15" customHeight="1">
      <c r="A300" t="inlineStr">
        <is>
          <t>A 70906-2021</t>
        </is>
      </c>
      <c r="B300" s="1" t="n">
        <v>44537</v>
      </c>
      <c r="C300" s="1" t="n">
        <v>45809</v>
      </c>
      <c r="D300" t="inlineStr">
        <is>
          <t>VÄSTERNORRLANDS LÄN</t>
        </is>
      </c>
      <c r="E300" t="inlineStr">
        <is>
          <t>TIMRÅ</t>
        </is>
      </c>
      <c r="G300" t="n">
        <v>3.9</v>
      </c>
      <c r="H300" t="n">
        <v>0</v>
      </c>
      <c r="I300" t="n">
        <v>0</v>
      </c>
      <c r="J300" t="n">
        <v>0</v>
      </c>
      <c r="K300" t="n">
        <v>0</v>
      </c>
      <c r="L300" t="n">
        <v>0</v>
      </c>
      <c r="M300" t="n">
        <v>0</v>
      </c>
      <c r="N300" t="n">
        <v>0</v>
      </c>
      <c r="O300" t="n">
        <v>0</v>
      </c>
      <c r="P300" t="n">
        <v>0</v>
      </c>
      <c r="Q300" t="n">
        <v>0</v>
      </c>
      <c r="R300" s="2" t="inlineStr"/>
    </row>
    <row r="301" ht="15" customHeight="1">
      <c r="A301" t="inlineStr">
        <is>
          <t>A 71213-2021</t>
        </is>
      </c>
      <c r="B301" s="1" t="n">
        <v>44539</v>
      </c>
      <c r="C301" s="1" t="n">
        <v>45809</v>
      </c>
      <c r="D301" t="inlineStr">
        <is>
          <t>VÄSTERNORRLANDS LÄN</t>
        </is>
      </c>
      <c r="E301" t="inlineStr">
        <is>
          <t>TIMRÅ</t>
        </is>
      </c>
      <c r="G301" t="n">
        <v>0.8</v>
      </c>
      <c r="H301" t="n">
        <v>0</v>
      </c>
      <c r="I301" t="n">
        <v>0</v>
      </c>
      <c r="J301" t="n">
        <v>0</v>
      </c>
      <c r="K301" t="n">
        <v>0</v>
      </c>
      <c r="L301" t="n">
        <v>0</v>
      </c>
      <c r="M301" t="n">
        <v>0</v>
      </c>
      <c r="N301" t="n">
        <v>0</v>
      </c>
      <c r="O301" t="n">
        <v>0</v>
      </c>
      <c r="P301" t="n">
        <v>0</v>
      </c>
      <c r="Q301" t="n">
        <v>0</v>
      </c>
      <c r="R301" s="2" t="inlineStr"/>
    </row>
    <row r="302" ht="15" customHeight="1">
      <c r="A302" t="inlineStr">
        <is>
          <t>A 73225-2021</t>
        </is>
      </c>
      <c r="B302" s="1" t="n">
        <v>44550</v>
      </c>
      <c r="C302" s="1" t="n">
        <v>45809</v>
      </c>
      <c r="D302" t="inlineStr">
        <is>
          <t>VÄSTERNORRLANDS LÄN</t>
        </is>
      </c>
      <c r="E302" t="inlineStr">
        <is>
          <t>TIMRÅ</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74020-2021</t>
        </is>
      </c>
      <c r="B303" s="1" t="n">
        <v>44557</v>
      </c>
      <c r="C303" s="1" t="n">
        <v>45809</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74043-2021</t>
        </is>
      </c>
      <c r="B304" s="1" t="n">
        <v>44557</v>
      </c>
      <c r="C304" s="1" t="n">
        <v>45809</v>
      </c>
      <c r="D304" t="inlineStr">
        <is>
          <t>VÄSTERNORRLANDS LÄN</t>
        </is>
      </c>
      <c r="E304" t="inlineStr">
        <is>
          <t>TIMRÅ</t>
        </is>
      </c>
      <c r="G304" t="n">
        <v>0.1</v>
      </c>
      <c r="H304" t="n">
        <v>0</v>
      </c>
      <c r="I304" t="n">
        <v>0</v>
      </c>
      <c r="J304" t="n">
        <v>0</v>
      </c>
      <c r="K304" t="n">
        <v>0</v>
      </c>
      <c r="L304" t="n">
        <v>0</v>
      </c>
      <c r="M304" t="n">
        <v>0</v>
      </c>
      <c r="N304" t="n">
        <v>0</v>
      </c>
      <c r="O304" t="n">
        <v>0</v>
      </c>
      <c r="P304" t="n">
        <v>0</v>
      </c>
      <c r="Q304" t="n">
        <v>0</v>
      </c>
      <c r="R304" s="2" t="inlineStr"/>
    </row>
    <row r="305" ht="15" customHeight="1">
      <c r="A305" t="inlineStr">
        <is>
          <t>A 74044-2021</t>
        </is>
      </c>
      <c r="B305" s="1" t="n">
        <v>44557</v>
      </c>
      <c r="C305" s="1" t="n">
        <v>45809</v>
      </c>
      <c r="D305" t="inlineStr">
        <is>
          <t>VÄSTERNORRLANDS LÄN</t>
        </is>
      </c>
      <c r="E305" t="inlineStr">
        <is>
          <t>TIMRÅ</t>
        </is>
      </c>
      <c r="G305" t="n">
        <v>0.2</v>
      </c>
      <c r="H305" t="n">
        <v>0</v>
      </c>
      <c r="I305" t="n">
        <v>0</v>
      </c>
      <c r="J305" t="n">
        <v>0</v>
      </c>
      <c r="K305" t="n">
        <v>0</v>
      </c>
      <c r="L305" t="n">
        <v>0</v>
      </c>
      <c r="M305" t="n">
        <v>0</v>
      </c>
      <c r="N305" t="n">
        <v>0</v>
      </c>
      <c r="O305" t="n">
        <v>0</v>
      </c>
      <c r="P305" t="n">
        <v>0</v>
      </c>
      <c r="Q305" t="n">
        <v>0</v>
      </c>
      <c r="R305" s="2" t="inlineStr"/>
    </row>
    <row r="306" ht="15" customHeight="1">
      <c r="A306" t="inlineStr">
        <is>
          <t>A 74148-2021</t>
        </is>
      </c>
      <c r="B306" s="1" t="n">
        <v>44557</v>
      </c>
      <c r="C306" s="1" t="n">
        <v>45809</v>
      </c>
      <c r="D306" t="inlineStr">
        <is>
          <t>VÄSTERNORRLANDS LÄN</t>
        </is>
      </c>
      <c r="E306" t="inlineStr">
        <is>
          <t>TIMRÅ</t>
        </is>
      </c>
      <c r="G306" t="n">
        <v>0.7</v>
      </c>
      <c r="H306" t="n">
        <v>0</v>
      </c>
      <c r="I306" t="n">
        <v>0</v>
      </c>
      <c r="J306" t="n">
        <v>0</v>
      </c>
      <c r="K306" t="n">
        <v>0</v>
      </c>
      <c r="L306" t="n">
        <v>0</v>
      </c>
      <c r="M306" t="n">
        <v>0</v>
      </c>
      <c r="N306" t="n">
        <v>0</v>
      </c>
      <c r="O306" t="n">
        <v>0</v>
      </c>
      <c r="P306" t="n">
        <v>0</v>
      </c>
      <c r="Q306" t="n">
        <v>0</v>
      </c>
      <c r="R306" s="2" t="inlineStr"/>
    </row>
    <row r="307" ht="15" customHeight="1">
      <c r="A307" t="inlineStr">
        <is>
          <t>A 74150-2021</t>
        </is>
      </c>
      <c r="B307" s="1" t="n">
        <v>44557</v>
      </c>
      <c r="C307" s="1" t="n">
        <v>45809</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74177-2021</t>
        </is>
      </c>
      <c r="B308" s="1" t="n">
        <v>44558</v>
      </c>
      <c r="C308" s="1" t="n">
        <v>45809</v>
      </c>
      <c r="D308" t="inlineStr">
        <is>
          <t>VÄSTERNORRLANDS LÄN</t>
        </is>
      </c>
      <c r="E308" t="inlineStr">
        <is>
          <t>TIMRÅ</t>
        </is>
      </c>
      <c r="G308" t="n">
        <v>1.8</v>
      </c>
      <c r="H308" t="n">
        <v>0</v>
      </c>
      <c r="I308" t="n">
        <v>0</v>
      </c>
      <c r="J308" t="n">
        <v>0</v>
      </c>
      <c r="K308" t="n">
        <v>0</v>
      </c>
      <c r="L308" t="n">
        <v>0</v>
      </c>
      <c r="M308" t="n">
        <v>0</v>
      </c>
      <c r="N308" t="n">
        <v>0</v>
      </c>
      <c r="O308" t="n">
        <v>0</v>
      </c>
      <c r="P308" t="n">
        <v>0</v>
      </c>
      <c r="Q308" t="n">
        <v>0</v>
      </c>
      <c r="R308" s="2" t="inlineStr"/>
    </row>
    <row r="309" ht="15" customHeight="1">
      <c r="A309" t="inlineStr">
        <is>
          <t>A 580-2022</t>
        </is>
      </c>
      <c r="B309" s="1" t="n">
        <v>44566</v>
      </c>
      <c r="C309" s="1" t="n">
        <v>45809</v>
      </c>
      <c r="D309" t="inlineStr">
        <is>
          <t>VÄSTERNORRLANDS LÄN</t>
        </is>
      </c>
      <c r="E309" t="inlineStr">
        <is>
          <t>TIMRÅ</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1078-2022</t>
        </is>
      </c>
      <c r="B310" s="1" t="n">
        <v>44571</v>
      </c>
      <c r="C310" s="1" t="n">
        <v>45809</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1855-2022</t>
        </is>
      </c>
      <c r="B311" s="1" t="n">
        <v>44574</v>
      </c>
      <c r="C311" s="1" t="n">
        <v>45809</v>
      </c>
      <c r="D311" t="inlineStr">
        <is>
          <t>VÄSTERNORRLANDS LÄN</t>
        </is>
      </c>
      <c r="E311" t="inlineStr">
        <is>
          <t>TIMRÅ</t>
        </is>
      </c>
      <c r="G311" t="n">
        <v>3.1</v>
      </c>
      <c r="H311" t="n">
        <v>0</v>
      </c>
      <c r="I311" t="n">
        <v>0</v>
      </c>
      <c r="J311" t="n">
        <v>0</v>
      </c>
      <c r="K311" t="n">
        <v>0</v>
      </c>
      <c r="L311" t="n">
        <v>0</v>
      </c>
      <c r="M311" t="n">
        <v>0</v>
      </c>
      <c r="N311" t="n">
        <v>0</v>
      </c>
      <c r="O311" t="n">
        <v>0</v>
      </c>
      <c r="P311" t="n">
        <v>0</v>
      </c>
      <c r="Q311" t="n">
        <v>0</v>
      </c>
      <c r="R311" s="2" t="inlineStr"/>
    </row>
    <row r="312" ht="15" customHeight="1">
      <c r="A312" t="inlineStr">
        <is>
          <t>A 2073-2022</t>
        </is>
      </c>
      <c r="B312" s="1" t="n">
        <v>44575</v>
      </c>
      <c r="C312" s="1" t="n">
        <v>45809</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2226-2022</t>
        </is>
      </c>
      <c r="B313" s="1" t="n">
        <v>44578</v>
      </c>
      <c r="C313" s="1" t="n">
        <v>45809</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5649-2022</t>
        </is>
      </c>
      <c r="B314" s="1" t="n">
        <v>44595</v>
      </c>
      <c r="C314" s="1" t="n">
        <v>45809</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7152-2022</t>
        </is>
      </c>
      <c r="B315" s="1" t="n">
        <v>44603</v>
      </c>
      <c r="C315" s="1" t="n">
        <v>45809</v>
      </c>
      <c r="D315" t="inlineStr">
        <is>
          <t>VÄSTERNORRLANDS LÄN</t>
        </is>
      </c>
      <c r="E315" t="inlineStr">
        <is>
          <t>TIMRÅ</t>
        </is>
      </c>
      <c r="G315" t="n">
        <v>2.4</v>
      </c>
      <c r="H315" t="n">
        <v>0</v>
      </c>
      <c r="I315" t="n">
        <v>0</v>
      </c>
      <c r="J315" t="n">
        <v>0</v>
      </c>
      <c r="K315" t="n">
        <v>0</v>
      </c>
      <c r="L315" t="n">
        <v>0</v>
      </c>
      <c r="M315" t="n">
        <v>0</v>
      </c>
      <c r="N315" t="n">
        <v>0</v>
      </c>
      <c r="O315" t="n">
        <v>0</v>
      </c>
      <c r="P315" t="n">
        <v>0</v>
      </c>
      <c r="Q315" t="n">
        <v>0</v>
      </c>
      <c r="R315" s="2" t="inlineStr"/>
    </row>
    <row r="316" ht="15" customHeight="1">
      <c r="A316" t="inlineStr">
        <is>
          <t>A 7670-2022</t>
        </is>
      </c>
      <c r="B316" s="1" t="n">
        <v>44607</v>
      </c>
      <c r="C316" s="1" t="n">
        <v>45809</v>
      </c>
      <c r="D316" t="inlineStr">
        <is>
          <t>VÄSTERNORRLANDS LÄN</t>
        </is>
      </c>
      <c r="E316" t="inlineStr">
        <is>
          <t>TIMRÅ</t>
        </is>
      </c>
      <c r="G316" t="n">
        <v>3.6</v>
      </c>
      <c r="H316" t="n">
        <v>0</v>
      </c>
      <c r="I316" t="n">
        <v>0</v>
      </c>
      <c r="J316" t="n">
        <v>0</v>
      </c>
      <c r="K316" t="n">
        <v>0</v>
      </c>
      <c r="L316" t="n">
        <v>0</v>
      </c>
      <c r="M316" t="n">
        <v>0</v>
      </c>
      <c r="N316" t="n">
        <v>0</v>
      </c>
      <c r="O316" t="n">
        <v>0</v>
      </c>
      <c r="P316" t="n">
        <v>0</v>
      </c>
      <c r="Q316" t="n">
        <v>0</v>
      </c>
      <c r="R316" s="2" t="inlineStr"/>
    </row>
    <row r="317" ht="15" customHeight="1">
      <c r="A317" t="inlineStr">
        <is>
          <t>A 7966-2022</t>
        </is>
      </c>
      <c r="B317" s="1" t="n">
        <v>44608</v>
      </c>
      <c r="C317" s="1" t="n">
        <v>45809</v>
      </c>
      <c r="D317" t="inlineStr">
        <is>
          <t>VÄSTERNORRLANDS LÄN</t>
        </is>
      </c>
      <c r="E317" t="inlineStr">
        <is>
          <t>TIMRÅ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8336-2022</t>
        </is>
      </c>
      <c r="B318" s="1" t="n">
        <v>44610</v>
      </c>
      <c r="C318" s="1" t="n">
        <v>45809</v>
      </c>
      <c r="D318" t="inlineStr">
        <is>
          <t>VÄSTERNORRLANDS LÄN</t>
        </is>
      </c>
      <c r="E318" t="inlineStr">
        <is>
          <t>TIMRÅ</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9203-2022</t>
        </is>
      </c>
      <c r="B319" s="1" t="n">
        <v>44615</v>
      </c>
      <c r="C319" s="1" t="n">
        <v>45809</v>
      </c>
      <c r="D319" t="inlineStr">
        <is>
          <t>VÄSTERNORRLANDS LÄN</t>
        </is>
      </c>
      <c r="E319" t="inlineStr">
        <is>
          <t>TIMRÅ</t>
        </is>
      </c>
      <c r="G319" t="n">
        <v>5.5</v>
      </c>
      <c r="H319" t="n">
        <v>0</v>
      </c>
      <c r="I319" t="n">
        <v>0</v>
      </c>
      <c r="J319" t="n">
        <v>0</v>
      </c>
      <c r="K319" t="n">
        <v>0</v>
      </c>
      <c r="L319" t="n">
        <v>0</v>
      </c>
      <c r="M319" t="n">
        <v>0</v>
      </c>
      <c r="N319" t="n">
        <v>0</v>
      </c>
      <c r="O319" t="n">
        <v>0</v>
      </c>
      <c r="P319" t="n">
        <v>0</v>
      </c>
      <c r="Q319" t="n">
        <v>0</v>
      </c>
      <c r="R319" s="2" t="inlineStr"/>
    </row>
    <row r="320" ht="15" customHeight="1">
      <c r="A320" t="inlineStr">
        <is>
          <t>A 9202-2022</t>
        </is>
      </c>
      <c r="B320" s="1" t="n">
        <v>44615</v>
      </c>
      <c r="C320" s="1" t="n">
        <v>45809</v>
      </c>
      <c r="D320" t="inlineStr">
        <is>
          <t>VÄSTERNORRLANDS LÄN</t>
        </is>
      </c>
      <c r="E320" t="inlineStr">
        <is>
          <t>TIMRÅ</t>
        </is>
      </c>
      <c r="G320" t="n">
        <v>2.1</v>
      </c>
      <c r="H320" t="n">
        <v>0</v>
      </c>
      <c r="I320" t="n">
        <v>0</v>
      </c>
      <c r="J320" t="n">
        <v>0</v>
      </c>
      <c r="K320" t="n">
        <v>0</v>
      </c>
      <c r="L320" t="n">
        <v>0</v>
      </c>
      <c r="M320" t="n">
        <v>0</v>
      </c>
      <c r="N320" t="n">
        <v>0</v>
      </c>
      <c r="O320" t="n">
        <v>0</v>
      </c>
      <c r="P320" t="n">
        <v>0</v>
      </c>
      <c r="Q320" t="n">
        <v>0</v>
      </c>
      <c r="R320" s="2" t="inlineStr"/>
    </row>
    <row r="321" ht="15" customHeight="1">
      <c r="A321" t="inlineStr">
        <is>
          <t>A 9256-2022</t>
        </is>
      </c>
      <c r="B321" s="1" t="n">
        <v>44616</v>
      </c>
      <c r="C321" s="1" t="n">
        <v>45809</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9317-2022</t>
        </is>
      </c>
      <c r="B322" s="1" t="n">
        <v>44616</v>
      </c>
      <c r="C322" s="1" t="n">
        <v>45809</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11269-2022</t>
        </is>
      </c>
      <c r="B323" s="1" t="n">
        <v>44629</v>
      </c>
      <c r="C323" s="1" t="n">
        <v>45809</v>
      </c>
      <c r="D323" t="inlineStr">
        <is>
          <t>VÄSTERNORRLANDS LÄN</t>
        </is>
      </c>
      <c r="E323" t="inlineStr">
        <is>
          <t>TIMRÅ</t>
        </is>
      </c>
      <c r="G323" t="n">
        <v>16</v>
      </c>
      <c r="H323" t="n">
        <v>0</v>
      </c>
      <c r="I323" t="n">
        <v>0</v>
      </c>
      <c r="J323" t="n">
        <v>0</v>
      </c>
      <c r="K323" t="n">
        <v>0</v>
      </c>
      <c r="L323" t="n">
        <v>0</v>
      </c>
      <c r="M323" t="n">
        <v>0</v>
      </c>
      <c r="N323" t="n">
        <v>0</v>
      </c>
      <c r="O323" t="n">
        <v>0</v>
      </c>
      <c r="P323" t="n">
        <v>0</v>
      </c>
      <c r="Q323" t="n">
        <v>0</v>
      </c>
      <c r="R323" s="2" t="inlineStr"/>
    </row>
    <row r="324" ht="15" customHeight="1">
      <c r="A324" t="inlineStr">
        <is>
          <t>A 11479-2022</t>
        </is>
      </c>
      <c r="B324" s="1" t="n">
        <v>44630</v>
      </c>
      <c r="C324" s="1" t="n">
        <v>45809</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12205-2022</t>
        </is>
      </c>
      <c r="B325" s="1" t="n">
        <v>44636</v>
      </c>
      <c r="C325" s="1" t="n">
        <v>45809</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12782-2022</t>
        </is>
      </c>
      <c r="B326" s="1" t="n">
        <v>44641</v>
      </c>
      <c r="C326" s="1" t="n">
        <v>45809</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12780-2022</t>
        </is>
      </c>
      <c r="B327" s="1" t="n">
        <v>44641</v>
      </c>
      <c r="C327" s="1" t="n">
        <v>45809</v>
      </c>
      <c r="D327" t="inlineStr">
        <is>
          <t>VÄSTERNORRLANDS LÄN</t>
        </is>
      </c>
      <c r="E327" t="inlineStr">
        <is>
          <t>TIMRÅ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12779-2022</t>
        </is>
      </c>
      <c r="B328" s="1" t="n">
        <v>44641</v>
      </c>
      <c r="C328" s="1" t="n">
        <v>45809</v>
      </c>
      <c r="D328" t="inlineStr">
        <is>
          <t>VÄSTERNORRLANDS LÄN</t>
        </is>
      </c>
      <c r="E328" t="inlineStr">
        <is>
          <t>TIMRÅ</t>
        </is>
      </c>
      <c r="G328" t="n">
        <v>0.9</v>
      </c>
      <c r="H328" t="n">
        <v>0</v>
      </c>
      <c r="I328" t="n">
        <v>0</v>
      </c>
      <c r="J328" t="n">
        <v>0</v>
      </c>
      <c r="K328" t="n">
        <v>0</v>
      </c>
      <c r="L328" t="n">
        <v>0</v>
      </c>
      <c r="M328" t="n">
        <v>0</v>
      </c>
      <c r="N328" t="n">
        <v>0</v>
      </c>
      <c r="O328" t="n">
        <v>0</v>
      </c>
      <c r="P328" t="n">
        <v>0</v>
      </c>
      <c r="Q328" t="n">
        <v>0</v>
      </c>
      <c r="R328" s="2" t="inlineStr"/>
    </row>
    <row r="329" ht="15" customHeight="1">
      <c r="A329" t="inlineStr">
        <is>
          <t>A 12882-2022</t>
        </is>
      </c>
      <c r="B329" s="1" t="n">
        <v>44642</v>
      </c>
      <c r="C329" s="1" t="n">
        <v>45809</v>
      </c>
      <c r="D329" t="inlineStr">
        <is>
          <t>VÄSTERNORRLANDS LÄN</t>
        </is>
      </c>
      <c r="E329" t="inlineStr">
        <is>
          <t>TIMRÅ</t>
        </is>
      </c>
      <c r="G329" t="n">
        <v>0.4</v>
      </c>
      <c r="H329" t="n">
        <v>0</v>
      </c>
      <c r="I329" t="n">
        <v>0</v>
      </c>
      <c r="J329" t="n">
        <v>0</v>
      </c>
      <c r="K329" t="n">
        <v>0</v>
      </c>
      <c r="L329" t="n">
        <v>0</v>
      </c>
      <c r="M329" t="n">
        <v>0</v>
      </c>
      <c r="N329" t="n">
        <v>0</v>
      </c>
      <c r="O329" t="n">
        <v>0</v>
      </c>
      <c r="P329" t="n">
        <v>0</v>
      </c>
      <c r="Q329" t="n">
        <v>0</v>
      </c>
      <c r="R329" s="2" t="inlineStr"/>
    </row>
    <row r="330" ht="15" customHeight="1">
      <c r="A330" t="inlineStr">
        <is>
          <t>A 12880-2022</t>
        </is>
      </c>
      <c r="B330" s="1" t="n">
        <v>44642</v>
      </c>
      <c r="C330" s="1" t="n">
        <v>45809</v>
      </c>
      <c r="D330" t="inlineStr">
        <is>
          <t>VÄSTERNORRLANDS LÄN</t>
        </is>
      </c>
      <c r="E330" t="inlineStr">
        <is>
          <t>TIMRÅ</t>
        </is>
      </c>
      <c r="G330" t="n">
        <v>1.3</v>
      </c>
      <c r="H330" t="n">
        <v>0</v>
      </c>
      <c r="I330" t="n">
        <v>0</v>
      </c>
      <c r="J330" t="n">
        <v>0</v>
      </c>
      <c r="K330" t="n">
        <v>0</v>
      </c>
      <c r="L330" t="n">
        <v>0</v>
      </c>
      <c r="M330" t="n">
        <v>0</v>
      </c>
      <c r="N330" t="n">
        <v>0</v>
      </c>
      <c r="O330" t="n">
        <v>0</v>
      </c>
      <c r="P330" t="n">
        <v>0</v>
      </c>
      <c r="Q330" t="n">
        <v>0</v>
      </c>
      <c r="R330" s="2" t="inlineStr"/>
    </row>
    <row r="331" ht="15" customHeight="1">
      <c r="A331" t="inlineStr">
        <is>
          <t>A 12885-2022</t>
        </is>
      </c>
      <c r="B331" s="1" t="n">
        <v>44642</v>
      </c>
      <c r="C331" s="1" t="n">
        <v>45809</v>
      </c>
      <c r="D331" t="inlineStr">
        <is>
          <t>VÄSTERNORRLANDS LÄN</t>
        </is>
      </c>
      <c r="E331" t="inlineStr">
        <is>
          <t>TIMRÅ</t>
        </is>
      </c>
      <c r="G331" t="n">
        <v>1.5</v>
      </c>
      <c r="H331" t="n">
        <v>0</v>
      </c>
      <c r="I331" t="n">
        <v>0</v>
      </c>
      <c r="J331" t="n">
        <v>0</v>
      </c>
      <c r="K331" t="n">
        <v>0</v>
      </c>
      <c r="L331" t="n">
        <v>0</v>
      </c>
      <c r="M331" t="n">
        <v>0</v>
      </c>
      <c r="N331" t="n">
        <v>0</v>
      </c>
      <c r="O331" t="n">
        <v>0</v>
      </c>
      <c r="P331" t="n">
        <v>0</v>
      </c>
      <c r="Q331" t="n">
        <v>0</v>
      </c>
      <c r="R331" s="2" t="inlineStr"/>
    </row>
    <row r="332" ht="15" customHeight="1">
      <c r="A332" t="inlineStr">
        <is>
          <t>A 14680-2022</t>
        </is>
      </c>
      <c r="B332" s="1" t="n">
        <v>44655</v>
      </c>
      <c r="C332" s="1" t="n">
        <v>45809</v>
      </c>
      <c r="D332" t="inlineStr">
        <is>
          <t>VÄSTERNORRLANDS LÄN</t>
        </is>
      </c>
      <c r="E332" t="inlineStr">
        <is>
          <t>TIMRÅ</t>
        </is>
      </c>
      <c r="G332" t="n">
        <v>8.9</v>
      </c>
      <c r="H332" t="n">
        <v>0</v>
      </c>
      <c r="I332" t="n">
        <v>0</v>
      </c>
      <c r="J332" t="n">
        <v>0</v>
      </c>
      <c r="K332" t="n">
        <v>0</v>
      </c>
      <c r="L332" t="n">
        <v>0</v>
      </c>
      <c r="M332" t="n">
        <v>0</v>
      </c>
      <c r="N332" t="n">
        <v>0</v>
      </c>
      <c r="O332" t="n">
        <v>0</v>
      </c>
      <c r="P332" t="n">
        <v>0</v>
      </c>
      <c r="Q332" t="n">
        <v>0</v>
      </c>
      <c r="R332" s="2" t="inlineStr"/>
    </row>
    <row r="333" ht="15" customHeight="1">
      <c r="A333" t="inlineStr">
        <is>
          <t>A 16519-2022</t>
        </is>
      </c>
      <c r="B333" s="1" t="n">
        <v>44672</v>
      </c>
      <c r="C333" s="1" t="n">
        <v>45809</v>
      </c>
      <c r="D333" t="inlineStr">
        <is>
          <t>VÄSTERNORRLANDS LÄN</t>
        </is>
      </c>
      <c r="E333" t="inlineStr">
        <is>
          <t>TIMRÅ</t>
        </is>
      </c>
      <c r="G333" t="n">
        <v>3</v>
      </c>
      <c r="H333" t="n">
        <v>0</v>
      </c>
      <c r="I333" t="n">
        <v>0</v>
      </c>
      <c r="J333" t="n">
        <v>0</v>
      </c>
      <c r="K333" t="n">
        <v>0</v>
      </c>
      <c r="L333" t="n">
        <v>0</v>
      </c>
      <c r="M333" t="n">
        <v>0</v>
      </c>
      <c r="N333" t="n">
        <v>0</v>
      </c>
      <c r="O333" t="n">
        <v>0</v>
      </c>
      <c r="P333" t="n">
        <v>0</v>
      </c>
      <c r="Q333" t="n">
        <v>0</v>
      </c>
      <c r="R333" s="2" t="inlineStr"/>
    </row>
    <row r="334" ht="15" customHeight="1">
      <c r="A334" t="inlineStr">
        <is>
          <t>A 17040-2022</t>
        </is>
      </c>
      <c r="B334" s="1" t="n">
        <v>44676</v>
      </c>
      <c r="C334" s="1" t="n">
        <v>45809</v>
      </c>
      <c r="D334" t="inlineStr">
        <is>
          <t>VÄSTERNORRLANDS LÄN</t>
        </is>
      </c>
      <c r="E334" t="inlineStr">
        <is>
          <t>TIMRÅ</t>
        </is>
      </c>
      <c r="G334" t="n">
        <v>3.5</v>
      </c>
      <c r="H334" t="n">
        <v>0</v>
      </c>
      <c r="I334" t="n">
        <v>0</v>
      </c>
      <c r="J334" t="n">
        <v>0</v>
      </c>
      <c r="K334" t="n">
        <v>0</v>
      </c>
      <c r="L334" t="n">
        <v>0</v>
      </c>
      <c r="M334" t="n">
        <v>0</v>
      </c>
      <c r="N334" t="n">
        <v>0</v>
      </c>
      <c r="O334" t="n">
        <v>0</v>
      </c>
      <c r="P334" t="n">
        <v>0</v>
      </c>
      <c r="Q334" t="n">
        <v>0</v>
      </c>
      <c r="R334" s="2" t="inlineStr"/>
    </row>
    <row r="335" ht="15" customHeight="1">
      <c r="A335" t="inlineStr">
        <is>
          <t>A 22194-2022</t>
        </is>
      </c>
      <c r="B335" s="1" t="n">
        <v>44712</v>
      </c>
      <c r="C335" s="1" t="n">
        <v>45809</v>
      </c>
      <c r="D335" t="inlineStr">
        <is>
          <t>VÄSTERNORRLANDS LÄN</t>
        </is>
      </c>
      <c r="E335" t="inlineStr">
        <is>
          <t>TIMRÅ</t>
        </is>
      </c>
      <c r="G335" t="n">
        <v>0.9</v>
      </c>
      <c r="H335" t="n">
        <v>0</v>
      </c>
      <c r="I335" t="n">
        <v>0</v>
      </c>
      <c r="J335" t="n">
        <v>0</v>
      </c>
      <c r="K335" t="n">
        <v>0</v>
      </c>
      <c r="L335" t="n">
        <v>0</v>
      </c>
      <c r="M335" t="n">
        <v>0</v>
      </c>
      <c r="N335" t="n">
        <v>0</v>
      </c>
      <c r="O335" t="n">
        <v>0</v>
      </c>
      <c r="P335" t="n">
        <v>0</v>
      </c>
      <c r="Q335" t="n">
        <v>0</v>
      </c>
      <c r="R335" s="2" t="inlineStr"/>
    </row>
    <row r="336" ht="15" customHeight="1">
      <c r="A336" t="inlineStr">
        <is>
          <t>A 23670-2022</t>
        </is>
      </c>
      <c r="B336" s="1" t="n">
        <v>44722</v>
      </c>
      <c r="C336" s="1" t="n">
        <v>45809</v>
      </c>
      <c r="D336" t="inlineStr">
        <is>
          <t>VÄSTERNORRLANDS LÄN</t>
        </is>
      </c>
      <c r="E336" t="inlineStr">
        <is>
          <t>TIMRÅ</t>
        </is>
      </c>
      <c r="G336" t="n">
        <v>4.9</v>
      </c>
      <c r="H336" t="n">
        <v>0</v>
      </c>
      <c r="I336" t="n">
        <v>0</v>
      </c>
      <c r="J336" t="n">
        <v>0</v>
      </c>
      <c r="K336" t="n">
        <v>0</v>
      </c>
      <c r="L336" t="n">
        <v>0</v>
      </c>
      <c r="M336" t="n">
        <v>0</v>
      </c>
      <c r="N336" t="n">
        <v>0</v>
      </c>
      <c r="O336" t="n">
        <v>0</v>
      </c>
      <c r="P336" t="n">
        <v>0</v>
      </c>
      <c r="Q336" t="n">
        <v>0</v>
      </c>
      <c r="R336" s="2" t="inlineStr"/>
    </row>
    <row r="337" ht="15" customHeight="1">
      <c r="A337" t="inlineStr">
        <is>
          <t>A 23693-2022</t>
        </is>
      </c>
      <c r="B337" s="1" t="n">
        <v>44721</v>
      </c>
      <c r="C337" s="1" t="n">
        <v>45809</v>
      </c>
      <c r="D337" t="inlineStr">
        <is>
          <t>VÄSTERNORRLANDS LÄN</t>
        </is>
      </c>
      <c r="E337" t="inlineStr">
        <is>
          <t>TIMRÅ</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23676-2022</t>
        </is>
      </c>
      <c r="B338" s="1" t="n">
        <v>44721</v>
      </c>
      <c r="C338" s="1" t="n">
        <v>45809</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24304-2022</t>
        </is>
      </c>
      <c r="B339" s="1" t="n">
        <v>44725</v>
      </c>
      <c r="C339" s="1" t="n">
        <v>45809</v>
      </c>
      <c r="D339" t="inlineStr">
        <is>
          <t>VÄSTERNORRLANDS LÄN</t>
        </is>
      </c>
      <c r="E339" t="inlineStr">
        <is>
          <t>TIMRÅ</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24306-2022</t>
        </is>
      </c>
      <c r="B340" s="1" t="n">
        <v>44726</v>
      </c>
      <c r="C340" s="1" t="n">
        <v>45809</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24305-2022</t>
        </is>
      </c>
      <c r="B341" s="1" t="n">
        <v>44726</v>
      </c>
      <c r="C341" s="1" t="n">
        <v>45809</v>
      </c>
      <c r="D341" t="inlineStr">
        <is>
          <t>VÄSTERNORRLANDS LÄN</t>
        </is>
      </c>
      <c r="E341" t="inlineStr">
        <is>
          <t>TIMRÅ</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24988-2022</t>
        </is>
      </c>
      <c r="B342" s="1" t="n">
        <v>44728</v>
      </c>
      <c r="C342" s="1" t="n">
        <v>45809</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45809</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25644-2022</t>
        </is>
      </c>
      <c r="B344" s="1" t="n">
        <v>44732</v>
      </c>
      <c r="C344" s="1" t="n">
        <v>45809</v>
      </c>
      <c r="D344" t="inlineStr">
        <is>
          <t>VÄSTERNORRLANDS LÄN</t>
        </is>
      </c>
      <c r="E344" t="inlineStr">
        <is>
          <t>TIMRÅ</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29308-2022</t>
        </is>
      </c>
      <c r="B345" s="1" t="n">
        <v>44750</v>
      </c>
      <c r="C345" s="1" t="n">
        <v>45809</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29306-2022</t>
        </is>
      </c>
      <c r="B346" s="1" t="n">
        <v>44751</v>
      </c>
      <c r="C346" s="1" t="n">
        <v>45809</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31489-2022</t>
        </is>
      </c>
      <c r="B347" s="1" t="n">
        <v>44774</v>
      </c>
      <c r="C347" s="1" t="n">
        <v>45809</v>
      </c>
      <c r="D347" t="inlineStr">
        <is>
          <t>VÄSTERNORRLANDS LÄN</t>
        </is>
      </c>
      <c r="E347" t="inlineStr">
        <is>
          <t>TIMRÅ</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31981-2022</t>
        </is>
      </c>
      <c r="B348" s="1" t="n">
        <v>44778</v>
      </c>
      <c r="C348" s="1" t="n">
        <v>45809</v>
      </c>
      <c r="D348" t="inlineStr">
        <is>
          <t>VÄSTERNORRLANDS LÄN</t>
        </is>
      </c>
      <c r="E348" t="inlineStr">
        <is>
          <t>TIMRÅ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32519-2022</t>
        </is>
      </c>
      <c r="B349" s="1" t="n">
        <v>44782</v>
      </c>
      <c r="C349" s="1" t="n">
        <v>45809</v>
      </c>
      <c r="D349" t="inlineStr">
        <is>
          <t>VÄSTERNORRLANDS LÄN</t>
        </is>
      </c>
      <c r="E349" t="inlineStr">
        <is>
          <t>TIMRÅ</t>
        </is>
      </c>
      <c r="G349" t="n">
        <v>1.5</v>
      </c>
      <c r="H349" t="n">
        <v>0</v>
      </c>
      <c r="I349" t="n">
        <v>0</v>
      </c>
      <c r="J349" t="n">
        <v>0</v>
      </c>
      <c r="K349" t="n">
        <v>0</v>
      </c>
      <c r="L349" t="n">
        <v>0</v>
      </c>
      <c r="M349" t="n">
        <v>0</v>
      </c>
      <c r="N349" t="n">
        <v>0</v>
      </c>
      <c r="O349" t="n">
        <v>0</v>
      </c>
      <c r="P349" t="n">
        <v>0</v>
      </c>
      <c r="Q349" t="n">
        <v>0</v>
      </c>
      <c r="R349" s="2" t="inlineStr"/>
    </row>
    <row r="350" ht="15" customHeight="1">
      <c r="A350" t="inlineStr">
        <is>
          <t>A 33719-2022</t>
        </is>
      </c>
      <c r="B350" s="1" t="n">
        <v>44790</v>
      </c>
      <c r="C350" s="1" t="n">
        <v>45809</v>
      </c>
      <c r="D350" t="inlineStr">
        <is>
          <t>VÄSTERNORRLANDS LÄN</t>
        </is>
      </c>
      <c r="E350" t="inlineStr">
        <is>
          <t>TIMRÅ</t>
        </is>
      </c>
      <c r="G350" t="n">
        <v>2.3</v>
      </c>
      <c r="H350" t="n">
        <v>0</v>
      </c>
      <c r="I350" t="n">
        <v>0</v>
      </c>
      <c r="J350" t="n">
        <v>0</v>
      </c>
      <c r="K350" t="n">
        <v>0</v>
      </c>
      <c r="L350" t="n">
        <v>0</v>
      </c>
      <c r="M350" t="n">
        <v>0</v>
      </c>
      <c r="N350" t="n">
        <v>0</v>
      </c>
      <c r="O350" t="n">
        <v>0</v>
      </c>
      <c r="P350" t="n">
        <v>0</v>
      </c>
      <c r="Q350" t="n">
        <v>0</v>
      </c>
      <c r="R350" s="2" t="inlineStr"/>
    </row>
    <row r="351" ht="15" customHeight="1">
      <c r="A351" t="inlineStr">
        <is>
          <t>A 34041-2022</t>
        </is>
      </c>
      <c r="B351" s="1" t="n">
        <v>44790</v>
      </c>
      <c r="C351" s="1" t="n">
        <v>45809</v>
      </c>
      <c r="D351" t="inlineStr">
        <is>
          <t>VÄSTERNORRLANDS LÄN</t>
        </is>
      </c>
      <c r="E351" t="inlineStr">
        <is>
          <t>TIMRÅ</t>
        </is>
      </c>
      <c r="G351" t="n">
        <v>1.8</v>
      </c>
      <c r="H351" t="n">
        <v>0</v>
      </c>
      <c r="I351" t="n">
        <v>0</v>
      </c>
      <c r="J351" t="n">
        <v>0</v>
      </c>
      <c r="K351" t="n">
        <v>0</v>
      </c>
      <c r="L351" t="n">
        <v>0</v>
      </c>
      <c r="M351" t="n">
        <v>0</v>
      </c>
      <c r="N351" t="n">
        <v>0</v>
      </c>
      <c r="O351" t="n">
        <v>0</v>
      </c>
      <c r="P351" t="n">
        <v>0</v>
      </c>
      <c r="Q351" t="n">
        <v>0</v>
      </c>
      <c r="R351" s="2" t="inlineStr"/>
    </row>
    <row r="352" ht="15" customHeight="1">
      <c r="A352" t="inlineStr">
        <is>
          <t>A 34053-2022</t>
        </is>
      </c>
      <c r="B352" s="1" t="n">
        <v>44790</v>
      </c>
      <c r="C352" s="1" t="n">
        <v>45809</v>
      </c>
      <c r="D352" t="inlineStr">
        <is>
          <t>VÄSTERNORRLANDS LÄN</t>
        </is>
      </c>
      <c r="E352" t="inlineStr">
        <is>
          <t>TIMRÅ</t>
        </is>
      </c>
      <c r="G352" t="n">
        <v>1</v>
      </c>
      <c r="H352" t="n">
        <v>0</v>
      </c>
      <c r="I352" t="n">
        <v>0</v>
      </c>
      <c r="J352" t="n">
        <v>0</v>
      </c>
      <c r="K352" t="n">
        <v>0</v>
      </c>
      <c r="L352" t="n">
        <v>0</v>
      </c>
      <c r="M352" t="n">
        <v>0</v>
      </c>
      <c r="N352" t="n">
        <v>0</v>
      </c>
      <c r="O352" t="n">
        <v>0</v>
      </c>
      <c r="P352" t="n">
        <v>0</v>
      </c>
      <c r="Q352" t="n">
        <v>0</v>
      </c>
      <c r="R352" s="2" t="inlineStr"/>
    </row>
    <row r="353" ht="15" customHeight="1">
      <c r="A353" t="inlineStr">
        <is>
          <t>A 34038-2022</t>
        </is>
      </c>
      <c r="B353" s="1" t="n">
        <v>44791</v>
      </c>
      <c r="C353" s="1" t="n">
        <v>45809</v>
      </c>
      <c r="D353" t="inlineStr">
        <is>
          <t>VÄSTERNORRLANDS LÄN</t>
        </is>
      </c>
      <c r="E353" t="inlineStr">
        <is>
          <t>TIMRÅ</t>
        </is>
      </c>
      <c r="G353" t="n">
        <v>2.5</v>
      </c>
      <c r="H353" t="n">
        <v>0</v>
      </c>
      <c r="I353" t="n">
        <v>0</v>
      </c>
      <c r="J353" t="n">
        <v>0</v>
      </c>
      <c r="K353" t="n">
        <v>0</v>
      </c>
      <c r="L353" t="n">
        <v>0</v>
      </c>
      <c r="M353" t="n">
        <v>0</v>
      </c>
      <c r="N353" t="n">
        <v>0</v>
      </c>
      <c r="O353" t="n">
        <v>0</v>
      </c>
      <c r="P353" t="n">
        <v>0</v>
      </c>
      <c r="Q353" t="n">
        <v>0</v>
      </c>
      <c r="R353" s="2" t="inlineStr"/>
    </row>
    <row r="354" ht="15" customHeight="1">
      <c r="A354" t="inlineStr">
        <is>
          <t>A 34099-2022</t>
        </is>
      </c>
      <c r="B354" s="1" t="n">
        <v>44791</v>
      </c>
      <c r="C354" s="1" t="n">
        <v>45809</v>
      </c>
      <c r="D354" t="inlineStr">
        <is>
          <t>VÄSTERNORRLANDS LÄN</t>
        </is>
      </c>
      <c r="E354" t="inlineStr">
        <is>
          <t>TIMRÅ</t>
        </is>
      </c>
      <c r="G354" t="n">
        <v>2.7</v>
      </c>
      <c r="H354" t="n">
        <v>0</v>
      </c>
      <c r="I354" t="n">
        <v>0</v>
      </c>
      <c r="J354" t="n">
        <v>0</v>
      </c>
      <c r="K354" t="n">
        <v>0</v>
      </c>
      <c r="L354" t="n">
        <v>0</v>
      </c>
      <c r="M354" t="n">
        <v>0</v>
      </c>
      <c r="N354" t="n">
        <v>0</v>
      </c>
      <c r="O354" t="n">
        <v>0</v>
      </c>
      <c r="P354" t="n">
        <v>0</v>
      </c>
      <c r="Q354" t="n">
        <v>0</v>
      </c>
      <c r="R354" s="2" t="inlineStr"/>
    </row>
    <row r="355" ht="15" customHeight="1">
      <c r="A355" t="inlineStr">
        <is>
          <t>A 34246-2022</t>
        </is>
      </c>
      <c r="B355" s="1" t="n">
        <v>44791</v>
      </c>
      <c r="C355" s="1" t="n">
        <v>45809</v>
      </c>
      <c r="D355" t="inlineStr">
        <is>
          <t>VÄSTERNORRLANDS LÄN</t>
        </is>
      </c>
      <c r="E355" t="inlineStr">
        <is>
          <t>TIMRÅ</t>
        </is>
      </c>
      <c r="G355" t="n">
        <v>7.7</v>
      </c>
      <c r="H355" t="n">
        <v>0</v>
      </c>
      <c r="I355" t="n">
        <v>0</v>
      </c>
      <c r="J355" t="n">
        <v>0</v>
      </c>
      <c r="K355" t="n">
        <v>0</v>
      </c>
      <c r="L355" t="n">
        <v>0</v>
      </c>
      <c r="M355" t="n">
        <v>0</v>
      </c>
      <c r="N355" t="n">
        <v>0</v>
      </c>
      <c r="O355" t="n">
        <v>0</v>
      </c>
      <c r="P355" t="n">
        <v>0</v>
      </c>
      <c r="Q355" t="n">
        <v>0</v>
      </c>
      <c r="R355" s="2" t="inlineStr"/>
    </row>
    <row r="356" ht="15" customHeight="1">
      <c r="A356" t="inlineStr">
        <is>
          <t>A 35477-2022</t>
        </is>
      </c>
      <c r="B356" s="1" t="n">
        <v>44799</v>
      </c>
      <c r="C356" s="1" t="n">
        <v>45809</v>
      </c>
      <c r="D356" t="inlineStr">
        <is>
          <t>VÄSTERNORRLANDS LÄN</t>
        </is>
      </c>
      <c r="E356" t="inlineStr">
        <is>
          <t>TIMRÅ</t>
        </is>
      </c>
      <c r="G356" t="n">
        <v>1</v>
      </c>
      <c r="H356" t="n">
        <v>0</v>
      </c>
      <c r="I356" t="n">
        <v>0</v>
      </c>
      <c r="J356" t="n">
        <v>0</v>
      </c>
      <c r="K356" t="n">
        <v>0</v>
      </c>
      <c r="L356" t="n">
        <v>0</v>
      </c>
      <c r="M356" t="n">
        <v>0</v>
      </c>
      <c r="N356" t="n">
        <v>0</v>
      </c>
      <c r="O356" t="n">
        <v>0</v>
      </c>
      <c r="P356" t="n">
        <v>0</v>
      </c>
      <c r="Q356" t="n">
        <v>0</v>
      </c>
      <c r="R356" s="2" t="inlineStr"/>
    </row>
    <row r="357" ht="15" customHeight="1">
      <c r="A357" t="inlineStr">
        <is>
          <t>A 35448-2022</t>
        </is>
      </c>
      <c r="B357" s="1" t="n">
        <v>44798</v>
      </c>
      <c r="C357" s="1" t="n">
        <v>45809</v>
      </c>
      <c r="D357" t="inlineStr">
        <is>
          <t>VÄSTERNORRLANDS LÄN</t>
        </is>
      </c>
      <c r="E357" t="inlineStr">
        <is>
          <t>TIMRÅ</t>
        </is>
      </c>
      <c r="G357" t="n">
        <v>2.8</v>
      </c>
      <c r="H357" t="n">
        <v>0</v>
      </c>
      <c r="I357" t="n">
        <v>0</v>
      </c>
      <c r="J357" t="n">
        <v>0</v>
      </c>
      <c r="K357" t="n">
        <v>0</v>
      </c>
      <c r="L357" t="n">
        <v>0</v>
      </c>
      <c r="M357" t="n">
        <v>0</v>
      </c>
      <c r="N357" t="n">
        <v>0</v>
      </c>
      <c r="O357" t="n">
        <v>0</v>
      </c>
      <c r="P357" t="n">
        <v>0</v>
      </c>
      <c r="Q357" t="n">
        <v>0</v>
      </c>
      <c r="R357" s="2" t="inlineStr"/>
    </row>
    <row r="358" ht="15" customHeight="1">
      <c r="A358" t="inlineStr">
        <is>
          <t>A 35758-2022</t>
        </is>
      </c>
      <c r="B358" s="1" t="n">
        <v>44799</v>
      </c>
      <c r="C358" s="1" t="n">
        <v>45809</v>
      </c>
      <c r="D358" t="inlineStr">
        <is>
          <t>VÄSTERNORRLANDS LÄN</t>
        </is>
      </c>
      <c r="E358" t="inlineStr">
        <is>
          <t>TIMRÅ</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36564-2022</t>
        </is>
      </c>
      <c r="B359" s="1" t="n">
        <v>44804</v>
      </c>
      <c r="C359" s="1" t="n">
        <v>45809</v>
      </c>
      <c r="D359" t="inlineStr">
        <is>
          <t>VÄSTERNORRLANDS LÄN</t>
        </is>
      </c>
      <c r="E359" t="inlineStr">
        <is>
          <t>TIMRÅ</t>
        </is>
      </c>
      <c r="G359" t="n">
        <v>16.6</v>
      </c>
      <c r="H359" t="n">
        <v>0</v>
      </c>
      <c r="I359" t="n">
        <v>0</v>
      </c>
      <c r="J359" t="n">
        <v>0</v>
      </c>
      <c r="K359" t="n">
        <v>0</v>
      </c>
      <c r="L359" t="n">
        <v>0</v>
      </c>
      <c r="M359" t="n">
        <v>0</v>
      </c>
      <c r="N359" t="n">
        <v>0</v>
      </c>
      <c r="O359" t="n">
        <v>0</v>
      </c>
      <c r="P359" t="n">
        <v>0</v>
      </c>
      <c r="Q359" t="n">
        <v>0</v>
      </c>
      <c r="R359" s="2" t="inlineStr"/>
    </row>
    <row r="360" ht="15" customHeight="1">
      <c r="A360" t="inlineStr">
        <is>
          <t>A 38445-2022</t>
        </is>
      </c>
      <c r="B360" s="1" t="n">
        <v>44813</v>
      </c>
      <c r="C360" s="1" t="n">
        <v>45809</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39108-2022</t>
        </is>
      </c>
      <c r="B361" s="1" t="n">
        <v>44817</v>
      </c>
      <c r="C361" s="1" t="n">
        <v>45809</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39691-2022</t>
        </is>
      </c>
      <c r="B362" s="1" t="n">
        <v>44819</v>
      </c>
      <c r="C362" s="1" t="n">
        <v>45809</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40270-2022</t>
        </is>
      </c>
      <c r="B363" s="1" t="n">
        <v>44821</v>
      </c>
      <c r="C363" s="1" t="n">
        <v>45809</v>
      </c>
      <c r="D363" t="inlineStr">
        <is>
          <t>VÄSTERNORRLANDS LÄN</t>
        </is>
      </c>
      <c r="E363" t="inlineStr">
        <is>
          <t>TIMRÅ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41465-2022</t>
        </is>
      </c>
      <c r="B364" s="1" t="n">
        <v>44827</v>
      </c>
      <c r="C364" s="1" t="n">
        <v>45809</v>
      </c>
      <c r="D364" t="inlineStr">
        <is>
          <t>VÄSTERNORRLANDS LÄN</t>
        </is>
      </c>
      <c r="E364" t="inlineStr">
        <is>
          <t>TIMRÅ</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41457-2022</t>
        </is>
      </c>
      <c r="B365" s="1" t="n">
        <v>44826</v>
      </c>
      <c r="C365" s="1" t="n">
        <v>45809</v>
      </c>
      <c r="D365" t="inlineStr">
        <is>
          <t>VÄSTERNORRLANDS LÄN</t>
        </is>
      </c>
      <c r="E365" t="inlineStr">
        <is>
          <t>TIMRÅ</t>
        </is>
      </c>
      <c r="G365" t="n">
        <v>2.9</v>
      </c>
      <c r="H365" t="n">
        <v>0</v>
      </c>
      <c r="I365" t="n">
        <v>0</v>
      </c>
      <c r="J365" t="n">
        <v>0</v>
      </c>
      <c r="K365" t="n">
        <v>0</v>
      </c>
      <c r="L365" t="n">
        <v>0</v>
      </c>
      <c r="M365" t="n">
        <v>0</v>
      </c>
      <c r="N365" t="n">
        <v>0</v>
      </c>
      <c r="O365" t="n">
        <v>0</v>
      </c>
      <c r="P365" t="n">
        <v>0</v>
      </c>
      <c r="Q365" t="n">
        <v>0</v>
      </c>
      <c r="R365" s="2" t="inlineStr"/>
    </row>
    <row r="366" ht="15" customHeight="1">
      <c r="A366" t="inlineStr">
        <is>
          <t>A 42281-2022</t>
        </is>
      </c>
      <c r="B366" s="1" t="n">
        <v>44830</v>
      </c>
      <c r="C366" s="1" t="n">
        <v>45809</v>
      </c>
      <c r="D366" t="inlineStr">
        <is>
          <t>VÄSTERNORRLANDS LÄN</t>
        </is>
      </c>
      <c r="E366" t="inlineStr">
        <is>
          <t>TIMRÅ</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43233-2022</t>
        </is>
      </c>
      <c r="B367" s="1" t="n">
        <v>44833</v>
      </c>
      <c r="C367" s="1" t="n">
        <v>45809</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43135-2022</t>
        </is>
      </c>
      <c r="B368" s="1" t="n">
        <v>44833</v>
      </c>
      <c r="C368" s="1" t="n">
        <v>45809</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43162-2022</t>
        </is>
      </c>
      <c r="B369" s="1" t="n">
        <v>44834</v>
      </c>
      <c r="C369" s="1" t="n">
        <v>45809</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43237-2022</t>
        </is>
      </c>
      <c r="B370" s="1" t="n">
        <v>44833</v>
      </c>
      <c r="C370" s="1" t="n">
        <v>45809</v>
      </c>
      <c r="D370" t="inlineStr">
        <is>
          <t>VÄSTERNORRLANDS LÄN</t>
        </is>
      </c>
      <c r="E370" t="inlineStr">
        <is>
          <t>TIMRÅ</t>
        </is>
      </c>
      <c r="G370" t="n">
        <v>1.7</v>
      </c>
      <c r="H370" t="n">
        <v>0</v>
      </c>
      <c r="I370" t="n">
        <v>0</v>
      </c>
      <c r="J370" t="n">
        <v>0</v>
      </c>
      <c r="K370" t="n">
        <v>0</v>
      </c>
      <c r="L370" t="n">
        <v>0</v>
      </c>
      <c r="M370" t="n">
        <v>0</v>
      </c>
      <c r="N370" t="n">
        <v>0</v>
      </c>
      <c r="O370" t="n">
        <v>0</v>
      </c>
      <c r="P370" t="n">
        <v>0</v>
      </c>
      <c r="Q370" t="n">
        <v>0</v>
      </c>
      <c r="R370" s="2" t="inlineStr"/>
    </row>
    <row r="371" ht="15" customHeight="1">
      <c r="A371" t="inlineStr">
        <is>
          <t>A 44432-2022</t>
        </is>
      </c>
      <c r="B371" s="1" t="n">
        <v>44839</v>
      </c>
      <c r="C371" s="1" t="n">
        <v>45809</v>
      </c>
      <c r="D371" t="inlineStr">
        <is>
          <t>VÄSTERNORRLANDS LÄN</t>
        </is>
      </c>
      <c r="E371" t="inlineStr">
        <is>
          <t>TIMRÅ</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44759-2022</t>
        </is>
      </c>
      <c r="B372" s="1" t="n">
        <v>44840</v>
      </c>
      <c r="C372" s="1" t="n">
        <v>45809</v>
      </c>
      <c r="D372" t="inlineStr">
        <is>
          <t>VÄSTERNORRLANDS LÄN</t>
        </is>
      </c>
      <c r="E372" t="inlineStr">
        <is>
          <t>TIMRÅ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45688-2022</t>
        </is>
      </c>
      <c r="B373" s="1" t="n">
        <v>44845</v>
      </c>
      <c r="C373" s="1" t="n">
        <v>45809</v>
      </c>
      <c r="D373" t="inlineStr">
        <is>
          <t>VÄSTERNORRLANDS LÄN</t>
        </is>
      </c>
      <c r="E373" t="inlineStr">
        <is>
          <t>TIMRÅ</t>
        </is>
      </c>
      <c r="G373" t="n">
        <v>1.1</v>
      </c>
      <c r="H373" t="n">
        <v>0</v>
      </c>
      <c r="I373" t="n">
        <v>0</v>
      </c>
      <c r="J373" t="n">
        <v>0</v>
      </c>
      <c r="K373" t="n">
        <v>0</v>
      </c>
      <c r="L373" t="n">
        <v>0</v>
      </c>
      <c r="M373" t="n">
        <v>0</v>
      </c>
      <c r="N373" t="n">
        <v>0</v>
      </c>
      <c r="O373" t="n">
        <v>0</v>
      </c>
      <c r="P373" t="n">
        <v>0</v>
      </c>
      <c r="Q373" t="n">
        <v>0</v>
      </c>
      <c r="R373" s="2" t="inlineStr"/>
    </row>
    <row r="374" ht="15" customHeight="1">
      <c r="A374" t="inlineStr">
        <is>
          <t>A 45695-2022</t>
        </is>
      </c>
      <c r="B374" s="1" t="n">
        <v>44846</v>
      </c>
      <c r="C374" s="1" t="n">
        <v>45809</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46021-2022</t>
        </is>
      </c>
      <c r="B375" s="1" t="n">
        <v>44846</v>
      </c>
      <c r="C375" s="1" t="n">
        <v>45809</v>
      </c>
      <c r="D375" t="inlineStr">
        <is>
          <t>VÄSTERNORRLANDS LÄN</t>
        </is>
      </c>
      <c r="E375" t="inlineStr">
        <is>
          <t>TIMRÅ</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46028-2022</t>
        </is>
      </c>
      <c r="B376" s="1" t="n">
        <v>44846</v>
      </c>
      <c r="C376" s="1" t="n">
        <v>45809</v>
      </c>
      <c r="D376" t="inlineStr">
        <is>
          <t>VÄSTERNORRLANDS LÄN</t>
        </is>
      </c>
      <c r="E376" t="inlineStr">
        <is>
          <t>TIMRÅ</t>
        </is>
      </c>
      <c r="F376" t="inlineStr">
        <is>
          <t>Kyrkan</t>
        </is>
      </c>
      <c r="G376" t="n">
        <v>7.9</v>
      </c>
      <c r="H376" t="n">
        <v>0</v>
      </c>
      <c r="I376" t="n">
        <v>0</v>
      </c>
      <c r="J376" t="n">
        <v>0</v>
      </c>
      <c r="K376" t="n">
        <v>0</v>
      </c>
      <c r="L376" t="n">
        <v>0</v>
      </c>
      <c r="M376" t="n">
        <v>0</v>
      </c>
      <c r="N376" t="n">
        <v>0</v>
      </c>
      <c r="O376" t="n">
        <v>0</v>
      </c>
      <c r="P376" t="n">
        <v>0</v>
      </c>
      <c r="Q376" t="n">
        <v>0</v>
      </c>
      <c r="R376" s="2" t="inlineStr"/>
    </row>
    <row r="377" ht="15" customHeight="1">
      <c r="A377" t="inlineStr">
        <is>
          <t>A 46650-2022</t>
        </is>
      </c>
      <c r="B377" s="1" t="n">
        <v>44849</v>
      </c>
      <c r="C377" s="1" t="n">
        <v>45809</v>
      </c>
      <c r="D377" t="inlineStr">
        <is>
          <t>VÄSTERNORRLANDS LÄN</t>
        </is>
      </c>
      <c r="E377" t="inlineStr">
        <is>
          <t>TIMRÅ</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46971-2022</t>
        </is>
      </c>
      <c r="B378" s="1" t="n">
        <v>44852</v>
      </c>
      <c r="C378" s="1" t="n">
        <v>45809</v>
      </c>
      <c r="D378" t="inlineStr">
        <is>
          <t>VÄSTERNORRLANDS LÄN</t>
        </is>
      </c>
      <c r="E378" t="inlineStr">
        <is>
          <t>TIMRÅ</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47293-2022</t>
        </is>
      </c>
      <c r="B379" s="1" t="n">
        <v>44853</v>
      </c>
      <c r="C379" s="1" t="n">
        <v>45809</v>
      </c>
      <c r="D379" t="inlineStr">
        <is>
          <t>VÄSTERNORRLANDS LÄN</t>
        </is>
      </c>
      <c r="E379" t="inlineStr">
        <is>
          <t>TIMRÅ</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47347-2022</t>
        </is>
      </c>
      <c r="B380" s="1" t="n">
        <v>44852</v>
      </c>
      <c r="C380" s="1" t="n">
        <v>45809</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47562-2022</t>
        </is>
      </c>
      <c r="B381" s="1" t="n">
        <v>44853</v>
      </c>
      <c r="C381" s="1" t="n">
        <v>45809</v>
      </c>
      <c r="D381" t="inlineStr">
        <is>
          <t>VÄSTERNORRLANDS LÄN</t>
        </is>
      </c>
      <c r="E381" t="inlineStr">
        <is>
          <t>TIMRÅ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47588-2022</t>
        </is>
      </c>
      <c r="B382" s="1" t="n">
        <v>44854</v>
      </c>
      <c r="C382" s="1" t="n">
        <v>45809</v>
      </c>
      <c r="D382" t="inlineStr">
        <is>
          <t>VÄSTERNORRLANDS LÄN</t>
        </is>
      </c>
      <c r="E382" t="inlineStr">
        <is>
          <t>TIMRÅ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47697-2022</t>
        </is>
      </c>
      <c r="B383" s="1" t="n">
        <v>44854</v>
      </c>
      <c r="C383" s="1" t="n">
        <v>45809</v>
      </c>
      <c r="D383" t="inlineStr">
        <is>
          <t>VÄSTERNORRLANDS LÄN</t>
        </is>
      </c>
      <c r="E383" t="inlineStr">
        <is>
          <t>TIMRÅ</t>
        </is>
      </c>
      <c r="G383" t="n">
        <v>3.4</v>
      </c>
      <c r="H383" t="n">
        <v>0</v>
      </c>
      <c r="I383" t="n">
        <v>0</v>
      </c>
      <c r="J383" t="n">
        <v>0</v>
      </c>
      <c r="K383" t="n">
        <v>0</v>
      </c>
      <c r="L383" t="n">
        <v>0</v>
      </c>
      <c r="M383" t="n">
        <v>0</v>
      </c>
      <c r="N383" t="n">
        <v>0</v>
      </c>
      <c r="O383" t="n">
        <v>0</v>
      </c>
      <c r="P383" t="n">
        <v>0</v>
      </c>
      <c r="Q383" t="n">
        <v>0</v>
      </c>
      <c r="R383" s="2" t="inlineStr"/>
    </row>
    <row r="384" ht="15" customHeight="1">
      <c r="A384" t="inlineStr">
        <is>
          <t>A 47815-2022</t>
        </is>
      </c>
      <c r="B384" s="1" t="n">
        <v>44854</v>
      </c>
      <c r="C384" s="1" t="n">
        <v>45809</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48083-2022</t>
        </is>
      </c>
      <c r="B385" s="1" t="n">
        <v>44855</v>
      </c>
      <c r="C385" s="1" t="n">
        <v>45809</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48916-2022</t>
        </is>
      </c>
      <c r="B386" s="1" t="n">
        <v>44860</v>
      </c>
      <c r="C386" s="1" t="n">
        <v>45809</v>
      </c>
      <c r="D386" t="inlineStr">
        <is>
          <t>VÄSTERNORRLANDS LÄN</t>
        </is>
      </c>
      <c r="E386" t="inlineStr">
        <is>
          <t>TIMRÅ</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48918-2022</t>
        </is>
      </c>
      <c r="B387" s="1" t="n">
        <v>44859</v>
      </c>
      <c r="C387" s="1" t="n">
        <v>45809</v>
      </c>
      <c r="D387" t="inlineStr">
        <is>
          <t>VÄSTERNORRLANDS LÄN</t>
        </is>
      </c>
      <c r="E387" t="inlineStr">
        <is>
          <t>TIMRÅ</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49203-2022</t>
        </is>
      </c>
      <c r="B388" s="1" t="n">
        <v>44860</v>
      </c>
      <c r="C388" s="1" t="n">
        <v>45809</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50660-2022</t>
        </is>
      </c>
      <c r="B389" s="1" t="n">
        <v>44866</v>
      </c>
      <c r="C389" s="1" t="n">
        <v>45809</v>
      </c>
      <c r="D389" t="inlineStr">
        <is>
          <t>VÄSTERNORRLANDS LÄN</t>
        </is>
      </c>
      <c r="E389" t="inlineStr">
        <is>
          <t>TIMRÅ</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52096-2022</t>
        </is>
      </c>
      <c r="B390" s="1" t="n">
        <v>44868</v>
      </c>
      <c r="C390" s="1" t="n">
        <v>45809</v>
      </c>
      <c r="D390" t="inlineStr">
        <is>
          <t>VÄSTERNORRLANDS LÄN</t>
        </is>
      </c>
      <c r="E390" t="inlineStr">
        <is>
          <t>TIMRÅ</t>
        </is>
      </c>
      <c r="G390" t="n">
        <v>1.4</v>
      </c>
      <c r="H390" t="n">
        <v>0</v>
      </c>
      <c r="I390" t="n">
        <v>0</v>
      </c>
      <c r="J390" t="n">
        <v>0</v>
      </c>
      <c r="K390" t="n">
        <v>0</v>
      </c>
      <c r="L390" t="n">
        <v>0</v>
      </c>
      <c r="M390" t="n">
        <v>0</v>
      </c>
      <c r="N390" t="n">
        <v>0</v>
      </c>
      <c r="O390" t="n">
        <v>0</v>
      </c>
      <c r="P390" t="n">
        <v>0</v>
      </c>
      <c r="Q390" t="n">
        <v>0</v>
      </c>
      <c r="R390" s="2" t="inlineStr"/>
    </row>
    <row r="391" ht="15" customHeight="1">
      <c r="A391" t="inlineStr">
        <is>
          <t>A 51564-2022</t>
        </is>
      </c>
      <c r="B391" s="1" t="n">
        <v>44869</v>
      </c>
      <c r="C391" s="1" t="n">
        <v>45809</v>
      </c>
      <c r="D391" t="inlineStr">
        <is>
          <t>VÄSTERNORRLANDS LÄN</t>
        </is>
      </c>
      <c r="E391" t="inlineStr">
        <is>
          <t>TIMRÅ</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51546-2022</t>
        </is>
      </c>
      <c r="B392" s="1" t="n">
        <v>44869</v>
      </c>
      <c r="C392" s="1" t="n">
        <v>45809</v>
      </c>
      <c r="D392" t="inlineStr">
        <is>
          <t>VÄSTERNORRLANDS LÄN</t>
        </is>
      </c>
      <c r="E392" t="inlineStr">
        <is>
          <t>TIMRÅ</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52213-2022</t>
        </is>
      </c>
      <c r="B393" s="1" t="n">
        <v>44869</v>
      </c>
      <c r="C393" s="1" t="n">
        <v>45809</v>
      </c>
      <c r="D393" t="inlineStr">
        <is>
          <t>VÄSTERNORRLANDS LÄN</t>
        </is>
      </c>
      <c r="E393" t="inlineStr">
        <is>
          <t>TIMRÅ</t>
        </is>
      </c>
      <c r="G393" t="n">
        <v>11.4</v>
      </c>
      <c r="H393" t="n">
        <v>0</v>
      </c>
      <c r="I393" t="n">
        <v>0</v>
      </c>
      <c r="J393" t="n">
        <v>0</v>
      </c>
      <c r="K393" t="n">
        <v>0</v>
      </c>
      <c r="L393" t="n">
        <v>0</v>
      </c>
      <c r="M393" t="n">
        <v>0</v>
      </c>
      <c r="N393" t="n">
        <v>0</v>
      </c>
      <c r="O393" t="n">
        <v>0</v>
      </c>
      <c r="P393" t="n">
        <v>0</v>
      </c>
      <c r="Q393" t="n">
        <v>0</v>
      </c>
      <c r="R393" s="2" t="inlineStr"/>
    </row>
    <row r="394" ht="15" customHeight="1">
      <c r="A394" t="inlineStr">
        <is>
          <t>A 52232-2022</t>
        </is>
      </c>
      <c r="B394" s="1" t="n">
        <v>44869</v>
      </c>
      <c r="C394" s="1" t="n">
        <v>45809</v>
      </c>
      <c r="D394" t="inlineStr">
        <is>
          <t>VÄSTERNORRLANDS LÄN</t>
        </is>
      </c>
      <c r="E394" t="inlineStr">
        <is>
          <t>TIMRÅ</t>
        </is>
      </c>
      <c r="G394" t="n">
        <v>7.9</v>
      </c>
      <c r="H394" t="n">
        <v>0</v>
      </c>
      <c r="I394" t="n">
        <v>0</v>
      </c>
      <c r="J394" t="n">
        <v>0</v>
      </c>
      <c r="K394" t="n">
        <v>0</v>
      </c>
      <c r="L394" t="n">
        <v>0</v>
      </c>
      <c r="M394" t="n">
        <v>0</v>
      </c>
      <c r="N394" t="n">
        <v>0</v>
      </c>
      <c r="O394" t="n">
        <v>0</v>
      </c>
      <c r="P394" t="n">
        <v>0</v>
      </c>
      <c r="Q394" t="n">
        <v>0</v>
      </c>
      <c r="R394" s="2" t="inlineStr"/>
    </row>
    <row r="395" ht="15" customHeight="1">
      <c r="A395" t="inlineStr">
        <is>
          <t>A 52220-2022</t>
        </is>
      </c>
      <c r="B395" s="1" t="n">
        <v>44869</v>
      </c>
      <c r="C395" s="1" t="n">
        <v>45809</v>
      </c>
      <c r="D395" t="inlineStr">
        <is>
          <t>VÄSTERNORRLANDS LÄN</t>
        </is>
      </c>
      <c r="E395" t="inlineStr">
        <is>
          <t>TIMRÅ</t>
        </is>
      </c>
      <c r="G395" t="n">
        <v>5.5</v>
      </c>
      <c r="H395" t="n">
        <v>0</v>
      </c>
      <c r="I395" t="n">
        <v>0</v>
      </c>
      <c r="J395" t="n">
        <v>0</v>
      </c>
      <c r="K395" t="n">
        <v>0</v>
      </c>
      <c r="L395" t="n">
        <v>0</v>
      </c>
      <c r="M395" t="n">
        <v>0</v>
      </c>
      <c r="N395" t="n">
        <v>0</v>
      </c>
      <c r="O395" t="n">
        <v>0</v>
      </c>
      <c r="P395" t="n">
        <v>0</v>
      </c>
      <c r="Q395" t="n">
        <v>0</v>
      </c>
      <c r="R395" s="2" t="inlineStr"/>
    </row>
    <row r="396" ht="15" customHeight="1">
      <c r="A396" t="inlineStr">
        <is>
          <t>A 51999-2022</t>
        </is>
      </c>
      <c r="B396" s="1" t="n">
        <v>44872</v>
      </c>
      <c r="C396" s="1" t="n">
        <v>45809</v>
      </c>
      <c r="D396" t="inlineStr">
        <is>
          <t>VÄSTERNORRLANDS LÄN</t>
        </is>
      </c>
      <c r="E396" t="inlineStr">
        <is>
          <t>TIMRÅ</t>
        </is>
      </c>
      <c r="G396" t="n">
        <v>4.7</v>
      </c>
      <c r="H396" t="n">
        <v>0</v>
      </c>
      <c r="I396" t="n">
        <v>0</v>
      </c>
      <c r="J396" t="n">
        <v>0</v>
      </c>
      <c r="K396" t="n">
        <v>0</v>
      </c>
      <c r="L396" t="n">
        <v>0</v>
      </c>
      <c r="M396" t="n">
        <v>0</v>
      </c>
      <c r="N396" t="n">
        <v>0</v>
      </c>
      <c r="O396" t="n">
        <v>0</v>
      </c>
      <c r="P396" t="n">
        <v>0</v>
      </c>
      <c r="Q396" t="n">
        <v>0</v>
      </c>
      <c r="R396" s="2" t="inlineStr"/>
    </row>
    <row r="397" ht="15" customHeight="1">
      <c r="A397" t="inlineStr">
        <is>
          <t>A 52010-2022</t>
        </is>
      </c>
      <c r="B397" s="1" t="n">
        <v>44872</v>
      </c>
      <c r="C397" s="1" t="n">
        <v>45809</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52474-2022</t>
        </is>
      </c>
      <c r="B398" s="1" t="n">
        <v>44874</v>
      </c>
      <c r="C398" s="1" t="n">
        <v>45809</v>
      </c>
      <c r="D398" t="inlineStr">
        <is>
          <t>VÄSTERNORRLANDS LÄN</t>
        </is>
      </c>
      <c r="E398" t="inlineStr">
        <is>
          <t>TIMRÅ</t>
        </is>
      </c>
      <c r="G398" t="n">
        <v>0.7</v>
      </c>
      <c r="H398" t="n">
        <v>0</v>
      </c>
      <c r="I398" t="n">
        <v>0</v>
      </c>
      <c r="J398" t="n">
        <v>0</v>
      </c>
      <c r="K398" t="n">
        <v>0</v>
      </c>
      <c r="L398" t="n">
        <v>0</v>
      </c>
      <c r="M398" t="n">
        <v>0</v>
      </c>
      <c r="N398" t="n">
        <v>0</v>
      </c>
      <c r="O398" t="n">
        <v>0</v>
      </c>
      <c r="P398" t="n">
        <v>0</v>
      </c>
      <c r="Q398" t="n">
        <v>0</v>
      </c>
      <c r="R398" s="2" t="inlineStr"/>
    </row>
    <row r="399" ht="15" customHeight="1">
      <c r="A399" t="inlineStr">
        <is>
          <t>A 52448-2022</t>
        </is>
      </c>
      <c r="B399" s="1" t="n">
        <v>44874</v>
      </c>
      <c r="C399" s="1" t="n">
        <v>45809</v>
      </c>
      <c r="D399" t="inlineStr">
        <is>
          <t>VÄSTERNORRLANDS LÄN</t>
        </is>
      </c>
      <c r="E399" t="inlineStr">
        <is>
          <t>TIMRÅ</t>
        </is>
      </c>
      <c r="G399" t="n">
        <v>2.3</v>
      </c>
      <c r="H399" t="n">
        <v>0</v>
      </c>
      <c r="I399" t="n">
        <v>0</v>
      </c>
      <c r="J399" t="n">
        <v>0</v>
      </c>
      <c r="K399" t="n">
        <v>0</v>
      </c>
      <c r="L399" t="n">
        <v>0</v>
      </c>
      <c r="M399" t="n">
        <v>0</v>
      </c>
      <c r="N399" t="n">
        <v>0</v>
      </c>
      <c r="O399" t="n">
        <v>0</v>
      </c>
      <c r="P399" t="n">
        <v>0</v>
      </c>
      <c r="Q399" t="n">
        <v>0</v>
      </c>
      <c r="R399" s="2" t="inlineStr"/>
    </row>
    <row r="400" ht="15" customHeight="1">
      <c r="A400" t="inlineStr">
        <is>
          <t>A 52705-2022</t>
        </is>
      </c>
      <c r="B400" s="1" t="n">
        <v>44874</v>
      </c>
      <c r="C400" s="1" t="n">
        <v>45809</v>
      </c>
      <c r="D400" t="inlineStr">
        <is>
          <t>VÄSTERNORRLANDS LÄN</t>
        </is>
      </c>
      <c r="E400" t="inlineStr">
        <is>
          <t>TIMRÅ</t>
        </is>
      </c>
      <c r="G400" t="n">
        <v>1.6</v>
      </c>
      <c r="H400" t="n">
        <v>0</v>
      </c>
      <c r="I400" t="n">
        <v>0</v>
      </c>
      <c r="J400" t="n">
        <v>0</v>
      </c>
      <c r="K400" t="n">
        <v>0</v>
      </c>
      <c r="L400" t="n">
        <v>0</v>
      </c>
      <c r="M400" t="n">
        <v>0</v>
      </c>
      <c r="N400" t="n">
        <v>0</v>
      </c>
      <c r="O400" t="n">
        <v>0</v>
      </c>
      <c r="P400" t="n">
        <v>0</v>
      </c>
      <c r="Q400" t="n">
        <v>0</v>
      </c>
      <c r="R400" s="2" t="inlineStr"/>
    </row>
    <row r="401" ht="15" customHeight="1">
      <c r="A401" t="inlineStr">
        <is>
          <t>A 53659-2022</t>
        </is>
      </c>
      <c r="B401" s="1" t="n">
        <v>44879</v>
      </c>
      <c r="C401" s="1" t="n">
        <v>45809</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53957-2022</t>
        </is>
      </c>
      <c r="B402" s="1" t="n">
        <v>44880</v>
      </c>
      <c r="C402" s="1" t="n">
        <v>45809</v>
      </c>
      <c r="D402" t="inlineStr">
        <is>
          <t>VÄSTERNORRLANDS LÄN</t>
        </is>
      </c>
      <c r="E402" t="inlineStr">
        <is>
          <t>TIMRÅ</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55357-2022</t>
        </is>
      </c>
      <c r="B403" s="1" t="n">
        <v>44882</v>
      </c>
      <c r="C403" s="1" t="n">
        <v>45809</v>
      </c>
      <c r="D403" t="inlineStr">
        <is>
          <t>VÄSTERNORRLANDS LÄN</t>
        </is>
      </c>
      <c r="E403" t="inlineStr">
        <is>
          <t>TIMRÅ</t>
        </is>
      </c>
      <c r="G403" t="n">
        <v>17.3</v>
      </c>
      <c r="H403" t="n">
        <v>0</v>
      </c>
      <c r="I403" t="n">
        <v>0</v>
      </c>
      <c r="J403" t="n">
        <v>0</v>
      </c>
      <c r="K403" t="n">
        <v>0</v>
      </c>
      <c r="L403" t="n">
        <v>0</v>
      </c>
      <c r="M403" t="n">
        <v>0</v>
      </c>
      <c r="N403" t="n">
        <v>0</v>
      </c>
      <c r="O403" t="n">
        <v>0</v>
      </c>
      <c r="P403" t="n">
        <v>0</v>
      </c>
      <c r="Q403" t="n">
        <v>0</v>
      </c>
      <c r="R403" s="2" t="inlineStr"/>
    </row>
    <row r="404" ht="15" customHeight="1">
      <c r="A404" t="inlineStr">
        <is>
          <t>A 54747-2022</t>
        </is>
      </c>
      <c r="B404" s="1" t="n">
        <v>44883</v>
      </c>
      <c r="C404" s="1" t="n">
        <v>45809</v>
      </c>
      <c r="D404" t="inlineStr">
        <is>
          <t>VÄSTERNORRLANDS LÄN</t>
        </is>
      </c>
      <c r="E404" t="inlineStr">
        <is>
          <t>TIMRÅ</t>
        </is>
      </c>
      <c r="G404" t="n">
        <v>0.9</v>
      </c>
      <c r="H404" t="n">
        <v>0</v>
      </c>
      <c r="I404" t="n">
        <v>0</v>
      </c>
      <c r="J404" t="n">
        <v>0</v>
      </c>
      <c r="K404" t="n">
        <v>0</v>
      </c>
      <c r="L404" t="n">
        <v>0</v>
      </c>
      <c r="M404" t="n">
        <v>0</v>
      </c>
      <c r="N404" t="n">
        <v>0</v>
      </c>
      <c r="O404" t="n">
        <v>0</v>
      </c>
      <c r="P404" t="n">
        <v>0</v>
      </c>
      <c r="Q404" t="n">
        <v>0</v>
      </c>
      <c r="R404" s="2" t="inlineStr"/>
    </row>
    <row r="405" ht="15" customHeight="1">
      <c r="A405" t="inlineStr">
        <is>
          <t>A 55179-2022</t>
        </is>
      </c>
      <c r="B405" s="1" t="n">
        <v>44886</v>
      </c>
      <c r="C405" s="1" t="n">
        <v>45809</v>
      </c>
      <c r="D405" t="inlineStr">
        <is>
          <t>VÄSTERNORRLANDS LÄN</t>
        </is>
      </c>
      <c r="E405" t="inlineStr">
        <is>
          <t>TIMRÅ</t>
        </is>
      </c>
      <c r="G405" t="n">
        <v>0.4</v>
      </c>
      <c r="H405" t="n">
        <v>0</v>
      </c>
      <c r="I405" t="n">
        <v>0</v>
      </c>
      <c r="J405" t="n">
        <v>0</v>
      </c>
      <c r="K405" t="n">
        <v>0</v>
      </c>
      <c r="L405" t="n">
        <v>0</v>
      </c>
      <c r="M405" t="n">
        <v>0</v>
      </c>
      <c r="N405" t="n">
        <v>0</v>
      </c>
      <c r="O405" t="n">
        <v>0</v>
      </c>
      <c r="P405" t="n">
        <v>0</v>
      </c>
      <c r="Q405" t="n">
        <v>0</v>
      </c>
      <c r="R405" s="2" t="inlineStr"/>
    </row>
    <row r="406" ht="15" customHeight="1">
      <c r="A406" t="inlineStr">
        <is>
          <t>A 55240-2022</t>
        </is>
      </c>
      <c r="B406" s="1" t="n">
        <v>44887</v>
      </c>
      <c r="C406" s="1" t="n">
        <v>45809</v>
      </c>
      <c r="D406" t="inlineStr">
        <is>
          <t>VÄSTERNORRLANDS LÄN</t>
        </is>
      </c>
      <c r="E406" t="inlineStr">
        <is>
          <t>TIMRÅ</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55521-2022</t>
        </is>
      </c>
      <c r="B407" s="1" t="n">
        <v>44887</v>
      </c>
      <c r="C407" s="1" t="n">
        <v>45809</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55511-2022</t>
        </is>
      </c>
      <c r="B408" s="1" t="n">
        <v>44887</v>
      </c>
      <c r="C408" s="1" t="n">
        <v>45809</v>
      </c>
      <c r="D408" t="inlineStr">
        <is>
          <t>VÄSTERNORRLANDS LÄN</t>
        </is>
      </c>
      <c r="E408" t="inlineStr">
        <is>
          <t>TIMRÅ</t>
        </is>
      </c>
      <c r="G408" t="n">
        <v>0.5</v>
      </c>
      <c r="H408" t="n">
        <v>0</v>
      </c>
      <c r="I408" t="n">
        <v>0</v>
      </c>
      <c r="J408" t="n">
        <v>0</v>
      </c>
      <c r="K408" t="n">
        <v>0</v>
      </c>
      <c r="L408" t="n">
        <v>0</v>
      </c>
      <c r="M408" t="n">
        <v>0</v>
      </c>
      <c r="N408" t="n">
        <v>0</v>
      </c>
      <c r="O408" t="n">
        <v>0</v>
      </c>
      <c r="P408" t="n">
        <v>0</v>
      </c>
      <c r="Q408" t="n">
        <v>0</v>
      </c>
      <c r="R408" s="2" t="inlineStr"/>
    </row>
    <row r="409" ht="15" customHeight="1">
      <c r="A409" t="inlineStr">
        <is>
          <t>A 55510-2022</t>
        </is>
      </c>
      <c r="B409" s="1" t="n">
        <v>44887</v>
      </c>
      <c r="C409" s="1" t="n">
        <v>45809</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55517-2022</t>
        </is>
      </c>
      <c r="B410" s="1" t="n">
        <v>44887</v>
      </c>
      <c r="C410" s="1" t="n">
        <v>45809</v>
      </c>
      <c r="D410" t="inlineStr">
        <is>
          <t>VÄSTERNORRLANDS LÄN</t>
        </is>
      </c>
      <c r="E410" t="inlineStr">
        <is>
          <t>TIMRÅ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55872-2022</t>
        </is>
      </c>
      <c r="B411" s="1" t="n">
        <v>44888</v>
      </c>
      <c r="C411" s="1" t="n">
        <v>45809</v>
      </c>
      <c r="D411" t="inlineStr">
        <is>
          <t>VÄSTERNORRLANDS LÄN</t>
        </is>
      </c>
      <c r="E411" t="inlineStr">
        <is>
          <t>TIMRÅ</t>
        </is>
      </c>
      <c r="G411" t="n">
        <v>4.7</v>
      </c>
      <c r="H411" t="n">
        <v>0</v>
      </c>
      <c r="I411" t="n">
        <v>0</v>
      </c>
      <c r="J411" t="n">
        <v>0</v>
      </c>
      <c r="K411" t="n">
        <v>0</v>
      </c>
      <c r="L411" t="n">
        <v>0</v>
      </c>
      <c r="M411" t="n">
        <v>0</v>
      </c>
      <c r="N411" t="n">
        <v>0</v>
      </c>
      <c r="O411" t="n">
        <v>0</v>
      </c>
      <c r="P411" t="n">
        <v>0</v>
      </c>
      <c r="Q411" t="n">
        <v>0</v>
      </c>
      <c r="R411" s="2" t="inlineStr"/>
    </row>
    <row r="412" ht="15" customHeight="1">
      <c r="A412" t="inlineStr">
        <is>
          <t>A 55886-2022</t>
        </is>
      </c>
      <c r="B412" s="1" t="n">
        <v>44888</v>
      </c>
      <c r="C412" s="1" t="n">
        <v>45809</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56170-2022</t>
        </is>
      </c>
      <c r="B413" s="1" t="n">
        <v>44889</v>
      </c>
      <c r="C413" s="1" t="n">
        <v>45809</v>
      </c>
      <c r="D413" t="inlineStr">
        <is>
          <t>VÄSTERNORRLANDS LÄN</t>
        </is>
      </c>
      <c r="E413" t="inlineStr">
        <is>
          <t>TIMRÅ</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57403-2022</t>
        </is>
      </c>
      <c r="B414" s="1" t="n">
        <v>44889</v>
      </c>
      <c r="C414" s="1" t="n">
        <v>45809</v>
      </c>
      <c r="D414" t="inlineStr">
        <is>
          <t>VÄSTERNORRLANDS LÄN</t>
        </is>
      </c>
      <c r="E414" t="inlineStr">
        <is>
          <t>TIMRÅ</t>
        </is>
      </c>
      <c r="G414" t="n">
        <v>9.6</v>
      </c>
      <c r="H414" t="n">
        <v>0</v>
      </c>
      <c r="I414" t="n">
        <v>0</v>
      </c>
      <c r="J414" t="n">
        <v>0</v>
      </c>
      <c r="K414" t="n">
        <v>0</v>
      </c>
      <c r="L414" t="n">
        <v>0</v>
      </c>
      <c r="M414" t="n">
        <v>0</v>
      </c>
      <c r="N414" t="n">
        <v>0</v>
      </c>
      <c r="O414" t="n">
        <v>0</v>
      </c>
      <c r="P414" t="n">
        <v>0</v>
      </c>
      <c r="Q414" t="n">
        <v>0</v>
      </c>
      <c r="R414" s="2" t="inlineStr"/>
    </row>
    <row r="415" ht="15" customHeight="1">
      <c r="A415" t="inlineStr">
        <is>
          <t>A 57380-2022</t>
        </is>
      </c>
      <c r="B415" s="1" t="n">
        <v>44889</v>
      </c>
      <c r="C415" s="1" t="n">
        <v>45809</v>
      </c>
      <c r="D415" t="inlineStr">
        <is>
          <t>VÄSTERNORRLANDS LÄN</t>
        </is>
      </c>
      <c r="E415" t="inlineStr">
        <is>
          <t>TIMRÅ</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56410-2022</t>
        </is>
      </c>
      <c r="B416" s="1" t="n">
        <v>44890</v>
      </c>
      <c r="C416" s="1" t="n">
        <v>45809</v>
      </c>
      <c r="D416" t="inlineStr">
        <is>
          <t>VÄSTERNORRLANDS LÄN</t>
        </is>
      </c>
      <c r="E416" t="inlineStr">
        <is>
          <t>TIMRÅ</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56723-2022</t>
        </is>
      </c>
      <c r="B417" s="1" t="n">
        <v>44893</v>
      </c>
      <c r="C417" s="1" t="n">
        <v>45809</v>
      </c>
      <c r="D417" t="inlineStr">
        <is>
          <t>VÄSTERNORRLANDS LÄN</t>
        </is>
      </c>
      <c r="E417" t="inlineStr">
        <is>
          <t>TIMRÅ</t>
        </is>
      </c>
      <c r="G417" t="n">
        <v>1.7</v>
      </c>
      <c r="H417" t="n">
        <v>0</v>
      </c>
      <c r="I417" t="n">
        <v>0</v>
      </c>
      <c r="J417" t="n">
        <v>0</v>
      </c>
      <c r="K417" t="n">
        <v>0</v>
      </c>
      <c r="L417" t="n">
        <v>0</v>
      </c>
      <c r="M417" t="n">
        <v>0</v>
      </c>
      <c r="N417" t="n">
        <v>0</v>
      </c>
      <c r="O417" t="n">
        <v>0</v>
      </c>
      <c r="P417" t="n">
        <v>0</v>
      </c>
      <c r="Q417" t="n">
        <v>0</v>
      </c>
      <c r="R417" s="2" t="inlineStr"/>
    </row>
    <row r="418" ht="15" customHeight="1">
      <c r="A418" t="inlineStr">
        <is>
          <t>A 57268-2022</t>
        </is>
      </c>
      <c r="B418" s="1" t="n">
        <v>44895</v>
      </c>
      <c r="C418" s="1" t="n">
        <v>45809</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57841-2022</t>
        </is>
      </c>
      <c r="B419" s="1" t="n">
        <v>44897</v>
      </c>
      <c r="C419" s="1" t="n">
        <v>45809</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57840-2022</t>
        </is>
      </c>
      <c r="B420" s="1" t="n">
        <v>44897</v>
      </c>
      <c r="C420" s="1" t="n">
        <v>45809</v>
      </c>
      <c r="D420" t="inlineStr">
        <is>
          <t>VÄSTERNORRLANDS LÄN</t>
        </is>
      </c>
      <c r="E420" t="inlineStr">
        <is>
          <t>TIMRÅ</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58188-2022</t>
        </is>
      </c>
      <c r="B421" s="1" t="n">
        <v>44900</v>
      </c>
      <c r="C421" s="1" t="n">
        <v>45809</v>
      </c>
      <c r="D421" t="inlineStr">
        <is>
          <t>VÄSTERNORRLANDS LÄN</t>
        </is>
      </c>
      <c r="E421" t="inlineStr">
        <is>
          <t>TIMRÅ</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59942-2022</t>
        </is>
      </c>
      <c r="B422" s="1" t="n">
        <v>44901</v>
      </c>
      <c r="C422" s="1" t="n">
        <v>45809</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59128-2022</t>
        </is>
      </c>
      <c r="B423" s="1" t="n">
        <v>44904</v>
      </c>
      <c r="C423" s="1" t="n">
        <v>45809</v>
      </c>
      <c r="D423" t="inlineStr">
        <is>
          <t>VÄSTERNORRLANDS LÄN</t>
        </is>
      </c>
      <c r="E423" t="inlineStr">
        <is>
          <t>TIMRÅ</t>
        </is>
      </c>
      <c r="G423" t="n">
        <v>9</v>
      </c>
      <c r="H423" t="n">
        <v>0</v>
      </c>
      <c r="I423" t="n">
        <v>0</v>
      </c>
      <c r="J423" t="n">
        <v>0</v>
      </c>
      <c r="K423" t="n">
        <v>0</v>
      </c>
      <c r="L423" t="n">
        <v>0</v>
      </c>
      <c r="M423" t="n">
        <v>0</v>
      </c>
      <c r="N423" t="n">
        <v>0</v>
      </c>
      <c r="O423" t="n">
        <v>0</v>
      </c>
      <c r="P423" t="n">
        <v>0</v>
      </c>
      <c r="Q423" t="n">
        <v>0</v>
      </c>
      <c r="R423" s="2" t="inlineStr"/>
    </row>
    <row r="424" ht="15" customHeight="1">
      <c r="A424" t="inlineStr">
        <is>
          <t>A 60166-2022</t>
        </is>
      </c>
      <c r="B424" s="1" t="n">
        <v>44909</v>
      </c>
      <c r="C424" s="1" t="n">
        <v>45809</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61576-2022</t>
        </is>
      </c>
      <c r="B425" s="1" t="n">
        <v>44910</v>
      </c>
      <c r="C425" s="1" t="n">
        <v>45809</v>
      </c>
      <c r="D425" t="inlineStr">
        <is>
          <t>VÄSTERNORRLANDS LÄN</t>
        </is>
      </c>
      <c r="E425" t="inlineStr">
        <is>
          <t>TIMRÅ</t>
        </is>
      </c>
      <c r="G425" t="n">
        <v>4</v>
      </c>
      <c r="H425" t="n">
        <v>0</v>
      </c>
      <c r="I425" t="n">
        <v>0</v>
      </c>
      <c r="J425" t="n">
        <v>0</v>
      </c>
      <c r="K425" t="n">
        <v>0</v>
      </c>
      <c r="L425" t="n">
        <v>0</v>
      </c>
      <c r="M425" t="n">
        <v>0</v>
      </c>
      <c r="N425" t="n">
        <v>0</v>
      </c>
      <c r="O425" t="n">
        <v>0</v>
      </c>
      <c r="P425" t="n">
        <v>0</v>
      </c>
      <c r="Q425" t="n">
        <v>0</v>
      </c>
      <c r="R425" s="2" t="inlineStr"/>
    </row>
    <row r="426" ht="15" customHeight="1">
      <c r="A426" t="inlineStr">
        <is>
          <t>A 61373-2022</t>
        </is>
      </c>
      <c r="B426" s="1" t="n">
        <v>44915</v>
      </c>
      <c r="C426" s="1" t="n">
        <v>45809</v>
      </c>
      <c r="D426" t="inlineStr">
        <is>
          <t>VÄSTERNORRLANDS LÄN</t>
        </is>
      </c>
      <c r="E426" t="inlineStr">
        <is>
          <t>TIMRÅ</t>
        </is>
      </c>
      <c r="G426" t="n">
        <v>1.7</v>
      </c>
      <c r="H426" t="n">
        <v>0</v>
      </c>
      <c r="I426" t="n">
        <v>0</v>
      </c>
      <c r="J426" t="n">
        <v>0</v>
      </c>
      <c r="K426" t="n">
        <v>0</v>
      </c>
      <c r="L426" t="n">
        <v>0</v>
      </c>
      <c r="M426" t="n">
        <v>0</v>
      </c>
      <c r="N426" t="n">
        <v>0</v>
      </c>
      <c r="O426" t="n">
        <v>0</v>
      </c>
      <c r="P426" t="n">
        <v>0</v>
      </c>
      <c r="Q426" t="n">
        <v>0</v>
      </c>
      <c r="R426" s="2" t="inlineStr"/>
    </row>
    <row r="427" ht="15" customHeight="1">
      <c r="A427" t="inlineStr">
        <is>
          <t>A 62113-2022</t>
        </is>
      </c>
      <c r="B427" s="1" t="n">
        <v>44921</v>
      </c>
      <c r="C427" s="1" t="n">
        <v>45809</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528-2023</t>
        </is>
      </c>
      <c r="B428" s="1" t="n">
        <v>44924</v>
      </c>
      <c r="C428" s="1" t="n">
        <v>45809</v>
      </c>
      <c r="D428" t="inlineStr">
        <is>
          <t>VÄSTERNORRLANDS LÄN</t>
        </is>
      </c>
      <c r="E428" t="inlineStr">
        <is>
          <t>TIMRÅ</t>
        </is>
      </c>
      <c r="G428" t="n">
        <v>0.9</v>
      </c>
      <c r="H428" t="n">
        <v>0</v>
      </c>
      <c r="I428" t="n">
        <v>0</v>
      </c>
      <c r="J428" t="n">
        <v>0</v>
      </c>
      <c r="K428" t="n">
        <v>0</v>
      </c>
      <c r="L428" t="n">
        <v>0</v>
      </c>
      <c r="M428" t="n">
        <v>0</v>
      </c>
      <c r="N428" t="n">
        <v>0</v>
      </c>
      <c r="O428" t="n">
        <v>0</v>
      </c>
      <c r="P428" t="n">
        <v>0</v>
      </c>
      <c r="Q428" t="n">
        <v>0</v>
      </c>
      <c r="R428" s="2" t="inlineStr"/>
    </row>
    <row r="429" ht="15" customHeight="1">
      <c r="A429" t="inlineStr">
        <is>
          <t>A 524-2023</t>
        </is>
      </c>
      <c r="B429" s="1" t="n">
        <v>44924</v>
      </c>
      <c r="C429" s="1" t="n">
        <v>45809</v>
      </c>
      <c r="D429" t="inlineStr">
        <is>
          <t>VÄSTERNORRLANDS LÄN</t>
        </is>
      </c>
      <c r="E429" t="inlineStr">
        <is>
          <t>TIMRÅ</t>
        </is>
      </c>
      <c r="G429" t="n">
        <v>3</v>
      </c>
      <c r="H429" t="n">
        <v>0</v>
      </c>
      <c r="I429" t="n">
        <v>0</v>
      </c>
      <c r="J429" t="n">
        <v>0</v>
      </c>
      <c r="K429" t="n">
        <v>0</v>
      </c>
      <c r="L429" t="n">
        <v>0</v>
      </c>
      <c r="M429" t="n">
        <v>0</v>
      </c>
      <c r="N429" t="n">
        <v>0</v>
      </c>
      <c r="O429" t="n">
        <v>0</v>
      </c>
      <c r="P429" t="n">
        <v>0</v>
      </c>
      <c r="Q429" t="n">
        <v>0</v>
      </c>
      <c r="R429" s="2" t="inlineStr"/>
    </row>
    <row r="430" ht="15" customHeight="1">
      <c r="A430" t="inlineStr">
        <is>
          <t>A 704-2023</t>
        </is>
      </c>
      <c r="B430" s="1" t="n">
        <v>44930</v>
      </c>
      <c r="C430" s="1" t="n">
        <v>45809</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1416-2023</t>
        </is>
      </c>
      <c r="B431" s="1" t="n">
        <v>44936</v>
      </c>
      <c r="C431" s="1" t="n">
        <v>45809</v>
      </c>
      <c r="D431" t="inlineStr">
        <is>
          <t>VÄSTERNORRLANDS LÄN</t>
        </is>
      </c>
      <c r="E431" t="inlineStr">
        <is>
          <t>TIMRÅ</t>
        </is>
      </c>
      <c r="G431" t="n">
        <v>0.6</v>
      </c>
      <c r="H431" t="n">
        <v>0</v>
      </c>
      <c r="I431" t="n">
        <v>0</v>
      </c>
      <c r="J431" t="n">
        <v>0</v>
      </c>
      <c r="K431" t="n">
        <v>0</v>
      </c>
      <c r="L431" t="n">
        <v>0</v>
      </c>
      <c r="M431" t="n">
        <v>0</v>
      </c>
      <c r="N431" t="n">
        <v>0</v>
      </c>
      <c r="O431" t="n">
        <v>0</v>
      </c>
      <c r="P431" t="n">
        <v>0</v>
      </c>
      <c r="Q431" t="n">
        <v>0</v>
      </c>
      <c r="R431" s="2" t="inlineStr"/>
    </row>
    <row r="432" ht="15" customHeight="1">
      <c r="A432" t="inlineStr">
        <is>
          <t>A 1415-2023</t>
        </is>
      </c>
      <c r="B432" s="1" t="n">
        <v>44936</v>
      </c>
      <c r="C432" s="1" t="n">
        <v>45809</v>
      </c>
      <c r="D432" t="inlineStr">
        <is>
          <t>VÄSTERNORRLANDS LÄN</t>
        </is>
      </c>
      <c r="E432" t="inlineStr">
        <is>
          <t>TIMRÅ</t>
        </is>
      </c>
      <c r="G432" t="n">
        <v>1.4</v>
      </c>
      <c r="H432" t="n">
        <v>0</v>
      </c>
      <c r="I432" t="n">
        <v>0</v>
      </c>
      <c r="J432" t="n">
        <v>0</v>
      </c>
      <c r="K432" t="n">
        <v>0</v>
      </c>
      <c r="L432" t="n">
        <v>0</v>
      </c>
      <c r="M432" t="n">
        <v>0</v>
      </c>
      <c r="N432" t="n">
        <v>0</v>
      </c>
      <c r="O432" t="n">
        <v>0</v>
      </c>
      <c r="P432" t="n">
        <v>0</v>
      </c>
      <c r="Q432" t="n">
        <v>0</v>
      </c>
      <c r="R432" s="2" t="inlineStr"/>
    </row>
    <row r="433" ht="15" customHeight="1">
      <c r="A433" t="inlineStr">
        <is>
          <t>A 1896-2023</t>
        </is>
      </c>
      <c r="B433" s="1" t="n">
        <v>44939</v>
      </c>
      <c r="C433" s="1" t="n">
        <v>45809</v>
      </c>
      <c r="D433" t="inlineStr">
        <is>
          <t>VÄSTERNORRLANDS LÄN</t>
        </is>
      </c>
      <c r="E433" t="inlineStr">
        <is>
          <t>TIMRÅ</t>
        </is>
      </c>
      <c r="G433" t="n">
        <v>7.6</v>
      </c>
      <c r="H433" t="n">
        <v>0</v>
      </c>
      <c r="I433" t="n">
        <v>0</v>
      </c>
      <c r="J433" t="n">
        <v>0</v>
      </c>
      <c r="K433" t="n">
        <v>0</v>
      </c>
      <c r="L433" t="n">
        <v>0</v>
      </c>
      <c r="M433" t="n">
        <v>0</v>
      </c>
      <c r="N433" t="n">
        <v>0</v>
      </c>
      <c r="O433" t="n">
        <v>0</v>
      </c>
      <c r="P433" t="n">
        <v>0</v>
      </c>
      <c r="Q433" t="n">
        <v>0</v>
      </c>
      <c r="R433" s="2" t="inlineStr"/>
    </row>
    <row r="434" ht="15" customHeight="1">
      <c r="A434" t="inlineStr">
        <is>
          <t>A 1935-2023</t>
        </is>
      </c>
      <c r="B434" s="1" t="n">
        <v>44939</v>
      </c>
      <c r="C434" s="1" t="n">
        <v>45809</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2434-2023</t>
        </is>
      </c>
      <c r="B435" s="1" t="n">
        <v>44943</v>
      </c>
      <c r="C435" s="1" t="n">
        <v>45809</v>
      </c>
      <c r="D435" t="inlineStr">
        <is>
          <t>VÄSTERNORRLANDS LÄN</t>
        </is>
      </c>
      <c r="E435" t="inlineStr">
        <is>
          <t>TIMRÅ</t>
        </is>
      </c>
      <c r="G435" t="n">
        <v>6.6</v>
      </c>
      <c r="H435" t="n">
        <v>0</v>
      </c>
      <c r="I435" t="n">
        <v>0</v>
      </c>
      <c r="J435" t="n">
        <v>0</v>
      </c>
      <c r="K435" t="n">
        <v>0</v>
      </c>
      <c r="L435" t="n">
        <v>0</v>
      </c>
      <c r="M435" t="n">
        <v>0</v>
      </c>
      <c r="N435" t="n">
        <v>0</v>
      </c>
      <c r="O435" t="n">
        <v>0</v>
      </c>
      <c r="P435" t="n">
        <v>0</v>
      </c>
      <c r="Q435" t="n">
        <v>0</v>
      </c>
      <c r="R435" s="2" t="inlineStr"/>
    </row>
    <row r="436" ht="15" customHeight="1">
      <c r="A436" t="inlineStr">
        <is>
          <t>A 4124-2023</t>
        </is>
      </c>
      <c r="B436" s="1" t="n">
        <v>44952</v>
      </c>
      <c r="C436" s="1" t="n">
        <v>45809</v>
      </c>
      <c r="D436" t="inlineStr">
        <is>
          <t>VÄSTERNORRLANDS LÄN</t>
        </is>
      </c>
      <c r="E436" t="inlineStr">
        <is>
          <t>TIMRÅ</t>
        </is>
      </c>
      <c r="G436" t="n">
        <v>4.4</v>
      </c>
      <c r="H436" t="n">
        <v>0</v>
      </c>
      <c r="I436" t="n">
        <v>0</v>
      </c>
      <c r="J436" t="n">
        <v>0</v>
      </c>
      <c r="K436" t="n">
        <v>0</v>
      </c>
      <c r="L436" t="n">
        <v>0</v>
      </c>
      <c r="M436" t="n">
        <v>0</v>
      </c>
      <c r="N436" t="n">
        <v>0</v>
      </c>
      <c r="O436" t="n">
        <v>0</v>
      </c>
      <c r="P436" t="n">
        <v>0</v>
      </c>
      <c r="Q436" t="n">
        <v>0</v>
      </c>
      <c r="R436" s="2" t="inlineStr"/>
    </row>
    <row r="437" ht="15" customHeight="1">
      <c r="A437" t="inlineStr">
        <is>
          <t>A 4123-2023</t>
        </is>
      </c>
      <c r="B437" s="1" t="n">
        <v>44952</v>
      </c>
      <c r="C437" s="1" t="n">
        <v>45809</v>
      </c>
      <c r="D437" t="inlineStr">
        <is>
          <t>VÄSTERNORRLANDS LÄN</t>
        </is>
      </c>
      <c r="E437" t="inlineStr">
        <is>
          <t>TIMRÅ</t>
        </is>
      </c>
      <c r="G437" t="n">
        <v>9.5</v>
      </c>
      <c r="H437" t="n">
        <v>0</v>
      </c>
      <c r="I437" t="n">
        <v>0</v>
      </c>
      <c r="J437" t="n">
        <v>0</v>
      </c>
      <c r="K437" t="n">
        <v>0</v>
      </c>
      <c r="L437" t="n">
        <v>0</v>
      </c>
      <c r="M437" t="n">
        <v>0</v>
      </c>
      <c r="N437" t="n">
        <v>0</v>
      </c>
      <c r="O437" t="n">
        <v>0</v>
      </c>
      <c r="P437" t="n">
        <v>0</v>
      </c>
      <c r="Q437" t="n">
        <v>0</v>
      </c>
      <c r="R437" s="2" t="inlineStr"/>
    </row>
    <row r="438" ht="15" customHeight="1">
      <c r="A438" t="inlineStr">
        <is>
          <t>A 4126-2023</t>
        </is>
      </c>
      <c r="B438" s="1" t="n">
        <v>44952</v>
      </c>
      <c r="C438" s="1" t="n">
        <v>45809</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4125-2023</t>
        </is>
      </c>
      <c r="B439" s="1" t="n">
        <v>44952</v>
      </c>
      <c r="C439" s="1" t="n">
        <v>45809</v>
      </c>
      <c r="D439" t="inlineStr">
        <is>
          <t>VÄSTERNORRLANDS LÄN</t>
        </is>
      </c>
      <c r="E439" t="inlineStr">
        <is>
          <t>TIMRÅ</t>
        </is>
      </c>
      <c r="G439" t="n">
        <v>2.3</v>
      </c>
      <c r="H439" t="n">
        <v>0</v>
      </c>
      <c r="I439" t="n">
        <v>0</v>
      </c>
      <c r="J439" t="n">
        <v>0</v>
      </c>
      <c r="K439" t="n">
        <v>0</v>
      </c>
      <c r="L439" t="n">
        <v>0</v>
      </c>
      <c r="M439" t="n">
        <v>0</v>
      </c>
      <c r="N439" t="n">
        <v>0</v>
      </c>
      <c r="O439" t="n">
        <v>0</v>
      </c>
      <c r="P439" t="n">
        <v>0</v>
      </c>
      <c r="Q439" t="n">
        <v>0</v>
      </c>
      <c r="R439" s="2" t="inlineStr"/>
    </row>
    <row r="440" ht="15" customHeight="1">
      <c r="A440" t="inlineStr">
        <is>
          <t>A 4129-2023</t>
        </is>
      </c>
      <c r="B440" s="1" t="n">
        <v>44952</v>
      </c>
      <c r="C440" s="1" t="n">
        <v>45809</v>
      </c>
      <c r="D440" t="inlineStr">
        <is>
          <t>VÄSTERNORRLANDS LÄN</t>
        </is>
      </c>
      <c r="E440" t="inlineStr">
        <is>
          <t>TIMRÅ</t>
        </is>
      </c>
      <c r="G440" t="n">
        <v>13.3</v>
      </c>
      <c r="H440" t="n">
        <v>0</v>
      </c>
      <c r="I440" t="n">
        <v>0</v>
      </c>
      <c r="J440" t="n">
        <v>0</v>
      </c>
      <c r="K440" t="n">
        <v>0</v>
      </c>
      <c r="L440" t="n">
        <v>0</v>
      </c>
      <c r="M440" t="n">
        <v>0</v>
      </c>
      <c r="N440" t="n">
        <v>0</v>
      </c>
      <c r="O440" t="n">
        <v>0</v>
      </c>
      <c r="P440" t="n">
        <v>0</v>
      </c>
      <c r="Q440" t="n">
        <v>0</v>
      </c>
      <c r="R440" s="2" t="inlineStr"/>
    </row>
    <row r="441" ht="15" customHeight="1">
      <c r="A441" t="inlineStr">
        <is>
          <t>A 6772-2023</t>
        </is>
      </c>
      <c r="B441" s="1" t="n">
        <v>44966</v>
      </c>
      <c r="C441" s="1" t="n">
        <v>45809</v>
      </c>
      <c r="D441" t="inlineStr">
        <is>
          <t>VÄSTERNORRLANDS LÄN</t>
        </is>
      </c>
      <c r="E441" t="inlineStr">
        <is>
          <t>TIMRÅ</t>
        </is>
      </c>
      <c r="G441" t="n">
        <v>1.9</v>
      </c>
      <c r="H441" t="n">
        <v>0</v>
      </c>
      <c r="I441" t="n">
        <v>0</v>
      </c>
      <c r="J441" t="n">
        <v>0</v>
      </c>
      <c r="K441" t="n">
        <v>0</v>
      </c>
      <c r="L441" t="n">
        <v>0</v>
      </c>
      <c r="M441" t="n">
        <v>0</v>
      </c>
      <c r="N441" t="n">
        <v>0</v>
      </c>
      <c r="O441" t="n">
        <v>0</v>
      </c>
      <c r="P441" t="n">
        <v>0</v>
      </c>
      <c r="Q441" t="n">
        <v>0</v>
      </c>
      <c r="R441" s="2" t="inlineStr"/>
    </row>
    <row r="442" ht="15" customHeight="1">
      <c r="A442" t="inlineStr">
        <is>
          <t>A 6770-2023</t>
        </is>
      </c>
      <c r="B442" s="1" t="n">
        <v>44966</v>
      </c>
      <c r="C442" s="1" t="n">
        <v>45809</v>
      </c>
      <c r="D442" t="inlineStr">
        <is>
          <t>VÄSTERNORRLANDS LÄN</t>
        </is>
      </c>
      <c r="E442" t="inlineStr">
        <is>
          <t>TIMRÅ</t>
        </is>
      </c>
      <c r="G442" t="n">
        <v>3.3</v>
      </c>
      <c r="H442" t="n">
        <v>0</v>
      </c>
      <c r="I442" t="n">
        <v>0</v>
      </c>
      <c r="J442" t="n">
        <v>0</v>
      </c>
      <c r="K442" t="n">
        <v>0</v>
      </c>
      <c r="L442" t="n">
        <v>0</v>
      </c>
      <c r="M442" t="n">
        <v>0</v>
      </c>
      <c r="N442" t="n">
        <v>0</v>
      </c>
      <c r="O442" t="n">
        <v>0</v>
      </c>
      <c r="P442" t="n">
        <v>0</v>
      </c>
      <c r="Q442" t="n">
        <v>0</v>
      </c>
      <c r="R442" s="2" t="inlineStr"/>
    </row>
    <row r="443" ht="15" customHeight="1">
      <c r="A443" t="inlineStr">
        <is>
          <t>A 6771-2023</t>
        </is>
      </c>
      <c r="B443" s="1" t="n">
        <v>44966</v>
      </c>
      <c r="C443" s="1" t="n">
        <v>45809</v>
      </c>
      <c r="D443" t="inlineStr">
        <is>
          <t>VÄSTERNORRLANDS LÄN</t>
        </is>
      </c>
      <c r="E443" t="inlineStr">
        <is>
          <t>TIMRÅ</t>
        </is>
      </c>
      <c r="G443" t="n">
        <v>3</v>
      </c>
      <c r="H443" t="n">
        <v>0</v>
      </c>
      <c r="I443" t="n">
        <v>0</v>
      </c>
      <c r="J443" t="n">
        <v>0</v>
      </c>
      <c r="K443" t="n">
        <v>0</v>
      </c>
      <c r="L443" t="n">
        <v>0</v>
      </c>
      <c r="M443" t="n">
        <v>0</v>
      </c>
      <c r="N443" t="n">
        <v>0</v>
      </c>
      <c r="O443" t="n">
        <v>0</v>
      </c>
      <c r="P443" t="n">
        <v>0</v>
      </c>
      <c r="Q443" t="n">
        <v>0</v>
      </c>
      <c r="R443" s="2" t="inlineStr"/>
    </row>
    <row r="444" ht="15" customHeight="1">
      <c r="A444" t="inlineStr">
        <is>
          <t>A 8632-2023</t>
        </is>
      </c>
      <c r="B444" s="1" t="n">
        <v>44977</v>
      </c>
      <c r="C444" s="1" t="n">
        <v>45809</v>
      </c>
      <c r="D444" t="inlineStr">
        <is>
          <t>VÄSTERNORRLANDS LÄN</t>
        </is>
      </c>
      <c r="E444" t="inlineStr">
        <is>
          <t>TIMRÅ</t>
        </is>
      </c>
      <c r="G444" t="n">
        <v>0.8</v>
      </c>
      <c r="H444" t="n">
        <v>0</v>
      </c>
      <c r="I444" t="n">
        <v>0</v>
      </c>
      <c r="J444" t="n">
        <v>0</v>
      </c>
      <c r="K444" t="n">
        <v>0</v>
      </c>
      <c r="L444" t="n">
        <v>0</v>
      </c>
      <c r="M444" t="n">
        <v>0</v>
      </c>
      <c r="N444" t="n">
        <v>0</v>
      </c>
      <c r="O444" t="n">
        <v>0</v>
      </c>
      <c r="P444" t="n">
        <v>0</v>
      </c>
      <c r="Q444" t="n">
        <v>0</v>
      </c>
      <c r="R444" s="2" t="inlineStr"/>
    </row>
    <row r="445" ht="15" customHeight="1">
      <c r="A445" t="inlineStr">
        <is>
          <t>A 9612-2023</t>
        </is>
      </c>
      <c r="B445" s="1" t="n">
        <v>44983</v>
      </c>
      <c r="C445" s="1" t="n">
        <v>45809</v>
      </c>
      <c r="D445" t="inlineStr">
        <is>
          <t>VÄSTERNORRLANDS LÄN</t>
        </is>
      </c>
      <c r="E445" t="inlineStr">
        <is>
          <t>TIMRÅ</t>
        </is>
      </c>
      <c r="F445" t="inlineStr">
        <is>
          <t>SCA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9880-2023</t>
        </is>
      </c>
      <c r="B446" s="1" t="n">
        <v>44984</v>
      </c>
      <c r="C446" s="1" t="n">
        <v>45809</v>
      </c>
      <c r="D446" t="inlineStr">
        <is>
          <t>VÄSTERNORRLANDS LÄN</t>
        </is>
      </c>
      <c r="E446" t="inlineStr">
        <is>
          <t>TIMRÅ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10103-2023</t>
        </is>
      </c>
      <c r="B447" s="1" t="n">
        <v>44985</v>
      </c>
      <c r="C447" s="1" t="n">
        <v>45809</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10104-2023</t>
        </is>
      </c>
      <c r="B448" s="1" t="n">
        <v>44985</v>
      </c>
      <c r="C448" s="1" t="n">
        <v>45809</v>
      </c>
      <c r="D448" t="inlineStr">
        <is>
          <t>VÄSTERNORRLANDS LÄN</t>
        </is>
      </c>
      <c r="E448" t="inlineStr">
        <is>
          <t>TIMRÅ</t>
        </is>
      </c>
      <c r="F448" t="inlineStr">
        <is>
          <t>SCA</t>
        </is>
      </c>
      <c r="G448" t="n">
        <v>10.5</v>
      </c>
      <c r="H448" t="n">
        <v>0</v>
      </c>
      <c r="I448" t="n">
        <v>0</v>
      </c>
      <c r="J448" t="n">
        <v>0</v>
      </c>
      <c r="K448" t="n">
        <v>0</v>
      </c>
      <c r="L448" t="n">
        <v>0</v>
      </c>
      <c r="M448" t="n">
        <v>0</v>
      </c>
      <c r="N448" t="n">
        <v>0</v>
      </c>
      <c r="O448" t="n">
        <v>0</v>
      </c>
      <c r="P448" t="n">
        <v>0</v>
      </c>
      <c r="Q448" t="n">
        <v>0</v>
      </c>
      <c r="R448" s="2" t="inlineStr"/>
    </row>
    <row r="449" ht="15" customHeight="1">
      <c r="A449" t="inlineStr">
        <is>
          <t>A 10312-2023</t>
        </is>
      </c>
      <c r="B449" s="1" t="n">
        <v>44986</v>
      </c>
      <c r="C449" s="1" t="n">
        <v>45809</v>
      </c>
      <c r="D449" t="inlineStr">
        <is>
          <t>VÄSTERNORRLANDS LÄN</t>
        </is>
      </c>
      <c r="E449" t="inlineStr">
        <is>
          <t>TIMRÅ</t>
        </is>
      </c>
      <c r="F449" t="inlineStr">
        <is>
          <t>SCA</t>
        </is>
      </c>
      <c r="G449" t="n">
        <v>38.4</v>
      </c>
      <c r="H449" t="n">
        <v>0</v>
      </c>
      <c r="I449" t="n">
        <v>0</v>
      </c>
      <c r="J449" t="n">
        <v>0</v>
      </c>
      <c r="K449" t="n">
        <v>0</v>
      </c>
      <c r="L449" t="n">
        <v>0</v>
      </c>
      <c r="M449" t="n">
        <v>0</v>
      </c>
      <c r="N449" t="n">
        <v>0</v>
      </c>
      <c r="O449" t="n">
        <v>0</v>
      </c>
      <c r="P449" t="n">
        <v>0</v>
      </c>
      <c r="Q449" t="n">
        <v>0</v>
      </c>
      <c r="R449" s="2" t="inlineStr"/>
    </row>
    <row r="450" ht="15" customHeight="1">
      <c r="A450" t="inlineStr">
        <is>
          <t>A 10556-2023</t>
        </is>
      </c>
      <c r="B450" s="1" t="n">
        <v>44987</v>
      </c>
      <c r="C450" s="1" t="n">
        <v>45809</v>
      </c>
      <c r="D450" t="inlineStr">
        <is>
          <t>VÄSTERNORRLANDS LÄN</t>
        </is>
      </c>
      <c r="E450" t="inlineStr">
        <is>
          <t>TIMRÅ</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10773-2023</t>
        </is>
      </c>
      <c r="B451" s="1" t="n">
        <v>44988</v>
      </c>
      <c r="C451" s="1" t="n">
        <v>45809</v>
      </c>
      <c r="D451" t="inlineStr">
        <is>
          <t>VÄSTERNORRLANDS LÄN</t>
        </is>
      </c>
      <c r="E451" t="inlineStr">
        <is>
          <t>TIMRÅ</t>
        </is>
      </c>
      <c r="F451" t="inlineStr">
        <is>
          <t>SCA</t>
        </is>
      </c>
      <c r="G451" t="n">
        <v>17.3</v>
      </c>
      <c r="H451" t="n">
        <v>0</v>
      </c>
      <c r="I451" t="n">
        <v>0</v>
      </c>
      <c r="J451" t="n">
        <v>0</v>
      </c>
      <c r="K451" t="n">
        <v>0</v>
      </c>
      <c r="L451" t="n">
        <v>0</v>
      </c>
      <c r="M451" t="n">
        <v>0</v>
      </c>
      <c r="N451" t="n">
        <v>0</v>
      </c>
      <c r="O451" t="n">
        <v>0</v>
      </c>
      <c r="P451" t="n">
        <v>0</v>
      </c>
      <c r="Q451" t="n">
        <v>0</v>
      </c>
      <c r="R451" s="2" t="inlineStr"/>
    </row>
    <row r="452" ht="15" customHeight="1">
      <c r="A452" t="inlineStr">
        <is>
          <t>A 13256-2023</t>
        </is>
      </c>
      <c r="B452" s="1" t="n">
        <v>45002</v>
      </c>
      <c r="C452" s="1" t="n">
        <v>45809</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13254-2023</t>
        </is>
      </c>
      <c r="B453" s="1" t="n">
        <v>45002</v>
      </c>
      <c r="C453" s="1" t="n">
        <v>45809</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13255-2023</t>
        </is>
      </c>
      <c r="B454" s="1" t="n">
        <v>45002</v>
      </c>
      <c r="C454" s="1" t="n">
        <v>45809</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13253-2023</t>
        </is>
      </c>
      <c r="B455" s="1" t="n">
        <v>45002</v>
      </c>
      <c r="C455" s="1" t="n">
        <v>45809</v>
      </c>
      <c r="D455" t="inlineStr">
        <is>
          <t>VÄSTERNORRLANDS LÄN</t>
        </is>
      </c>
      <c r="E455" t="inlineStr">
        <is>
          <t>TIMRÅ</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13446-2023</t>
        </is>
      </c>
      <c r="B456" s="1" t="n">
        <v>45005</v>
      </c>
      <c r="C456" s="1" t="n">
        <v>45809</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14865-2023</t>
        </is>
      </c>
      <c r="B457" s="1" t="n">
        <v>45015</v>
      </c>
      <c r="C457" s="1" t="n">
        <v>45809</v>
      </c>
      <c r="D457" t="inlineStr">
        <is>
          <t>VÄSTERNORRLANDS LÄN</t>
        </is>
      </c>
      <c r="E457" t="inlineStr">
        <is>
          <t>TIMRÅ</t>
        </is>
      </c>
      <c r="F457" t="inlineStr">
        <is>
          <t>SCA</t>
        </is>
      </c>
      <c r="G457" t="n">
        <v>20.1</v>
      </c>
      <c r="H457" t="n">
        <v>0</v>
      </c>
      <c r="I457" t="n">
        <v>0</v>
      </c>
      <c r="J457" t="n">
        <v>0</v>
      </c>
      <c r="K457" t="n">
        <v>0</v>
      </c>
      <c r="L457" t="n">
        <v>0</v>
      </c>
      <c r="M457" t="n">
        <v>0</v>
      </c>
      <c r="N457" t="n">
        <v>0</v>
      </c>
      <c r="O457" t="n">
        <v>0</v>
      </c>
      <c r="P457" t="n">
        <v>0</v>
      </c>
      <c r="Q457" t="n">
        <v>0</v>
      </c>
      <c r="R457" s="2" t="inlineStr"/>
    </row>
    <row r="458" ht="15" customHeight="1">
      <c r="A458" t="inlineStr">
        <is>
          <t>A 14863-2023</t>
        </is>
      </c>
      <c r="B458" s="1" t="n">
        <v>45015</v>
      </c>
      <c r="C458" s="1" t="n">
        <v>45809</v>
      </c>
      <c r="D458" t="inlineStr">
        <is>
          <t>VÄSTERNORRLANDS LÄN</t>
        </is>
      </c>
      <c r="E458" t="inlineStr">
        <is>
          <t>TIMRÅ</t>
        </is>
      </c>
      <c r="F458" t="inlineStr">
        <is>
          <t>SCA</t>
        </is>
      </c>
      <c r="G458" t="n">
        <v>19.8</v>
      </c>
      <c r="H458" t="n">
        <v>0</v>
      </c>
      <c r="I458" t="n">
        <v>0</v>
      </c>
      <c r="J458" t="n">
        <v>0</v>
      </c>
      <c r="K458" t="n">
        <v>0</v>
      </c>
      <c r="L458" t="n">
        <v>0</v>
      </c>
      <c r="M458" t="n">
        <v>0</v>
      </c>
      <c r="N458" t="n">
        <v>0</v>
      </c>
      <c r="O458" t="n">
        <v>0</v>
      </c>
      <c r="P458" t="n">
        <v>0</v>
      </c>
      <c r="Q458" t="n">
        <v>0</v>
      </c>
      <c r="R458" s="2" t="inlineStr"/>
    </row>
    <row r="459" ht="15" customHeight="1">
      <c r="A459" t="inlineStr">
        <is>
          <t>A 14864-2023</t>
        </is>
      </c>
      <c r="B459" s="1" t="n">
        <v>45015</v>
      </c>
      <c r="C459" s="1" t="n">
        <v>45809</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15815-2023</t>
        </is>
      </c>
      <c r="B460" s="1" t="n">
        <v>45022</v>
      </c>
      <c r="C460" s="1" t="n">
        <v>45809</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15820-2023</t>
        </is>
      </c>
      <c r="B461" s="1" t="n">
        <v>45022</v>
      </c>
      <c r="C461" s="1" t="n">
        <v>45809</v>
      </c>
      <c r="D461" t="inlineStr">
        <is>
          <t>VÄSTERNORRLANDS LÄN</t>
        </is>
      </c>
      <c r="E461" t="inlineStr">
        <is>
          <t>TIMRÅ</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15816-2023</t>
        </is>
      </c>
      <c r="B462" s="1" t="n">
        <v>45021</v>
      </c>
      <c r="C462" s="1" t="n">
        <v>45809</v>
      </c>
      <c r="D462" t="inlineStr">
        <is>
          <t>VÄSTERNORRLANDS LÄN</t>
        </is>
      </c>
      <c r="E462" t="inlineStr">
        <is>
          <t>TIMRÅ</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15821-2023</t>
        </is>
      </c>
      <c r="B463" s="1" t="n">
        <v>45022</v>
      </c>
      <c r="C463" s="1" t="n">
        <v>45809</v>
      </c>
      <c r="D463" t="inlineStr">
        <is>
          <t>VÄSTERNORRLANDS LÄN</t>
        </is>
      </c>
      <c r="E463" t="inlineStr">
        <is>
          <t>TIMRÅ</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15823-2023</t>
        </is>
      </c>
      <c r="B464" s="1" t="n">
        <v>45021</v>
      </c>
      <c r="C464" s="1" t="n">
        <v>45809</v>
      </c>
      <c r="D464" t="inlineStr">
        <is>
          <t>VÄSTERNORRLANDS LÄN</t>
        </is>
      </c>
      <c r="E464" t="inlineStr">
        <is>
          <t>TIMRÅ</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16554-2023</t>
        </is>
      </c>
      <c r="B465" s="1" t="n">
        <v>45029</v>
      </c>
      <c r="C465" s="1" t="n">
        <v>45809</v>
      </c>
      <c r="D465" t="inlineStr">
        <is>
          <t>VÄSTERNORRLANDS LÄN</t>
        </is>
      </c>
      <c r="E465" t="inlineStr">
        <is>
          <t>TIMRÅ</t>
        </is>
      </c>
      <c r="G465" t="n">
        <v>3.8</v>
      </c>
      <c r="H465" t="n">
        <v>0</v>
      </c>
      <c r="I465" t="n">
        <v>0</v>
      </c>
      <c r="J465" t="n">
        <v>0</v>
      </c>
      <c r="K465" t="n">
        <v>0</v>
      </c>
      <c r="L465" t="n">
        <v>0</v>
      </c>
      <c r="M465" t="n">
        <v>0</v>
      </c>
      <c r="N465" t="n">
        <v>0</v>
      </c>
      <c r="O465" t="n">
        <v>0</v>
      </c>
      <c r="P465" t="n">
        <v>0</v>
      </c>
      <c r="Q465" t="n">
        <v>0</v>
      </c>
      <c r="R465" s="2" t="inlineStr"/>
    </row>
    <row r="466" ht="15" customHeight="1">
      <c r="A466" t="inlineStr">
        <is>
          <t>A 16555-2023</t>
        </is>
      </c>
      <c r="B466" s="1" t="n">
        <v>45029</v>
      </c>
      <c r="C466" s="1" t="n">
        <v>45809</v>
      </c>
      <c r="D466" t="inlineStr">
        <is>
          <t>VÄSTERNORRLANDS LÄN</t>
        </is>
      </c>
      <c r="E466" t="inlineStr">
        <is>
          <t>TIMRÅ</t>
        </is>
      </c>
      <c r="G466" t="n">
        <v>0.7</v>
      </c>
      <c r="H466" t="n">
        <v>0</v>
      </c>
      <c r="I466" t="n">
        <v>0</v>
      </c>
      <c r="J466" t="n">
        <v>0</v>
      </c>
      <c r="K466" t="n">
        <v>0</v>
      </c>
      <c r="L466" t="n">
        <v>0</v>
      </c>
      <c r="M466" t="n">
        <v>0</v>
      </c>
      <c r="N466" t="n">
        <v>0</v>
      </c>
      <c r="O466" t="n">
        <v>0</v>
      </c>
      <c r="P466" t="n">
        <v>0</v>
      </c>
      <c r="Q466" t="n">
        <v>0</v>
      </c>
      <c r="R466" s="2" t="inlineStr"/>
    </row>
    <row r="467" ht="15" customHeight="1">
      <c r="A467" t="inlineStr">
        <is>
          <t>A 16786-2023</t>
        </is>
      </c>
      <c r="B467" s="1" t="n">
        <v>45032</v>
      </c>
      <c r="C467" s="1" t="n">
        <v>45809</v>
      </c>
      <c r="D467" t="inlineStr">
        <is>
          <t>VÄSTERNORRLANDS LÄN</t>
        </is>
      </c>
      <c r="E467" t="inlineStr">
        <is>
          <t>TIMRÅ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17002-2023</t>
        </is>
      </c>
      <c r="B468" s="1" t="n">
        <v>45033</v>
      </c>
      <c r="C468" s="1" t="n">
        <v>45809</v>
      </c>
      <c r="D468" t="inlineStr">
        <is>
          <t>VÄSTERNORRLANDS LÄN</t>
        </is>
      </c>
      <c r="E468" t="inlineStr">
        <is>
          <t>TIMRÅ</t>
        </is>
      </c>
      <c r="F468" t="inlineStr">
        <is>
          <t>SCA</t>
        </is>
      </c>
      <c r="G468" t="n">
        <v>12.7</v>
      </c>
      <c r="H468" t="n">
        <v>0</v>
      </c>
      <c r="I468" t="n">
        <v>0</v>
      </c>
      <c r="J468" t="n">
        <v>0</v>
      </c>
      <c r="K468" t="n">
        <v>0</v>
      </c>
      <c r="L468" t="n">
        <v>0</v>
      </c>
      <c r="M468" t="n">
        <v>0</v>
      </c>
      <c r="N468" t="n">
        <v>0</v>
      </c>
      <c r="O468" t="n">
        <v>0</v>
      </c>
      <c r="P468" t="n">
        <v>0</v>
      </c>
      <c r="Q468" t="n">
        <v>0</v>
      </c>
      <c r="R468" s="2" t="inlineStr"/>
    </row>
    <row r="469" ht="15" customHeight="1">
      <c r="A469" t="inlineStr">
        <is>
          <t>A 17441-2023</t>
        </is>
      </c>
      <c r="B469" s="1" t="n">
        <v>45036</v>
      </c>
      <c r="C469" s="1" t="n">
        <v>45809</v>
      </c>
      <c r="D469" t="inlineStr">
        <is>
          <t>VÄSTERNORRLANDS LÄN</t>
        </is>
      </c>
      <c r="E469" t="inlineStr">
        <is>
          <t>TIMRÅ</t>
        </is>
      </c>
      <c r="F469" t="inlineStr">
        <is>
          <t>SCA</t>
        </is>
      </c>
      <c r="G469" t="n">
        <v>7.4</v>
      </c>
      <c r="H469" t="n">
        <v>0</v>
      </c>
      <c r="I469" t="n">
        <v>0</v>
      </c>
      <c r="J469" t="n">
        <v>0</v>
      </c>
      <c r="K469" t="n">
        <v>0</v>
      </c>
      <c r="L469" t="n">
        <v>0</v>
      </c>
      <c r="M469" t="n">
        <v>0</v>
      </c>
      <c r="N469" t="n">
        <v>0</v>
      </c>
      <c r="O469" t="n">
        <v>0</v>
      </c>
      <c r="P469" t="n">
        <v>0</v>
      </c>
      <c r="Q469" t="n">
        <v>0</v>
      </c>
      <c r="R469" s="2" t="inlineStr"/>
    </row>
    <row r="470" ht="15" customHeight="1">
      <c r="A470" t="inlineStr">
        <is>
          <t>A 17865-2023</t>
        </is>
      </c>
      <c r="B470" s="1" t="n">
        <v>45038</v>
      </c>
      <c r="C470" s="1" t="n">
        <v>45809</v>
      </c>
      <c r="D470" t="inlineStr">
        <is>
          <t>VÄSTERNORRLANDS LÄN</t>
        </is>
      </c>
      <c r="E470" t="inlineStr">
        <is>
          <t>TIMRÅ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17936-2023</t>
        </is>
      </c>
      <c r="B471" s="1" t="n">
        <v>45040</v>
      </c>
      <c r="C471" s="1" t="n">
        <v>45809</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18289-2023</t>
        </is>
      </c>
      <c r="B472" s="1" t="n">
        <v>45040</v>
      </c>
      <c r="C472" s="1" t="n">
        <v>45809</v>
      </c>
      <c r="D472" t="inlineStr">
        <is>
          <t>VÄSTERNORRLANDS LÄN</t>
        </is>
      </c>
      <c r="E472" t="inlineStr">
        <is>
          <t>TIMRÅ</t>
        </is>
      </c>
      <c r="G472" t="n">
        <v>4.5</v>
      </c>
      <c r="H472" t="n">
        <v>0</v>
      </c>
      <c r="I472" t="n">
        <v>0</v>
      </c>
      <c r="J472" t="n">
        <v>0</v>
      </c>
      <c r="K472" t="n">
        <v>0</v>
      </c>
      <c r="L472" t="n">
        <v>0</v>
      </c>
      <c r="M472" t="n">
        <v>0</v>
      </c>
      <c r="N472" t="n">
        <v>0</v>
      </c>
      <c r="O472" t="n">
        <v>0</v>
      </c>
      <c r="P472" t="n">
        <v>0</v>
      </c>
      <c r="Q472" t="n">
        <v>0</v>
      </c>
      <c r="R472" s="2" t="inlineStr"/>
    </row>
    <row r="473" ht="15" customHeight="1">
      <c r="A473" t="inlineStr">
        <is>
          <t>A 18684-2023</t>
        </is>
      </c>
      <c r="B473" s="1" t="n">
        <v>45042</v>
      </c>
      <c r="C473" s="1" t="n">
        <v>45809</v>
      </c>
      <c r="D473" t="inlineStr">
        <is>
          <t>VÄSTERNORRLANDS LÄN</t>
        </is>
      </c>
      <c r="E473" t="inlineStr">
        <is>
          <t>TIMRÅ</t>
        </is>
      </c>
      <c r="G473" t="n">
        <v>5.7</v>
      </c>
      <c r="H473" t="n">
        <v>0</v>
      </c>
      <c r="I473" t="n">
        <v>0</v>
      </c>
      <c r="J473" t="n">
        <v>0</v>
      </c>
      <c r="K473" t="n">
        <v>0</v>
      </c>
      <c r="L473" t="n">
        <v>0</v>
      </c>
      <c r="M473" t="n">
        <v>0</v>
      </c>
      <c r="N473" t="n">
        <v>0</v>
      </c>
      <c r="O473" t="n">
        <v>0</v>
      </c>
      <c r="P473" t="n">
        <v>0</v>
      </c>
      <c r="Q473" t="n">
        <v>0</v>
      </c>
      <c r="R473" s="2" t="inlineStr"/>
    </row>
    <row r="474" ht="15" customHeight="1">
      <c r="A474" t="inlineStr">
        <is>
          <t>A 18778-2023</t>
        </is>
      </c>
      <c r="B474" s="1" t="n">
        <v>45043</v>
      </c>
      <c r="C474" s="1" t="n">
        <v>45809</v>
      </c>
      <c r="D474" t="inlineStr">
        <is>
          <t>VÄSTERNORRLANDS LÄN</t>
        </is>
      </c>
      <c r="E474" t="inlineStr">
        <is>
          <t>TIMRÅ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19244-2023</t>
        </is>
      </c>
      <c r="B475" s="1" t="n">
        <v>45048</v>
      </c>
      <c r="C475" s="1" t="n">
        <v>45809</v>
      </c>
      <c r="D475" t="inlineStr">
        <is>
          <t>VÄSTERNORRLANDS LÄN</t>
        </is>
      </c>
      <c r="E475" t="inlineStr">
        <is>
          <t>TIMRÅ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19440-2023</t>
        </is>
      </c>
      <c r="B476" s="1" t="n">
        <v>45049</v>
      </c>
      <c r="C476" s="1" t="n">
        <v>45809</v>
      </c>
      <c r="D476" t="inlineStr">
        <is>
          <t>VÄSTERNORRLANDS LÄN</t>
        </is>
      </c>
      <c r="E476" t="inlineStr">
        <is>
          <t>TIMRÅ</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20097-2023</t>
        </is>
      </c>
      <c r="B477" s="1" t="n">
        <v>45055</v>
      </c>
      <c r="C477" s="1" t="n">
        <v>45809</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20835-2023</t>
        </is>
      </c>
      <c r="B478" s="1" t="n">
        <v>45058</v>
      </c>
      <c r="C478" s="1" t="n">
        <v>45809</v>
      </c>
      <c r="D478" t="inlineStr">
        <is>
          <t>VÄSTERNORRLANDS LÄN</t>
        </is>
      </c>
      <c r="E478" t="inlineStr">
        <is>
          <t>TIMRÅ</t>
        </is>
      </c>
      <c r="G478" t="n">
        <v>4.4</v>
      </c>
      <c r="H478" t="n">
        <v>0</v>
      </c>
      <c r="I478" t="n">
        <v>0</v>
      </c>
      <c r="J478" t="n">
        <v>0</v>
      </c>
      <c r="K478" t="n">
        <v>0</v>
      </c>
      <c r="L478" t="n">
        <v>0</v>
      </c>
      <c r="M478" t="n">
        <v>0</v>
      </c>
      <c r="N478" t="n">
        <v>0</v>
      </c>
      <c r="O478" t="n">
        <v>0</v>
      </c>
      <c r="P478" t="n">
        <v>0</v>
      </c>
      <c r="Q478" t="n">
        <v>0</v>
      </c>
      <c r="R478" s="2" t="inlineStr"/>
    </row>
    <row r="479" ht="15" customHeight="1">
      <c r="A479" t="inlineStr">
        <is>
          <t>A 20839-2023</t>
        </is>
      </c>
      <c r="B479" s="1" t="n">
        <v>45058</v>
      </c>
      <c r="C479" s="1" t="n">
        <v>45809</v>
      </c>
      <c r="D479" t="inlineStr">
        <is>
          <t>VÄSTERNORRLANDS LÄN</t>
        </is>
      </c>
      <c r="E479" t="inlineStr">
        <is>
          <t>TIMRÅ</t>
        </is>
      </c>
      <c r="G479" t="n">
        <v>7.2</v>
      </c>
      <c r="H479" t="n">
        <v>0</v>
      </c>
      <c r="I479" t="n">
        <v>0</v>
      </c>
      <c r="J479" t="n">
        <v>0</v>
      </c>
      <c r="K479" t="n">
        <v>0</v>
      </c>
      <c r="L479" t="n">
        <v>0</v>
      </c>
      <c r="M479" t="n">
        <v>0</v>
      </c>
      <c r="N479" t="n">
        <v>0</v>
      </c>
      <c r="O479" t="n">
        <v>0</v>
      </c>
      <c r="P479" t="n">
        <v>0</v>
      </c>
      <c r="Q479" t="n">
        <v>0</v>
      </c>
      <c r="R479" s="2" t="inlineStr"/>
    </row>
    <row r="480" ht="15" customHeight="1">
      <c r="A480" t="inlineStr">
        <is>
          <t>A 20837-2023</t>
        </is>
      </c>
      <c r="B480" s="1" t="n">
        <v>45058</v>
      </c>
      <c r="C480" s="1" t="n">
        <v>45809</v>
      </c>
      <c r="D480" t="inlineStr">
        <is>
          <t>VÄSTERNORRLANDS LÄN</t>
        </is>
      </c>
      <c r="E480" t="inlineStr">
        <is>
          <t>TIMRÅ</t>
        </is>
      </c>
      <c r="G480" t="n">
        <v>1.7</v>
      </c>
      <c r="H480" t="n">
        <v>0</v>
      </c>
      <c r="I480" t="n">
        <v>0</v>
      </c>
      <c r="J480" t="n">
        <v>0</v>
      </c>
      <c r="K480" t="n">
        <v>0</v>
      </c>
      <c r="L480" t="n">
        <v>0</v>
      </c>
      <c r="M480" t="n">
        <v>0</v>
      </c>
      <c r="N480" t="n">
        <v>0</v>
      </c>
      <c r="O480" t="n">
        <v>0</v>
      </c>
      <c r="P480" t="n">
        <v>0</v>
      </c>
      <c r="Q480" t="n">
        <v>0</v>
      </c>
      <c r="R480" s="2" t="inlineStr"/>
    </row>
    <row r="481" ht="15" customHeight="1">
      <c r="A481" t="inlineStr">
        <is>
          <t>A 20841-2023</t>
        </is>
      </c>
      <c r="B481" s="1" t="n">
        <v>45058</v>
      </c>
      <c r="C481" s="1" t="n">
        <v>45809</v>
      </c>
      <c r="D481" t="inlineStr">
        <is>
          <t>VÄSTERNORRLANDS LÄN</t>
        </is>
      </c>
      <c r="E481" t="inlineStr">
        <is>
          <t>TIMRÅ</t>
        </is>
      </c>
      <c r="G481" t="n">
        <v>2.1</v>
      </c>
      <c r="H481" t="n">
        <v>0</v>
      </c>
      <c r="I481" t="n">
        <v>0</v>
      </c>
      <c r="J481" t="n">
        <v>0</v>
      </c>
      <c r="K481" t="n">
        <v>0</v>
      </c>
      <c r="L481" t="n">
        <v>0</v>
      </c>
      <c r="M481" t="n">
        <v>0</v>
      </c>
      <c r="N481" t="n">
        <v>0</v>
      </c>
      <c r="O481" t="n">
        <v>0</v>
      </c>
      <c r="P481" t="n">
        <v>0</v>
      </c>
      <c r="Q481" t="n">
        <v>0</v>
      </c>
      <c r="R481" s="2" t="inlineStr"/>
    </row>
    <row r="482" ht="15" customHeight="1">
      <c r="A482" t="inlineStr">
        <is>
          <t>A 20834-2023</t>
        </is>
      </c>
      <c r="B482" s="1" t="n">
        <v>45058</v>
      </c>
      <c r="C482" s="1" t="n">
        <v>45809</v>
      </c>
      <c r="D482" t="inlineStr">
        <is>
          <t>VÄSTERNORRLANDS LÄN</t>
        </is>
      </c>
      <c r="E482" t="inlineStr">
        <is>
          <t>TIMRÅ</t>
        </is>
      </c>
      <c r="G482" t="n">
        <v>5</v>
      </c>
      <c r="H482" t="n">
        <v>0</v>
      </c>
      <c r="I482" t="n">
        <v>0</v>
      </c>
      <c r="J482" t="n">
        <v>0</v>
      </c>
      <c r="K482" t="n">
        <v>0</v>
      </c>
      <c r="L482" t="n">
        <v>0</v>
      </c>
      <c r="M482" t="n">
        <v>0</v>
      </c>
      <c r="N482" t="n">
        <v>0</v>
      </c>
      <c r="O482" t="n">
        <v>0</v>
      </c>
      <c r="P482" t="n">
        <v>0</v>
      </c>
      <c r="Q482" t="n">
        <v>0</v>
      </c>
      <c r="R482" s="2" t="inlineStr"/>
    </row>
    <row r="483" ht="15" customHeight="1">
      <c r="A483" t="inlineStr">
        <is>
          <t>A 20843-2023</t>
        </is>
      </c>
      <c r="B483" s="1" t="n">
        <v>45058</v>
      </c>
      <c r="C483" s="1" t="n">
        <v>45809</v>
      </c>
      <c r="D483" t="inlineStr">
        <is>
          <t>VÄSTERNORRLANDS LÄN</t>
        </is>
      </c>
      <c r="E483" t="inlineStr">
        <is>
          <t>TIMRÅ</t>
        </is>
      </c>
      <c r="G483" t="n">
        <v>1.6</v>
      </c>
      <c r="H483" t="n">
        <v>0</v>
      </c>
      <c r="I483" t="n">
        <v>0</v>
      </c>
      <c r="J483" t="n">
        <v>0</v>
      </c>
      <c r="K483" t="n">
        <v>0</v>
      </c>
      <c r="L483" t="n">
        <v>0</v>
      </c>
      <c r="M483" t="n">
        <v>0</v>
      </c>
      <c r="N483" t="n">
        <v>0</v>
      </c>
      <c r="O483" t="n">
        <v>0</v>
      </c>
      <c r="P483" t="n">
        <v>0</v>
      </c>
      <c r="Q483" t="n">
        <v>0</v>
      </c>
      <c r="R483" s="2" t="inlineStr"/>
    </row>
    <row r="484" ht="15" customHeight="1">
      <c r="A484" t="inlineStr">
        <is>
          <t>A 20840-2023</t>
        </is>
      </c>
      <c r="B484" s="1" t="n">
        <v>45058</v>
      </c>
      <c r="C484" s="1" t="n">
        <v>45809</v>
      </c>
      <c r="D484" t="inlineStr">
        <is>
          <t>VÄSTERNORRLANDS LÄN</t>
        </is>
      </c>
      <c r="E484" t="inlineStr">
        <is>
          <t>TIMRÅ</t>
        </is>
      </c>
      <c r="G484" t="n">
        <v>3.1</v>
      </c>
      <c r="H484" t="n">
        <v>0</v>
      </c>
      <c r="I484" t="n">
        <v>0</v>
      </c>
      <c r="J484" t="n">
        <v>0</v>
      </c>
      <c r="K484" t="n">
        <v>0</v>
      </c>
      <c r="L484" t="n">
        <v>0</v>
      </c>
      <c r="M484" t="n">
        <v>0</v>
      </c>
      <c r="N484" t="n">
        <v>0</v>
      </c>
      <c r="O484" t="n">
        <v>0</v>
      </c>
      <c r="P484" t="n">
        <v>0</v>
      </c>
      <c r="Q484" t="n">
        <v>0</v>
      </c>
      <c r="R484" s="2" t="inlineStr"/>
    </row>
    <row r="485" ht="15" customHeight="1">
      <c r="A485" t="inlineStr">
        <is>
          <t>A 20844-2023</t>
        </is>
      </c>
      <c r="B485" s="1" t="n">
        <v>45058</v>
      </c>
      <c r="C485" s="1" t="n">
        <v>45809</v>
      </c>
      <c r="D485" t="inlineStr">
        <is>
          <t>VÄSTERNORRLANDS LÄN</t>
        </is>
      </c>
      <c r="E485" t="inlineStr">
        <is>
          <t>TIMRÅ</t>
        </is>
      </c>
      <c r="G485" t="n">
        <v>1.8</v>
      </c>
      <c r="H485" t="n">
        <v>0</v>
      </c>
      <c r="I485" t="n">
        <v>0</v>
      </c>
      <c r="J485" t="n">
        <v>0</v>
      </c>
      <c r="K485" t="n">
        <v>0</v>
      </c>
      <c r="L485" t="n">
        <v>0</v>
      </c>
      <c r="M485" t="n">
        <v>0</v>
      </c>
      <c r="N485" t="n">
        <v>0</v>
      </c>
      <c r="O485" t="n">
        <v>0</v>
      </c>
      <c r="P485" t="n">
        <v>0</v>
      </c>
      <c r="Q485" t="n">
        <v>0</v>
      </c>
      <c r="R485" s="2" t="inlineStr"/>
    </row>
    <row r="486" ht="15" customHeight="1">
      <c r="A486" t="inlineStr">
        <is>
          <t>A 21356-2023</t>
        </is>
      </c>
      <c r="B486" s="1" t="n">
        <v>45063</v>
      </c>
      <c r="C486" s="1" t="n">
        <v>45809</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24305-2023</t>
        </is>
      </c>
      <c r="B487" s="1" t="n">
        <v>45080</v>
      </c>
      <c r="C487" s="1" t="n">
        <v>45809</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24304-2023</t>
        </is>
      </c>
      <c r="B488" s="1" t="n">
        <v>45079</v>
      </c>
      <c r="C488" s="1" t="n">
        <v>45809</v>
      </c>
      <c r="D488" t="inlineStr">
        <is>
          <t>VÄSTERNORRLANDS LÄN</t>
        </is>
      </c>
      <c r="E488" t="inlineStr">
        <is>
          <t>TIMRÅ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25301-2023</t>
        </is>
      </c>
      <c r="B489" s="1" t="n">
        <v>45086</v>
      </c>
      <c r="C489" s="1" t="n">
        <v>45809</v>
      </c>
      <c r="D489" t="inlineStr">
        <is>
          <t>VÄSTERNORRLANDS LÄN</t>
        </is>
      </c>
      <c r="E489" t="inlineStr">
        <is>
          <t>TIMRÅ</t>
        </is>
      </c>
      <c r="G489" t="n">
        <v>1.7</v>
      </c>
      <c r="H489" t="n">
        <v>0</v>
      </c>
      <c r="I489" t="n">
        <v>0</v>
      </c>
      <c r="J489" t="n">
        <v>0</v>
      </c>
      <c r="K489" t="n">
        <v>0</v>
      </c>
      <c r="L489" t="n">
        <v>0</v>
      </c>
      <c r="M489" t="n">
        <v>0</v>
      </c>
      <c r="N489" t="n">
        <v>0</v>
      </c>
      <c r="O489" t="n">
        <v>0</v>
      </c>
      <c r="P489" t="n">
        <v>0</v>
      </c>
      <c r="Q489" t="n">
        <v>0</v>
      </c>
      <c r="R489" s="2" t="inlineStr"/>
    </row>
    <row r="490" ht="15" customHeight="1">
      <c r="A490" t="inlineStr">
        <is>
          <t>A 27495-2023</t>
        </is>
      </c>
      <c r="B490" s="1" t="n">
        <v>45092</v>
      </c>
      <c r="C490" s="1" t="n">
        <v>45809</v>
      </c>
      <c r="D490" t="inlineStr">
        <is>
          <t>VÄSTERNORRLANDS LÄN</t>
        </is>
      </c>
      <c r="E490" t="inlineStr">
        <is>
          <t>TIMRÅ</t>
        </is>
      </c>
      <c r="G490" t="n">
        <v>2.6</v>
      </c>
      <c r="H490" t="n">
        <v>0</v>
      </c>
      <c r="I490" t="n">
        <v>0</v>
      </c>
      <c r="J490" t="n">
        <v>0</v>
      </c>
      <c r="K490" t="n">
        <v>0</v>
      </c>
      <c r="L490" t="n">
        <v>0</v>
      </c>
      <c r="M490" t="n">
        <v>0</v>
      </c>
      <c r="N490" t="n">
        <v>0</v>
      </c>
      <c r="O490" t="n">
        <v>0</v>
      </c>
      <c r="P490" t="n">
        <v>0</v>
      </c>
      <c r="Q490" t="n">
        <v>0</v>
      </c>
      <c r="R490" s="2" t="inlineStr"/>
    </row>
    <row r="491" ht="15" customHeight="1">
      <c r="A491" t="inlineStr">
        <is>
          <t>A 27489-2023</t>
        </is>
      </c>
      <c r="B491" s="1" t="n">
        <v>45092</v>
      </c>
      <c r="C491" s="1" t="n">
        <v>45809</v>
      </c>
      <c r="D491" t="inlineStr">
        <is>
          <t>VÄSTERNORRLANDS LÄN</t>
        </is>
      </c>
      <c r="E491" t="inlineStr">
        <is>
          <t>TIMRÅ</t>
        </is>
      </c>
      <c r="G491" t="n">
        <v>1.1</v>
      </c>
      <c r="H491" t="n">
        <v>0</v>
      </c>
      <c r="I491" t="n">
        <v>0</v>
      </c>
      <c r="J491" t="n">
        <v>0</v>
      </c>
      <c r="K491" t="n">
        <v>0</v>
      </c>
      <c r="L491" t="n">
        <v>0</v>
      </c>
      <c r="M491" t="n">
        <v>0</v>
      </c>
      <c r="N491" t="n">
        <v>0</v>
      </c>
      <c r="O491" t="n">
        <v>0</v>
      </c>
      <c r="P491" t="n">
        <v>0</v>
      </c>
      <c r="Q491" t="n">
        <v>0</v>
      </c>
      <c r="R491" s="2" t="inlineStr"/>
    </row>
    <row r="492" ht="15" customHeight="1">
      <c r="A492" t="inlineStr">
        <is>
          <t>A 26996-2023</t>
        </is>
      </c>
      <c r="B492" s="1" t="n">
        <v>45093</v>
      </c>
      <c r="C492" s="1" t="n">
        <v>45809</v>
      </c>
      <c r="D492" t="inlineStr">
        <is>
          <t>VÄSTERNORRLANDS LÄN</t>
        </is>
      </c>
      <c r="E492" t="inlineStr">
        <is>
          <t>TIMRÅ</t>
        </is>
      </c>
      <c r="G492" t="n">
        <v>8.4</v>
      </c>
      <c r="H492" t="n">
        <v>0</v>
      </c>
      <c r="I492" t="n">
        <v>0</v>
      </c>
      <c r="J492" t="n">
        <v>0</v>
      </c>
      <c r="K492" t="n">
        <v>0</v>
      </c>
      <c r="L492" t="n">
        <v>0</v>
      </c>
      <c r="M492" t="n">
        <v>0</v>
      </c>
      <c r="N492" t="n">
        <v>0</v>
      </c>
      <c r="O492" t="n">
        <v>0</v>
      </c>
      <c r="P492" t="n">
        <v>0</v>
      </c>
      <c r="Q492" t="n">
        <v>0</v>
      </c>
      <c r="R492" s="2" t="inlineStr"/>
    </row>
    <row r="493" ht="15" customHeight="1">
      <c r="A493" t="inlineStr">
        <is>
          <t>A 28007-2023</t>
        </is>
      </c>
      <c r="B493" s="1" t="n">
        <v>45098</v>
      </c>
      <c r="C493" s="1" t="n">
        <v>45809</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28373-2023</t>
        </is>
      </c>
      <c r="B494" s="1" t="n">
        <v>45100</v>
      </c>
      <c r="C494" s="1" t="n">
        <v>45809</v>
      </c>
      <c r="D494" t="inlineStr">
        <is>
          <t>VÄSTERNORRLANDS LÄN</t>
        </is>
      </c>
      <c r="E494" t="inlineStr">
        <is>
          <t>TIMRÅ</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28372-2023</t>
        </is>
      </c>
      <c r="B495" s="1" t="n">
        <v>45100</v>
      </c>
      <c r="C495" s="1" t="n">
        <v>45809</v>
      </c>
      <c r="D495" t="inlineStr">
        <is>
          <t>VÄSTERNORRLANDS LÄN</t>
        </is>
      </c>
      <c r="E495" t="inlineStr">
        <is>
          <t>TIMRÅ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28370-2023</t>
        </is>
      </c>
      <c r="B496" s="1" t="n">
        <v>45100</v>
      </c>
      <c r="C496" s="1" t="n">
        <v>45809</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28381-2023</t>
        </is>
      </c>
      <c r="B497" s="1" t="n">
        <v>45099</v>
      </c>
      <c r="C497" s="1" t="n">
        <v>45809</v>
      </c>
      <c r="D497" t="inlineStr">
        <is>
          <t>VÄSTERNORRLANDS LÄN</t>
        </is>
      </c>
      <c r="E497" t="inlineStr">
        <is>
          <t>TIMRÅ</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28369-2023</t>
        </is>
      </c>
      <c r="B498" s="1" t="n">
        <v>45099</v>
      </c>
      <c r="C498" s="1" t="n">
        <v>45809</v>
      </c>
      <c r="D498" t="inlineStr">
        <is>
          <t>VÄSTERNORRLANDS LÄN</t>
        </is>
      </c>
      <c r="E498" t="inlineStr">
        <is>
          <t>TIMRÅ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28371-2023</t>
        </is>
      </c>
      <c r="B499" s="1" t="n">
        <v>45100</v>
      </c>
      <c r="C499" s="1" t="n">
        <v>45809</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28734-2023</t>
        </is>
      </c>
      <c r="B500" s="1" t="n">
        <v>45104</v>
      </c>
      <c r="C500" s="1" t="n">
        <v>45809</v>
      </c>
      <c r="D500" t="inlineStr">
        <is>
          <t>VÄSTERNORRLANDS LÄN</t>
        </is>
      </c>
      <c r="E500" t="inlineStr">
        <is>
          <t>TIMRÅ</t>
        </is>
      </c>
      <c r="G500" t="n">
        <v>2.1</v>
      </c>
      <c r="H500" t="n">
        <v>0</v>
      </c>
      <c r="I500" t="n">
        <v>0</v>
      </c>
      <c r="J500" t="n">
        <v>0</v>
      </c>
      <c r="K500" t="n">
        <v>0</v>
      </c>
      <c r="L500" t="n">
        <v>0</v>
      </c>
      <c r="M500" t="n">
        <v>0</v>
      </c>
      <c r="N500" t="n">
        <v>0</v>
      </c>
      <c r="O500" t="n">
        <v>0</v>
      </c>
      <c r="P500" t="n">
        <v>0</v>
      </c>
      <c r="Q500" t="n">
        <v>0</v>
      </c>
      <c r="R500" s="2" t="inlineStr"/>
    </row>
    <row r="501" ht="15" customHeight="1">
      <c r="A501" t="inlineStr">
        <is>
          <t>A 28750-2023</t>
        </is>
      </c>
      <c r="B501" s="1" t="n">
        <v>45104</v>
      </c>
      <c r="C501" s="1" t="n">
        <v>45809</v>
      </c>
      <c r="D501" t="inlineStr">
        <is>
          <t>VÄSTERNORRLANDS LÄN</t>
        </is>
      </c>
      <c r="E501" t="inlineStr">
        <is>
          <t>TIMRÅ</t>
        </is>
      </c>
      <c r="F501" t="inlineStr">
        <is>
          <t>SCA</t>
        </is>
      </c>
      <c r="G501" t="n">
        <v>8.5</v>
      </c>
      <c r="H501" t="n">
        <v>0</v>
      </c>
      <c r="I501" t="n">
        <v>0</v>
      </c>
      <c r="J501" t="n">
        <v>0</v>
      </c>
      <c r="K501" t="n">
        <v>0</v>
      </c>
      <c r="L501" t="n">
        <v>0</v>
      </c>
      <c r="M501" t="n">
        <v>0</v>
      </c>
      <c r="N501" t="n">
        <v>0</v>
      </c>
      <c r="O501" t="n">
        <v>0</v>
      </c>
      <c r="P501" t="n">
        <v>0</v>
      </c>
      <c r="Q501" t="n">
        <v>0</v>
      </c>
      <c r="R501" s="2" t="inlineStr"/>
    </row>
    <row r="502" ht="15" customHeight="1">
      <c r="A502" t="inlineStr">
        <is>
          <t>A 31148-2023</t>
        </is>
      </c>
      <c r="B502" s="1" t="n">
        <v>45103</v>
      </c>
      <c r="C502" s="1" t="n">
        <v>45809</v>
      </c>
      <c r="D502" t="inlineStr">
        <is>
          <t>VÄSTERNORRLANDS LÄN</t>
        </is>
      </c>
      <c r="E502" t="inlineStr">
        <is>
          <t>TIMRÅ</t>
        </is>
      </c>
      <c r="G502" t="n">
        <v>1.5</v>
      </c>
      <c r="H502" t="n">
        <v>0</v>
      </c>
      <c r="I502" t="n">
        <v>0</v>
      </c>
      <c r="J502" t="n">
        <v>0</v>
      </c>
      <c r="K502" t="n">
        <v>0</v>
      </c>
      <c r="L502" t="n">
        <v>0</v>
      </c>
      <c r="M502" t="n">
        <v>0</v>
      </c>
      <c r="N502" t="n">
        <v>0</v>
      </c>
      <c r="O502" t="n">
        <v>0</v>
      </c>
      <c r="P502" t="n">
        <v>0</v>
      </c>
      <c r="Q502" t="n">
        <v>0</v>
      </c>
      <c r="R502" s="2" t="inlineStr"/>
    </row>
    <row r="503" ht="15" customHeight="1">
      <c r="A503" t="inlineStr">
        <is>
          <t>A 31150-2023</t>
        </is>
      </c>
      <c r="B503" s="1" t="n">
        <v>45103</v>
      </c>
      <c r="C503" s="1" t="n">
        <v>45809</v>
      </c>
      <c r="D503" t="inlineStr">
        <is>
          <t>VÄSTERNORRLANDS LÄN</t>
        </is>
      </c>
      <c r="E503" t="inlineStr">
        <is>
          <t>TIMRÅ</t>
        </is>
      </c>
      <c r="G503" t="n">
        <v>0.3</v>
      </c>
      <c r="H503" t="n">
        <v>0</v>
      </c>
      <c r="I503" t="n">
        <v>0</v>
      </c>
      <c r="J503" t="n">
        <v>0</v>
      </c>
      <c r="K503" t="n">
        <v>0</v>
      </c>
      <c r="L503" t="n">
        <v>0</v>
      </c>
      <c r="M503" t="n">
        <v>0</v>
      </c>
      <c r="N503" t="n">
        <v>0</v>
      </c>
      <c r="O503" t="n">
        <v>0</v>
      </c>
      <c r="P503" t="n">
        <v>0</v>
      </c>
      <c r="Q503" t="n">
        <v>0</v>
      </c>
      <c r="R503" s="2" t="inlineStr"/>
    </row>
    <row r="504" ht="15" customHeight="1">
      <c r="A504" t="inlineStr">
        <is>
          <t>A 31154-2023</t>
        </is>
      </c>
      <c r="B504" s="1" t="n">
        <v>45103</v>
      </c>
      <c r="C504" s="1" t="n">
        <v>45809</v>
      </c>
      <c r="D504" t="inlineStr">
        <is>
          <t>VÄSTERNORRLANDS LÄN</t>
        </is>
      </c>
      <c r="E504" t="inlineStr">
        <is>
          <t>TIMRÅ</t>
        </is>
      </c>
      <c r="G504" t="n">
        <v>0.6</v>
      </c>
      <c r="H504" t="n">
        <v>0</v>
      </c>
      <c r="I504" t="n">
        <v>0</v>
      </c>
      <c r="J504" t="n">
        <v>0</v>
      </c>
      <c r="K504" t="n">
        <v>0</v>
      </c>
      <c r="L504" t="n">
        <v>0</v>
      </c>
      <c r="M504" t="n">
        <v>0</v>
      </c>
      <c r="N504" t="n">
        <v>0</v>
      </c>
      <c r="O504" t="n">
        <v>0</v>
      </c>
      <c r="P504" t="n">
        <v>0</v>
      </c>
      <c r="Q504" t="n">
        <v>0</v>
      </c>
      <c r="R504" s="2" t="inlineStr"/>
    </row>
    <row r="505" ht="15" customHeight="1">
      <c r="A505" t="inlineStr">
        <is>
          <t>A 31381-2023</t>
        </is>
      </c>
      <c r="B505" s="1" t="n">
        <v>45104</v>
      </c>
      <c r="C505" s="1" t="n">
        <v>45809</v>
      </c>
      <c r="D505" t="inlineStr">
        <is>
          <t>VÄSTERNORRLANDS LÄN</t>
        </is>
      </c>
      <c r="E505" t="inlineStr">
        <is>
          <t>TIMRÅ</t>
        </is>
      </c>
      <c r="G505" t="n">
        <v>5.6</v>
      </c>
      <c r="H505" t="n">
        <v>0</v>
      </c>
      <c r="I505" t="n">
        <v>0</v>
      </c>
      <c r="J505" t="n">
        <v>0</v>
      </c>
      <c r="K505" t="n">
        <v>0</v>
      </c>
      <c r="L505" t="n">
        <v>0</v>
      </c>
      <c r="M505" t="n">
        <v>0</v>
      </c>
      <c r="N505" t="n">
        <v>0</v>
      </c>
      <c r="O505" t="n">
        <v>0</v>
      </c>
      <c r="P505" t="n">
        <v>0</v>
      </c>
      <c r="Q505" t="n">
        <v>0</v>
      </c>
      <c r="R505" s="2" t="inlineStr"/>
    </row>
    <row r="506" ht="15" customHeight="1">
      <c r="A506" t="inlineStr">
        <is>
          <t>A 31474-2023</t>
        </is>
      </c>
      <c r="B506" s="1" t="n">
        <v>45104</v>
      </c>
      <c r="C506" s="1" t="n">
        <v>45809</v>
      </c>
      <c r="D506" t="inlineStr">
        <is>
          <t>VÄSTERNORRLANDS LÄN</t>
        </is>
      </c>
      <c r="E506" t="inlineStr">
        <is>
          <t>TIMRÅ</t>
        </is>
      </c>
      <c r="G506" t="n">
        <v>1.3</v>
      </c>
      <c r="H506" t="n">
        <v>0</v>
      </c>
      <c r="I506" t="n">
        <v>0</v>
      </c>
      <c r="J506" t="n">
        <v>0</v>
      </c>
      <c r="K506" t="n">
        <v>0</v>
      </c>
      <c r="L506" t="n">
        <v>0</v>
      </c>
      <c r="M506" t="n">
        <v>0</v>
      </c>
      <c r="N506" t="n">
        <v>0</v>
      </c>
      <c r="O506" t="n">
        <v>0</v>
      </c>
      <c r="P506" t="n">
        <v>0</v>
      </c>
      <c r="Q506" t="n">
        <v>0</v>
      </c>
      <c r="R506" s="2" t="inlineStr"/>
    </row>
    <row r="507" ht="15" customHeight="1">
      <c r="A507" t="inlineStr">
        <is>
          <t>A 31378-2023</t>
        </is>
      </c>
      <c r="B507" s="1" t="n">
        <v>45104</v>
      </c>
      <c r="C507" s="1" t="n">
        <v>45809</v>
      </c>
      <c r="D507" t="inlineStr">
        <is>
          <t>VÄSTERNORRLANDS LÄN</t>
        </is>
      </c>
      <c r="E507" t="inlineStr">
        <is>
          <t>TIMRÅ</t>
        </is>
      </c>
      <c r="G507" t="n">
        <v>2.8</v>
      </c>
      <c r="H507" t="n">
        <v>0</v>
      </c>
      <c r="I507" t="n">
        <v>0</v>
      </c>
      <c r="J507" t="n">
        <v>0</v>
      </c>
      <c r="K507" t="n">
        <v>0</v>
      </c>
      <c r="L507" t="n">
        <v>0</v>
      </c>
      <c r="M507" t="n">
        <v>0</v>
      </c>
      <c r="N507" t="n">
        <v>0</v>
      </c>
      <c r="O507" t="n">
        <v>0</v>
      </c>
      <c r="P507" t="n">
        <v>0</v>
      </c>
      <c r="Q507" t="n">
        <v>0</v>
      </c>
      <c r="R507" s="2" t="inlineStr"/>
    </row>
    <row r="508" ht="15" customHeight="1">
      <c r="A508" t="inlineStr">
        <is>
          <t>A 31343-2023</t>
        </is>
      </c>
      <c r="B508" s="1" t="n">
        <v>45104</v>
      </c>
      <c r="C508" s="1" t="n">
        <v>45809</v>
      </c>
      <c r="D508" t="inlineStr">
        <is>
          <t>VÄSTERNORRLANDS LÄN</t>
        </is>
      </c>
      <c r="E508" t="inlineStr">
        <is>
          <t>TIMRÅ</t>
        </is>
      </c>
      <c r="G508" t="n">
        <v>7.1</v>
      </c>
      <c r="H508" t="n">
        <v>0</v>
      </c>
      <c r="I508" t="n">
        <v>0</v>
      </c>
      <c r="J508" t="n">
        <v>0</v>
      </c>
      <c r="K508" t="n">
        <v>0</v>
      </c>
      <c r="L508" t="n">
        <v>0</v>
      </c>
      <c r="M508" t="n">
        <v>0</v>
      </c>
      <c r="N508" t="n">
        <v>0</v>
      </c>
      <c r="O508" t="n">
        <v>0</v>
      </c>
      <c r="P508" t="n">
        <v>0</v>
      </c>
      <c r="Q508" t="n">
        <v>0</v>
      </c>
      <c r="R508" s="2" t="inlineStr"/>
    </row>
    <row r="509" ht="15" customHeight="1">
      <c r="A509" t="inlineStr">
        <is>
          <t>A 31472-2023</t>
        </is>
      </c>
      <c r="B509" s="1" t="n">
        <v>45104</v>
      </c>
      <c r="C509" s="1" t="n">
        <v>45809</v>
      </c>
      <c r="D509" t="inlineStr">
        <is>
          <t>VÄSTERNORRLANDS LÄN</t>
        </is>
      </c>
      <c r="E509" t="inlineStr">
        <is>
          <t>TIMRÅ</t>
        </is>
      </c>
      <c r="G509" t="n">
        <v>2.1</v>
      </c>
      <c r="H509" t="n">
        <v>0</v>
      </c>
      <c r="I509" t="n">
        <v>0</v>
      </c>
      <c r="J509" t="n">
        <v>0</v>
      </c>
      <c r="K509" t="n">
        <v>0</v>
      </c>
      <c r="L509" t="n">
        <v>0</v>
      </c>
      <c r="M509" t="n">
        <v>0</v>
      </c>
      <c r="N509" t="n">
        <v>0</v>
      </c>
      <c r="O509" t="n">
        <v>0</v>
      </c>
      <c r="P509" t="n">
        <v>0</v>
      </c>
      <c r="Q509" t="n">
        <v>0</v>
      </c>
      <c r="R509" s="2" t="inlineStr"/>
    </row>
    <row r="510" ht="15" customHeight="1">
      <c r="A510" t="inlineStr">
        <is>
          <t>A 29599-2023</t>
        </is>
      </c>
      <c r="B510" s="1" t="n">
        <v>45106</v>
      </c>
      <c r="C510" s="1" t="n">
        <v>45809</v>
      </c>
      <c r="D510" t="inlineStr">
        <is>
          <t>VÄSTERNORRLANDS LÄN</t>
        </is>
      </c>
      <c r="E510" t="inlineStr">
        <is>
          <t>TIMRÅ</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29948-2023</t>
        </is>
      </c>
      <c r="B511" s="1" t="n">
        <v>45107</v>
      </c>
      <c r="C511" s="1" t="n">
        <v>45809</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32070-2023</t>
        </is>
      </c>
      <c r="B512" s="1" t="n">
        <v>45107</v>
      </c>
      <c r="C512" s="1" t="n">
        <v>45809</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30315-2023</t>
        </is>
      </c>
      <c r="B513" s="1" t="n">
        <v>45110</v>
      </c>
      <c r="C513" s="1" t="n">
        <v>45809</v>
      </c>
      <c r="D513" t="inlineStr">
        <is>
          <t>VÄSTERNORRLANDS LÄN</t>
        </is>
      </c>
      <c r="E513" t="inlineStr">
        <is>
          <t>TIMRÅ</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30298-2023</t>
        </is>
      </c>
      <c r="B514" s="1" t="n">
        <v>45110</v>
      </c>
      <c r="C514" s="1" t="n">
        <v>45809</v>
      </c>
      <c r="D514" t="inlineStr">
        <is>
          <t>VÄSTERNORRLANDS LÄN</t>
        </is>
      </c>
      <c r="E514" t="inlineStr">
        <is>
          <t>TIMRÅ</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30835-2023</t>
        </is>
      </c>
      <c r="B515" s="1" t="n">
        <v>45113</v>
      </c>
      <c r="C515" s="1" t="n">
        <v>45809</v>
      </c>
      <c r="D515" t="inlineStr">
        <is>
          <t>VÄSTERNORRLANDS LÄN</t>
        </is>
      </c>
      <c r="E515" t="inlineStr">
        <is>
          <t>TIMRÅ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31562-2023</t>
        </is>
      </c>
      <c r="B516" s="1" t="n">
        <v>45117</v>
      </c>
      <c r="C516" s="1" t="n">
        <v>45809</v>
      </c>
      <c r="D516" t="inlineStr">
        <is>
          <t>VÄSTERNORRLANDS LÄN</t>
        </is>
      </c>
      <c r="E516" t="inlineStr">
        <is>
          <t>TIMRÅ</t>
        </is>
      </c>
      <c r="G516" t="n">
        <v>3.7</v>
      </c>
      <c r="H516" t="n">
        <v>0</v>
      </c>
      <c r="I516" t="n">
        <v>0</v>
      </c>
      <c r="J516" t="n">
        <v>0</v>
      </c>
      <c r="K516" t="n">
        <v>0</v>
      </c>
      <c r="L516" t="n">
        <v>0</v>
      </c>
      <c r="M516" t="n">
        <v>0</v>
      </c>
      <c r="N516" t="n">
        <v>0</v>
      </c>
      <c r="O516" t="n">
        <v>0</v>
      </c>
      <c r="P516" t="n">
        <v>0</v>
      </c>
      <c r="Q516" t="n">
        <v>0</v>
      </c>
      <c r="R516" s="2" t="inlineStr"/>
    </row>
    <row r="517" ht="15" customHeight="1">
      <c r="A517" t="inlineStr">
        <is>
          <t>A 31736-2023</t>
        </is>
      </c>
      <c r="B517" s="1" t="n">
        <v>45117</v>
      </c>
      <c r="C517" s="1" t="n">
        <v>45809</v>
      </c>
      <c r="D517" t="inlineStr">
        <is>
          <t>VÄSTERNORRLANDS LÄN</t>
        </is>
      </c>
      <c r="E517" t="inlineStr">
        <is>
          <t>TIMRÅ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31741-2023</t>
        </is>
      </c>
      <c r="B518" s="1" t="n">
        <v>45117</v>
      </c>
      <c r="C518" s="1" t="n">
        <v>45809</v>
      </c>
      <c r="D518" t="inlineStr">
        <is>
          <t>VÄSTERNORRLANDS LÄN</t>
        </is>
      </c>
      <c r="E518" t="inlineStr">
        <is>
          <t>TIMRÅ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32224-2023</t>
        </is>
      </c>
      <c r="B519" s="1" t="n">
        <v>45119</v>
      </c>
      <c r="C519" s="1" t="n">
        <v>45809</v>
      </c>
      <c r="D519" t="inlineStr">
        <is>
          <t>VÄSTERNORRLANDS LÄN</t>
        </is>
      </c>
      <c r="E519" t="inlineStr">
        <is>
          <t>TIMRÅ</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32225-2023</t>
        </is>
      </c>
      <c r="B520" s="1" t="n">
        <v>45119</v>
      </c>
      <c r="C520" s="1" t="n">
        <v>45809</v>
      </c>
      <c r="D520" t="inlineStr">
        <is>
          <t>VÄSTERNORRLANDS LÄN</t>
        </is>
      </c>
      <c r="E520" t="inlineStr">
        <is>
          <t>TIMRÅ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32223-2023</t>
        </is>
      </c>
      <c r="B521" s="1" t="n">
        <v>45119</v>
      </c>
      <c r="C521" s="1" t="n">
        <v>45809</v>
      </c>
      <c r="D521" t="inlineStr">
        <is>
          <t>VÄSTERNORRLANDS LÄN</t>
        </is>
      </c>
      <c r="E521" t="inlineStr">
        <is>
          <t>TIMRÅ</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32226-2023</t>
        </is>
      </c>
      <c r="B522" s="1" t="n">
        <v>45119</v>
      </c>
      <c r="C522" s="1" t="n">
        <v>45809</v>
      </c>
      <c r="D522" t="inlineStr">
        <is>
          <t>VÄSTERNORRLANDS LÄN</t>
        </is>
      </c>
      <c r="E522" t="inlineStr">
        <is>
          <t>TIMRÅ</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32230-2023</t>
        </is>
      </c>
      <c r="B523" s="1" t="n">
        <v>45120</v>
      </c>
      <c r="C523" s="1" t="n">
        <v>45809</v>
      </c>
      <c r="D523" t="inlineStr">
        <is>
          <t>VÄSTERNORRLANDS LÄN</t>
        </is>
      </c>
      <c r="E523" t="inlineStr">
        <is>
          <t>TIMRÅ</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33667-2023</t>
        </is>
      </c>
      <c r="B524" s="1" t="n">
        <v>45119</v>
      </c>
      <c r="C524" s="1" t="n">
        <v>45809</v>
      </c>
      <c r="D524" t="inlineStr">
        <is>
          <t>VÄSTERNORRLANDS LÄN</t>
        </is>
      </c>
      <c r="E524" t="inlineStr">
        <is>
          <t>TIMRÅ</t>
        </is>
      </c>
      <c r="G524" t="n">
        <v>4.8</v>
      </c>
      <c r="H524" t="n">
        <v>0</v>
      </c>
      <c r="I524" t="n">
        <v>0</v>
      </c>
      <c r="J524" t="n">
        <v>0</v>
      </c>
      <c r="K524" t="n">
        <v>0</v>
      </c>
      <c r="L524" t="n">
        <v>0</v>
      </c>
      <c r="M524" t="n">
        <v>0</v>
      </c>
      <c r="N524" t="n">
        <v>0</v>
      </c>
      <c r="O524" t="n">
        <v>0</v>
      </c>
      <c r="P524" t="n">
        <v>0</v>
      </c>
      <c r="Q524" t="n">
        <v>0</v>
      </c>
      <c r="R524" s="2" t="inlineStr"/>
    </row>
    <row r="525" ht="15" customHeight="1">
      <c r="A525" t="inlineStr">
        <is>
          <t>A 33756-2023</t>
        </is>
      </c>
      <c r="B525" s="1" t="n">
        <v>45120</v>
      </c>
      <c r="C525" s="1" t="n">
        <v>45809</v>
      </c>
      <c r="D525" t="inlineStr">
        <is>
          <t>VÄSTERNORRLANDS LÄN</t>
        </is>
      </c>
      <c r="E525" t="inlineStr">
        <is>
          <t>TIMRÅ</t>
        </is>
      </c>
      <c r="G525" t="n">
        <v>10.5</v>
      </c>
      <c r="H525" t="n">
        <v>0</v>
      </c>
      <c r="I525" t="n">
        <v>0</v>
      </c>
      <c r="J525" t="n">
        <v>0</v>
      </c>
      <c r="K525" t="n">
        <v>0</v>
      </c>
      <c r="L525" t="n">
        <v>0</v>
      </c>
      <c r="M525" t="n">
        <v>0</v>
      </c>
      <c r="N525" t="n">
        <v>0</v>
      </c>
      <c r="O525" t="n">
        <v>0</v>
      </c>
      <c r="P525" t="n">
        <v>0</v>
      </c>
      <c r="Q525" t="n">
        <v>0</v>
      </c>
      <c r="R525" s="2" t="inlineStr"/>
    </row>
    <row r="526" ht="15" customHeight="1">
      <c r="A526" t="inlineStr">
        <is>
          <t>A 33043-2023</t>
        </is>
      </c>
      <c r="B526" s="1" t="n">
        <v>45125</v>
      </c>
      <c r="C526" s="1" t="n">
        <v>45809</v>
      </c>
      <c r="D526" t="inlineStr">
        <is>
          <t>VÄSTERNORRLANDS LÄN</t>
        </is>
      </c>
      <c r="E526" t="inlineStr">
        <is>
          <t>TIMRÅ</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34172-2023</t>
        </is>
      </c>
      <c r="B527" s="1" t="n">
        <v>45126</v>
      </c>
      <c r="C527" s="1" t="n">
        <v>45809</v>
      </c>
      <c r="D527" t="inlineStr">
        <is>
          <t>VÄSTERNORRLANDS LÄN</t>
        </is>
      </c>
      <c r="E527" t="inlineStr">
        <is>
          <t>TIMRÅ</t>
        </is>
      </c>
      <c r="G527" t="n">
        <v>4</v>
      </c>
      <c r="H527" t="n">
        <v>0</v>
      </c>
      <c r="I527" t="n">
        <v>0</v>
      </c>
      <c r="J527" t="n">
        <v>0</v>
      </c>
      <c r="K527" t="n">
        <v>0</v>
      </c>
      <c r="L527" t="n">
        <v>0</v>
      </c>
      <c r="M527" t="n">
        <v>0</v>
      </c>
      <c r="N527" t="n">
        <v>0</v>
      </c>
      <c r="O527" t="n">
        <v>0</v>
      </c>
      <c r="P527" t="n">
        <v>0</v>
      </c>
      <c r="Q527" t="n">
        <v>0</v>
      </c>
      <c r="R527" s="2" t="inlineStr"/>
    </row>
    <row r="528" ht="15" customHeight="1">
      <c r="A528" t="inlineStr">
        <is>
          <t>A 35342-2023</t>
        </is>
      </c>
      <c r="B528" s="1" t="n">
        <v>45145</v>
      </c>
      <c r="C528" s="1" t="n">
        <v>45809</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35568-2023</t>
        </is>
      </c>
      <c r="B529" s="1" t="n">
        <v>45146</v>
      </c>
      <c r="C529" s="1" t="n">
        <v>45809</v>
      </c>
      <c r="D529" t="inlineStr">
        <is>
          <t>VÄSTERNORRLANDS LÄN</t>
        </is>
      </c>
      <c r="E529" t="inlineStr">
        <is>
          <t>TIMRÅ</t>
        </is>
      </c>
      <c r="G529" t="n">
        <v>3.2</v>
      </c>
      <c r="H529" t="n">
        <v>0</v>
      </c>
      <c r="I529" t="n">
        <v>0</v>
      </c>
      <c r="J529" t="n">
        <v>0</v>
      </c>
      <c r="K529" t="n">
        <v>0</v>
      </c>
      <c r="L529" t="n">
        <v>0</v>
      </c>
      <c r="M529" t="n">
        <v>0</v>
      </c>
      <c r="N529" t="n">
        <v>0</v>
      </c>
      <c r="O529" t="n">
        <v>0</v>
      </c>
      <c r="P529" t="n">
        <v>0</v>
      </c>
      <c r="Q529" t="n">
        <v>0</v>
      </c>
      <c r="R529" s="2" t="inlineStr"/>
    </row>
    <row r="530" ht="15" customHeight="1">
      <c r="A530" t="inlineStr">
        <is>
          <t>A 35763-2023</t>
        </is>
      </c>
      <c r="B530" s="1" t="n">
        <v>45147</v>
      </c>
      <c r="C530" s="1" t="n">
        <v>45809</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35939-2023</t>
        </is>
      </c>
      <c r="B531" s="1" t="n">
        <v>45148</v>
      </c>
      <c r="C531" s="1" t="n">
        <v>45809</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36228-2023</t>
        </is>
      </c>
      <c r="B532" s="1" t="n">
        <v>45149</v>
      </c>
      <c r="C532" s="1" t="n">
        <v>45809</v>
      </c>
      <c r="D532" t="inlineStr">
        <is>
          <t>VÄSTERNORRLANDS LÄN</t>
        </is>
      </c>
      <c r="E532" t="inlineStr">
        <is>
          <t>TIMRÅ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36992-2023</t>
        </is>
      </c>
      <c r="B533" s="1" t="n">
        <v>45154</v>
      </c>
      <c r="C533" s="1" t="n">
        <v>45809</v>
      </c>
      <c r="D533" t="inlineStr">
        <is>
          <t>VÄSTERNORRLANDS LÄN</t>
        </is>
      </c>
      <c r="E533" t="inlineStr">
        <is>
          <t>TIMRÅ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36997-2023</t>
        </is>
      </c>
      <c r="B534" s="1" t="n">
        <v>45154</v>
      </c>
      <c r="C534" s="1" t="n">
        <v>45809</v>
      </c>
      <c r="D534" t="inlineStr">
        <is>
          <t>VÄSTERNORRLANDS LÄN</t>
        </is>
      </c>
      <c r="E534" t="inlineStr">
        <is>
          <t>TIMRÅ</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37259-2023</t>
        </is>
      </c>
      <c r="B535" s="1" t="n">
        <v>45156</v>
      </c>
      <c r="C535" s="1" t="n">
        <v>45809</v>
      </c>
      <c r="D535" t="inlineStr">
        <is>
          <t>VÄSTERNORRLANDS LÄN</t>
        </is>
      </c>
      <c r="E535" t="inlineStr">
        <is>
          <t>TIMRÅ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37808-2023</t>
        </is>
      </c>
      <c r="B536" s="1" t="n">
        <v>45160</v>
      </c>
      <c r="C536" s="1" t="n">
        <v>45809</v>
      </c>
      <c r="D536" t="inlineStr">
        <is>
          <t>VÄSTERNORRLANDS LÄN</t>
        </is>
      </c>
      <c r="E536" t="inlineStr">
        <is>
          <t>TIMRÅ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38423-2023</t>
        </is>
      </c>
      <c r="B537" s="1" t="n">
        <v>45160</v>
      </c>
      <c r="C537" s="1" t="n">
        <v>45809</v>
      </c>
      <c r="D537" t="inlineStr">
        <is>
          <t>VÄSTERNORRLANDS LÄN</t>
        </is>
      </c>
      <c r="E537" t="inlineStr">
        <is>
          <t>TIMRÅ</t>
        </is>
      </c>
      <c r="G537" t="n">
        <v>6.4</v>
      </c>
      <c r="H537" t="n">
        <v>0</v>
      </c>
      <c r="I537" t="n">
        <v>0</v>
      </c>
      <c r="J537" t="n">
        <v>0</v>
      </c>
      <c r="K537" t="n">
        <v>0</v>
      </c>
      <c r="L537" t="n">
        <v>0</v>
      </c>
      <c r="M537" t="n">
        <v>0</v>
      </c>
      <c r="N537" t="n">
        <v>0</v>
      </c>
      <c r="O537" t="n">
        <v>0</v>
      </c>
      <c r="P537" t="n">
        <v>0</v>
      </c>
      <c r="Q537" t="n">
        <v>0</v>
      </c>
      <c r="R537" s="2" t="inlineStr"/>
    </row>
    <row r="538" ht="15" customHeight="1">
      <c r="A538" t="inlineStr">
        <is>
          <t>A 38360-2023</t>
        </is>
      </c>
      <c r="B538" s="1" t="n">
        <v>45162</v>
      </c>
      <c r="C538" s="1" t="n">
        <v>45809</v>
      </c>
      <c r="D538" t="inlineStr">
        <is>
          <t>VÄSTERNORRLANDS LÄN</t>
        </is>
      </c>
      <c r="E538" t="inlineStr">
        <is>
          <t>TIMRÅ</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39073-2023</t>
        </is>
      </c>
      <c r="B539" s="1" t="n">
        <v>45163</v>
      </c>
      <c r="C539" s="1" t="n">
        <v>45809</v>
      </c>
      <c r="D539" t="inlineStr">
        <is>
          <t>VÄSTERNORRLANDS LÄN</t>
        </is>
      </c>
      <c r="E539" t="inlineStr">
        <is>
          <t>TIMRÅ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39081-2023</t>
        </is>
      </c>
      <c r="B540" s="1" t="n">
        <v>45163</v>
      </c>
      <c r="C540" s="1" t="n">
        <v>45809</v>
      </c>
      <c r="D540" t="inlineStr">
        <is>
          <t>VÄSTERNORRLANDS LÄN</t>
        </is>
      </c>
      <c r="E540" t="inlineStr">
        <is>
          <t>TIMRÅ</t>
        </is>
      </c>
      <c r="F540" t="inlineStr">
        <is>
          <t>SCA</t>
        </is>
      </c>
      <c r="G540" t="n">
        <v>11.6</v>
      </c>
      <c r="H540" t="n">
        <v>0</v>
      </c>
      <c r="I540" t="n">
        <v>0</v>
      </c>
      <c r="J540" t="n">
        <v>0</v>
      </c>
      <c r="K540" t="n">
        <v>0</v>
      </c>
      <c r="L540" t="n">
        <v>0</v>
      </c>
      <c r="M540" t="n">
        <v>0</v>
      </c>
      <c r="N540" t="n">
        <v>0</v>
      </c>
      <c r="O540" t="n">
        <v>0</v>
      </c>
      <c r="P540" t="n">
        <v>0</v>
      </c>
      <c r="Q540" t="n">
        <v>0</v>
      </c>
      <c r="R540" s="2" t="inlineStr"/>
    </row>
    <row r="541" ht="15" customHeight="1">
      <c r="A541" t="inlineStr">
        <is>
          <t>A 39046-2023</t>
        </is>
      </c>
      <c r="B541" s="1" t="n">
        <v>45163</v>
      </c>
      <c r="C541" s="1" t="n">
        <v>45809</v>
      </c>
      <c r="D541" t="inlineStr">
        <is>
          <t>VÄSTERNORRLANDS LÄN</t>
        </is>
      </c>
      <c r="E541" t="inlineStr">
        <is>
          <t>TIMRÅ</t>
        </is>
      </c>
      <c r="G541" t="n">
        <v>1.8</v>
      </c>
      <c r="H541" t="n">
        <v>0</v>
      </c>
      <c r="I541" t="n">
        <v>0</v>
      </c>
      <c r="J541" t="n">
        <v>0</v>
      </c>
      <c r="K541" t="n">
        <v>0</v>
      </c>
      <c r="L541" t="n">
        <v>0</v>
      </c>
      <c r="M541" t="n">
        <v>0</v>
      </c>
      <c r="N541" t="n">
        <v>0</v>
      </c>
      <c r="O541" t="n">
        <v>0</v>
      </c>
      <c r="P541" t="n">
        <v>0</v>
      </c>
      <c r="Q541" t="n">
        <v>0</v>
      </c>
      <c r="R541" s="2" t="inlineStr"/>
    </row>
    <row r="542" ht="15" customHeight="1">
      <c r="A542" t="inlineStr">
        <is>
          <t>A 39048-2023</t>
        </is>
      </c>
      <c r="B542" s="1" t="n">
        <v>45164</v>
      </c>
      <c r="C542" s="1" t="n">
        <v>45809</v>
      </c>
      <c r="D542" t="inlineStr">
        <is>
          <t>VÄSTERNORRLANDS LÄN</t>
        </is>
      </c>
      <c r="E542" t="inlineStr">
        <is>
          <t>TIMRÅ</t>
        </is>
      </c>
      <c r="G542" t="n">
        <v>5.1</v>
      </c>
      <c r="H542" t="n">
        <v>0</v>
      </c>
      <c r="I542" t="n">
        <v>0</v>
      </c>
      <c r="J542" t="n">
        <v>0</v>
      </c>
      <c r="K542" t="n">
        <v>0</v>
      </c>
      <c r="L542" t="n">
        <v>0</v>
      </c>
      <c r="M542" t="n">
        <v>0</v>
      </c>
      <c r="N542" t="n">
        <v>0</v>
      </c>
      <c r="O542" t="n">
        <v>0</v>
      </c>
      <c r="P542" t="n">
        <v>0</v>
      </c>
      <c r="Q542" t="n">
        <v>0</v>
      </c>
      <c r="R542" s="2" t="inlineStr"/>
    </row>
    <row r="543" ht="15" customHeight="1">
      <c r="A543" t="inlineStr">
        <is>
          <t>A 39072-2023</t>
        </is>
      </c>
      <c r="B543" s="1" t="n">
        <v>45163</v>
      </c>
      <c r="C543" s="1" t="n">
        <v>45809</v>
      </c>
      <c r="D543" t="inlineStr">
        <is>
          <t>VÄSTERNORRLANDS LÄN</t>
        </is>
      </c>
      <c r="E543" t="inlineStr">
        <is>
          <t>TIMRÅ</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39143-2023</t>
        </is>
      </c>
      <c r="B544" s="1" t="n">
        <v>45165</v>
      </c>
      <c r="C544" s="1" t="n">
        <v>45809</v>
      </c>
      <c r="D544" t="inlineStr">
        <is>
          <t>VÄSTERNORRLANDS LÄN</t>
        </is>
      </c>
      <c r="E544" t="inlineStr">
        <is>
          <t>TIMRÅ</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39142-2023</t>
        </is>
      </c>
      <c r="B545" s="1" t="n">
        <v>45165</v>
      </c>
      <c r="C545" s="1" t="n">
        <v>45809</v>
      </c>
      <c r="D545" t="inlineStr">
        <is>
          <t>VÄSTERNORRLANDS LÄN</t>
        </is>
      </c>
      <c r="E545" t="inlineStr">
        <is>
          <t>TIMRÅ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39693-2023</t>
        </is>
      </c>
      <c r="B546" s="1" t="n">
        <v>45166</v>
      </c>
      <c r="C546" s="1" t="n">
        <v>45809</v>
      </c>
      <c r="D546" t="inlineStr">
        <is>
          <t>VÄSTERNORRLANDS LÄN</t>
        </is>
      </c>
      <c r="E546" t="inlineStr">
        <is>
          <t>TIMRÅ</t>
        </is>
      </c>
      <c r="G546" t="n">
        <v>5.8</v>
      </c>
      <c r="H546" t="n">
        <v>0</v>
      </c>
      <c r="I546" t="n">
        <v>0</v>
      </c>
      <c r="J546" t="n">
        <v>0</v>
      </c>
      <c r="K546" t="n">
        <v>0</v>
      </c>
      <c r="L546" t="n">
        <v>0</v>
      </c>
      <c r="M546" t="n">
        <v>0</v>
      </c>
      <c r="N546" t="n">
        <v>0</v>
      </c>
      <c r="O546" t="n">
        <v>0</v>
      </c>
      <c r="P546" t="n">
        <v>0</v>
      </c>
      <c r="Q546" t="n">
        <v>0</v>
      </c>
      <c r="R546" s="2" t="inlineStr"/>
    </row>
    <row r="547" ht="15" customHeight="1">
      <c r="A547" t="inlineStr">
        <is>
          <t>A 39819-2023</t>
        </is>
      </c>
      <c r="B547" s="1" t="n">
        <v>45167</v>
      </c>
      <c r="C547" s="1" t="n">
        <v>45809</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40112-2023</t>
        </is>
      </c>
      <c r="B548" s="1" t="n">
        <v>45168</v>
      </c>
      <c r="C548" s="1" t="n">
        <v>45809</v>
      </c>
      <c r="D548" t="inlineStr">
        <is>
          <t>VÄSTERNORRLANDS LÄN</t>
        </is>
      </c>
      <c r="E548" t="inlineStr">
        <is>
          <t>TIMRÅ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40769-2023</t>
        </is>
      </c>
      <c r="B549" s="1" t="n">
        <v>45170</v>
      </c>
      <c r="C549" s="1" t="n">
        <v>45809</v>
      </c>
      <c r="D549" t="inlineStr">
        <is>
          <t>VÄSTERNORRLANDS LÄN</t>
        </is>
      </c>
      <c r="E549" t="inlineStr">
        <is>
          <t>TIMRÅ</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40773-2023</t>
        </is>
      </c>
      <c r="B550" s="1" t="n">
        <v>45171</v>
      </c>
      <c r="C550" s="1" t="n">
        <v>45809</v>
      </c>
      <c r="D550" t="inlineStr">
        <is>
          <t>VÄSTERNORRLANDS LÄN</t>
        </is>
      </c>
      <c r="E550" t="inlineStr">
        <is>
          <t>TIMRÅ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40774-2023</t>
        </is>
      </c>
      <c r="B551" s="1" t="n">
        <v>45171</v>
      </c>
      <c r="C551" s="1" t="n">
        <v>45809</v>
      </c>
      <c r="D551" t="inlineStr">
        <is>
          <t>VÄSTERNORRLANDS LÄN</t>
        </is>
      </c>
      <c r="E551" t="inlineStr">
        <is>
          <t>TIMRÅ</t>
        </is>
      </c>
      <c r="F551" t="inlineStr">
        <is>
          <t>SCA</t>
        </is>
      </c>
      <c r="G551" t="n">
        <v>12.6</v>
      </c>
      <c r="H551" t="n">
        <v>0</v>
      </c>
      <c r="I551" t="n">
        <v>0</v>
      </c>
      <c r="J551" t="n">
        <v>0</v>
      </c>
      <c r="K551" t="n">
        <v>0</v>
      </c>
      <c r="L551" t="n">
        <v>0</v>
      </c>
      <c r="M551" t="n">
        <v>0</v>
      </c>
      <c r="N551" t="n">
        <v>0</v>
      </c>
      <c r="O551" t="n">
        <v>0</v>
      </c>
      <c r="P551" t="n">
        <v>0</v>
      </c>
      <c r="Q551" t="n">
        <v>0</v>
      </c>
      <c r="R551" s="2" t="inlineStr"/>
    </row>
    <row r="552" ht="15" customHeight="1">
      <c r="A552" t="inlineStr">
        <is>
          <t>A 40767-2023</t>
        </is>
      </c>
      <c r="B552" s="1" t="n">
        <v>45171</v>
      </c>
      <c r="C552" s="1" t="n">
        <v>45809</v>
      </c>
      <c r="D552" t="inlineStr">
        <is>
          <t>VÄSTERNORRLANDS LÄN</t>
        </is>
      </c>
      <c r="E552" t="inlineStr">
        <is>
          <t>TIMRÅ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40768-2023</t>
        </is>
      </c>
      <c r="B553" s="1" t="n">
        <v>45171</v>
      </c>
      <c r="C553" s="1" t="n">
        <v>45809</v>
      </c>
      <c r="D553" t="inlineStr">
        <is>
          <t>VÄSTERNORRLANDS LÄN</t>
        </is>
      </c>
      <c r="E553" t="inlineStr">
        <is>
          <t>TIMRÅ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41605-2023</t>
        </is>
      </c>
      <c r="B554" s="1" t="n">
        <v>45175</v>
      </c>
      <c r="C554" s="1" t="n">
        <v>45809</v>
      </c>
      <c r="D554" t="inlineStr">
        <is>
          <t>VÄSTERNORRLANDS LÄN</t>
        </is>
      </c>
      <c r="E554" t="inlineStr">
        <is>
          <t>TIMRÅ</t>
        </is>
      </c>
      <c r="G554" t="n">
        <v>1.6</v>
      </c>
      <c r="H554" t="n">
        <v>0</v>
      </c>
      <c r="I554" t="n">
        <v>0</v>
      </c>
      <c r="J554" t="n">
        <v>0</v>
      </c>
      <c r="K554" t="n">
        <v>0</v>
      </c>
      <c r="L554" t="n">
        <v>0</v>
      </c>
      <c r="M554" t="n">
        <v>0</v>
      </c>
      <c r="N554" t="n">
        <v>0</v>
      </c>
      <c r="O554" t="n">
        <v>0</v>
      </c>
      <c r="P554" t="n">
        <v>0</v>
      </c>
      <c r="Q554" t="n">
        <v>0</v>
      </c>
      <c r="R554" s="2" t="inlineStr"/>
    </row>
    <row r="555" ht="15" customHeight="1">
      <c r="A555" t="inlineStr">
        <is>
          <t>A 42161-2023</t>
        </is>
      </c>
      <c r="B555" s="1" t="n">
        <v>45178</v>
      </c>
      <c r="C555" s="1" t="n">
        <v>45809</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42513-2023</t>
        </is>
      </c>
      <c r="B556" s="1" t="n">
        <v>45180</v>
      </c>
      <c r="C556" s="1" t="n">
        <v>45809</v>
      </c>
      <c r="D556" t="inlineStr">
        <is>
          <t>VÄSTERNORRLANDS LÄN</t>
        </is>
      </c>
      <c r="E556" t="inlineStr">
        <is>
          <t>TIMRÅ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42516-2023</t>
        </is>
      </c>
      <c r="B557" s="1" t="n">
        <v>45180</v>
      </c>
      <c r="C557" s="1" t="n">
        <v>45809</v>
      </c>
      <c r="D557" t="inlineStr">
        <is>
          <t>VÄSTERNORRLANDS LÄN</t>
        </is>
      </c>
      <c r="E557" t="inlineStr">
        <is>
          <t>TIMRÅ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43124-2023</t>
        </is>
      </c>
      <c r="B558" s="1" t="n">
        <v>45182</v>
      </c>
      <c r="C558" s="1" t="n">
        <v>45809</v>
      </c>
      <c r="D558" t="inlineStr">
        <is>
          <t>VÄSTERNORRLANDS LÄN</t>
        </is>
      </c>
      <c r="E558" t="inlineStr">
        <is>
          <t>TIMRÅ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43130-2023</t>
        </is>
      </c>
      <c r="B559" s="1" t="n">
        <v>45183</v>
      </c>
      <c r="C559" s="1" t="n">
        <v>45809</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43128-2023</t>
        </is>
      </c>
      <c r="B560" s="1" t="n">
        <v>45182</v>
      </c>
      <c r="C560" s="1" t="n">
        <v>45809</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43113-2023</t>
        </is>
      </c>
      <c r="B561" s="1" t="n">
        <v>45182</v>
      </c>
      <c r="C561" s="1" t="n">
        <v>45809</v>
      </c>
      <c r="D561" t="inlineStr">
        <is>
          <t>VÄSTERNORRLANDS LÄN</t>
        </is>
      </c>
      <c r="E561" t="inlineStr">
        <is>
          <t>TIMRÅ</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43129-2023</t>
        </is>
      </c>
      <c r="B562" s="1" t="n">
        <v>45182</v>
      </c>
      <c r="C562" s="1" t="n">
        <v>45809</v>
      </c>
      <c r="D562" t="inlineStr">
        <is>
          <t>VÄSTERNORRLANDS LÄN</t>
        </is>
      </c>
      <c r="E562" t="inlineStr">
        <is>
          <t>TIMRÅ</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43411-2023</t>
        </is>
      </c>
      <c r="B563" s="1" t="n">
        <v>45183</v>
      </c>
      <c r="C563" s="1" t="n">
        <v>45809</v>
      </c>
      <c r="D563" t="inlineStr">
        <is>
          <t>VÄSTERNORRLANDS LÄN</t>
        </is>
      </c>
      <c r="E563" t="inlineStr">
        <is>
          <t>TIMRÅ</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43412-2023</t>
        </is>
      </c>
      <c r="B564" s="1" t="n">
        <v>45184</v>
      </c>
      <c r="C564" s="1" t="n">
        <v>45809</v>
      </c>
      <c r="D564" t="inlineStr">
        <is>
          <t>VÄSTERNORRLANDS LÄN</t>
        </is>
      </c>
      <c r="E564" t="inlineStr">
        <is>
          <t>TIMRÅ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43959-2023</t>
        </is>
      </c>
      <c r="B565" s="1" t="n">
        <v>45188</v>
      </c>
      <c r="C565" s="1" t="n">
        <v>45809</v>
      </c>
      <c r="D565" t="inlineStr">
        <is>
          <t>VÄSTERNORRLANDS LÄN</t>
        </is>
      </c>
      <c r="E565" t="inlineStr">
        <is>
          <t>TIMRÅ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43964-2023</t>
        </is>
      </c>
      <c r="B566" s="1" t="n">
        <v>45187</v>
      </c>
      <c r="C566" s="1" t="n">
        <v>45809</v>
      </c>
      <c r="D566" t="inlineStr">
        <is>
          <t>VÄSTERNORRLANDS LÄN</t>
        </is>
      </c>
      <c r="E566" t="inlineStr">
        <is>
          <t>TIMRÅ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43983-2023</t>
        </is>
      </c>
      <c r="B567" s="1" t="n">
        <v>45188</v>
      </c>
      <c r="C567" s="1" t="n">
        <v>45809</v>
      </c>
      <c r="D567" t="inlineStr">
        <is>
          <t>VÄSTERNORRLANDS LÄN</t>
        </is>
      </c>
      <c r="E567" t="inlineStr">
        <is>
          <t>TIMRÅ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43962-2023</t>
        </is>
      </c>
      <c r="B568" s="1" t="n">
        <v>45187</v>
      </c>
      <c r="C568" s="1" t="n">
        <v>45809</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43994-2023</t>
        </is>
      </c>
      <c r="B569" s="1" t="n">
        <v>45187</v>
      </c>
      <c r="C569" s="1" t="n">
        <v>45809</v>
      </c>
      <c r="D569" t="inlineStr">
        <is>
          <t>VÄSTERNORRLANDS LÄN</t>
        </is>
      </c>
      <c r="E569" t="inlineStr">
        <is>
          <t>TIMRÅ</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44405-2023</t>
        </is>
      </c>
      <c r="B570" s="1" t="n">
        <v>45188</v>
      </c>
      <c r="C570" s="1" t="n">
        <v>45809</v>
      </c>
      <c r="D570" t="inlineStr">
        <is>
          <t>VÄSTERNORRLANDS LÄN</t>
        </is>
      </c>
      <c r="E570" t="inlineStr">
        <is>
          <t>TIMRÅ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44404-2023</t>
        </is>
      </c>
      <c r="B571" s="1" t="n">
        <v>45188</v>
      </c>
      <c r="C571" s="1" t="n">
        <v>45809</v>
      </c>
      <c r="D571" t="inlineStr">
        <is>
          <t>VÄSTERNORRLANDS LÄN</t>
        </is>
      </c>
      <c r="E571" t="inlineStr">
        <is>
          <t>TIMRÅ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44379-2023</t>
        </is>
      </c>
      <c r="B572" s="1" t="n">
        <v>45188</v>
      </c>
      <c r="C572" s="1" t="n">
        <v>45809</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44378-2023</t>
        </is>
      </c>
      <c r="B573" s="1" t="n">
        <v>45189</v>
      </c>
      <c r="C573" s="1" t="n">
        <v>45809</v>
      </c>
      <c r="D573" t="inlineStr">
        <is>
          <t>VÄSTERNORRLANDS LÄN</t>
        </is>
      </c>
      <c r="E573" t="inlineStr">
        <is>
          <t>TIMRÅ</t>
        </is>
      </c>
      <c r="G573" t="n">
        <v>0.6</v>
      </c>
      <c r="H573" t="n">
        <v>0</v>
      </c>
      <c r="I573" t="n">
        <v>0</v>
      </c>
      <c r="J573" t="n">
        <v>0</v>
      </c>
      <c r="K573" t="n">
        <v>0</v>
      </c>
      <c r="L573" t="n">
        <v>0</v>
      </c>
      <c r="M573" t="n">
        <v>0</v>
      </c>
      <c r="N573" t="n">
        <v>0</v>
      </c>
      <c r="O573" t="n">
        <v>0</v>
      </c>
      <c r="P573" t="n">
        <v>0</v>
      </c>
      <c r="Q573" t="n">
        <v>0</v>
      </c>
      <c r="R573" s="2" t="inlineStr"/>
    </row>
    <row r="574" ht="15" customHeight="1">
      <c r="A574" t="inlineStr">
        <is>
          <t>A 45774-2023</t>
        </is>
      </c>
      <c r="B574" s="1" t="n">
        <v>45189</v>
      </c>
      <c r="C574" s="1" t="n">
        <v>45809</v>
      </c>
      <c r="D574" t="inlineStr">
        <is>
          <t>VÄSTERNORRLANDS LÄN</t>
        </is>
      </c>
      <c r="E574" t="inlineStr">
        <is>
          <t>TIMRÅ</t>
        </is>
      </c>
      <c r="G574" t="n">
        <v>2.8</v>
      </c>
      <c r="H574" t="n">
        <v>0</v>
      </c>
      <c r="I574" t="n">
        <v>0</v>
      </c>
      <c r="J574" t="n">
        <v>0</v>
      </c>
      <c r="K574" t="n">
        <v>0</v>
      </c>
      <c r="L574" t="n">
        <v>0</v>
      </c>
      <c r="M574" t="n">
        <v>0</v>
      </c>
      <c r="N574" t="n">
        <v>0</v>
      </c>
      <c r="O574" t="n">
        <v>0</v>
      </c>
      <c r="P574" t="n">
        <v>0</v>
      </c>
      <c r="Q574" t="n">
        <v>0</v>
      </c>
      <c r="R574" s="2" t="inlineStr"/>
    </row>
    <row r="575" ht="15" customHeight="1">
      <c r="A575" t="inlineStr">
        <is>
          <t>A 44991-2023</t>
        </is>
      </c>
      <c r="B575" s="1" t="n">
        <v>45190</v>
      </c>
      <c r="C575" s="1" t="n">
        <v>45809</v>
      </c>
      <c r="D575" t="inlineStr">
        <is>
          <t>VÄSTERNORRLANDS LÄN</t>
        </is>
      </c>
      <c r="E575" t="inlineStr">
        <is>
          <t>TIMRÅ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44990-2023</t>
        </is>
      </c>
      <c r="B576" s="1" t="n">
        <v>45190</v>
      </c>
      <c r="C576" s="1" t="n">
        <v>45809</v>
      </c>
      <c r="D576" t="inlineStr">
        <is>
          <t>VÄSTERNORRLANDS LÄN</t>
        </is>
      </c>
      <c r="E576" t="inlineStr">
        <is>
          <t>TIMRÅ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45723-2023</t>
        </is>
      </c>
      <c r="B577" s="1" t="n">
        <v>45195</v>
      </c>
      <c r="C577" s="1" t="n">
        <v>45809</v>
      </c>
      <c r="D577" t="inlineStr">
        <is>
          <t>VÄSTERNORRLANDS LÄN</t>
        </is>
      </c>
      <c r="E577" t="inlineStr">
        <is>
          <t>TIMRÅ</t>
        </is>
      </c>
      <c r="G577" t="n">
        <v>0.9</v>
      </c>
      <c r="H577" t="n">
        <v>0</v>
      </c>
      <c r="I577" t="n">
        <v>0</v>
      </c>
      <c r="J577" t="n">
        <v>0</v>
      </c>
      <c r="K577" t="n">
        <v>0</v>
      </c>
      <c r="L577" t="n">
        <v>0</v>
      </c>
      <c r="M577" t="n">
        <v>0</v>
      </c>
      <c r="N577" t="n">
        <v>0</v>
      </c>
      <c r="O577" t="n">
        <v>0</v>
      </c>
      <c r="P577" t="n">
        <v>0</v>
      </c>
      <c r="Q577" t="n">
        <v>0</v>
      </c>
      <c r="R577" s="2" t="inlineStr"/>
    </row>
    <row r="578" ht="15" customHeight="1">
      <c r="A578" t="inlineStr">
        <is>
          <t>A 45739-2023</t>
        </is>
      </c>
      <c r="B578" s="1" t="n">
        <v>45195</v>
      </c>
      <c r="C578" s="1" t="n">
        <v>45809</v>
      </c>
      <c r="D578" t="inlineStr">
        <is>
          <t>VÄSTERNORRLANDS LÄN</t>
        </is>
      </c>
      <c r="E578" t="inlineStr">
        <is>
          <t>TIMRÅ</t>
        </is>
      </c>
      <c r="G578" t="n">
        <v>1.5</v>
      </c>
      <c r="H578" t="n">
        <v>0</v>
      </c>
      <c r="I578" t="n">
        <v>0</v>
      </c>
      <c r="J578" t="n">
        <v>0</v>
      </c>
      <c r="K578" t="n">
        <v>0</v>
      </c>
      <c r="L578" t="n">
        <v>0</v>
      </c>
      <c r="M578" t="n">
        <v>0</v>
      </c>
      <c r="N578" t="n">
        <v>0</v>
      </c>
      <c r="O578" t="n">
        <v>0</v>
      </c>
      <c r="P578" t="n">
        <v>0</v>
      </c>
      <c r="Q578" t="n">
        <v>0</v>
      </c>
      <c r="R578" s="2" t="inlineStr"/>
    </row>
    <row r="579" ht="15" customHeight="1">
      <c r="A579" t="inlineStr">
        <is>
          <t>A 47147-2023</t>
        </is>
      </c>
      <c r="B579" s="1" t="n">
        <v>45201</v>
      </c>
      <c r="C579" s="1" t="n">
        <v>45809</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47150-2023</t>
        </is>
      </c>
      <c r="B580" s="1" t="n">
        <v>45201</v>
      </c>
      <c r="C580" s="1" t="n">
        <v>45809</v>
      </c>
      <c r="D580" t="inlineStr">
        <is>
          <t>VÄSTERNORRLANDS LÄN</t>
        </is>
      </c>
      <c r="E580" t="inlineStr">
        <is>
          <t>TIMRÅ</t>
        </is>
      </c>
      <c r="G580" t="n">
        <v>1.1</v>
      </c>
      <c r="H580" t="n">
        <v>0</v>
      </c>
      <c r="I580" t="n">
        <v>0</v>
      </c>
      <c r="J580" t="n">
        <v>0</v>
      </c>
      <c r="K580" t="n">
        <v>0</v>
      </c>
      <c r="L580" t="n">
        <v>0</v>
      </c>
      <c r="M580" t="n">
        <v>0</v>
      </c>
      <c r="N580" t="n">
        <v>0</v>
      </c>
      <c r="O580" t="n">
        <v>0</v>
      </c>
      <c r="P580" t="n">
        <v>0</v>
      </c>
      <c r="Q580" t="n">
        <v>0</v>
      </c>
      <c r="R580" s="2" t="inlineStr"/>
    </row>
    <row r="581" ht="15" customHeight="1">
      <c r="A581" t="inlineStr">
        <is>
          <t>A 48769-2023</t>
        </is>
      </c>
      <c r="B581" s="1" t="n">
        <v>45208</v>
      </c>
      <c r="C581" s="1" t="n">
        <v>45809</v>
      </c>
      <c r="D581" t="inlineStr">
        <is>
          <t>VÄSTERNORRLANDS LÄN</t>
        </is>
      </c>
      <c r="E581" t="inlineStr">
        <is>
          <t>TIMRÅ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48786-2023</t>
        </is>
      </c>
      <c r="B582" s="1" t="n">
        <v>45208</v>
      </c>
      <c r="C582" s="1" t="n">
        <v>45809</v>
      </c>
      <c r="D582" t="inlineStr">
        <is>
          <t>VÄSTERNORRLANDS LÄN</t>
        </is>
      </c>
      <c r="E582" t="inlineStr">
        <is>
          <t>TIMRÅ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48768-2023</t>
        </is>
      </c>
      <c r="B583" s="1" t="n">
        <v>45208</v>
      </c>
      <c r="C583" s="1" t="n">
        <v>45809</v>
      </c>
      <c r="D583" t="inlineStr">
        <is>
          <t>VÄSTERNORRLANDS LÄN</t>
        </is>
      </c>
      <c r="E583" t="inlineStr">
        <is>
          <t>TIMRÅ</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48785-2023</t>
        </is>
      </c>
      <c r="B584" s="1" t="n">
        <v>45208</v>
      </c>
      <c r="C584" s="1" t="n">
        <v>45809</v>
      </c>
      <c r="D584" t="inlineStr">
        <is>
          <t>VÄSTERNORRLANDS LÄN</t>
        </is>
      </c>
      <c r="E584" t="inlineStr">
        <is>
          <t>TIMRÅ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48784-2023</t>
        </is>
      </c>
      <c r="B585" s="1" t="n">
        <v>45208</v>
      </c>
      <c r="C585" s="1" t="n">
        <v>45809</v>
      </c>
      <c r="D585" t="inlineStr">
        <is>
          <t>VÄSTERNORRLANDS LÄN</t>
        </is>
      </c>
      <c r="E585" t="inlineStr">
        <is>
          <t>TIMRÅ</t>
        </is>
      </c>
      <c r="F585" t="inlineStr">
        <is>
          <t>SCA</t>
        </is>
      </c>
      <c r="G585" t="n">
        <v>7.2</v>
      </c>
      <c r="H585" t="n">
        <v>0</v>
      </c>
      <c r="I585" t="n">
        <v>0</v>
      </c>
      <c r="J585" t="n">
        <v>0</v>
      </c>
      <c r="K585" t="n">
        <v>0</v>
      </c>
      <c r="L585" t="n">
        <v>0</v>
      </c>
      <c r="M585" t="n">
        <v>0</v>
      </c>
      <c r="N585" t="n">
        <v>0</v>
      </c>
      <c r="O585" t="n">
        <v>0</v>
      </c>
      <c r="P585" t="n">
        <v>0</v>
      </c>
      <c r="Q585" t="n">
        <v>0</v>
      </c>
      <c r="R585" s="2" t="inlineStr"/>
    </row>
    <row r="586" ht="15" customHeight="1">
      <c r="A586" t="inlineStr">
        <is>
          <t>A 50355-2023</t>
        </is>
      </c>
      <c r="B586" s="1" t="n">
        <v>45209</v>
      </c>
      <c r="C586" s="1" t="n">
        <v>45809</v>
      </c>
      <c r="D586" t="inlineStr">
        <is>
          <t>VÄSTERNORRLANDS LÄN</t>
        </is>
      </c>
      <c r="E586" t="inlineStr">
        <is>
          <t>TIMRÅ</t>
        </is>
      </c>
      <c r="G586" t="n">
        <v>1</v>
      </c>
      <c r="H586" t="n">
        <v>0</v>
      </c>
      <c r="I586" t="n">
        <v>0</v>
      </c>
      <c r="J586" t="n">
        <v>0</v>
      </c>
      <c r="K586" t="n">
        <v>0</v>
      </c>
      <c r="L586" t="n">
        <v>0</v>
      </c>
      <c r="M586" t="n">
        <v>0</v>
      </c>
      <c r="N586" t="n">
        <v>0</v>
      </c>
      <c r="O586" t="n">
        <v>0</v>
      </c>
      <c r="P586" t="n">
        <v>0</v>
      </c>
      <c r="Q586" t="n">
        <v>0</v>
      </c>
      <c r="R586" s="2" t="inlineStr"/>
    </row>
    <row r="587" ht="15" customHeight="1">
      <c r="A587" t="inlineStr">
        <is>
          <t>A 50638-2023</t>
        </is>
      </c>
      <c r="B587" s="1" t="n">
        <v>45210</v>
      </c>
      <c r="C587" s="1" t="n">
        <v>45809</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50230-2023</t>
        </is>
      </c>
      <c r="B588" s="1" t="n">
        <v>45215</v>
      </c>
      <c r="C588" s="1" t="n">
        <v>45809</v>
      </c>
      <c r="D588" t="inlineStr">
        <is>
          <t>VÄSTERNORRLANDS LÄN</t>
        </is>
      </c>
      <c r="E588" t="inlineStr">
        <is>
          <t>TIMRÅ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51735-2023</t>
        </is>
      </c>
      <c r="B589" s="1" t="n">
        <v>45215</v>
      </c>
      <c r="C589" s="1" t="n">
        <v>45809</v>
      </c>
      <c r="D589" t="inlineStr">
        <is>
          <t>VÄSTERNORRLANDS LÄN</t>
        </is>
      </c>
      <c r="E589" t="inlineStr">
        <is>
          <t>TIMRÅ</t>
        </is>
      </c>
      <c r="G589" t="n">
        <v>8.5</v>
      </c>
      <c r="H589" t="n">
        <v>0</v>
      </c>
      <c r="I589" t="n">
        <v>0</v>
      </c>
      <c r="J589" t="n">
        <v>0</v>
      </c>
      <c r="K589" t="n">
        <v>0</v>
      </c>
      <c r="L589" t="n">
        <v>0</v>
      </c>
      <c r="M589" t="n">
        <v>0</v>
      </c>
      <c r="N589" t="n">
        <v>0</v>
      </c>
      <c r="O589" t="n">
        <v>0</v>
      </c>
      <c r="P589" t="n">
        <v>0</v>
      </c>
      <c r="Q589" t="n">
        <v>0</v>
      </c>
      <c r="R589" s="2" t="inlineStr"/>
    </row>
    <row r="590" ht="15" customHeight="1">
      <c r="A590" t="inlineStr">
        <is>
          <t>A 51871-2023</t>
        </is>
      </c>
      <c r="B590" s="1" t="n">
        <v>45215</v>
      </c>
      <c r="C590" s="1" t="n">
        <v>45809</v>
      </c>
      <c r="D590" t="inlineStr">
        <is>
          <t>VÄSTERNORRLANDS LÄN</t>
        </is>
      </c>
      <c r="E590" t="inlineStr">
        <is>
          <t>TIMRÅ</t>
        </is>
      </c>
      <c r="G590" t="n">
        <v>7.3</v>
      </c>
      <c r="H590" t="n">
        <v>0</v>
      </c>
      <c r="I590" t="n">
        <v>0</v>
      </c>
      <c r="J590" t="n">
        <v>0</v>
      </c>
      <c r="K590" t="n">
        <v>0</v>
      </c>
      <c r="L590" t="n">
        <v>0</v>
      </c>
      <c r="M590" t="n">
        <v>0</v>
      </c>
      <c r="N590" t="n">
        <v>0</v>
      </c>
      <c r="O590" t="n">
        <v>0</v>
      </c>
      <c r="P590" t="n">
        <v>0</v>
      </c>
      <c r="Q590" t="n">
        <v>0</v>
      </c>
      <c r="R590" s="2" t="inlineStr"/>
    </row>
    <row r="591" ht="15" customHeight="1">
      <c r="A591" t="inlineStr">
        <is>
          <t>A 51113-2023</t>
        </is>
      </c>
      <c r="B591" s="1" t="n">
        <v>45218</v>
      </c>
      <c r="C591" s="1" t="n">
        <v>45809</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53033-2023</t>
        </is>
      </c>
      <c r="B592" s="1" t="n">
        <v>45227</v>
      </c>
      <c r="C592" s="1" t="n">
        <v>45809</v>
      </c>
      <c r="D592" t="inlineStr">
        <is>
          <t>VÄSTERNORRLANDS LÄN</t>
        </is>
      </c>
      <c r="E592" t="inlineStr">
        <is>
          <t>TIMRÅ</t>
        </is>
      </c>
      <c r="G592" t="n">
        <v>3.4</v>
      </c>
      <c r="H592" t="n">
        <v>0</v>
      </c>
      <c r="I592" t="n">
        <v>0</v>
      </c>
      <c r="J592" t="n">
        <v>0</v>
      </c>
      <c r="K592" t="n">
        <v>0</v>
      </c>
      <c r="L592" t="n">
        <v>0</v>
      </c>
      <c r="M592" t="n">
        <v>0</v>
      </c>
      <c r="N592" t="n">
        <v>0</v>
      </c>
      <c r="O592" t="n">
        <v>0</v>
      </c>
      <c r="P592" t="n">
        <v>0</v>
      </c>
      <c r="Q592" t="n">
        <v>0</v>
      </c>
      <c r="R592" s="2" t="inlineStr"/>
    </row>
    <row r="593" ht="15" customHeight="1">
      <c r="A593" t="inlineStr">
        <is>
          <t>A 53448-2023</t>
        </is>
      </c>
      <c r="B593" s="1" t="n">
        <v>45230</v>
      </c>
      <c r="C593" s="1" t="n">
        <v>45809</v>
      </c>
      <c r="D593" t="inlineStr">
        <is>
          <t>VÄSTERNORRLANDS LÄN</t>
        </is>
      </c>
      <c r="E593" t="inlineStr">
        <is>
          <t>TIMRÅ</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53430-2023</t>
        </is>
      </c>
      <c r="B594" s="1" t="n">
        <v>45229</v>
      </c>
      <c r="C594" s="1" t="n">
        <v>45809</v>
      </c>
      <c r="D594" t="inlineStr">
        <is>
          <t>VÄSTERNORRLANDS LÄN</t>
        </is>
      </c>
      <c r="E594" t="inlineStr">
        <is>
          <t>TIMRÅ</t>
        </is>
      </c>
      <c r="G594" t="n">
        <v>2.6</v>
      </c>
      <c r="H594" t="n">
        <v>0</v>
      </c>
      <c r="I594" t="n">
        <v>0</v>
      </c>
      <c r="J594" t="n">
        <v>0</v>
      </c>
      <c r="K594" t="n">
        <v>0</v>
      </c>
      <c r="L594" t="n">
        <v>0</v>
      </c>
      <c r="M594" t="n">
        <v>0</v>
      </c>
      <c r="N594" t="n">
        <v>0</v>
      </c>
      <c r="O594" t="n">
        <v>0</v>
      </c>
      <c r="P594" t="n">
        <v>0</v>
      </c>
      <c r="Q594" t="n">
        <v>0</v>
      </c>
      <c r="R594" s="2" t="inlineStr"/>
    </row>
    <row r="595" ht="15" customHeight="1">
      <c r="A595" t="inlineStr">
        <is>
          <t>A 53755-2023</t>
        </is>
      </c>
      <c r="B595" s="1" t="n">
        <v>45230</v>
      </c>
      <c r="C595" s="1" t="n">
        <v>45809</v>
      </c>
      <c r="D595" t="inlineStr">
        <is>
          <t>VÄSTERNORRLANDS LÄN</t>
        </is>
      </c>
      <c r="E595" t="inlineStr">
        <is>
          <t>TIMRÅ</t>
        </is>
      </c>
      <c r="G595" t="n">
        <v>6.5</v>
      </c>
      <c r="H595" t="n">
        <v>0</v>
      </c>
      <c r="I595" t="n">
        <v>0</v>
      </c>
      <c r="J595" t="n">
        <v>0</v>
      </c>
      <c r="K595" t="n">
        <v>0</v>
      </c>
      <c r="L595" t="n">
        <v>0</v>
      </c>
      <c r="M595" t="n">
        <v>0</v>
      </c>
      <c r="N595" t="n">
        <v>0</v>
      </c>
      <c r="O595" t="n">
        <v>0</v>
      </c>
      <c r="P595" t="n">
        <v>0</v>
      </c>
      <c r="Q595" t="n">
        <v>0</v>
      </c>
      <c r="R595" s="2" t="inlineStr"/>
    </row>
    <row r="596" ht="15" customHeight="1">
      <c r="A596" t="inlineStr">
        <is>
          <t>A 54040-2023</t>
        </is>
      </c>
      <c r="B596" s="1" t="n">
        <v>45231</v>
      </c>
      <c r="C596" s="1" t="n">
        <v>45809</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54041-2023</t>
        </is>
      </c>
      <c r="B597" s="1" t="n">
        <v>45231</v>
      </c>
      <c r="C597" s="1" t="n">
        <v>45809</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55441-2023</t>
        </is>
      </c>
      <c r="B598" s="1" t="n">
        <v>45231</v>
      </c>
      <c r="C598" s="1" t="n">
        <v>45809</v>
      </c>
      <c r="D598" t="inlineStr">
        <is>
          <t>VÄSTERNORRLANDS LÄN</t>
        </is>
      </c>
      <c r="E598" t="inlineStr">
        <is>
          <t>TIMRÅ</t>
        </is>
      </c>
      <c r="G598" t="n">
        <v>1</v>
      </c>
      <c r="H598" t="n">
        <v>0</v>
      </c>
      <c r="I598" t="n">
        <v>0</v>
      </c>
      <c r="J598" t="n">
        <v>0</v>
      </c>
      <c r="K598" t="n">
        <v>0</v>
      </c>
      <c r="L598" t="n">
        <v>0</v>
      </c>
      <c r="M598" t="n">
        <v>0</v>
      </c>
      <c r="N598" t="n">
        <v>0</v>
      </c>
      <c r="O598" t="n">
        <v>0</v>
      </c>
      <c r="P598" t="n">
        <v>0</v>
      </c>
      <c r="Q598" t="n">
        <v>0</v>
      </c>
      <c r="R598" s="2" t="inlineStr"/>
    </row>
    <row r="599" ht="15" customHeight="1">
      <c r="A599" t="inlineStr">
        <is>
          <t>A 54610-2023</t>
        </is>
      </c>
      <c r="B599" s="1" t="n">
        <v>45233</v>
      </c>
      <c r="C599" s="1" t="n">
        <v>45809</v>
      </c>
      <c r="D599" t="inlineStr">
        <is>
          <t>VÄSTERNORRLANDS LÄN</t>
        </is>
      </c>
      <c r="E599" t="inlineStr">
        <is>
          <t>TIMRÅ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55673-2023</t>
        </is>
      </c>
      <c r="B600" s="1" t="n">
        <v>45238</v>
      </c>
      <c r="C600" s="1" t="n">
        <v>45809</v>
      </c>
      <c r="D600" t="inlineStr">
        <is>
          <t>VÄSTERNORRLANDS LÄN</t>
        </is>
      </c>
      <c r="E600" t="inlineStr">
        <is>
          <t>TIMRÅ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55930-2023</t>
        </is>
      </c>
      <c r="B601" s="1" t="n">
        <v>45240</v>
      </c>
      <c r="C601" s="1" t="n">
        <v>45809</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56237-2023</t>
        </is>
      </c>
      <c r="B602" s="1" t="n">
        <v>45240</v>
      </c>
      <c r="C602" s="1" t="n">
        <v>45809</v>
      </c>
      <c r="D602" t="inlineStr">
        <is>
          <t>VÄSTERNORRLANDS LÄN</t>
        </is>
      </c>
      <c r="E602" t="inlineStr">
        <is>
          <t>TIMRÅ</t>
        </is>
      </c>
      <c r="G602" t="n">
        <v>0.7</v>
      </c>
      <c r="H602" t="n">
        <v>0</v>
      </c>
      <c r="I602" t="n">
        <v>0</v>
      </c>
      <c r="J602" t="n">
        <v>0</v>
      </c>
      <c r="K602" t="n">
        <v>0</v>
      </c>
      <c r="L602" t="n">
        <v>0</v>
      </c>
      <c r="M602" t="n">
        <v>0</v>
      </c>
      <c r="N602" t="n">
        <v>0</v>
      </c>
      <c r="O602" t="n">
        <v>0</v>
      </c>
      <c r="P602" t="n">
        <v>0</v>
      </c>
      <c r="Q602" t="n">
        <v>0</v>
      </c>
      <c r="R602" s="2" t="inlineStr"/>
    </row>
    <row r="603" ht="15" customHeight="1">
      <c r="A603" t="inlineStr">
        <is>
          <t>A 56701-2023</t>
        </is>
      </c>
      <c r="B603" s="1" t="n">
        <v>45243</v>
      </c>
      <c r="C603" s="1" t="n">
        <v>45809</v>
      </c>
      <c r="D603" t="inlineStr">
        <is>
          <t>VÄSTERNORRLANDS LÄN</t>
        </is>
      </c>
      <c r="E603" t="inlineStr">
        <is>
          <t>TIMRÅ</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56692-2023</t>
        </is>
      </c>
      <c r="B604" s="1" t="n">
        <v>45243</v>
      </c>
      <c r="C604" s="1" t="n">
        <v>45809</v>
      </c>
      <c r="D604" t="inlineStr">
        <is>
          <t>VÄSTERNORRLANDS LÄN</t>
        </is>
      </c>
      <c r="E604" t="inlineStr">
        <is>
          <t>TIMRÅ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56765-2023</t>
        </is>
      </c>
      <c r="B605" s="1" t="n">
        <v>45244</v>
      </c>
      <c r="C605" s="1" t="n">
        <v>45809</v>
      </c>
      <c r="D605" t="inlineStr">
        <is>
          <t>VÄSTERNORRLANDS LÄN</t>
        </is>
      </c>
      <c r="E605" t="inlineStr">
        <is>
          <t>TIMRÅ</t>
        </is>
      </c>
      <c r="G605" t="n">
        <v>2</v>
      </c>
      <c r="H605" t="n">
        <v>0</v>
      </c>
      <c r="I605" t="n">
        <v>0</v>
      </c>
      <c r="J605" t="n">
        <v>0</v>
      </c>
      <c r="K605" t="n">
        <v>0</v>
      </c>
      <c r="L605" t="n">
        <v>0</v>
      </c>
      <c r="M605" t="n">
        <v>0</v>
      </c>
      <c r="N605" t="n">
        <v>0</v>
      </c>
      <c r="O605" t="n">
        <v>0</v>
      </c>
      <c r="P605" t="n">
        <v>0</v>
      </c>
      <c r="Q605" t="n">
        <v>0</v>
      </c>
      <c r="R605" s="2" t="inlineStr"/>
    </row>
    <row r="606" ht="15" customHeight="1">
      <c r="A606" t="inlineStr">
        <is>
          <t>A 57072-2023</t>
        </is>
      </c>
      <c r="B606" s="1" t="n">
        <v>45245</v>
      </c>
      <c r="C606" s="1" t="n">
        <v>45809</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57762-2023</t>
        </is>
      </c>
      <c r="B607" s="1" t="n">
        <v>45246</v>
      </c>
      <c r="C607" s="1" t="n">
        <v>45809</v>
      </c>
      <c r="D607" t="inlineStr">
        <is>
          <t>VÄSTERNORRLANDS LÄN</t>
        </is>
      </c>
      <c r="E607" t="inlineStr">
        <is>
          <t>TIMRÅ</t>
        </is>
      </c>
      <c r="G607" t="n">
        <v>2.5</v>
      </c>
      <c r="H607" t="n">
        <v>0</v>
      </c>
      <c r="I607" t="n">
        <v>0</v>
      </c>
      <c r="J607" t="n">
        <v>0</v>
      </c>
      <c r="K607" t="n">
        <v>0</v>
      </c>
      <c r="L607" t="n">
        <v>0</v>
      </c>
      <c r="M607" t="n">
        <v>0</v>
      </c>
      <c r="N607" t="n">
        <v>0</v>
      </c>
      <c r="O607" t="n">
        <v>0</v>
      </c>
      <c r="P607" t="n">
        <v>0</v>
      </c>
      <c r="Q607" t="n">
        <v>0</v>
      </c>
      <c r="R607" s="2" t="inlineStr"/>
    </row>
    <row r="608" ht="15" customHeight="1">
      <c r="A608" t="inlineStr">
        <is>
          <t>A 58062-2023</t>
        </is>
      </c>
      <c r="B608" s="1" t="n">
        <v>45247</v>
      </c>
      <c r="C608" s="1" t="n">
        <v>45809</v>
      </c>
      <c r="D608" t="inlineStr">
        <is>
          <t>VÄSTERNORRLANDS LÄN</t>
        </is>
      </c>
      <c r="E608" t="inlineStr">
        <is>
          <t>TIMRÅ</t>
        </is>
      </c>
      <c r="G608" t="n">
        <v>1.5</v>
      </c>
      <c r="H608" t="n">
        <v>0</v>
      </c>
      <c r="I608" t="n">
        <v>0</v>
      </c>
      <c r="J608" t="n">
        <v>0</v>
      </c>
      <c r="K608" t="n">
        <v>0</v>
      </c>
      <c r="L608" t="n">
        <v>0</v>
      </c>
      <c r="M608" t="n">
        <v>0</v>
      </c>
      <c r="N608" t="n">
        <v>0</v>
      </c>
      <c r="O608" t="n">
        <v>0</v>
      </c>
      <c r="P608" t="n">
        <v>0</v>
      </c>
      <c r="Q608" t="n">
        <v>0</v>
      </c>
      <c r="R608" s="2" t="inlineStr"/>
    </row>
    <row r="609" ht="15" customHeight="1">
      <c r="A609" t="inlineStr">
        <is>
          <t>A 58081-2023</t>
        </is>
      </c>
      <c r="B609" s="1" t="n">
        <v>45247</v>
      </c>
      <c r="C609" s="1" t="n">
        <v>45809</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58087-2023</t>
        </is>
      </c>
      <c r="B610" s="1" t="n">
        <v>45248</v>
      </c>
      <c r="C610" s="1" t="n">
        <v>45809</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58998-2023</t>
        </is>
      </c>
      <c r="B611" s="1" t="n">
        <v>45250</v>
      </c>
      <c r="C611" s="1" t="n">
        <v>45809</v>
      </c>
      <c r="D611" t="inlineStr">
        <is>
          <t>VÄSTERNORRLANDS LÄN</t>
        </is>
      </c>
      <c r="E611" t="inlineStr">
        <is>
          <t>TIMRÅ</t>
        </is>
      </c>
      <c r="G611" t="n">
        <v>1.3</v>
      </c>
      <c r="H611" t="n">
        <v>0</v>
      </c>
      <c r="I611" t="n">
        <v>0</v>
      </c>
      <c r="J611" t="n">
        <v>0</v>
      </c>
      <c r="K611" t="n">
        <v>0</v>
      </c>
      <c r="L611" t="n">
        <v>0</v>
      </c>
      <c r="M611" t="n">
        <v>0</v>
      </c>
      <c r="N611" t="n">
        <v>0</v>
      </c>
      <c r="O611" t="n">
        <v>0</v>
      </c>
      <c r="P611" t="n">
        <v>0</v>
      </c>
      <c r="Q611" t="n">
        <v>0</v>
      </c>
      <c r="R611" s="2" t="inlineStr"/>
    </row>
    <row r="612" ht="15" customHeight="1">
      <c r="A612" t="inlineStr">
        <is>
          <t>A 58766-2023</t>
        </is>
      </c>
      <c r="B612" s="1" t="n">
        <v>45252</v>
      </c>
      <c r="C612" s="1" t="n">
        <v>45809</v>
      </c>
      <c r="D612" t="inlineStr">
        <is>
          <t>VÄSTERNORRLANDS LÄN</t>
        </is>
      </c>
      <c r="E612" t="inlineStr">
        <is>
          <t>TIMRÅ</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58895-2023</t>
        </is>
      </c>
      <c r="B613" s="1" t="n">
        <v>45252</v>
      </c>
      <c r="C613" s="1" t="n">
        <v>45809</v>
      </c>
      <c r="D613" t="inlineStr">
        <is>
          <t>VÄSTERNORRLANDS LÄN</t>
        </is>
      </c>
      <c r="E613" t="inlineStr">
        <is>
          <t>TIMRÅ</t>
        </is>
      </c>
      <c r="G613" t="n">
        <v>3.7</v>
      </c>
      <c r="H613" t="n">
        <v>0</v>
      </c>
      <c r="I613" t="n">
        <v>0</v>
      </c>
      <c r="J613" t="n">
        <v>0</v>
      </c>
      <c r="K613" t="n">
        <v>0</v>
      </c>
      <c r="L613" t="n">
        <v>0</v>
      </c>
      <c r="M613" t="n">
        <v>0</v>
      </c>
      <c r="N613" t="n">
        <v>0</v>
      </c>
      <c r="O613" t="n">
        <v>0</v>
      </c>
      <c r="P613" t="n">
        <v>0</v>
      </c>
      <c r="Q613" t="n">
        <v>0</v>
      </c>
      <c r="R613" s="2" t="inlineStr"/>
    </row>
    <row r="614" ht="15" customHeight="1">
      <c r="A614" t="inlineStr">
        <is>
          <t>A 59401-2023</t>
        </is>
      </c>
      <c r="B614" s="1" t="n">
        <v>45253</v>
      </c>
      <c r="C614" s="1" t="n">
        <v>45809</v>
      </c>
      <c r="D614" t="inlineStr">
        <is>
          <t>VÄSTERNORRLANDS LÄN</t>
        </is>
      </c>
      <c r="E614" t="inlineStr">
        <is>
          <t>TIMRÅ</t>
        </is>
      </c>
      <c r="G614" t="n">
        <v>11.2</v>
      </c>
      <c r="H614" t="n">
        <v>0</v>
      </c>
      <c r="I614" t="n">
        <v>0</v>
      </c>
      <c r="J614" t="n">
        <v>0</v>
      </c>
      <c r="K614" t="n">
        <v>0</v>
      </c>
      <c r="L614" t="n">
        <v>0</v>
      </c>
      <c r="M614" t="n">
        <v>0</v>
      </c>
      <c r="N614" t="n">
        <v>0</v>
      </c>
      <c r="O614" t="n">
        <v>0</v>
      </c>
      <c r="P614" t="n">
        <v>0</v>
      </c>
      <c r="Q614" t="n">
        <v>0</v>
      </c>
      <c r="R614" s="2" t="inlineStr"/>
    </row>
    <row r="615" ht="15" customHeight="1">
      <c r="A615" t="inlineStr">
        <is>
          <t>A 60011-2023</t>
        </is>
      </c>
      <c r="B615" s="1" t="n">
        <v>45257</v>
      </c>
      <c r="C615" s="1" t="n">
        <v>45809</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60074-2023</t>
        </is>
      </c>
      <c r="B616" s="1" t="n">
        <v>45258</v>
      </c>
      <c r="C616" s="1" t="n">
        <v>45809</v>
      </c>
      <c r="D616" t="inlineStr">
        <is>
          <t>VÄSTERNORRLANDS LÄN</t>
        </is>
      </c>
      <c r="E616" t="inlineStr">
        <is>
          <t>TIMRÅ</t>
        </is>
      </c>
      <c r="G616" t="n">
        <v>5</v>
      </c>
      <c r="H616" t="n">
        <v>0</v>
      </c>
      <c r="I616" t="n">
        <v>0</v>
      </c>
      <c r="J616" t="n">
        <v>0</v>
      </c>
      <c r="K616" t="n">
        <v>0</v>
      </c>
      <c r="L616" t="n">
        <v>0</v>
      </c>
      <c r="M616" t="n">
        <v>0</v>
      </c>
      <c r="N616" t="n">
        <v>0</v>
      </c>
      <c r="O616" t="n">
        <v>0</v>
      </c>
      <c r="P616" t="n">
        <v>0</v>
      </c>
      <c r="Q616" t="n">
        <v>0</v>
      </c>
      <c r="R616" s="2" t="inlineStr"/>
    </row>
    <row r="617" ht="15" customHeight="1">
      <c r="A617" t="inlineStr">
        <is>
          <t>A 61613-2023</t>
        </is>
      </c>
      <c r="B617" s="1" t="n">
        <v>45261</v>
      </c>
      <c r="C617" s="1" t="n">
        <v>45809</v>
      </c>
      <c r="D617" t="inlineStr">
        <is>
          <t>VÄSTERNORRLANDS LÄN</t>
        </is>
      </c>
      <c r="E617" t="inlineStr">
        <is>
          <t>TIMRÅ</t>
        </is>
      </c>
      <c r="G617" t="n">
        <v>0.9</v>
      </c>
      <c r="H617" t="n">
        <v>0</v>
      </c>
      <c r="I617" t="n">
        <v>0</v>
      </c>
      <c r="J617" t="n">
        <v>0</v>
      </c>
      <c r="K617" t="n">
        <v>0</v>
      </c>
      <c r="L617" t="n">
        <v>0</v>
      </c>
      <c r="M617" t="n">
        <v>0</v>
      </c>
      <c r="N617" t="n">
        <v>0</v>
      </c>
      <c r="O617" t="n">
        <v>0</v>
      </c>
      <c r="P617" t="n">
        <v>0</v>
      </c>
      <c r="Q617" t="n">
        <v>0</v>
      </c>
      <c r="R617" s="2" t="inlineStr"/>
    </row>
    <row r="618" ht="15" customHeight="1">
      <c r="A618" t="inlineStr">
        <is>
          <t>A 61606-2023</t>
        </is>
      </c>
      <c r="B618" s="1" t="n">
        <v>45261</v>
      </c>
      <c r="C618" s="1" t="n">
        <v>45809</v>
      </c>
      <c r="D618" t="inlineStr">
        <is>
          <t>VÄSTERNORRLANDS LÄN</t>
        </is>
      </c>
      <c r="E618" t="inlineStr">
        <is>
          <t>TIMRÅ</t>
        </is>
      </c>
      <c r="G618" t="n">
        <v>0.3</v>
      </c>
      <c r="H618" t="n">
        <v>0</v>
      </c>
      <c r="I618" t="n">
        <v>0</v>
      </c>
      <c r="J618" t="n">
        <v>0</v>
      </c>
      <c r="K618" t="n">
        <v>0</v>
      </c>
      <c r="L618" t="n">
        <v>0</v>
      </c>
      <c r="M618" t="n">
        <v>0</v>
      </c>
      <c r="N618" t="n">
        <v>0</v>
      </c>
      <c r="O618" t="n">
        <v>0</v>
      </c>
      <c r="P618" t="n">
        <v>0</v>
      </c>
      <c r="Q618" t="n">
        <v>0</v>
      </c>
      <c r="R618" s="2" t="inlineStr"/>
    </row>
    <row r="619" ht="15" customHeight="1">
      <c r="A619" t="inlineStr">
        <is>
          <t>A 61463-2023</t>
        </is>
      </c>
      <c r="B619" s="1" t="n">
        <v>45264</v>
      </c>
      <c r="C619" s="1" t="n">
        <v>45809</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61484-2023</t>
        </is>
      </c>
      <c r="B620" s="1" t="n">
        <v>45264</v>
      </c>
      <c r="C620" s="1" t="n">
        <v>45809</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61785-2023</t>
        </is>
      </c>
      <c r="B621" s="1" t="n">
        <v>45265</v>
      </c>
      <c r="C621" s="1" t="n">
        <v>45809</v>
      </c>
      <c r="D621" t="inlineStr">
        <is>
          <t>VÄSTERNORRLANDS LÄN</t>
        </is>
      </c>
      <c r="E621" t="inlineStr">
        <is>
          <t>TIMRÅ</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62474-2023</t>
        </is>
      </c>
      <c r="B622" s="1" t="n">
        <v>45267</v>
      </c>
      <c r="C622" s="1" t="n">
        <v>45809</v>
      </c>
      <c r="D622" t="inlineStr">
        <is>
          <t>VÄSTERNORRLANDS LÄN</t>
        </is>
      </c>
      <c r="E622" t="inlineStr">
        <is>
          <t>TIMRÅ</t>
        </is>
      </c>
      <c r="G622" t="n">
        <v>4</v>
      </c>
      <c r="H622" t="n">
        <v>0</v>
      </c>
      <c r="I622" t="n">
        <v>0</v>
      </c>
      <c r="J622" t="n">
        <v>0</v>
      </c>
      <c r="K622" t="n">
        <v>0</v>
      </c>
      <c r="L622" t="n">
        <v>0</v>
      </c>
      <c r="M622" t="n">
        <v>0</v>
      </c>
      <c r="N622" t="n">
        <v>0</v>
      </c>
      <c r="O622" t="n">
        <v>0</v>
      </c>
      <c r="P622" t="n">
        <v>0</v>
      </c>
      <c r="Q622" t="n">
        <v>0</v>
      </c>
      <c r="R622" s="2" t="inlineStr"/>
    </row>
    <row r="623" ht="15" customHeight="1">
      <c r="A623" t="inlineStr">
        <is>
          <t>A 63294-2023</t>
        </is>
      </c>
      <c r="B623" s="1" t="n">
        <v>45273</v>
      </c>
      <c r="C623" s="1" t="n">
        <v>45809</v>
      </c>
      <c r="D623" t="inlineStr">
        <is>
          <t>VÄSTERNORRLANDS LÄN</t>
        </is>
      </c>
      <c r="E623" t="inlineStr">
        <is>
          <t>TIMRÅ</t>
        </is>
      </c>
      <c r="F623" t="inlineStr">
        <is>
          <t>SCA</t>
        </is>
      </c>
      <c r="G623" t="n">
        <v>12.9</v>
      </c>
      <c r="H623" t="n">
        <v>0</v>
      </c>
      <c r="I623" t="n">
        <v>0</v>
      </c>
      <c r="J623" t="n">
        <v>0</v>
      </c>
      <c r="K623" t="n">
        <v>0</v>
      </c>
      <c r="L623" t="n">
        <v>0</v>
      </c>
      <c r="M623" t="n">
        <v>0</v>
      </c>
      <c r="N623" t="n">
        <v>0</v>
      </c>
      <c r="O623" t="n">
        <v>0</v>
      </c>
      <c r="P623" t="n">
        <v>0</v>
      </c>
      <c r="Q623" t="n">
        <v>0</v>
      </c>
      <c r="R623" s="2" t="inlineStr"/>
    </row>
    <row r="624" ht="15" customHeight="1">
      <c r="A624" t="inlineStr">
        <is>
          <t>A 64031-2023</t>
        </is>
      </c>
      <c r="B624" s="1" t="n">
        <v>45278</v>
      </c>
      <c r="C624" s="1" t="n">
        <v>45809</v>
      </c>
      <c r="D624" t="inlineStr">
        <is>
          <t>VÄSTERNORRLANDS LÄN</t>
        </is>
      </c>
      <c r="E624" t="inlineStr">
        <is>
          <t>TIMRÅ</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64732-2023</t>
        </is>
      </c>
      <c r="B625" s="1" t="n">
        <v>45281</v>
      </c>
      <c r="C625" s="1" t="n">
        <v>45809</v>
      </c>
      <c r="D625" t="inlineStr">
        <is>
          <t>VÄSTERNORRLANDS LÄN</t>
        </is>
      </c>
      <c r="E625" t="inlineStr">
        <is>
          <t>TIMRÅ</t>
        </is>
      </c>
      <c r="G625" t="n">
        <v>2.3</v>
      </c>
      <c r="H625" t="n">
        <v>0</v>
      </c>
      <c r="I625" t="n">
        <v>0</v>
      </c>
      <c r="J625" t="n">
        <v>0</v>
      </c>
      <c r="K625" t="n">
        <v>0</v>
      </c>
      <c r="L625" t="n">
        <v>0</v>
      </c>
      <c r="M625" t="n">
        <v>0</v>
      </c>
      <c r="N625" t="n">
        <v>0</v>
      </c>
      <c r="O625" t="n">
        <v>0</v>
      </c>
      <c r="P625" t="n">
        <v>0</v>
      </c>
      <c r="Q625" t="n">
        <v>0</v>
      </c>
      <c r="R625" s="2" t="inlineStr"/>
    </row>
    <row r="626" ht="15" customHeight="1">
      <c r="A626" t="inlineStr">
        <is>
          <t>A 64756-2023</t>
        </is>
      </c>
      <c r="B626" s="1" t="n">
        <v>45281</v>
      </c>
      <c r="C626" s="1" t="n">
        <v>45809</v>
      </c>
      <c r="D626" t="inlineStr">
        <is>
          <t>VÄSTERNORRLANDS LÄN</t>
        </is>
      </c>
      <c r="E626" t="inlineStr">
        <is>
          <t>TIMRÅ</t>
        </is>
      </c>
      <c r="F626" t="inlineStr">
        <is>
          <t>SCA</t>
        </is>
      </c>
      <c r="G626" t="n">
        <v>5.9</v>
      </c>
      <c r="H626" t="n">
        <v>0</v>
      </c>
      <c r="I626" t="n">
        <v>0</v>
      </c>
      <c r="J626" t="n">
        <v>0</v>
      </c>
      <c r="K626" t="n">
        <v>0</v>
      </c>
      <c r="L626" t="n">
        <v>0</v>
      </c>
      <c r="M626" t="n">
        <v>0</v>
      </c>
      <c r="N626" t="n">
        <v>0</v>
      </c>
      <c r="O626" t="n">
        <v>0</v>
      </c>
      <c r="P626" t="n">
        <v>0</v>
      </c>
      <c r="Q626" t="n">
        <v>0</v>
      </c>
      <c r="R626" s="2" t="inlineStr"/>
    </row>
    <row r="627" ht="15" customHeight="1">
      <c r="A627" t="inlineStr">
        <is>
          <t>A 64755-2023</t>
        </is>
      </c>
      <c r="B627" s="1" t="n">
        <v>45281</v>
      </c>
      <c r="C627" s="1" t="n">
        <v>45809</v>
      </c>
      <c r="D627" t="inlineStr">
        <is>
          <t>VÄSTERNORRLANDS LÄN</t>
        </is>
      </c>
      <c r="E627" t="inlineStr">
        <is>
          <t>TIMRÅ</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252-2024</t>
        </is>
      </c>
      <c r="B628" s="1" t="n">
        <v>45295</v>
      </c>
      <c r="C628" s="1" t="n">
        <v>45809</v>
      </c>
      <c r="D628" t="inlineStr">
        <is>
          <t>VÄSTERNORRLANDS LÄN</t>
        </is>
      </c>
      <c r="E628" t="inlineStr">
        <is>
          <t>TIMRÅ</t>
        </is>
      </c>
      <c r="F628" t="inlineStr">
        <is>
          <t>SCA</t>
        </is>
      </c>
      <c r="G628" t="n">
        <v>12.7</v>
      </c>
      <c r="H628" t="n">
        <v>0</v>
      </c>
      <c r="I628" t="n">
        <v>0</v>
      </c>
      <c r="J628" t="n">
        <v>0</v>
      </c>
      <c r="K628" t="n">
        <v>0</v>
      </c>
      <c r="L628" t="n">
        <v>0</v>
      </c>
      <c r="M628" t="n">
        <v>0</v>
      </c>
      <c r="N628" t="n">
        <v>0</v>
      </c>
      <c r="O628" t="n">
        <v>0</v>
      </c>
      <c r="P628" t="n">
        <v>0</v>
      </c>
      <c r="Q628" t="n">
        <v>0</v>
      </c>
      <c r="R628" s="2" t="inlineStr"/>
    </row>
    <row r="629" ht="15" customHeight="1">
      <c r="A629" t="inlineStr">
        <is>
          <t>A 290-2024</t>
        </is>
      </c>
      <c r="B629" s="1" t="n">
        <v>45295</v>
      </c>
      <c r="C629" s="1" t="n">
        <v>45809</v>
      </c>
      <c r="D629" t="inlineStr">
        <is>
          <t>VÄSTERNORRLANDS LÄN</t>
        </is>
      </c>
      <c r="E629" t="inlineStr">
        <is>
          <t>TIMRÅ</t>
        </is>
      </c>
      <c r="G629" t="n">
        <v>10.5</v>
      </c>
      <c r="H629" t="n">
        <v>0</v>
      </c>
      <c r="I629" t="n">
        <v>0</v>
      </c>
      <c r="J629" t="n">
        <v>0</v>
      </c>
      <c r="K629" t="n">
        <v>0</v>
      </c>
      <c r="L629" t="n">
        <v>0</v>
      </c>
      <c r="M629" t="n">
        <v>0</v>
      </c>
      <c r="N629" t="n">
        <v>0</v>
      </c>
      <c r="O629" t="n">
        <v>0</v>
      </c>
      <c r="P629" t="n">
        <v>0</v>
      </c>
      <c r="Q629" t="n">
        <v>0</v>
      </c>
      <c r="R629" s="2" t="inlineStr"/>
    </row>
    <row r="630" ht="15" customHeight="1">
      <c r="A630" t="inlineStr">
        <is>
          <t>A 661-2024</t>
        </is>
      </c>
      <c r="B630" s="1" t="n">
        <v>45300</v>
      </c>
      <c r="C630" s="1" t="n">
        <v>45809</v>
      </c>
      <c r="D630" t="inlineStr">
        <is>
          <t>VÄSTERNORRLANDS LÄN</t>
        </is>
      </c>
      <c r="E630" t="inlineStr">
        <is>
          <t>TIMRÅ</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1273-2024</t>
        </is>
      </c>
      <c r="B631" s="1" t="n">
        <v>45302</v>
      </c>
      <c r="C631" s="1" t="n">
        <v>45809</v>
      </c>
      <c r="D631" t="inlineStr">
        <is>
          <t>VÄSTERNORRLANDS LÄN</t>
        </is>
      </c>
      <c r="E631" t="inlineStr">
        <is>
          <t>TIMRÅ</t>
        </is>
      </c>
      <c r="G631" t="n">
        <v>2.1</v>
      </c>
      <c r="H631" t="n">
        <v>0</v>
      </c>
      <c r="I631" t="n">
        <v>0</v>
      </c>
      <c r="J631" t="n">
        <v>0</v>
      </c>
      <c r="K631" t="n">
        <v>0</v>
      </c>
      <c r="L631" t="n">
        <v>0</v>
      </c>
      <c r="M631" t="n">
        <v>0</v>
      </c>
      <c r="N631" t="n">
        <v>0</v>
      </c>
      <c r="O631" t="n">
        <v>0</v>
      </c>
      <c r="P631" t="n">
        <v>0</v>
      </c>
      <c r="Q631" t="n">
        <v>0</v>
      </c>
      <c r="R631" s="2" t="inlineStr"/>
    </row>
    <row r="632" ht="15" customHeight="1">
      <c r="A632" t="inlineStr">
        <is>
          <t>A 1185-2024</t>
        </is>
      </c>
      <c r="B632" s="1" t="n">
        <v>45302</v>
      </c>
      <c r="C632" s="1" t="n">
        <v>45809</v>
      </c>
      <c r="D632" t="inlineStr">
        <is>
          <t>VÄSTERNORRLANDS LÄN</t>
        </is>
      </c>
      <c r="E632" t="inlineStr">
        <is>
          <t>TIMRÅ</t>
        </is>
      </c>
      <c r="G632" t="n">
        <v>4.4</v>
      </c>
      <c r="H632" t="n">
        <v>0</v>
      </c>
      <c r="I632" t="n">
        <v>0</v>
      </c>
      <c r="J632" t="n">
        <v>0</v>
      </c>
      <c r="K632" t="n">
        <v>0</v>
      </c>
      <c r="L632" t="n">
        <v>0</v>
      </c>
      <c r="M632" t="n">
        <v>0</v>
      </c>
      <c r="N632" t="n">
        <v>0</v>
      </c>
      <c r="O632" t="n">
        <v>0</v>
      </c>
      <c r="P632" t="n">
        <v>0</v>
      </c>
      <c r="Q632" t="n">
        <v>0</v>
      </c>
      <c r="R632" s="2" t="inlineStr"/>
    </row>
    <row r="633" ht="15" customHeight="1">
      <c r="A633" t="inlineStr">
        <is>
          <t>A 1272-2024</t>
        </is>
      </c>
      <c r="B633" s="1" t="n">
        <v>45302</v>
      </c>
      <c r="C633" s="1" t="n">
        <v>45809</v>
      </c>
      <c r="D633" t="inlineStr">
        <is>
          <t>VÄSTERNORRLANDS LÄN</t>
        </is>
      </c>
      <c r="E633" t="inlineStr">
        <is>
          <t>TIMRÅ</t>
        </is>
      </c>
      <c r="G633" t="n">
        <v>4.3</v>
      </c>
      <c r="H633" t="n">
        <v>0</v>
      </c>
      <c r="I633" t="n">
        <v>0</v>
      </c>
      <c r="J633" t="n">
        <v>0</v>
      </c>
      <c r="K633" t="n">
        <v>0</v>
      </c>
      <c r="L633" t="n">
        <v>0</v>
      </c>
      <c r="M633" t="n">
        <v>0</v>
      </c>
      <c r="N633" t="n">
        <v>0</v>
      </c>
      <c r="O633" t="n">
        <v>0</v>
      </c>
      <c r="P633" t="n">
        <v>0</v>
      </c>
      <c r="Q633" t="n">
        <v>0</v>
      </c>
      <c r="R633" s="2" t="inlineStr"/>
    </row>
    <row r="634" ht="15" customHeight="1">
      <c r="A634" t="inlineStr">
        <is>
          <t>A 1467-2024</t>
        </is>
      </c>
      <c r="B634" s="1" t="n">
        <v>45303</v>
      </c>
      <c r="C634" s="1" t="n">
        <v>45809</v>
      </c>
      <c r="D634" t="inlineStr">
        <is>
          <t>VÄSTERNORRLANDS LÄN</t>
        </is>
      </c>
      <c r="E634" t="inlineStr">
        <is>
          <t>TIMRÅ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1675-2024</t>
        </is>
      </c>
      <c r="B635" s="1" t="n">
        <v>45306</v>
      </c>
      <c r="C635" s="1" t="n">
        <v>45809</v>
      </c>
      <c r="D635" t="inlineStr">
        <is>
          <t>VÄSTERNORRLANDS LÄN</t>
        </is>
      </c>
      <c r="E635" t="inlineStr">
        <is>
          <t>TIMRÅ</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1683-2024</t>
        </is>
      </c>
      <c r="B636" s="1" t="n">
        <v>45307</v>
      </c>
      <c r="C636" s="1" t="n">
        <v>45809</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2062-2024</t>
        </is>
      </c>
      <c r="B637" s="1" t="n">
        <v>45308</v>
      </c>
      <c r="C637" s="1" t="n">
        <v>45809</v>
      </c>
      <c r="D637" t="inlineStr">
        <is>
          <t>VÄSTERNORRLANDS LÄN</t>
        </is>
      </c>
      <c r="E637" t="inlineStr">
        <is>
          <t>TIMRÅ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2949-2024</t>
        </is>
      </c>
      <c r="B638" s="1" t="n">
        <v>45315</v>
      </c>
      <c r="C638" s="1" t="n">
        <v>45809</v>
      </c>
      <c r="D638" t="inlineStr">
        <is>
          <t>VÄSTERNORRLANDS LÄN</t>
        </is>
      </c>
      <c r="E638" t="inlineStr">
        <is>
          <t>TIMRÅ</t>
        </is>
      </c>
      <c r="G638" t="n">
        <v>7</v>
      </c>
      <c r="H638" t="n">
        <v>0</v>
      </c>
      <c r="I638" t="n">
        <v>0</v>
      </c>
      <c r="J638" t="n">
        <v>0</v>
      </c>
      <c r="K638" t="n">
        <v>0</v>
      </c>
      <c r="L638" t="n">
        <v>0</v>
      </c>
      <c r="M638" t="n">
        <v>0</v>
      </c>
      <c r="N638" t="n">
        <v>0</v>
      </c>
      <c r="O638" t="n">
        <v>0</v>
      </c>
      <c r="P638" t="n">
        <v>0</v>
      </c>
      <c r="Q638" t="n">
        <v>0</v>
      </c>
      <c r="R638" s="2" t="inlineStr"/>
    </row>
    <row r="639" ht="15" customHeight="1">
      <c r="A639" t="inlineStr">
        <is>
          <t>A 3229-2024</t>
        </is>
      </c>
      <c r="B639" s="1" t="n">
        <v>45316</v>
      </c>
      <c r="C639" s="1" t="n">
        <v>45809</v>
      </c>
      <c r="D639" t="inlineStr">
        <is>
          <t>VÄSTERNORRLANDS LÄN</t>
        </is>
      </c>
      <c r="E639" t="inlineStr">
        <is>
          <t>TIMRÅ</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3444-2024</t>
        </is>
      </c>
      <c r="B640" s="1" t="n">
        <v>45317</v>
      </c>
      <c r="C640" s="1" t="n">
        <v>45809</v>
      </c>
      <c r="D640" t="inlineStr">
        <is>
          <t>VÄSTERNORRLANDS LÄN</t>
        </is>
      </c>
      <c r="E640" t="inlineStr">
        <is>
          <t>TIMRÅ</t>
        </is>
      </c>
      <c r="G640" t="n">
        <v>10.5</v>
      </c>
      <c r="H640" t="n">
        <v>0</v>
      </c>
      <c r="I640" t="n">
        <v>0</v>
      </c>
      <c r="J640" t="n">
        <v>0</v>
      </c>
      <c r="K640" t="n">
        <v>0</v>
      </c>
      <c r="L640" t="n">
        <v>0</v>
      </c>
      <c r="M640" t="n">
        <v>0</v>
      </c>
      <c r="N640" t="n">
        <v>0</v>
      </c>
      <c r="O640" t="n">
        <v>0</v>
      </c>
      <c r="P640" t="n">
        <v>0</v>
      </c>
      <c r="Q640" t="n">
        <v>0</v>
      </c>
      <c r="R640" s="2" t="inlineStr"/>
    </row>
    <row r="641" ht="15" customHeight="1">
      <c r="A641" t="inlineStr">
        <is>
          <t>A 3804-2024</t>
        </is>
      </c>
      <c r="B641" s="1" t="n">
        <v>45321</v>
      </c>
      <c r="C641" s="1" t="n">
        <v>45809</v>
      </c>
      <c r="D641" t="inlineStr">
        <is>
          <t>VÄSTERNORRLANDS LÄN</t>
        </is>
      </c>
      <c r="E641" t="inlineStr">
        <is>
          <t>TIMRÅ</t>
        </is>
      </c>
      <c r="G641" t="n">
        <v>2</v>
      </c>
      <c r="H641" t="n">
        <v>0</v>
      </c>
      <c r="I641" t="n">
        <v>0</v>
      </c>
      <c r="J641" t="n">
        <v>0</v>
      </c>
      <c r="K641" t="n">
        <v>0</v>
      </c>
      <c r="L641" t="n">
        <v>0</v>
      </c>
      <c r="M641" t="n">
        <v>0</v>
      </c>
      <c r="N641" t="n">
        <v>0</v>
      </c>
      <c r="O641" t="n">
        <v>0</v>
      </c>
      <c r="P641" t="n">
        <v>0</v>
      </c>
      <c r="Q641" t="n">
        <v>0</v>
      </c>
      <c r="R641" s="2" t="inlineStr"/>
    </row>
    <row r="642" ht="15" customHeight="1">
      <c r="A642" t="inlineStr">
        <is>
          <t>A 3989-2024</t>
        </is>
      </c>
      <c r="B642" s="1" t="n">
        <v>45322</v>
      </c>
      <c r="C642" s="1" t="n">
        <v>45809</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4596-2024</t>
        </is>
      </c>
      <c r="B643" s="1" t="n">
        <v>45327</v>
      </c>
      <c r="C643" s="1" t="n">
        <v>45809</v>
      </c>
      <c r="D643" t="inlineStr">
        <is>
          <t>VÄSTERNORRLANDS LÄN</t>
        </is>
      </c>
      <c r="E643" t="inlineStr">
        <is>
          <t>TIMRÅ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4821-2024</t>
        </is>
      </c>
      <c r="B644" s="1" t="n">
        <v>45328</v>
      </c>
      <c r="C644" s="1" t="n">
        <v>45809</v>
      </c>
      <c r="D644" t="inlineStr">
        <is>
          <t>VÄSTERNORRLANDS LÄN</t>
        </is>
      </c>
      <c r="E644" t="inlineStr">
        <is>
          <t>TIMRÅ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5271-2024</t>
        </is>
      </c>
      <c r="B645" s="1" t="n">
        <v>45330</v>
      </c>
      <c r="C645" s="1" t="n">
        <v>45809</v>
      </c>
      <c r="D645" t="inlineStr">
        <is>
          <t>VÄSTERNORRLANDS LÄN</t>
        </is>
      </c>
      <c r="E645" t="inlineStr">
        <is>
          <t>TIMRÅ</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5265-2024</t>
        </is>
      </c>
      <c r="B646" s="1" t="n">
        <v>45330</v>
      </c>
      <c r="C646" s="1" t="n">
        <v>45809</v>
      </c>
      <c r="D646" t="inlineStr">
        <is>
          <t>VÄSTERNORRLANDS LÄN</t>
        </is>
      </c>
      <c r="E646" t="inlineStr">
        <is>
          <t>TIMRÅ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5722-2024</t>
        </is>
      </c>
      <c r="B647" s="1" t="n">
        <v>45334</v>
      </c>
      <c r="C647" s="1" t="n">
        <v>45809</v>
      </c>
      <c r="D647" t="inlineStr">
        <is>
          <t>VÄSTERNORRLANDS LÄN</t>
        </is>
      </c>
      <c r="E647" t="inlineStr">
        <is>
          <t>TIMRÅ</t>
        </is>
      </c>
      <c r="G647" t="n">
        <v>2.2</v>
      </c>
      <c r="H647" t="n">
        <v>0</v>
      </c>
      <c r="I647" t="n">
        <v>0</v>
      </c>
      <c r="J647" t="n">
        <v>0</v>
      </c>
      <c r="K647" t="n">
        <v>0</v>
      </c>
      <c r="L647" t="n">
        <v>0</v>
      </c>
      <c r="M647" t="n">
        <v>0</v>
      </c>
      <c r="N647" t="n">
        <v>0</v>
      </c>
      <c r="O647" t="n">
        <v>0</v>
      </c>
      <c r="P647" t="n">
        <v>0</v>
      </c>
      <c r="Q647" t="n">
        <v>0</v>
      </c>
      <c r="R647" s="2" t="inlineStr"/>
    </row>
    <row r="648" ht="15" customHeight="1">
      <c r="A648" t="inlineStr">
        <is>
          <t>A 5921-2024</t>
        </is>
      </c>
      <c r="B648" s="1" t="n">
        <v>45335</v>
      </c>
      <c r="C648" s="1" t="n">
        <v>45809</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6088-2024</t>
        </is>
      </c>
      <c r="B649" s="1" t="n">
        <v>45336</v>
      </c>
      <c r="C649" s="1" t="n">
        <v>45809</v>
      </c>
      <c r="D649" t="inlineStr">
        <is>
          <t>VÄSTERNORRLANDS LÄN</t>
        </is>
      </c>
      <c r="E649" t="inlineStr">
        <is>
          <t>TIMRÅ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6893-2024</t>
        </is>
      </c>
      <c r="B650" s="1" t="n">
        <v>45342</v>
      </c>
      <c r="C650" s="1" t="n">
        <v>45809</v>
      </c>
      <c r="D650" t="inlineStr">
        <is>
          <t>VÄSTERNORRLANDS LÄN</t>
        </is>
      </c>
      <c r="E650" t="inlineStr">
        <is>
          <t>TIMRÅ</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7151-2024</t>
        </is>
      </c>
      <c r="B651" s="1" t="n">
        <v>45344</v>
      </c>
      <c r="C651" s="1" t="n">
        <v>45809</v>
      </c>
      <c r="D651" t="inlineStr">
        <is>
          <t>VÄSTERNORRLANDS LÄN</t>
        </is>
      </c>
      <c r="E651" t="inlineStr">
        <is>
          <t>TIMRÅ</t>
        </is>
      </c>
      <c r="G651" t="n">
        <v>2.9</v>
      </c>
      <c r="H651" t="n">
        <v>0</v>
      </c>
      <c r="I651" t="n">
        <v>0</v>
      </c>
      <c r="J651" t="n">
        <v>0</v>
      </c>
      <c r="K651" t="n">
        <v>0</v>
      </c>
      <c r="L651" t="n">
        <v>0</v>
      </c>
      <c r="M651" t="n">
        <v>0</v>
      </c>
      <c r="N651" t="n">
        <v>0</v>
      </c>
      <c r="O651" t="n">
        <v>0</v>
      </c>
      <c r="P651" t="n">
        <v>0</v>
      </c>
      <c r="Q651" t="n">
        <v>0</v>
      </c>
      <c r="R651" s="2" t="inlineStr"/>
    </row>
    <row r="652" ht="15" customHeight="1">
      <c r="A652" t="inlineStr">
        <is>
          <t>A 7291-2024</t>
        </is>
      </c>
      <c r="B652" s="1" t="n">
        <v>45344</v>
      </c>
      <c r="C652" s="1" t="n">
        <v>45809</v>
      </c>
      <c r="D652" t="inlineStr">
        <is>
          <t>VÄSTERNORRLANDS LÄN</t>
        </is>
      </c>
      <c r="E652" t="inlineStr">
        <is>
          <t>TIMRÅ</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7299-2024</t>
        </is>
      </c>
      <c r="B653" s="1" t="n">
        <v>45344</v>
      </c>
      <c r="C653" s="1" t="n">
        <v>45809</v>
      </c>
      <c r="D653" t="inlineStr">
        <is>
          <t>VÄSTERNORRLANDS LÄN</t>
        </is>
      </c>
      <c r="E653" t="inlineStr">
        <is>
          <t>TIMRÅ</t>
        </is>
      </c>
      <c r="F653" t="inlineStr">
        <is>
          <t>SCA</t>
        </is>
      </c>
      <c r="G653" t="n">
        <v>16.3</v>
      </c>
      <c r="H653" t="n">
        <v>0</v>
      </c>
      <c r="I653" t="n">
        <v>0</v>
      </c>
      <c r="J653" t="n">
        <v>0</v>
      </c>
      <c r="K653" t="n">
        <v>0</v>
      </c>
      <c r="L653" t="n">
        <v>0</v>
      </c>
      <c r="M653" t="n">
        <v>0</v>
      </c>
      <c r="N653" t="n">
        <v>0</v>
      </c>
      <c r="O653" t="n">
        <v>0</v>
      </c>
      <c r="P653" t="n">
        <v>0</v>
      </c>
      <c r="Q653" t="n">
        <v>0</v>
      </c>
      <c r="R653" s="2" t="inlineStr"/>
    </row>
    <row r="654" ht="15" customHeight="1">
      <c r="A654" t="inlineStr">
        <is>
          <t>A 7292-2024</t>
        </is>
      </c>
      <c r="B654" s="1" t="n">
        <v>45344</v>
      </c>
      <c r="C654" s="1" t="n">
        <v>45809</v>
      </c>
      <c r="D654" t="inlineStr">
        <is>
          <t>VÄSTERNORRLANDS LÄN</t>
        </is>
      </c>
      <c r="E654" t="inlineStr">
        <is>
          <t>TIMRÅ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7478-2024</t>
        </is>
      </c>
      <c r="B655" s="1" t="n">
        <v>45345</v>
      </c>
      <c r="C655" s="1" t="n">
        <v>45809</v>
      </c>
      <c r="D655" t="inlineStr">
        <is>
          <t>VÄSTERNORRLANDS LÄN</t>
        </is>
      </c>
      <c r="E655" t="inlineStr">
        <is>
          <t>TIMRÅ</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7476-2024</t>
        </is>
      </c>
      <c r="B656" s="1" t="n">
        <v>45345</v>
      </c>
      <c r="C656" s="1" t="n">
        <v>45809</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7477-2024</t>
        </is>
      </c>
      <c r="B657" s="1" t="n">
        <v>45345</v>
      </c>
      <c r="C657" s="1" t="n">
        <v>45809</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7507-2024</t>
        </is>
      </c>
      <c r="B658" s="1" t="n">
        <v>45347</v>
      </c>
      <c r="C658" s="1" t="n">
        <v>45809</v>
      </c>
      <c r="D658" t="inlineStr">
        <is>
          <t>VÄSTERNORRLANDS LÄN</t>
        </is>
      </c>
      <c r="E658" t="inlineStr">
        <is>
          <t>TIMRÅ</t>
        </is>
      </c>
      <c r="F658" t="inlineStr">
        <is>
          <t>SCA</t>
        </is>
      </c>
      <c r="G658" t="n">
        <v>15.5</v>
      </c>
      <c r="H658" t="n">
        <v>0</v>
      </c>
      <c r="I658" t="n">
        <v>0</v>
      </c>
      <c r="J658" t="n">
        <v>0</v>
      </c>
      <c r="K658" t="n">
        <v>0</v>
      </c>
      <c r="L658" t="n">
        <v>0</v>
      </c>
      <c r="M658" t="n">
        <v>0</v>
      </c>
      <c r="N658" t="n">
        <v>0</v>
      </c>
      <c r="O658" t="n">
        <v>0</v>
      </c>
      <c r="P658" t="n">
        <v>0</v>
      </c>
      <c r="Q658" t="n">
        <v>0</v>
      </c>
      <c r="R658" s="2" t="inlineStr"/>
    </row>
    <row r="659" ht="15" customHeight="1">
      <c r="A659" t="inlineStr">
        <is>
          <t>A 7859-2024</t>
        </is>
      </c>
      <c r="B659" s="1" t="n">
        <v>45350</v>
      </c>
      <c r="C659" s="1" t="n">
        <v>45809</v>
      </c>
      <c r="D659" t="inlineStr">
        <is>
          <t>VÄSTERNORRLANDS LÄN</t>
        </is>
      </c>
      <c r="E659" t="inlineStr">
        <is>
          <t>TIMRÅ</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8240-2024</t>
        </is>
      </c>
      <c r="B660" s="1" t="n">
        <v>45351</v>
      </c>
      <c r="C660" s="1" t="n">
        <v>45809</v>
      </c>
      <c r="D660" t="inlineStr">
        <is>
          <t>VÄSTERNORRLANDS LÄN</t>
        </is>
      </c>
      <c r="E660" t="inlineStr">
        <is>
          <t>TIMRÅ</t>
        </is>
      </c>
      <c r="F660" t="inlineStr">
        <is>
          <t>SCA</t>
        </is>
      </c>
      <c r="G660" t="n">
        <v>17.4</v>
      </c>
      <c r="H660" t="n">
        <v>0</v>
      </c>
      <c r="I660" t="n">
        <v>0</v>
      </c>
      <c r="J660" t="n">
        <v>0</v>
      </c>
      <c r="K660" t="n">
        <v>0</v>
      </c>
      <c r="L660" t="n">
        <v>0</v>
      </c>
      <c r="M660" t="n">
        <v>0</v>
      </c>
      <c r="N660" t="n">
        <v>0</v>
      </c>
      <c r="O660" t="n">
        <v>0</v>
      </c>
      <c r="P660" t="n">
        <v>0</v>
      </c>
      <c r="Q660" t="n">
        <v>0</v>
      </c>
      <c r="R660" s="2" t="inlineStr"/>
      <c r="U660">
        <f>HYPERLINK("https://klasma.github.io/Logging_2262/knärot/A 8240-2024 karta knärot.png", "A 8240-2024")</f>
        <v/>
      </c>
      <c r="V660">
        <f>HYPERLINK("https://klasma.github.io/Logging_2262/klagomål/A 8240-2024 FSC-klagomål.docx", "A 8240-2024")</f>
        <v/>
      </c>
      <c r="W660">
        <f>HYPERLINK("https://klasma.github.io/Logging_2262/klagomålsmail/A 8240-2024 FSC-klagomål mail.docx", "A 8240-2024")</f>
        <v/>
      </c>
      <c r="X660">
        <f>HYPERLINK("https://klasma.github.io/Logging_2262/tillsyn/A 8240-2024 tillsynsbegäran.docx", "A 8240-2024")</f>
        <v/>
      </c>
      <c r="Y660">
        <f>HYPERLINK("https://klasma.github.io/Logging_2262/tillsynsmail/A 8240-2024 tillsynsbegäran mail.docx", "A 8240-2024")</f>
        <v/>
      </c>
    </row>
    <row r="661" ht="15" customHeight="1">
      <c r="A661" t="inlineStr">
        <is>
          <t>A 8237-2024</t>
        </is>
      </c>
      <c r="B661" s="1" t="n">
        <v>45351</v>
      </c>
      <c r="C661" s="1" t="n">
        <v>45809</v>
      </c>
      <c r="D661" t="inlineStr">
        <is>
          <t>VÄSTERNORRLANDS LÄN</t>
        </is>
      </c>
      <c r="E661" t="inlineStr">
        <is>
          <t>TIMRÅ</t>
        </is>
      </c>
      <c r="F661" t="inlineStr">
        <is>
          <t>SCA</t>
        </is>
      </c>
      <c r="G661" t="n">
        <v>14.2</v>
      </c>
      <c r="H661" t="n">
        <v>0</v>
      </c>
      <c r="I661" t="n">
        <v>0</v>
      </c>
      <c r="J661" t="n">
        <v>0</v>
      </c>
      <c r="K661" t="n">
        <v>0</v>
      </c>
      <c r="L661" t="n">
        <v>0</v>
      </c>
      <c r="M661" t="n">
        <v>0</v>
      </c>
      <c r="N661" t="n">
        <v>0</v>
      </c>
      <c r="O661" t="n">
        <v>0</v>
      </c>
      <c r="P661" t="n">
        <v>0</v>
      </c>
      <c r="Q661" t="n">
        <v>0</v>
      </c>
      <c r="R661" s="2" t="inlineStr"/>
    </row>
    <row r="662" ht="15" customHeight="1">
      <c r="A662" t="inlineStr">
        <is>
          <t>A 8526-2024</t>
        </is>
      </c>
      <c r="B662" s="1" t="n">
        <v>45351</v>
      </c>
      <c r="C662" s="1" t="n">
        <v>45809</v>
      </c>
      <c r="D662" t="inlineStr">
        <is>
          <t>VÄSTERNORRLANDS LÄN</t>
        </is>
      </c>
      <c r="E662" t="inlineStr">
        <is>
          <t>TIMRÅ</t>
        </is>
      </c>
      <c r="G662" t="n">
        <v>0.7</v>
      </c>
      <c r="H662" t="n">
        <v>0</v>
      </c>
      <c r="I662" t="n">
        <v>0</v>
      </c>
      <c r="J662" t="n">
        <v>0</v>
      </c>
      <c r="K662" t="n">
        <v>0</v>
      </c>
      <c r="L662" t="n">
        <v>0</v>
      </c>
      <c r="M662" t="n">
        <v>0</v>
      </c>
      <c r="N662" t="n">
        <v>0</v>
      </c>
      <c r="O662" t="n">
        <v>0</v>
      </c>
      <c r="P662" t="n">
        <v>0</v>
      </c>
      <c r="Q662" t="n">
        <v>0</v>
      </c>
      <c r="R662" s="2" t="inlineStr"/>
    </row>
    <row r="663" ht="15" customHeight="1">
      <c r="A663" t="inlineStr">
        <is>
          <t>A 8506-2024</t>
        </is>
      </c>
      <c r="B663" s="1" t="n">
        <v>45351</v>
      </c>
      <c r="C663" s="1" t="n">
        <v>45809</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8640-2024</t>
        </is>
      </c>
      <c r="B664" s="1" t="n">
        <v>45356</v>
      </c>
      <c r="C664" s="1" t="n">
        <v>45809</v>
      </c>
      <c r="D664" t="inlineStr">
        <is>
          <t>VÄSTERNORRLANDS LÄN</t>
        </is>
      </c>
      <c r="E664" t="inlineStr">
        <is>
          <t>TIMRÅ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8877-2024</t>
        </is>
      </c>
      <c r="B665" s="1" t="n">
        <v>45356</v>
      </c>
      <c r="C665" s="1" t="n">
        <v>45809</v>
      </c>
      <c r="D665" t="inlineStr">
        <is>
          <t>VÄSTERNORRLANDS LÄN</t>
        </is>
      </c>
      <c r="E665" t="inlineStr">
        <is>
          <t>TIMRÅ</t>
        </is>
      </c>
      <c r="G665" t="n">
        <v>1.9</v>
      </c>
      <c r="H665" t="n">
        <v>0</v>
      </c>
      <c r="I665" t="n">
        <v>0</v>
      </c>
      <c r="J665" t="n">
        <v>0</v>
      </c>
      <c r="K665" t="n">
        <v>0</v>
      </c>
      <c r="L665" t="n">
        <v>0</v>
      </c>
      <c r="M665" t="n">
        <v>0</v>
      </c>
      <c r="N665" t="n">
        <v>0</v>
      </c>
      <c r="O665" t="n">
        <v>0</v>
      </c>
      <c r="P665" t="n">
        <v>0</v>
      </c>
      <c r="Q665" t="n">
        <v>0</v>
      </c>
      <c r="R665" s="2" t="inlineStr"/>
    </row>
    <row r="666" ht="15" customHeight="1">
      <c r="A666" t="inlineStr">
        <is>
          <t>A 9327-2024</t>
        </is>
      </c>
      <c r="B666" s="1" t="n">
        <v>45359</v>
      </c>
      <c r="C666" s="1" t="n">
        <v>45809</v>
      </c>
      <c r="D666" t="inlineStr">
        <is>
          <t>VÄSTERNORRLANDS LÄN</t>
        </is>
      </c>
      <c r="E666" t="inlineStr">
        <is>
          <t>TIMRÅ</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9331-2024</t>
        </is>
      </c>
      <c r="B667" s="1" t="n">
        <v>45359</v>
      </c>
      <c r="C667" s="1" t="n">
        <v>45809</v>
      </c>
      <c r="D667" t="inlineStr">
        <is>
          <t>VÄSTERNORRLANDS LÄN</t>
        </is>
      </c>
      <c r="E667" t="inlineStr">
        <is>
          <t>TIMRÅ</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9338-2024</t>
        </is>
      </c>
      <c r="B668" s="1" t="n">
        <v>45358</v>
      </c>
      <c r="C668" s="1" t="n">
        <v>45809</v>
      </c>
      <c r="D668" t="inlineStr">
        <is>
          <t>VÄSTERNORRLANDS LÄN</t>
        </is>
      </c>
      <c r="E668" t="inlineStr">
        <is>
          <t>TIMRÅ</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9823-2024</t>
        </is>
      </c>
      <c r="B669" s="1" t="n">
        <v>45363</v>
      </c>
      <c r="C669" s="1" t="n">
        <v>45809</v>
      </c>
      <c r="D669" t="inlineStr">
        <is>
          <t>VÄSTERNORRLANDS LÄN</t>
        </is>
      </c>
      <c r="E669" t="inlineStr">
        <is>
          <t>TIMRÅ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10745-2024</t>
        </is>
      </c>
      <c r="B670" s="1" t="n">
        <v>45369</v>
      </c>
      <c r="C670" s="1" t="n">
        <v>45809</v>
      </c>
      <c r="D670" t="inlineStr">
        <is>
          <t>VÄSTERNORRLANDS LÄN</t>
        </is>
      </c>
      <c r="E670" t="inlineStr">
        <is>
          <t>TIMRÅ</t>
        </is>
      </c>
      <c r="G670" t="n">
        <v>1.5</v>
      </c>
      <c r="H670" t="n">
        <v>0</v>
      </c>
      <c r="I670" t="n">
        <v>0</v>
      </c>
      <c r="J670" t="n">
        <v>0</v>
      </c>
      <c r="K670" t="n">
        <v>0</v>
      </c>
      <c r="L670" t="n">
        <v>0</v>
      </c>
      <c r="M670" t="n">
        <v>0</v>
      </c>
      <c r="N670" t="n">
        <v>0</v>
      </c>
      <c r="O670" t="n">
        <v>0</v>
      </c>
      <c r="P670" t="n">
        <v>0</v>
      </c>
      <c r="Q670" t="n">
        <v>0</v>
      </c>
      <c r="R670" s="2" t="inlineStr"/>
    </row>
    <row r="671" ht="15" customHeight="1">
      <c r="A671" t="inlineStr">
        <is>
          <t>A 10852-2024</t>
        </is>
      </c>
      <c r="B671" s="1" t="n">
        <v>45370</v>
      </c>
      <c r="C671" s="1" t="n">
        <v>45809</v>
      </c>
      <c r="D671" t="inlineStr">
        <is>
          <t>VÄSTERNORRLANDS LÄN</t>
        </is>
      </c>
      <c r="E671" t="inlineStr">
        <is>
          <t>TIMRÅ</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11556-2024</t>
        </is>
      </c>
      <c r="B672" s="1" t="n">
        <v>45373</v>
      </c>
      <c r="C672" s="1" t="n">
        <v>45809</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12182-2024</t>
        </is>
      </c>
      <c r="B673" s="1" t="n">
        <v>45377</v>
      </c>
      <c r="C673" s="1" t="n">
        <v>45809</v>
      </c>
      <c r="D673" t="inlineStr">
        <is>
          <t>VÄSTERNORRLANDS LÄN</t>
        </is>
      </c>
      <c r="E673" t="inlineStr">
        <is>
          <t>TIMRÅ</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12873-2024</t>
        </is>
      </c>
      <c r="B674" s="1" t="n">
        <v>45384</v>
      </c>
      <c r="C674" s="1" t="n">
        <v>45809</v>
      </c>
      <c r="D674" t="inlineStr">
        <is>
          <t>VÄSTERNORRLANDS LÄN</t>
        </is>
      </c>
      <c r="E674" t="inlineStr">
        <is>
          <t>TIMRÅ</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13341-2024</t>
        </is>
      </c>
      <c r="B675" s="1" t="n">
        <v>45387</v>
      </c>
      <c r="C675" s="1" t="n">
        <v>45809</v>
      </c>
      <c r="D675" t="inlineStr">
        <is>
          <t>VÄSTERNORRLANDS LÄN</t>
        </is>
      </c>
      <c r="E675" t="inlineStr">
        <is>
          <t>TIMRÅ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13343-2024</t>
        </is>
      </c>
      <c r="B676" s="1" t="n">
        <v>45387</v>
      </c>
      <c r="C676" s="1" t="n">
        <v>45809</v>
      </c>
      <c r="D676" t="inlineStr">
        <is>
          <t>VÄSTERNORRLANDS LÄN</t>
        </is>
      </c>
      <c r="E676" t="inlineStr">
        <is>
          <t>TIMRÅ</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13763-2024</t>
        </is>
      </c>
      <c r="B677" s="1" t="n">
        <v>45390</v>
      </c>
      <c r="C677" s="1" t="n">
        <v>45809</v>
      </c>
      <c r="D677" t="inlineStr">
        <is>
          <t>VÄSTERNORRLANDS LÄN</t>
        </is>
      </c>
      <c r="E677" t="inlineStr">
        <is>
          <t>TIMRÅ</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13770-2024</t>
        </is>
      </c>
      <c r="B678" s="1" t="n">
        <v>45390</v>
      </c>
      <c r="C678" s="1" t="n">
        <v>45809</v>
      </c>
      <c r="D678" t="inlineStr">
        <is>
          <t>VÄSTERNORRLANDS LÄN</t>
        </is>
      </c>
      <c r="E678" t="inlineStr">
        <is>
          <t>TIMRÅ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14375-2024</t>
        </is>
      </c>
      <c r="B679" s="1" t="n">
        <v>45394</v>
      </c>
      <c r="C679" s="1" t="n">
        <v>45809</v>
      </c>
      <c r="D679" t="inlineStr">
        <is>
          <t>VÄSTERNORRLANDS LÄN</t>
        </is>
      </c>
      <c r="E679" t="inlineStr">
        <is>
          <t>TIMRÅ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14578-2024</t>
        </is>
      </c>
      <c r="B680" s="1" t="n">
        <v>45395</v>
      </c>
      <c r="C680" s="1" t="n">
        <v>45809</v>
      </c>
      <c r="D680" t="inlineStr">
        <is>
          <t>VÄSTERNORRLANDS LÄN</t>
        </is>
      </c>
      <c r="E680" t="inlineStr">
        <is>
          <t>TIMRÅ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14572-2024</t>
        </is>
      </c>
      <c r="B681" s="1" t="n">
        <v>45395</v>
      </c>
      <c r="C681" s="1" t="n">
        <v>45809</v>
      </c>
      <c r="D681" t="inlineStr">
        <is>
          <t>VÄSTERNORRLANDS LÄN</t>
        </is>
      </c>
      <c r="E681" t="inlineStr">
        <is>
          <t>TIMRÅ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14573-2024</t>
        </is>
      </c>
      <c r="B682" s="1" t="n">
        <v>45395</v>
      </c>
      <c r="C682" s="1" t="n">
        <v>45809</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14806-2024</t>
        </is>
      </c>
      <c r="B683" s="1" t="n">
        <v>45398</v>
      </c>
      <c r="C683" s="1" t="n">
        <v>45809</v>
      </c>
      <c r="D683" t="inlineStr">
        <is>
          <t>VÄSTERNORRLANDS LÄN</t>
        </is>
      </c>
      <c r="E683" t="inlineStr">
        <is>
          <t>TIMRÅ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14818-2024</t>
        </is>
      </c>
      <c r="B684" s="1" t="n">
        <v>45397</v>
      </c>
      <c r="C684" s="1" t="n">
        <v>45809</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15150-2024</t>
        </is>
      </c>
      <c r="B685" s="1" t="n">
        <v>45400</v>
      </c>
      <c r="C685" s="1" t="n">
        <v>45809</v>
      </c>
      <c r="D685" t="inlineStr">
        <is>
          <t>VÄSTERNORRLANDS LÄN</t>
        </is>
      </c>
      <c r="E685" t="inlineStr">
        <is>
          <t>TIMRÅ</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16055-2024</t>
        </is>
      </c>
      <c r="B686" s="1" t="n">
        <v>45406</v>
      </c>
      <c r="C686" s="1" t="n">
        <v>45809</v>
      </c>
      <c r="D686" t="inlineStr">
        <is>
          <t>VÄSTERNORRLANDS LÄN</t>
        </is>
      </c>
      <c r="E686" t="inlineStr">
        <is>
          <t>TIMRÅ</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16067-2024</t>
        </is>
      </c>
      <c r="B687" s="1" t="n">
        <v>45406</v>
      </c>
      <c r="C687" s="1" t="n">
        <v>45809</v>
      </c>
      <c r="D687" t="inlineStr">
        <is>
          <t>VÄSTERNORRLANDS LÄN</t>
        </is>
      </c>
      <c r="E687" t="inlineStr">
        <is>
          <t>TIMRÅ</t>
        </is>
      </c>
      <c r="F687" t="inlineStr">
        <is>
          <t>SCA</t>
        </is>
      </c>
      <c r="G687" t="n">
        <v>5.5</v>
      </c>
      <c r="H687" t="n">
        <v>0</v>
      </c>
      <c r="I687" t="n">
        <v>0</v>
      </c>
      <c r="J687" t="n">
        <v>0</v>
      </c>
      <c r="K687" t="n">
        <v>0</v>
      </c>
      <c r="L687" t="n">
        <v>0</v>
      </c>
      <c r="M687" t="n">
        <v>0</v>
      </c>
      <c r="N687" t="n">
        <v>0</v>
      </c>
      <c r="O687" t="n">
        <v>0</v>
      </c>
      <c r="P687" t="n">
        <v>0</v>
      </c>
      <c r="Q687" t="n">
        <v>0</v>
      </c>
      <c r="R687" s="2" t="inlineStr"/>
    </row>
    <row r="688" ht="15" customHeight="1">
      <c r="A688" t="inlineStr">
        <is>
          <t>A 16315-2024</t>
        </is>
      </c>
      <c r="B688" s="1" t="n">
        <v>45407</v>
      </c>
      <c r="C688" s="1" t="n">
        <v>45809</v>
      </c>
      <c r="D688" t="inlineStr">
        <is>
          <t>VÄSTERNORRLANDS LÄN</t>
        </is>
      </c>
      <c r="E688" t="inlineStr">
        <is>
          <t>TIMRÅ</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16863-2024</t>
        </is>
      </c>
      <c r="B689" s="1" t="n">
        <v>45411</v>
      </c>
      <c r="C689" s="1" t="n">
        <v>45809</v>
      </c>
      <c r="D689" t="inlineStr">
        <is>
          <t>VÄSTERNORRLANDS LÄN</t>
        </is>
      </c>
      <c r="E689" t="inlineStr">
        <is>
          <t>TIMRÅ</t>
        </is>
      </c>
      <c r="G689" t="n">
        <v>3.6</v>
      </c>
      <c r="H689" t="n">
        <v>0</v>
      </c>
      <c r="I689" t="n">
        <v>0</v>
      </c>
      <c r="J689" t="n">
        <v>0</v>
      </c>
      <c r="K689" t="n">
        <v>0</v>
      </c>
      <c r="L689" t="n">
        <v>0</v>
      </c>
      <c r="M689" t="n">
        <v>0</v>
      </c>
      <c r="N689" t="n">
        <v>0</v>
      </c>
      <c r="O689" t="n">
        <v>0</v>
      </c>
      <c r="P689" t="n">
        <v>0</v>
      </c>
      <c r="Q689" t="n">
        <v>0</v>
      </c>
      <c r="R689" s="2" t="inlineStr"/>
    </row>
    <row r="690" ht="15" customHeight="1">
      <c r="A690" t="inlineStr">
        <is>
          <t>A 16980-2024</t>
        </is>
      </c>
      <c r="B690" s="1" t="n">
        <v>45412</v>
      </c>
      <c r="C690" s="1" t="n">
        <v>45809</v>
      </c>
      <c r="D690" t="inlineStr">
        <is>
          <t>VÄSTERNORRLANDS LÄN</t>
        </is>
      </c>
      <c r="E690" t="inlineStr">
        <is>
          <t>TIMRÅ</t>
        </is>
      </c>
      <c r="F690" t="inlineStr">
        <is>
          <t>SCA</t>
        </is>
      </c>
      <c r="G690" t="n">
        <v>7.7</v>
      </c>
      <c r="H690" t="n">
        <v>0</v>
      </c>
      <c r="I690" t="n">
        <v>0</v>
      </c>
      <c r="J690" t="n">
        <v>0</v>
      </c>
      <c r="K690" t="n">
        <v>0</v>
      </c>
      <c r="L690" t="n">
        <v>0</v>
      </c>
      <c r="M690" t="n">
        <v>0</v>
      </c>
      <c r="N690" t="n">
        <v>0</v>
      </c>
      <c r="O690" t="n">
        <v>0</v>
      </c>
      <c r="P690" t="n">
        <v>0</v>
      </c>
      <c r="Q690" t="n">
        <v>0</v>
      </c>
      <c r="R690" s="2" t="inlineStr"/>
    </row>
    <row r="691" ht="15" customHeight="1">
      <c r="A691" t="inlineStr">
        <is>
          <t>A 18110-2024</t>
        </is>
      </c>
      <c r="B691" s="1" t="n">
        <v>45420</v>
      </c>
      <c r="C691" s="1" t="n">
        <v>45809</v>
      </c>
      <c r="D691" t="inlineStr">
        <is>
          <t>VÄSTERNORRLANDS LÄN</t>
        </is>
      </c>
      <c r="E691" t="inlineStr">
        <is>
          <t>TIMRÅ</t>
        </is>
      </c>
      <c r="G691" t="n">
        <v>1.4</v>
      </c>
      <c r="H691" t="n">
        <v>0</v>
      </c>
      <c r="I691" t="n">
        <v>0</v>
      </c>
      <c r="J691" t="n">
        <v>0</v>
      </c>
      <c r="K691" t="n">
        <v>0</v>
      </c>
      <c r="L691" t="n">
        <v>0</v>
      </c>
      <c r="M691" t="n">
        <v>0</v>
      </c>
      <c r="N691" t="n">
        <v>0</v>
      </c>
      <c r="O691" t="n">
        <v>0</v>
      </c>
      <c r="P691" t="n">
        <v>0</v>
      </c>
      <c r="Q691" t="n">
        <v>0</v>
      </c>
      <c r="R691" s="2" t="inlineStr"/>
    </row>
    <row r="692" ht="15" customHeight="1">
      <c r="A692" t="inlineStr">
        <is>
          <t>A 18653-2024</t>
        </is>
      </c>
      <c r="B692" s="1" t="n">
        <v>45425</v>
      </c>
      <c r="C692" s="1" t="n">
        <v>45809</v>
      </c>
      <c r="D692" t="inlineStr">
        <is>
          <t>VÄSTERNORRLANDS LÄN</t>
        </is>
      </c>
      <c r="E692" t="inlineStr">
        <is>
          <t>TIMRÅ</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18663-2024</t>
        </is>
      </c>
      <c r="B693" s="1" t="n">
        <v>45425</v>
      </c>
      <c r="C693" s="1" t="n">
        <v>45809</v>
      </c>
      <c r="D693" t="inlineStr">
        <is>
          <t>VÄSTERNORRLANDS LÄN</t>
        </is>
      </c>
      <c r="E693" t="inlineStr">
        <is>
          <t>TIMRÅ</t>
        </is>
      </c>
      <c r="G693" t="n">
        <v>9.5</v>
      </c>
      <c r="H693" t="n">
        <v>0</v>
      </c>
      <c r="I693" t="n">
        <v>0</v>
      </c>
      <c r="J693" t="n">
        <v>0</v>
      </c>
      <c r="K693" t="n">
        <v>0</v>
      </c>
      <c r="L693" t="n">
        <v>0</v>
      </c>
      <c r="M693" t="n">
        <v>0</v>
      </c>
      <c r="N693" t="n">
        <v>0</v>
      </c>
      <c r="O693" t="n">
        <v>0</v>
      </c>
      <c r="P693" t="n">
        <v>0</v>
      </c>
      <c r="Q693" t="n">
        <v>0</v>
      </c>
      <c r="R693" s="2" t="inlineStr"/>
    </row>
    <row r="694" ht="15" customHeight="1">
      <c r="A694" t="inlineStr">
        <is>
          <t>A 18634-2024</t>
        </is>
      </c>
      <c r="B694" s="1" t="n">
        <v>45425</v>
      </c>
      <c r="C694" s="1" t="n">
        <v>45809</v>
      </c>
      <c r="D694" t="inlineStr">
        <is>
          <t>VÄSTERNORRLANDS LÄN</t>
        </is>
      </c>
      <c r="E694" t="inlineStr">
        <is>
          <t>TIMRÅ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19455-2024</t>
        </is>
      </c>
      <c r="B695" s="1" t="n">
        <v>45429</v>
      </c>
      <c r="C695" s="1" t="n">
        <v>45809</v>
      </c>
      <c r="D695" t="inlineStr">
        <is>
          <t>VÄSTERNORRLANDS LÄN</t>
        </is>
      </c>
      <c r="E695" t="inlineStr">
        <is>
          <t>TIMRÅ</t>
        </is>
      </c>
      <c r="G695" t="n">
        <v>1.3</v>
      </c>
      <c r="H695" t="n">
        <v>0</v>
      </c>
      <c r="I695" t="n">
        <v>0</v>
      </c>
      <c r="J695" t="n">
        <v>0</v>
      </c>
      <c r="K695" t="n">
        <v>0</v>
      </c>
      <c r="L695" t="n">
        <v>0</v>
      </c>
      <c r="M695" t="n">
        <v>0</v>
      </c>
      <c r="N695" t="n">
        <v>0</v>
      </c>
      <c r="O695" t="n">
        <v>0</v>
      </c>
      <c r="P695" t="n">
        <v>0</v>
      </c>
      <c r="Q695" t="n">
        <v>0</v>
      </c>
      <c r="R695" s="2" t="inlineStr"/>
    </row>
    <row r="696" ht="15" customHeight="1">
      <c r="A696" t="inlineStr">
        <is>
          <t>A 19558-2024</t>
        </is>
      </c>
      <c r="B696" s="1" t="n">
        <v>45429</v>
      </c>
      <c r="C696" s="1" t="n">
        <v>45809</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20089-2024</t>
        </is>
      </c>
      <c r="B697" s="1" t="n">
        <v>45434</v>
      </c>
      <c r="C697" s="1" t="n">
        <v>45809</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20226-2024</t>
        </is>
      </c>
      <c r="B698" s="1" t="n">
        <v>45434</v>
      </c>
      <c r="C698" s="1" t="n">
        <v>45809</v>
      </c>
      <c r="D698" t="inlineStr">
        <is>
          <t>VÄSTERNORRLANDS LÄN</t>
        </is>
      </c>
      <c r="E698" t="inlineStr">
        <is>
          <t>TIMRÅ</t>
        </is>
      </c>
      <c r="G698" t="n">
        <v>0.6</v>
      </c>
      <c r="H698" t="n">
        <v>0</v>
      </c>
      <c r="I698" t="n">
        <v>0</v>
      </c>
      <c r="J698" t="n">
        <v>0</v>
      </c>
      <c r="K698" t="n">
        <v>0</v>
      </c>
      <c r="L698" t="n">
        <v>0</v>
      </c>
      <c r="M698" t="n">
        <v>0</v>
      </c>
      <c r="N698" t="n">
        <v>0</v>
      </c>
      <c r="O698" t="n">
        <v>0</v>
      </c>
      <c r="P698" t="n">
        <v>0</v>
      </c>
      <c r="Q698" t="n">
        <v>0</v>
      </c>
      <c r="R698" s="2" t="inlineStr"/>
    </row>
    <row r="699" ht="15" customHeight="1">
      <c r="A699" t="inlineStr">
        <is>
          <t>A 20230-2024</t>
        </is>
      </c>
      <c r="B699" s="1" t="n">
        <v>45434</v>
      </c>
      <c r="C699" s="1" t="n">
        <v>45809</v>
      </c>
      <c r="D699" t="inlineStr">
        <is>
          <t>VÄSTERNORRLANDS LÄN</t>
        </is>
      </c>
      <c r="E699" t="inlineStr">
        <is>
          <t>TIMRÅ</t>
        </is>
      </c>
      <c r="G699" t="n">
        <v>0.8</v>
      </c>
      <c r="H699" t="n">
        <v>0</v>
      </c>
      <c r="I699" t="n">
        <v>0</v>
      </c>
      <c r="J699" t="n">
        <v>0</v>
      </c>
      <c r="K699" t="n">
        <v>0</v>
      </c>
      <c r="L699" t="n">
        <v>0</v>
      </c>
      <c r="M699" t="n">
        <v>0</v>
      </c>
      <c r="N699" t="n">
        <v>0</v>
      </c>
      <c r="O699" t="n">
        <v>0</v>
      </c>
      <c r="P699" t="n">
        <v>0</v>
      </c>
      <c r="Q699" t="n">
        <v>0</v>
      </c>
      <c r="R699" s="2" t="inlineStr"/>
    </row>
    <row r="700" ht="15" customHeight="1">
      <c r="A700" t="inlineStr">
        <is>
          <t>A 20313-2024</t>
        </is>
      </c>
      <c r="B700" s="1" t="n">
        <v>45434</v>
      </c>
      <c r="C700" s="1" t="n">
        <v>45809</v>
      </c>
      <c r="D700" t="inlineStr">
        <is>
          <t>VÄSTERNORRLANDS LÄN</t>
        </is>
      </c>
      <c r="E700" t="inlineStr">
        <is>
          <t>TIMRÅ</t>
        </is>
      </c>
      <c r="G700" t="n">
        <v>1.6</v>
      </c>
      <c r="H700" t="n">
        <v>0</v>
      </c>
      <c r="I700" t="n">
        <v>0</v>
      </c>
      <c r="J700" t="n">
        <v>0</v>
      </c>
      <c r="K700" t="n">
        <v>0</v>
      </c>
      <c r="L700" t="n">
        <v>0</v>
      </c>
      <c r="M700" t="n">
        <v>0</v>
      </c>
      <c r="N700" t="n">
        <v>0</v>
      </c>
      <c r="O700" t="n">
        <v>0</v>
      </c>
      <c r="P700" t="n">
        <v>0</v>
      </c>
      <c r="Q700" t="n">
        <v>0</v>
      </c>
      <c r="R700" s="2" t="inlineStr"/>
    </row>
    <row r="701" ht="15" customHeight="1">
      <c r="A701" t="inlineStr">
        <is>
          <t>A 20341-2024</t>
        </is>
      </c>
      <c r="B701" s="1" t="n">
        <v>45435</v>
      </c>
      <c r="C701" s="1" t="n">
        <v>45809</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20346-2024</t>
        </is>
      </c>
      <c r="B702" s="1" t="n">
        <v>45435</v>
      </c>
      <c r="C702" s="1" t="n">
        <v>45809</v>
      </c>
      <c r="D702" t="inlineStr">
        <is>
          <t>VÄSTERNORRLANDS LÄN</t>
        </is>
      </c>
      <c r="E702" t="inlineStr">
        <is>
          <t>TIMRÅ</t>
        </is>
      </c>
      <c r="G702" t="n">
        <v>2.5</v>
      </c>
      <c r="H702" t="n">
        <v>0</v>
      </c>
      <c r="I702" t="n">
        <v>0</v>
      </c>
      <c r="J702" t="n">
        <v>0</v>
      </c>
      <c r="K702" t="n">
        <v>0</v>
      </c>
      <c r="L702" t="n">
        <v>0</v>
      </c>
      <c r="M702" t="n">
        <v>0</v>
      </c>
      <c r="N702" t="n">
        <v>0</v>
      </c>
      <c r="O702" t="n">
        <v>0</v>
      </c>
      <c r="P702" t="n">
        <v>0</v>
      </c>
      <c r="Q702" t="n">
        <v>0</v>
      </c>
      <c r="R702" s="2" t="inlineStr"/>
    </row>
    <row r="703" ht="15" customHeight="1">
      <c r="A703" t="inlineStr">
        <is>
          <t>A 20527-2024</t>
        </is>
      </c>
      <c r="B703" s="1" t="n">
        <v>45436</v>
      </c>
      <c r="C703" s="1" t="n">
        <v>45809</v>
      </c>
      <c r="D703" t="inlineStr">
        <is>
          <t>VÄSTERNORRLANDS LÄN</t>
        </is>
      </c>
      <c r="E703" t="inlineStr">
        <is>
          <t>TIMRÅ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20526-2024</t>
        </is>
      </c>
      <c r="B704" s="1" t="n">
        <v>45435</v>
      </c>
      <c r="C704" s="1" t="n">
        <v>45809</v>
      </c>
      <c r="D704" t="inlineStr">
        <is>
          <t>VÄSTERNORRLANDS LÄN</t>
        </is>
      </c>
      <c r="E704" t="inlineStr">
        <is>
          <t>TIMRÅ</t>
        </is>
      </c>
      <c r="F704" t="inlineStr">
        <is>
          <t>SCA</t>
        </is>
      </c>
      <c r="G704" t="n">
        <v>11.3</v>
      </c>
      <c r="H704" t="n">
        <v>0</v>
      </c>
      <c r="I704" t="n">
        <v>0</v>
      </c>
      <c r="J704" t="n">
        <v>0</v>
      </c>
      <c r="K704" t="n">
        <v>0</v>
      </c>
      <c r="L704" t="n">
        <v>0</v>
      </c>
      <c r="M704" t="n">
        <v>0</v>
      </c>
      <c r="N704" t="n">
        <v>0</v>
      </c>
      <c r="O704" t="n">
        <v>0</v>
      </c>
      <c r="P704" t="n">
        <v>0</v>
      </c>
      <c r="Q704" t="n">
        <v>0</v>
      </c>
      <c r="R704" s="2" t="inlineStr"/>
    </row>
    <row r="705" ht="15" customHeight="1">
      <c r="A705" t="inlineStr">
        <is>
          <t>A 20786-2024</t>
        </is>
      </c>
      <c r="B705" s="1" t="n">
        <v>45437</v>
      </c>
      <c r="C705" s="1" t="n">
        <v>45809</v>
      </c>
      <c r="D705" t="inlineStr">
        <is>
          <t>VÄSTERNORRLANDS LÄN</t>
        </is>
      </c>
      <c r="E705" t="inlineStr">
        <is>
          <t>TIMRÅ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20899-2024</t>
        </is>
      </c>
      <c r="B706" s="1" t="n">
        <v>45439</v>
      </c>
      <c r="C706" s="1" t="n">
        <v>45809</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20936-2024</t>
        </is>
      </c>
      <c r="B707" s="1" t="n">
        <v>45439</v>
      </c>
      <c r="C707" s="1" t="n">
        <v>45809</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20938-2024</t>
        </is>
      </c>
      <c r="B708" s="1" t="n">
        <v>45439</v>
      </c>
      <c r="C708" s="1" t="n">
        <v>45809</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21362-2024</t>
        </is>
      </c>
      <c r="B709" s="1" t="n">
        <v>45440</v>
      </c>
      <c r="C709" s="1" t="n">
        <v>45809</v>
      </c>
      <c r="D709" t="inlineStr">
        <is>
          <t>VÄSTERNORRLANDS LÄN</t>
        </is>
      </c>
      <c r="E709" t="inlineStr">
        <is>
          <t>TIMRÅ</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21131-2024</t>
        </is>
      </c>
      <c r="B710" s="1" t="n">
        <v>45440</v>
      </c>
      <c r="C710" s="1" t="n">
        <v>45809</v>
      </c>
      <c r="D710" t="inlineStr">
        <is>
          <t>VÄSTERNORRLANDS LÄN</t>
        </is>
      </c>
      <c r="E710" t="inlineStr">
        <is>
          <t>TIMRÅ</t>
        </is>
      </c>
      <c r="G710" t="n">
        <v>10.8</v>
      </c>
      <c r="H710" t="n">
        <v>0</v>
      </c>
      <c r="I710" t="n">
        <v>0</v>
      </c>
      <c r="J710" t="n">
        <v>0</v>
      </c>
      <c r="K710" t="n">
        <v>0</v>
      </c>
      <c r="L710" t="n">
        <v>0</v>
      </c>
      <c r="M710" t="n">
        <v>0</v>
      </c>
      <c r="N710" t="n">
        <v>0</v>
      </c>
      <c r="O710" t="n">
        <v>0</v>
      </c>
      <c r="P710" t="n">
        <v>0</v>
      </c>
      <c r="Q710" t="n">
        <v>0</v>
      </c>
      <c r="R710" s="2" t="inlineStr"/>
    </row>
    <row r="711" ht="15" customHeight="1">
      <c r="A711" t="inlineStr">
        <is>
          <t>A 21607-2024</t>
        </is>
      </c>
      <c r="B711" s="1" t="n">
        <v>45441</v>
      </c>
      <c r="C711" s="1" t="n">
        <v>45809</v>
      </c>
      <c r="D711" t="inlineStr">
        <is>
          <t>VÄSTERNORRLANDS LÄN</t>
        </is>
      </c>
      <c r="E711" t="inlineStr">
        <is>
          <t>TIMRÅ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21443-2024</t>
        </is>
      </c>
      <c r="B712" s="1" t="n">
        <v>45441</v>
      </c>
      <c r="C712" s="1" t="n">
        <v>45809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21447-2024</t>
        </is>
      </c>
      <c r="B713" s="1" t="n">
        <v>45441</v>
      </c>
      <c r="C713" s="1" t="n">
        <v>45809</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22368-2024</t>
        </is>
      </c>
      <c r="B714" s="1" t="n">
        <v>45446</v>
      </c>
      <c r="C714" s="1" t="n">
        <v>45809</v>
      </c>
      <c r="D714" t="inlineStr">
        <is>
          <t>VÄSTERNORRLANDS LÄN</t>
        </is>
      </c>
      <c r="E714" t="inlineStr">
        <is>
          <t>TIMRÅ</t>
        </is>
      </c>
      <c r="G714" t="n">
        <v>1.2</v>
      </c>
      <c r="H714" t="n">
        <v>0</v>
      </c>
      <c r="I714" t="n">
        <v>0</v>
      </c>
      <c r="J714" t="n">
        <v>0</v>
      </c>
      <c r="K714" t="n">
        <v>0</v>
      </c>
      <c r="L714" t="n">
        <v>0</v>
      </c>
      <c r="M714" t="n">
        <v>0</v>
      </c>
      <c r="N714" t="n">
        <v>0</v>
      </c>
      <c r="O714" t="n">
        <v>0</v>
      </c>
      <c r="P714" t="n">
        <v>0</v>
      </c>
      <c r="Q714" t="n">
        <v>0</v>
      </c>
      <c r="R714" s="2" t="inlineStr"/>
    </row>
    <row r="715" ht="15" customHeight="1">
      <c r="A715" t="inlineStr">
        <is>
          <t>A 22486-2024</t>
        </is>
      </c>
      <c r="B715" s="1" t="n">
        <v>45446</v>
      </c>
      <c r="C715" s="1" t="n">
        <v>45809</v>
      </c>
      <c r="D715" t="inlineStr">
        <is>
          <t>VÄSTERNORRLANDS LÄN</t>
        </is>
      </c>
      <c r="E715" t="inlineStr">
        <is>
          <t>TIMRÅ</t>
        </is>
      </c>
      <c r="G715" t="n">
        <v>6.8</v>
      </c>
      <c r="H715" t="n">
        <v>0</v>
      </c>
      <c r="I715" t="n">
        <v>0</v>
      </c>
      <c r="J715" t="n">
        <v>0</v>
      </c>
      <c r="K715" t="n">
        <v>0</v>
      </c>
      <c r="L715" t="n">
        <v>0</v>
      </c>
      <c r="M715" t="n">
        <v>0</v>
      </c>
      <c r="N715" t="n">
        <v>0</v>
      </c>
      <c r="O715" t="n">
        <v>0</v>
      </c>
      <c r="P715" t="n">
        <v>0</v>
      </c>
      <c r="Q715" t="n">
        <v>0</v>
      </c>
      <c r="R715" s="2" t="inlineStr"/>
    </row>
    <row r="716" ht="15" customHeight="1">
      <c r="A716" t="inlineStr">
        <is>
          <t>A 22416-2024</t>
        </is>
      </c>
      <c r="B716" s="1" t="n">
        <v>45446</v>
      </c>
      <c r="C716" s="1" t="n">
        <v>45809</v>
      </c>
      <c r="D716" t="inlineStr">
        <is>
          <t>VÄSTERNORRLANDS LÄN</t>
        </is>
      </c>
      <c r="E716" t="inlineStr">
        <is>
          <t>TIMRÅ</t>
        </is>
      </c>
      <c r="G716" t="n">
        <v>2.3</v>
      </c>
      <c r="H716" t="n">
        <v>0</v>
      </c>
      <c r="I716" t="n">
        <v>0</v>
      </c>
      <c r="J716" t="n">
        <v>0</v>
      </c>
      <c r="K716" t="n">
        <v>0</v>
      </c>
      <c r="L716" t="n">
        <v>0</v>
      </c>
      <c r="M716" t="n">
        <v>0</v>
      </c>
      <c r="N716" t="n">
        <v>0</v>
      </c>
      <c r="O716" t="n">
        <v>0</v>
      </c>
      <c r="P716" t="n">
        <v>0</v>
      </c>
      <c r="Q716" t="n">
        <v>0</v>
      </c>
      <c r="R716" s="2" t="inlineStr"/>
    </row>
    <row r="717" ht="15" customHeight="1">
      <c r="A717" t="inlineStr">
        <is>
          <t>A 22669-2024</t>
        </is>
      </c>
      <c r="B717" s="1" t="n">
        <v>45447</v>
      </c>
      <c r="C717" s="1" t="n">
        <v>45809</v>
      </c>
      <c r="D717" t="inlineStr">
        <is>
          <t>VÄSTERNORRLANDS LÄN</t>
        </is>
      </c>
      <c r="E717" t="inlineStr">
        <is>
          <t>TIMRÅ</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23049-2024</t>
        </is>
      </c>
      <c r="B718" s="1" t="n">
        <v>45450</v>
      </c>
      <c r="C718" s="1" t="n">
        <v>45809</v>
      </c>
      <c r="D718" t="inlineStr">
        <is>
          <t>VÄSTERNORRLANDS LÄN</t>
        </is>
      </c>
      <c r="E718" t="inlineStr">
        <is>
          <t>TIMRÅ</t>
        </is>
      </c>
      <c r="G718" t="n">
        <v>8.4</v>
      </c>
      <c r="H718" t="n">
        <v>0</v>
      </c>
      <c r="I718" t="n">
        <v>0</v>
      </c>
      <c r="J718" t="n">
        <v>0</v>
      </c>
      <c r="K718" t="n">
        <v>0</v>
      </c>
      <c r="L718" t="n">
        <v>0</v>
      </c>
      <c r="M718" t="n">
        <v>0</v>
      </c>
      <c r="N718" t="n">
        <v>0</v>
      </c>
      <c r="O718" t="n">
        <v>0</v>
      </c>
      <c r="P718" t="n">
        <v>0</v>
      </c>
      <c r="Q718" t="n">
        <v>0</v>
      </c>
      <c r="R718" s="2" t="inlineStr"/>
    </row>
    <row r="719" ht="15" customHeight="1">
      <c r="A719" t="inlineStr">
        <is>
          <t>A 23556-2024</t>
        </is>
      </c>
      <c r="B719" s="1" t="n">
        <v>45453</v>
      </c>
      <c r="C719" s="1" t="n">
        <v>45809</v>
      </c>
      <c r="D719" t="inlineStr">
        <is>
          <t>VÄSTERNORRLANDS LÄN</t>
        </is>
      </c>
      <c r="E719" t="inlineStr">
        <is>
          <t>TIMRÅ</t>
        </is>
      </c>
      <c r="F719" t="inlineStr">
        <is>
          <t>SCA</t>
        </is>
      </c>
      <c r="G719" t="n">
        <v>6.5</v>
      </c>
      <c r="H719" t="n">
        <v>0</v>
      </c>
      <c r="I719" t="n">
        <v>0</v>
      </c>
      <c r="J719" t="n">
        <v>0</v>
      </c>
      <c r="K719" t="n">
        <v>0</v>
      </c>
      <c r="L719" t="n">
        <v>0</v>
      </c>
      <c r="M719" t="n">
        <v>0</v>
      </c>
      <c r="N719" t="n">
        <v>0</v>
      </c>
      <c r="O719" t="n">
        <v>0</v>
      </c>
      <c r="P719" t="n">
        <v>0</v>
      </c>
      <c r="Q719" t="n">
        <v>0</v>
      </c>
      <c r="R719" s="2" t="inlineStr"/>
    </row>
    <row r="720" ht="15" customHeight="1">
      <c r="A720" t="inlineStr">
        <is>
          <t>A 23725-2024</t>
        </is>
      </c>
      <c r="B720" s="1" t="n">
        <v>45455</v>
      </c>
      <c r="C720" s="1" t="n">
        <v>45809</v>
      </c>
      <c r="D720" t="inlineStr">
        <is>
          <t>VÄSTERNORRLANDS LÄN</t>
        </is>
      </c>
      <c r="E720" t="inlineStr">
        <is>
          <t>TIMRÅ</t>
        </is>
      </c>
      <c r="G720" t="n">
        <v>2.6</v>
      </c>
      <c r="H720" t="n">
        <v>0</v>
      </c>
      <c r="I720" t="n">
        <v>0</v>
      </c>
      <c r="J720" t="n">
        <v>0</v>
      </c>
      <c r="K720" t="n">
        <v>0</v>
      </c>
      <c r="L720" t="n">
        <v>0</v>
      </c>
      <c r="M720" t="n">
        <v>0</v>
      </c>
      <c r="N720" t="n">
        <v>0</v>
      </c>
      <c r="O720" t="n">
        <v>0</v>
      </c>
      <c r="P720" t="n">
        <v>0</v>
      </c>
      <c r="Q720" t="n">
        <v>0</v>
      </c>
      <c r="R720" s="2" t="inlineStr"/>
    </row>
    <row r="721" ht="15" customHeight="1">
      <c r="A721" t="inlineStr">
        <is>
          <t>A 23878-2024</t>
        </is>
      </c>
      <c r="B721" s="1" t="n">
        <v>45455</v>
      </c>
      <c r="C721" s="1" t="n">
        <v>45809</v>
      </c>
      <c r="D721" t="inlineStr">
        <is>
          <t>VÄSTERNORRLANDS LÄN</t>
        </is>
      </c>
      <c r="E721" t="inlineStr">
        <is>
          <t>TIMRÅ</t>
        </is>
      </c>
      <c r="G721" t="n">
        <v>2.1</v>
      </c>
      <c r="H721" t="n">
        <v>0</v>
      </c>
      <c r="I721" t="n">
        <v>0</v>
      </c>
      <c r="J721" t="n">
        <v>0</v>
      </c>
      <c r="K721" t="n">
        <v>0</v>
      </c>
      <c r="L721" t="n">
        <v>0</v>
      </c>
      <c r="M721" t="n">
        <v>0</v>
      </c>
      <c r="N721" t="n">
        <v>0</v>
      </c>
      <c r="O721" t="n">
        <v>0</v>
      </c>
      <c r="P721" t="n">
        <v>0</v>
      </c>
      <c r="Q721" t="n">
        <v>0</v>
      </c>
      <c r="R721" s="2" t="inlineStr"/>
    </row>
    <row r="722" ht="15" customHeight="1">
      <c r="A722" t="inlineStr">
        <is>
          <t>A 23851-2024</t>
        </is>
      </c>
      <c r="B722" s="1" t="n">
        <v>45455</v>
      </c>
      <c r="C722" s="1" t="n">
        <v>45809</v>
      </c>
      <c r="D722" t="inlineStr">
        <is>
          <t>VÄSTERNORRLANDS LÄN</t>
        </is>
      </c>
      <c r="E722" t="inlineStr">
        <is>
          <t>TIMRÅ</t>
        </is>
      </c>
      <c r="G722" t="n">
        <v>3.5</v>
      </c>
      <c r="H722" t="n">
        <v>0</v>
      </c>
      <c r="I722" t="n">
        <v>0</v>
      </c>
      <c r="J722" t="n">
        <v>0</v>
      </c>
      <c r="K722" t="n">
        <v>0</v>
      </c>
      <c r="L722" t="n">
        <v>0</v>
      </c>
      <c r="M722" t="n">
        <v>0</v>
      </c>
      <c r="N722" t="n">
        <v>0</v>
      </c>
      <c r="O722" t="n">
        <v>0</v>
      </c>
      <c r="P722" t="n">
        <v>0</v>
      </c>
      <c r="Q722" t="n">
        <v>0</v>
      </c>
      <c r="R722" s="2" t="inlineStr"/>
    </row>
    <row r="723" ht="15" customHeight="1">
      <c r="A723" t="inlineStr">
        <is>
          <t>A 24739-2024</t>
        </is>
      </c>
      <c r="B723" s="1" t="n">
        <v>45460</v>
      </c>
      <c r="C723" s="1" t="n">
        <v>45809</v>
      </c>
      <c r="D723" t="inlineStr">
        <is>
          <t>VÄSTERNORRLANDS LÄN</t>
        </is>
      </c>
      <c r="E723" t="inlineStr">
        <is>
          <t>TIMRÅ</t>
        </is>
      </c>
      <c r="G723" t="n">
        <v>0.9</v>
      </c>
      <c r="H723" t="n">
        <v>0</v>
      </c>
      <c r="I723" t="n">
        <v>0</v>
      </c>
      <c r="J723" t="n">
        <v>0</v>
      </c>
      <c r="K723" t="n">
        <v>0</v>
      </c>
      <c r="L723" t="n">
        <v>0</v>
      </c>
      <c r="M723" t="n">
        <v>0</v>
      </c>
      <c r="N723" t="n">
        <v>0</v>
      </c>
      <c r="O723" t="n">
        <v>0</v>
      </c>
      <c r="P723" t="n">
        <v>0</v>
      </c>
      <c r="Q723" t="n">
        <v>0</v>
      </c>
      <c r="R723" s="2" t="inlineStr"/>
    </row>
    <row r="724" ht="15" customHeight="1">
      <c r="A724" t="inlineStr">
        <is>
          <t>A 26662-2024</t>
        </is>
      </c>
      <c r="B724" s="1" t="n">
        <v>45469</v>
      </c>
      <c r="C724" s="1" t="n">
        <v>45809</v>
      </c>
      <c r="D724" t="inlineStr">
        <is>
          <t>VÄSTERNORRLANDS LÄN</t>
        </is>
      </c>
      <c r="E724" t="inlineStr">
        <is>
          <t>TIMRÅ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27623-2024</t>
        </is>
      </c>
      <c r="B725" s="1" t="n">
        <v>45474</v>
      </c>
      <c r="C725" s="1" t="n">
        <v>45809</v>
      </c>
      <c r="D725" t="inlineStr">
        <is>
          <t>VÄSTERNORRLANDS LÄN</t>
        </is>
      </c>
      <c r="E725" t="inlineStr">
        <is>
          <t>TIMRÅ</t>
        </is>
      </c>
      <c r="G725" t="n">
        <v>3.4</v>
      </c>
      <c r="H725" t="n">
        <v>0</v>
      </c>
      <c r="I725" t="n">
        <v>0</v>
      </c>
      <c r="J725" t="n">
        <v>0</v>
      </c>
      <c r="K725" t="n">
        <v>0</v>
      </c>
      <c r="L725" t="n">
        <v>0</v>
      </c>
      <c r="M725" t="n">
        <v>0</v>
      </c>
      <c r="N725" t="n">
        <v>0</v>
      </c>
      <c r="O725" t="n">
        <v>0</v>
      </c>
      <c r="P725" t="n">
        <v>0</v>
      </c>
      <c r="Q725" t="n">
        <v>0</v>
      </c>
      <c r="R725" s="2" t="inlineStr"/>
    </row>
    <row r="726" ht="15" customHeight="1">
      <c r="A726" t="inlineStr">
        <is>
          <t>A 28160-2024</t>
        </is>
      </c>
      <c r="B726" s="1" t="n">
        <v>45476</v>
      </c>
      <c r="C726" s="1" t="n">
        <v>45809</v>
      </c>
      <c r="D726" t="inlineStr">
        <is>
          <t>VÄSTERNORRLANDS LÄN</t>
        </is>
      </c>
      <c r="E726" t="inlineStr">
        <is>
          <t>TIMRÅ</t>
        </is>
      </c>
      <c r="F726" t="inlineStr">
        <is>
          <t>SCA</t>
        </is>
      </c>
      <c r="G726" t="n">
        <v>16.1</v>
      </c>
      <c r="H726" t="n">
        <v>0</v>
      </c>
      <c r="I726" t="n">
        <v>0</v>
      </c>
      <c r="J726" t="n">
        <v>0</v>
      </c>
      <c r="K726" t="n">
        <v>0</v>
      </c>
      <c r="L726" t="n">
        <v>0</v>
      </c>
      <c r="M726" t="n">
        <v>0</v>
      </c>
      <c r="N726" t="n">
        <v>0</v>
      </c>
      <c r="O726" t="n">
        <v>0</v>
      </c>
      <c r="P726" t="n">
        <v>0</v>
      </c>
      <c r="Q726" t="n">
        <v>0</v>
      </c>
      <c r="R726" s="2" t="inlineStr"/>
    </row>
    <row r="727" ht="15" customHeight="1">
      <c r="A727" t="inlineStr">
        <is>
          <t>A 28503-2024</t>
        </is>
      </c>
      <c r="B727" s="1" t="n">
        <v>45477</v>
      </c>
      <c r="C727" s="1" t="n">
        <v>45809</v>
      </c>
      <c r="D727" t="inlineStr">
        <is>
          <t>VÄSTERNORRLANDS LÄN</t>
        </is>
      </c>
      <c r="E727" t="inlineStr">
        <is>
          <t>TIMRÅ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28256-2024</t>
        </is>
      </c>
      <c r="B728" s="1" t="n">
        <v>45477</v>
      </c>
      <c r="C728" s="1" t="n">
        <v>45809</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29267-2024</t>
        </is>
      </c>
      <c r="B729" s="1" t="n">
        <v>45482</v>
      </c>
      <c r="C729" s="1" t="n">
        <v>45809</v>
      </c>
      <c r="D729" t="inlineStr">
        <is>
          <t>VÄSTERNORRLANDS LÄN</t>
        </is>
      </c>
      <c r="E729" t="inlineStr">
        <is>
          <t>TIMRÅ</t>
        </is>
      </c>
      <c r="G729" t="n">
        <v>4.2</v>
      </c>
      <c r="H729" t="n">
        <v>0</v>
      </c>
      <c r="I729" t="n">
        <v>0</v>
      </c>
      <c r="J729" t="n">
        <v>0</v>
      </c>
      <c r="K729" t="n">
        <v>0</v>
      </c>
      <c r="L729" t="n">
        <v>0</v>
      </c>
      <c r="M729" t="n">
        <v>0</v>
      </c>
      <c r="N729" t="n">
        <v>0</v>
      </c>
      <c r="O729" t="n">
        <v>0</v>
      </c>
      <c r="P729" t="n">
        <v>0</v>
      </c>
      <c r="Q729" t="n">
        <v>0</v>
      </c>
      <c r="R729" s="2" t="inlineStr"/>
    </row>
    <row r="730" ht="15" customHeight="1">
      <c r="A730" t="inlineStr">
        <is>
          <t>A 30612-2024</t>
        </is>
      </c>
      <c r="B730" s="1" t="n">
        <v>45495</v>
      </c>
      <c r="C730" s="1" t="n">
        <v>45809</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30680-2024</t>
        </is>
      </c>
      <c r="B731" s="1" t="n">
        <v>45495</v>
      </c>
      <c r="C731" s="1" t="n">
        <v>45809</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30907-2024</t>
        </is>
      </c>
      <c r="B732" s="1" t="n">
        <v>45498</v>
      </c>
      <c r="C732" s="1" t="n">
        <v>45809</v>
      </c>
      <c r="D732" t="inlineStr">
        <is>
          <t>VÄSTERNORRLANDS LÄN</t>
        </is>
      </c>
      <c r="E732" t="inlineStr">
        <is>
          <t>TIMRÅ</t>
        </is>
      </c>
      <c r="G732" t="n">
        <v>6.6</v>
      </c>
      <c r="H732" t="n">
        <v>0</v>
      </c>
      <c r="I732" t="n">
        <v>0</v>
      </c>
      <c r="J732" t="n">
        <v>0</v>
      </c>
      <c r="K732" t="n">
        <v>0</v>
      </c>
      <c r="L732" t="n">
        <v>0</v>
      </c>
      <c r="M732" t="n">
        <v>0</v>
      </c>
      <c r="N732" t="n">
        <v>0</v>
      </c>
      <c r="O732" t="n">
        <v>0</v>
      </c>
      <c r="P732" t="n">
        <v>0</v>
      </c>
      <c r="Q732" t="n">
        <v>0</v>
      </c>
      <c r="R732" s="2" t="inlineStr"/>
    </row>
    <row r="733" ht="15" customHeight="1">
      <c r="A733" t="inlineStr">
        <is>
          <t>A 31711-2024</t>
        </is>
      </c>
      <c r="B733" s="1" t="n">
        <v>45508</v>
      </c>
      <c r="C733" s="1" t="n">
        <v>45809</v>
      </c>
      <c r="D733" t="inlineStr">
        <is>
          <t>VÄSTERNORRLANDS LÄN</t>
        </is>
      </c>
      <c r="E733" t="inlineStr">
        <is>
          <t>TIMRÅ</t>
        </is>
      </c>
      <c r="F733" t="inlineStr">
        <is>
          <t>Kommuner</t>
        </is>
      </c>
      <c r="G733" t="n">
        <v>1.5</v>
      </c>
      <c r="H733" t="n">
        <v>0</v>
      </c>
      <c r="I733" t="n">
        <v>0</v>
      </c>
      <c r="J733" t="n">
        <v>0</v>
      </c>
      <c r="K733" t="n">
        <v>0</v>
      </c>
      <c r="L733" t="n">
        <v>0</v>
      </c>
      <c r="M733" t="n">
        <v>0</v>
      </c>
      <c r="N733" t="n">
        <v>0</v>
      </c>
      <c r="O733" t="n">
        <v>0</v>
      </c>
      <c r="P733" t="n">
        <v>0</v>
      </c>
      <c r="Q733" t="n">
        <v>0</v>
      </c>
      <c r="R733" s="2" t="inlineStr"/>
    </row>
    <row r="734" ht="15" customHeight="1">
      <c r="A734" t="inlineStr">
        <is>
          <t>A 32048-2024</t>
        </is>
      </c>
      <c r="B734" s="1" t="n">
        <v>45510</v>
      </c>
      <c r="C734" s="1" t="n">
        <v>45809</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32112-2024</t>
        </is>
      </c>
      <c r="B735" s="1" t="n">
        <v>45511</v>
      </c>
      <c r="C735" s="1" t="n">
        <v>45809</v>
      </c>
      <c r="D735" t="inlineStr">
        <is>
          <t>VÄSTERNORRLANDS LÄN</t>
        </is>
      </c>
      <c r="E735" t="inlineStr">
        <is>
          <t>TIMRÅ</t>
        </is>
      </c>
      <c r="G735" t="n">
        <v>2.7</v>
      </c>
      <c r="H735" t="n">
        <v>0</v>
      </c>
      <c r="I735" t="n">
        <v>0</v>
      </c>
      <c r="J735" t="n">
        <v>0</v>
      </c>
      <c r="K735" t="n">
        <v>0</v>
      </c>
      <c r="L735" t="n">
        <v>0</v>
      </c>
      <c r="M735" t="n">
        <v>0</v>
      </c>
      <c r="N735" t="n">
        <v>0</v>
      </c>
      <c r="O735" t="n">
        <v>0</v>
      </c>
      <c r="P735" t="n">
        <v>0</v>
      </c>
      <c r="Q735" t="n">
        <v>0</v>
      </c>
      <c r="R735" s="2" t="inlineStr"/>
    </row>
    <row r="736" ht="15" customHeight="1">
      <c r="A736" t="inlineStr">
        <is>
          <t>A 32105-2024</t>
        </is>
      </c>
      <c r="B736" s="1" t="n">
        <v>45511</v>
      </c>
      <c r="C736" s="1" t="n">
        <v>45809</v>
      </c>
      <c r="D736" t="inlineStr">
        <is>
          <t>VÄSTERNORRLANDS LÄN</t>
        </is>
      </c>
      <c r="E736" t="inlineStr">
        <is>
          <t>TIMRÅ</t>
        </is>
      </c>
      <c r="G736" t="n">
        <v>6.4</v>
      </c>
      <c r="H736" t="n">
        <v>0</v>
      </c>
      <c r="I736" t="n">
        <v>0</v>
      </c>
      <c r="J736" t="n">
        <v>0</v>
      </c>
      <c r="K736" t="n">
        <v>0</v>
      </c>
      <c r="L736" t="n">
        <v>0</v>
      </c>
      <c r="M736" t="n">
        <v>0</v>
      </c>
      <c r="N736" t="n">
        <v>0</v>
      </c>
      <c r="O736" t="n">
        <v>0</v>
      </c>
      <c r="P736" t="n">
        <v>0</v>
      </c>
      <c r="Q736" t="n">
        <v>0</v>
      </c>
      <c r="R736" s="2" t="inlineStr"/>
    </row>
    <row r="737" ht="15" customHeight="1">
      <c r="A737" t="inlineStr">
        <is>
          <t>A 32454-2024</t>
        </is>
      </c>
      <c r="B737" s="1" t="n">
        <v>45512</v>
      </c>
      <c r="C737" s="1" t="n">
        <v>45809</v>
      </c>
      <c r="D737" t="inlineStr">
        <is>
          <t>VÄSTERNORRLANDS LÄN</t>
        </is>
      </c>
      <c r="E737" t="inlineStr">
        <is>
          <t>TIMRÅ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32445-2024</t>
        </is>
      </c>
      <c r="B738" s="1" t="n">
        <v>45512</v>
      </c>
      <c r="C738" s="1" t="n">
        <v>45809</v>
      </c>
      <c r="D738" t="inlineStr">
        <is>
          <t>VÄSTERNORRLANDS LÄN</t>
        </is>
      </c>
      <c r="E738" t="inlineStr">
        <is>
          <t>TIMRÅ</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33287-2024</t>
        </is>
      </c>
      <c r="B739" s="1" t="n">
        <v>45518</v>
      </c>
      <c r="C739" s="1" t="n">
        <v>45809</v>
      </c>
      <c r="D739" t="inlineStr">
        <is>
          <t>VÄSTERNORRLANDS LÄN</t>
        </is>
      </c>
      <c r="E739" t="inlineStr">
        <is>
          <t>TIMRÅ</t>
        </is>
      </c>
      <c r="G739" t="n">
        <v>1.4</v>
      </c>
      <c r="H739" t="n">
        <v>0</v>
      </c>
      <c r="I739" t="n">
        <v>0</v>
      </c>
      <c r="J739" t="n">
        <v>0</v>
      </c>
      <c r="K739" t="n">
        <v>0</v>
      </c>
      <c r="L739" t="n">
        <v>0</v>
      </c>
      <c r="M739" t="n">
        <v>0</v>
      </c>
      <c r="N739" t="n">
        <v>0</v>
      </c>
      <c r="O739" t="n">
        <v>0</v>
      </c>
      <c r="P739" t="n">
        <v>0</v>
      </c>
      <c r="Q739" t="n">
        <v>0</v>
      </c>
      <c r="R739" s="2" t="inlineStr"/>
    </row>
    <row r="740" ht="15" customHeight="1">
      <c r="A740" t="inlineStr">
        <is>
          <t>A 33567-2024</t>
        </is>
      </c>
      <c r="B740" s="1" t="n">
        <v>45520</v>
      </c>
      <c r="C740" s="1" t="n">
        <v>45809</v>
      </c>
      <c r="D740" t="inlineStr">
        <is>
          <t>VÄSTERNORRLANDS LÄN</t>
        </is>
      </c>
      <c r="E740" t="inlineStr">
        <is>
          <t>TIMRÅ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33749-2024</t>
        </is>
      </c>
      <c r="B741" s="1" t="n">
        <v>45520</v>
      </c>
      <c r="C741" s="1" t="n">
        <v>45809</v>
      </c>
      <c r="D741" t="inlineStr">
        <is>
          <t>VÄSTERNORRLANDS LÄN</t>
        </is>
      </c>
      <c r="E741" t="inlineStr">
        <is>
          <t>TIMRÅ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37676-2024</t>
        </is>
      </c>
      <c r="B742" s="1" t="n">
        <v>45541</v>
      </c>
      <c r="C742" s="1" t="n">
        <v>45809</v>
      </c>
      <c r="D742" t="inlineStr">
        <is>
          <t>VÄSTERNORRLANDS LÄN</t>
        </is>
      </c>
      <c r="E742" t="inlineStr">
        <is>
          <t>TIMRÅ</t>
        </is>
      </c>
      <c r="G742" t="n">
        <v>15</v>
      </c>
      <c r="H742" t="n">
        <v>0</v>
      </c>
      <c r="I742" t="n">
        <v>0</v>
      </c>
      <c r="J742" t="n">
        <v>0</v>
      </c>
      <c r="K742" t="n">
        <v>0</v>
      </c>
      <c r="L742" t="n">
        <v>0</v>
      </c>
      <c r="M742" t="n">
        <v>0</v>
      </c>
      <c r="N742" t="n">
        <v>0</v>
      </c>
      <c r="O742" t="n">
        <v>0</v>
      </c>
      <c r="P742" t="n">
        <v>0</v>
      </c>
      <c r="Q742" t="n">
        <v>0</v>
      </c>
      <c r="R742" s="2" t="inlineStr"/>
    </row>
    <row r="743" ht="15" customHeight="1">
      <c r="A743" t="inlineStr">
        <is>
          <t>A 37841-2024</t>
        </is>
      </c>
      <c r="B743" s="1" t="n">
        <v>45544</v>
      </c>
      <c r="C743" s="1" t="n">
        <v>45809</v>
      </c>
      <c r="D743" t="inlineStr">
        <is>
          <t>VÄSTERNORRLANDS LÄN</t>
        </is>
      </c>
      <c r="E743" t="inlineStr">
        <is>
          <t>TIMRÅ</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37861-2024</t>
        </is>
      </c>
      <c r="B744" s="1" t="n">
        <v>45544</v>
      </c>
      <c r="C744" s="1" t="n">
        <v>45809</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37862-2024</t>
        </is>
      </c>
      <c r="B745" s="1" t="n">
        <v>45544</v>
      </c>
      <c r="C745" s="1" t="n">
        <v>45809</v>
      </c>
      <c r="D745" t="inlineStr">
        <is>
          <t>VÄSTERNORRLANDS LÄN</t>
        </is>
      </c>
      <c r="E745" t="inlineStr">
        <is>
          <t>TIMRÅ</t>
        </is>
      </c>
      <c r="G745" t="n">
        <v>0.9</v>
      </c>
      <c r="H745" t="n">
        <v>0</v>
      </c>
      <c r="I745" t="n">
        <v>0</v>
      </c>
      <c r="J745" t="n">
        <v>0</v>
      </c>
      <c r="K745" t="n">
        <v>0</v>
      </c>
      <c r="L745" t="n">
        <v>0</v>
      </c>
      <c r="M745" t="n">
        <v>0</v>
      </c>
      <c r="N745" t="n">
        <v>0</v>
      </c>
      <c r="O745" t="n">
        <v>0</v>
      </c>
      <c r="P745" t="n">
        <v>0</v>
      </c>
      <c r="Q745" t="n">
        <v>0</v>
      </c>
      <c r="R745" s="2" t="inlineStr"/>
    </row>
    <row r="746" ht="15" customHeight="1">
      <c r="A746" t="inlineStr">
        <is>
          <t>A 38286-2024</t>
        </is>
      </c>
      <c r="B746" s="1" t="n">
        <v>45545</v>
      </c>
      <c r="C746" s="1" t="n">
        <v>45809</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38288-2024</t>
        </is>
      </c>
      <c r="B747" s="1" t="n">
        <v>45545</v>
      </c>
      <c r="C747" s="1" t="n">
        <v>45809</v>
      </c>
      <c r="D747" t="inlineStr">
        <is>
          <t>VÄSTERNORRLANDS LÄN</t>
        </is>
      </c>
      <c r="E747" t="inlineStr">
        <is>
          <t>TIMRÅ</t>
        </is>
      </c>
      <c r="G747" t="n">
        <v>1.6</v>
      </c>
      <c r="H747" t="n">
        <v>0</v>
      </c>
      <c r="I747" t="n">
        <v>0</v>
      </c>
      <c r="J747" t="n">
        <v>0</v>
      </c>
      <c r="K747" t="n">
        <v>0</v>
      </c>
      <c r="L747" t="n">
        <v>0</v>
      </c>
      <c r="M747" t="n">
        <v>0</v>
      </c>
      <c r="N747" t="n">
        <v>0</v>
      </c>
      <c r="O747" t="n">
        <v>0</v>
      </c>
      <c r="P747" t="n">
        <v>0</v>
      </c>
      <c r="Q747" t="n">
        <v>0</v>
      </c>
      <c r="R747" s="2" t="inlineStr"/>
    </row>
    <row r="748" ht="15" customHeight="1">
      <c r="A748" t="inlineStr">
        <is>
          <t>A 38684-2024</t>
        </is>
      </c>
      <c r="B748" s="1" t="n">
        <v>45547</v>
      </c>
      <c r="C748" s="1" t="n">
        <v>45809</v>
      </c>
      <c r="D748" t="inlineStr">
        <is>
          <t>VÄSTERNORRLANDS LÄN</t>
        </is>
      </c>
      <c r="E748" t="inlineStr">
        <is>
          <t>TIMRÅ</t>
        </is>
      </c>
      <c r="G748" t="n">
        <v>1</v>
      </c>
      <c r="H748" t="n">
        <v>0</v>
      </c>
      <c r="I748" t="n">
        <v>0</v>
      </c>
      <c r="J748" t="n">
        <v>0</v>
      </c>
      <c r="K748" t="n">
        <v>0</v>
      </c>
      <c r="L748" t="n">
        <v>0</v>
      </c>
      <c r="M748" t="n">
        <v>0</v>
      </c>
      <c r="N748" t="n">
        <v>0</v>
      </c>
      <c r="O748" t="n">
        <v>0</v>
      </c>
      <c r="P748" t="n">
        <v>0</v>
      </c>
      <c r="Q748" t="n">
        <v>0</v>
      </c>
      <c r="R748" s="2" t="inlineStr"/>
    </row>
    <row r="749" ht="15" customHeight="1">
      <c r="A749" t="inlineStr">
        <is>
          <t>A 39094-2024</t>
        </is>
      </c>
      <c r="B749" s="1" t="n">
        <v>45548</v>
      </c>
      <c r="C749" s="1" t="n">
        <v>45809</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39110-2024</t>
        </is>
      </c>
      <c r="B750" s="1" t="n">
        <v>45548</v>
      </c>
      <c r="C750" s="1" t="n">
        <v>45809</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38992-2024</t>
        </is>
      </c>
      <c r="B751" s="1" t="n">
        <v>45548</v>
      </c>
      <c r="C751" s="1" t="n">
        <v>45809</v>
      </c>
      <c r="D751" t="inlineStr">
        <is>
          <t>VÄSTERNORRLANDS LÄN</t>
        </is>
      </c>
      <c r="E751" t="inlineStr">
        <is>
          <t>TIMRÅ</t>
        </is>
      </c>
      <c r="G751" t="n">
        <v>1.4</v>
      </c>
      <c r="H751" t="n">
        <v>0</v>
      </c>
      <c r="I751" t="n">
        <v>0</v>
      </c>
      <c r="J751" t="n">
        <v>0</v>
      </c>
      <c r="K751" t="n">
        <v>0</v>
      </c>
      <c r="L751" t="n">
        <v>0</v>
      </c>
      <c r="M751" t="n">
        <v>0</v>
      </c>
      <c r="N751" t="n">
        <v>0</v>
      </c>
      <c r="O751" t="n">
        <v>0</v>
      </c>
      <c r="P751" t="n">
        <v>0</v>
      </c>
      <c r="Q751" t="n">
        <v>0</v>
      </c>
      <c r="R751" s="2" t="inlineStr"/>
    </row>
    <row r="752" ht="15" customHeight="1">
      <c r="A752" t="inlineStr">
        <is>
          <t>A 38996-2024</t>
        </is>
      </c>
      <c r="B752" s="1" t="n">
        <v>45548</v>
      </c>
      <c r="C752" s="1" t="n">
        <v>45809</v>
      </c>
      <c r="D752" t="inlineStr">
        <is>
          <t>VÄSTERNORRLANDS LÄN</t>
        </is>
      </c>
      <c r="E752" t="inlineStr">
        <is>
          <t>TIMRÅ</t>
        </is>
      </c>
      <c r="G752" t="n">
        <v>8.5</v>
      </c>
      <c r="H752" t="n">
        <v>0</v>
      </c>
      <c r="I752" t="n">
        <v>0</v>
      </c>
      <c r="J752" t="n">
        <v>0</v>
      </c>
      <c r="K752" t="n">
        <v>0</v>
      </c>
      <c r="L752" t="n">
        <v>0</v>
      </c>
      <c r="M752" t="n">
        <v>0</v>
      </c>
      <c r="N752" t="n">
        <v>0</v>
      </c>
      <c r="O752" t="n">
        <v>0</v>
      </c>
      <c r="P752" t="n">
        <v>0</v>
      </c>
      <c r="Q752" t="n">
        <v>0</v>
      </c>
      <c r="R752" s="2" t="inlineStr"/>
    </row>
    <row r="753" ht="15" customHeight="1">
      <c r="A753" t="inlineStr">
        <is>
          <t>A 39127-2024</t>
        </is>
      </c>
      <c r="B753" s="1" t="n">
        <v>45548</v>
      </c>
      <c r="C753" s="1" t="n">
        <v>45809</v>
      </c>
      <c r="D753" t="inlineStr">
        <is>
          <t>VÄSTERNORRLANDS LÄN</t>
        </is>
      </c>
      <c r="E753" t="inlineStr">
        <is>
          <t>TIMRÅ</t>
        </is>
      </c>
      <c r="G753" t="n">
        <v>5.1</v>
      </c>
      <c r="H753" t="n">
        <v>0</v>
      </c>
      <c r="I753" t="n">
        <v>0</v>
      </c>
      <c r="J753" t="n">
        <v>0</v>
      </c>
      <c r="K753" t="n">
        <v>0</v>
      </c>
      <c r="L753" t="n">
        <v>0</v>
      </c>
      <c r="M753" t="n">
        <v>0</v>
      </c>
      <c r="N753" t="n">
        <v>0</v>
      </c>
      <c r="O753" t="n">
        <v>0</v>
      </c>
      <c r="P753" t="n">
        <v>0</v>
      </c>
      <c r="Q753" t="n">
        <v>0</v>
      </c>
      <c r="R753" s="2" t="inlineStr"/>
    </row>
    <row r="754" ht="15" customHeight="1">
      <c r="A754" t="inlineStr">
        <is>
          <t>A 40014-2024</t>
        </is>
      </c>
      <c r="B754" s="1" t="n">
        <v>45553</v>
      </c>
      <c r="C754" s="1" t="n">
        <v>45809</v>
      </c>
      <c r="D754" t="inlineStr">
        <is>
          <t>VÄSTERNORRLANDS LÄN</t>
        </is>
      </c>
      <c r="E754" t="inlineStr">
        <is>
          <t>TIMRÅ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40593-2024</t>
        </is>
      </c>
      <c r="B755" s="1" t="n">
        <v>45555</v>
      </c>
      <c r="C755" s="1" t="n">
        <v>45809</v>
      </c>
      <c r="D755" t="inlineStr">
        <is>
          <t>VÄSTERNORRLANDS LÄN</t>
        </is>
      </c>
      <c r="E755" t="inlineStr">
        <is>
          <t>TIMRÅ</t>
        </is>
      </c>
      <c r="G755" t="n">
        <v>3.6</v>
      </c>
      <c r="H755" t="n">
        <v>0</v>
      </c>
      <c r="I755" t="n">
        <v>0</v>
      </c>
      <c r="J755" t="n">
        <v>0</v>
      </c>
      <c r="K755" t="n">
        <v>0</v>
      </c>
      <c r="L755" t="n">
        <v>0</v>
      </c>
      <c r="M755" t="n">
        <v>0</v>
      </c>
      <c r="N755" t="n">
        <v>0</v>
      </c>
      <c r="O755" t="n">
        <v>0</v>
      </c>
      <c r="P755" t="n">
        <v>0</v>
      </c>
      <c r="Q755" t="n">
        <v>0</v>
      </c>
      <c r="R755" s="2" t="inlineStr"/>
    </row>
    <row r="756" ht="15" customHeight="1">
      <c r="A756" t="inlineStr">
        <is>
          <t>A 40664-2024</t>
        </is>
      </c>
      <c r="B756" s="1" t="n">
        <v>45558</v>
      </c>
      <c r="C756" s="1" t="n">
        <v>45809</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40762-2024</t>
        </is>
      </c>
      <c r="B757" s="1" t="n">
        <v>45558</v>
      </c>
      <c r="C757" s="1" t="n">
        <v>45809</v>
      </c>
      <c r="D757" t="inlineStr">
        <is>
          <t>VÄSTERNORRLANDS LÄN</t>
        </is>
      </c>
      <c r="E757" t="inlineStr">
        <is>
          <t>TIMRÅ</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41596-2024</t>
        </is>
      </c>
      <c r="B758" s="1" t="n">
        <v>45560</v>
      </c>
      <c r="C758" s="1" t="n">
        <v>45809</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42112-2024</t>
        </is>
      </c>
      <c r="B759" s="1" t="n">
        <v>45562</v>
      </c>
      <c r="C759" s="1" t="n">
        <v>45809</v>
      </c>
      <c r="D759" t="inlineStr">
        <is>
          <t>VÄSTERNORRLANDS LÄN</t>
        </is>
      </c>
      <c r="E759" t="inlineStr">
        <is>
          <t>TIMRÅ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42094-2024</t>
        </is>
      </c>
      <c r="B760" s="1" t="n">
        <v>45562</v>
      </c>
      <c r="C760" s="1" t="n">
        <v>45809</v>
      </c>
      <c r="D760" t="inlineStr">
        <is>
          <t>VÄSTERNORRLANDS LÄN</t>
        </is>
      </c>
      <c r="E760" t="inlineStr">
        <is>
          <t>TIMRÅ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42855-2024</t>
        </is>
      </c>
      <c r="B761" s="1" t="n">
        <v>45566</v>
      </c>
      <c r="C761" s="1" t="n">
        <v>45809</v>
      </c>
      <c r="D761" t="inlineStr">
        <is>
          <t>VÄSTERNORRLANDS LÄN</t>
        </is>
      </c>
      <c r="E761" t="inlineStr">
        <is>
          <t>TIMRÅ</t>
        </is>
      </c>
      <c r="G761" t="n">
        <v>2.5</v>
      </c>
      <c r="H761" t="n">
        <v>0</v>
      </c>
      <c r="I761" t="n">
        <v>0</v>
      </c>
      <c r="J761" t="n">
        <v>0</v>
      </c>
      <c r="K761" t="n">
        <v>0</v>
      </c>
      <c r="L761" t="n">
        <v>0</v>
      </c>
      <c r="M761" t="n">
        <v>0</v>
      </c>
      <c r="N761" t="n">
        <v>0</v>
      </c>
      <c r="O761" t="n">
        <v>0</v>
      </c>
      <c r="P761" t="n">
        <v>0</v>
      </c>
      <c r="Q761" t="n">
        <v>0</v>
      </c>
      <c r="R761" s="2" t="inlineStr"/>
    </row>
    <row r="762" ht="15" customHeight="1">
      <c r="A762" t="inlineStr">
        <is>
          <t>A 42860-2024</t>
        </is>
      </c>
      <c r="B762" s="1" t="n">
        <v>45566</v>
      </c>
      <c r="C762" s="1" t="n">
        <v>45809</v>
      </c>
      <c r="D762" t="inlineStr">
        <is>
          <t>VÄSTERNORRLANDS LÄN</t>
        </is>
      </c>
      <c r="E762" t="inlineStr">
        <is>
          <t>TIMRÅ</t>
        </is>
      </c>
      <c r="G762" t="n">
        <v>3.9</v>
      </c>
      <c r="H762" t="n">
        <v>0</v>
      </c>
      <c r="I762" t="n">
        <v>0</v>
      </c>
      <c r="J762" t="n">
        <v>0</v>
      </c>
      <c r="K762" t="n">
        <v>0</v>
      </c>
      <c r="L762" t="n">
        <v>0</v>
      </c>
      <c r="M762" t="n">
        <v>0</v>
      </c>
      <c r="N762" t="n">
        <v>0</v>
      </c>
      <c r="O762" t="n">
        <v>0</v>
      </c>
      <c r="P762" t="n">
        <v>0</v>
      </c>
      <c r="Q762" t="n">
        <v>0</v>
      </c>
      <c r="R762" s="2" t="inlineStr"/>
    </row>
    <row r="763" ht="15" customHeight="1">
      <c r="A763" t="inlineStr">
        <is>
          <t>A 43167-2024</t>
        </is>
      </c>
      <c r="B763" s="1" t="n">
        <v>45567</v>
      </c>
      <c r="C763" s="1" t="n">
        <v>45809</v>
      </c>
      <c r="D763" t="inlineStr">
        <is>
          <t>VÄSTERNORRLANDS LÄN</t>
        </is>
      </c>
      <c r="E763" t="inlineStr">
        <is>
          <t>TIMRÅ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43172-2024</t>
        </is>
      </c>
      <c r="B764" s="1" t="n">
        <v>45567</v>
      </c>
      <c r="C764" s="1" t="n">
        <v>45809</v>
      </c>
      <c r="D764" t="inlineStr">
        <is>
          <t>VÄSTERNORRLANDS LÄN</t>
        </is>
      </c>
      <c r="E764" t="inlineStr">
        <is>
          <t>TIMRÅ</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43006-2024</t>
        </is>
      </c>
      <c r="B765" s="1" t="n">
        <v>45567</v>
      </c>
      <c r="C765" s="1" t="n">
        <v>45809</v>
      </c>
      <c r="D765" t="inlineStr">
        <is>
          <t>VÄSTERNORRLANDS LÄN</t>
        </is>
      </c>
      <c r="E765" t="inlineStr">
        <is>
          <t>TIMRÅ</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43345-2024</t>
        </is>
      </c>
      <c r="B766" s="1" t="n">
        <v>45568</v>
      </c>
      <c r="C766" s="1" t="n">
        <v>45809</v>
      </c>
      <c r="D766" t="inlineStr">
        <is>
          <t>VÄSTERNORRLANDS LÄN</t>
        </is>
      </c>
      <c r="E766" t="inlineStr">
        <is>
          <t>TIMRÅ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43344-2024</t>
        </is>
      </c>
      <c r="B767" s="1" t="n">
        <v>45568</v>
      </c>
      <c r="C767" s="1" t="n">
        <v>45809</v>
      </c>
      <c r="D767" t="inlineStr">
        <is>
          <t>VÄSTERNORRLANDS LÄN</t>
        </is>
      </c>
      <c r="E767" t="inlineStr">
        <is>
          <t>TIMRÅ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43526-2024</t>
        </is>
      </c>
      <c r="B768" s="1" t="n">
        <v>45569</v>
      </c>
      <c r="C768" s="1" t="n">
        <v>45809</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43527-2024</t>
        </is>
      </c>
      <c r="B769" s="1" t="n">
        <v>45569</v>
      </c>
      <c r="C769" s="1" t="n">
        <v>45809</v>
      </c>
      <c r="D769" t="inlineStr">
        <is>
          <t>VÄSTERNORRLANDS LÄN</t>
        </is>
      </c>
      <c r="E769" t="inlineStr">
        <is>
          <t>TIMRÅ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43868-2024</t>
        </is>
      </c>
      <c r="B770" s="1" t="n">
        <v>45569</v>
      </c>
      <c r="C770" s="1" t="n">
        <v>45809</v>
      </c>
      <c r="D770" t="inlineStr">
        <is>
          <t>VÄSTERNORRLANDS LÄN</t>
        </is>
      </c>
      <c r="E770" t="inlineStr">
        <is>
          <t>TIMRÅ</t>
        </is>
      </c>
      <c r="G770" t="n">
        <v>1.8</v>
      </c>
      <c r="H770" t="n">
        <v>0</v>
      </c>
      <c r="I770" t="n">
        <v>0</v>
      </c>
      <c r="J770" t="n">
        <v>0</v>
      </c>
      <c r="K770" t="n">
        <v>0</v>
      </c>
      <c r="L770" t="n">
        <v>0</v>
      </c>
      <c r="M770" t="n">
        <v>0</v>
      </c>
      <c r="N770" t="n">
        <v>0</v>
      </c>
      <c r="O770" t="n">
        <v>0</v>
      </c>
      <c r="P770" t="n">
        <v>0</v>
      </c>
      <c r="Q770" t="n">
        <v>0</v>
      </c>
      <c r="R770" s="2" t="inlineStr"/>
    </row>
    <row r="771" ht="15" customHeight="1">
      <c r="A771" t="inlineStr">
        <is>
          <t>A 43568-2024</t>
        </is>
      </c>
      <c r="B771" s="1" t="n">
        <v>45569</v>
      </c>
      <c r="C771" s="1" t="n">
        <v>45809</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44011-2024</t>
        </is>
      </c>
      <c r="B772" s="1" t="n">
        <v>45572</v>
      </c>
      <c r="C772" s="1" t="n">
        <v>45809</v>
      </c>
      <c r="D772" t="inlineStr">
        <is>
          <t>VÄSTERNORRLANDS LÄN</t>
        </is>
      </c>
      <c r="E772" t="inlineStr">
        <is>
          <t>TIMRÅ</t>
        </is>
      </c>
      <c r="G772" t="n">
        <v>7.6</v>
      </c>
      <c r="H772" t="n">
        <v>0</v>
      </c>
      <c r="I772" t="n">
        <v>0</v>
      </c>
      <c r="J772" t="n">
        <v>0</v>
      </c>
      <c r="K772" t="n">
        <v>0</v>
      </c>
      <c r="L772" t="n">
        <v>0</v>
      </c>
      <c r="M772" t="n">
        <v>0</v>
      </c>
      <c r="N772" t="n">
        <v>0</v>
      </c>
      <c r="O772" t="n">
        <v>0</v>
      </c>
      <c r="P772" t="n">
        <v>0</v>
      </c>
      <c r="Q772" t="n">
        <v>0</v>
      </c>
      <c r="R772" s="2" t="inlineStr"/>
    </row>
    <row r="773" ht="15" customHeight="1">
      <c r="A773" t="inlineStr">
        <is>
          <t>A 44030-2024</t>
        </is>
      </c>
      <c r="B773" s="1" t="n">
        <v>45572</v>
      </c>
      <c r="C773" s="1" t="n">
        <v>45809</v>
      </c>
      <c r="D773" t="inlineStr">
        <is>
          <t>VÄSTERNORRLANDS LÄN</t>
        </is>
      </c>
      <c r="E773" t="inlineStr">
        <is>
          <t>TIMRÅ</t>
        </is>
      </c>
      <c r="G773" t="n">
        <v>2.1</v>
      </c>
      <c r="H773" t="n">
        <v>0</v>
      </c>
      <c r="I773" t="n">
        <v>0</v>
      </c>
      <c r="J773" t="n">
        <v>0</v>
      </c>
      <c r="K773" t="n">
        <v>0</v>
      </c>
      <c r="L773" t="n">
        <v>0</v>
      </c>
      <c r="M773" t="n">
        <v>0</v>
      </c>
      <c r="N773" t="n">
        <v>0</v>
      </c>
      <c r="O773" t="n">
        <v>0</v>
      </c>
      <c r="P773" t="n">
        <v>0</v>
      </c>
      <c r="Q773" t="n">
        <v>0</v>
      </c>
      <c r="R773" s="2" t="inlineStr"/>
    </row>
    <row r="774" ht="15" customHeight="1">
      <c r="A774" t="inlineStr">
        <is>
          <t>A 44664-2024</t>
        </is>
      </c>
      <c r="B774" s="1" t="n">
        <v>45574</v>
      </c>
      <c r="C774" s="1" t="n">
        <v>45809</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45608-2024</t>
        </is>
      </c>
      <c r="B775" s="1" t="n">
        <v>45579</v>
      </c>
      <c r="C775" s="1" t="n">
        <v>45809</v>
      </c>
      <c r="D775" t="inlineStr">
        <is>
          <t>VÄSTERNORRLANDS LÄN</t>
        </is>
      </c>
      <c r="E775" t="inlineStr">
        <is>
          <t>TIMRÅ</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45685-2024</t>
        </is>
      </c>
      <c r="B776" s="1" t="n">
        <v>45579</v>
      </c>
      <c r="C776" s="1" t="n">
        <v>45809</v>
      </c>
      <c r="D776" t="inlineStr">
        <is>
          <t>VÄSTERNORRLANDS LÄN</t>
        </is>
      </c>
      <c r="E776" t="inlineStr">
        <is>
          <t>TIMRÅ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45673-2024</t>
        </is>
      </c>
      <c r="B777" s="1" t="n">
        <v>45579</v>
      </c>
      <c r="C777" s="1" t="n">
        <v>45809</v>
      </c>
      <c r="D777" t="inlineStr">
        <is>
          <t>VÄSTERNORRLANDS LÄN</t>
        </is>
      </c>
      <c r="E777" t="inlineStr">
        <is>
          <t>TIMRÅ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45627-2024</t>
        </is>
      </c>
      <c r="B778" s="1" t="n">
        <v>45579</v>
      </c>
      <c r="C778" s="1" t="n">
        <v>45809</v>
      </c>
      <c r="D778" t="inlineStr">
        <is>
          <t>VÄSTERNORRLANDS LÄN</t>
        </is>
      </c>
      <c r="E778" t="inlineStr">
        <is>
          <t>TIMRÅ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45586-2024</t>
        </is>
      </c>
      <c r="B779" s="1" t="n">
        <v>45579</v>
      </c>
      <c r="C779" s="1" t="n">
        <v>45809</v>
      </c>
      <c r="D779" t="inlineStr">
        <is>
          <t>VÄSTERNORRLANDS LÄN</t>
        </is>
      </c>
      <c r="E779" t="inlineStr">
        <is>
          <t>TIMRÅ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45629-2024</t>
        </is>
      </c>
      <c r="B780" s="1" t="n">
        <v>45579</v>
      </c>
      <c r="C780" s="1" t="n">
        <v>45809</v>
      </c>
      <c r="D780" t="inlineStr">
        <is>
          <t>VÄSTERNORRLANDS LÄN</t>
        </is>
      </c>
      <c r="E780" t="inlineStr">
        <is>
          <t>TIMRÅ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45720-2024</t>
        </is>
      </c>
      <c r="B781" s="1" t="n">
        <v>45579</v>
      </c>
      <c r="C781" s="1" t="n">
        <v>45809</v>
      </c>
      <c r="D781" t="inlineStr">
        <is>
          <t>VÄSTERNORRLANDS LÄN</t>
        </is>
      </c>
      <c r="E781" t="inlineStr">
        <is>
          <t>TIMRÅ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45630-2024</t>
        </is>
      </c>
      <c r="B782" s="1" t="n">
        <v>45579</v>
      </c>
      <c r="C782" s="1" t="n">
        <v>45809</v>
      </c>
      <c r="D782" t="inlineStr">
        <is>
          <t>VÄSTERNORRLANDS LÄN</t>
        </is>
      </c>
      <c r="E782" t="inlineStr">
        <is>
          <t>TIMRÅ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45886-2024</t>
        </is>
      </c>
      <c r="B783" s="1" t="n">
        <v>45580</v>
      </c>
      <c r="C783" s="1" t="n">
        <v>45809</v>
      </c>
      <c r="D783" t="inlineStr">
        <is>
          <t>VÄSTERNORRLANDS LÄN</t>
        </is>
      </c>
      <c r="E783" t="inlineStr">
        <is>
          <t>TIMRÅ</t>
        </is>
      </c>
      <c r="G783" t="n">
        <v>1.1</v>
      </c>
      <c r="H783" t="n">
        <v>0</v>
      </c>
      <c r="I783" t="n">
        <v>0</v>
      </c>
      <c r="J783" t="n">
        <v>0</v>
      </c>
      <c r="K783" t="n">
        <v>0</v>
      </c>
      <c r="L783" t="n">
        <v>0</v>
      </c>
      <c r="M783" t="n">
        <v>0</v>
      </c>
      <c r="N783" t="n">
        <v>0</v>
      </c>
      <c r="O783" t="n">
        <v>0</v>
      </c>
      <c r="P783" t="n">
        <v>0</v>
      </c>
      <c r="Q783" t="n">
        <v>0</v>
      </c>
      <c r="R783" s="2" t="inlineStr"/>
    </row>
    <row r="784" ht="15" customHeight="1">
      <c r="A784" t="inlineStr">
        <is>
          <t>A 45942-2024</t>
        </is>
      </c>
      <c r="B784" s="1" t="n">
        <v>45580</v>
      </c>
      <c r="C784" s="1" t="n">
        <v>45809</v>
      </c>
      <c r="D784" t="inlineStr">
        <is>
          <t>VÄSTERNORRLANDS LÄN</t>
        </is>
      </c>
      <c r="E784" t="inlineStr">
        <is>
          <t>TIMRÅ</t>
        </is>
      </c>
      <c r="G784" t="n">
        <v>2.1</v>
      </c>
      <c r="H784" t="n">
        <v>0</v>
      </c>
      <c r="I784" t="n">
        <v>0</v>
      </c>
      <c r="J784" t="n">
        <v>0</v>
      </c>
      <c r="K784" t="n">
        <v>0</v>
      </c>
      <c r="L784" t="n">
        <v>0</v>
      </c>
      <c r="M784" t="n">
        <v>0</v>
      </c>
      <c r="N784" t="n">
        <v>0</v>
      </c>
      <c r="O784" t="n">
        <v>0</v>
      </c>
      <c r="P784" t="n">
        <v>0</v>
      </c>
      <c r="Q784" t="n">
        <v>0</v>
      </c>
      <c r="R784" s="2" t="inlineStr"/>
    </row>
    <row r="785" ht="15" customHeight="1">
      <c r="A785" t="inlineStr">
        <is>
          <t>A 46131-2024</t>
        </is>
      </c>
      <c r="B785" s="1" t="n">
        <v>45581</v>
      </c>
      <c r="C785" s="1" t="n">
        <v>45809</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47089-2024</t>
        </is>
      </c>
      <c r="B786" s="1" t="n">
        <v>45586</v>
      </c>
      <c r="C786" s="1" t="n">
        <v>45809</v>
      </c>
      <c r="D786" t="inlineStr">
        <is>
          <t>VÄSTERNORRLANDS LÄN</t>
        </is>
      </c>
      <c r="E786" t="inlineStr">
        <is>
          <t>TIMRÅ</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47341-2024</t>
        </is>
      </c>
      <c r="B787" s="1" t="n">
        <v>45587</v>
      </c>
      <c r="C787" s="1" t="n">
        <v>45809</v>
      </c>
      <c r="D787" t="inlineStr">
        <is>
          <t>VÄSTERNORRLANDS LÄN</t>
        </is>
      </c>
      <c r="E787" t="inlineStr">
        <is>
          <t>TIMRÅ</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47848-2024</t>
        </is>
      </c>
      <c r="B788" s="1" t="n">
        <v>45588</v>
      </c>
      <c r="C788" s="1" t="n">
        <v>45809</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48031-2024</t>
        </is>
      </c>
      <c r="B789" s="1" t="n">
        <v>45589</v>
      </c>
      <c r="C789" s="1" t="n">
        <v>45809</v>
      </c>
      <c r="D789" t="inlineStr">
        <is>
          <t>VÄSTERNORRLANDS LÄN</t>
        </is>
      </c>
      <c r="E789" t="inlineStr">
        <is>
          <t>TIMRÅ</t>
        </is>
      </c>
      <c r="G789" t="n">
        <v>8.9</v>
      </c>
      <c r="H789" t="n">
        <v>0</v>
      </c>
      <c r="I789" t="n">
        <v>0</v>
      </c>
      <c r="J789" t="n">
        <v>0</v>
      </c>
      <c r="K789" t="n">
        <v>0</v>
      </c>
      <c r="L789" t="n">
        <v>0</v>
      </c>
      <c r="M789" t="n">
        <v>0</v>
      </c>
      <c r="N789" t="n">
        <v>0</v>
      </c>
      <c r="O789" t="n">
        <v>0</v>
      </c>
      <c r="P789" t="n">
        <v>0</v>
      </c>
      <c r="Q789" t="n">
        <v>0</v>
      </c>
      <c r="R789" s="2" t="inlineStr"/>
    </row>
    <row r="790" ht="15" customHeight="1">
      <c r="A790" t="inlineStr">
        <is>
          <t>A 48005-2024</t>
        </is>
      </c>
      <c r="B790" s="1" t="n">
        <v>45589</v>
      </c>
      <c r="C790" s="1" t="n">
        <v>45809</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47952-2024</t>
        </is>
      </c>
      <c r="B791" s="1" t="n">
        <v>45589</v>
      </c>
      <c r="C791" s="1" t="n">
        <v>45809</v>
      </c>
      <c r="D791" t="inlineStr">
        <is>
          <t>VÄSTERNORRLANDS LÄN</t>
        </is>
      </c>
      <c r="E791" t="inlineStr">
        <is>
          <t>TIMRÅ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48397-2024</t>
        </is>
      </c>
      <c r="B792" s="1" t="n">
        <v>45590</v>
      </c>
      <c r="C792" s="1" t="n">
        <v>45809</v>
      </c>
      <c r="D792" t="inlineStr">
        <is>
          <t>VÄSTERNORRLANDS LÄN</t>
        </is>
      </c>
      <c r="E792" t="inlineStr">
        <is>
          <t>TIMRÅ</t>
        </is>
      </c>
      <c r="G792" t="n">
        <v>4.2</v>
      </c>
      <c r="H792" t="n">
        <v>0</v>
      </c>
      <c r="I792" t="n">
        <v>0</v>
      </c>
      <c r="J792" t="n">
        <v>0</v>
      </c>
      <c r="K792" t="n">
        <v>0</v>
      </c>
      <c r="L792" t="n">
        <v>0</v>
      </c>
      <c r="M792" t="n">
        <v>0</v>
      </c>
      <c r="N792" t="n">
        <v>0</v>
      </c>
      <c r="O792" t="n">
        <v>0</v>
      </c>
      <c r="P792" t="n">
        <v>0</v>
      </c>
      <c r="Q792" t="n">
        <v>0</v>
      </c>
      <c r="R792" s="2" t="inlineStr"/>
    </row>
    <row r="793" ht="15" customHeight="1">
      <c r="A793" t="inlineStr">
        <is>
          <t>A 48704-2024</t>
        </is>
      </c>
      <c r="B793" s="1" t="n">
        <v>45593</v>
      </c>
      <c r="C793" s="1" t="n">
        <v>45809</v>
      </c>
      <c r="D793" t="inlineStr">
        <is>
          <t>VÄSTERNORRLANDS LÄN</t>
        </is>
      </c>
      <c r="E793" t="inlineStr">
        <is>
          <t>TIMRÅ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48669-2024</t>
        </is>
      </c>
      <c r="B794" s="1" t="n">
        <v>45593</v>
      </c>
      <c r="C794" s="1" t="n">
        <v>45809</v>
      </c>
      <c r="D794" t="inlineStr">
        <is>
          <t>VÄSTERNORRLANDS LÄN</t>
        </is>
      </c>
      <c r="E794" t="inlineStr">
        <is>
          <t>TIMRÅ</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48694-2024</t>
        </is>
      </c>
      <c r="B795" s="1" t="n">
        <v>45593</v>
      </c>
      <c r="C795" s="1" t="n">
        <v>45809</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48563-2024</t>
        </is>
      </c>
      <c r="B796" s="1" t="n">
        <v>45593</v>
      </c>
      <c r="C796" s="1" t="n">
        <v>45809</v>
      </c>
      <c r="D796" t="inlineStr">
        <is>
          <t>VÄSTERNORRLANDS LÄN</t>
        </is>
      </c>
      <c r="E796" t="inlineStr">
        <is>
          <t>TIMRÅ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49072-2024</t>
        </is>
      </c>
      <c r="B797" s="1" t="n">
        <v>45594</v>
      </c>
      <c r="C797" s="1" t="n">
        <v>45809</v>
      </c>
      <c r="D797" t="inlineStr">
        <is>
          <t>VÄSTERNORRLANDS LÄN</t>
        </is>
      </c>
      <c r="E797" t="inlineStr">
        <is>
          <t>TIMRÅ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49061-2024</t>
        </is>
      </c>
      <c r="B798" s="1" t="n">
        <v>45594</v>
      </c>
      <c r="C798" s="1" t="n">
        <v>45809</v>
      </c>
      <c r="D798" t="inlineStr">
        <is>
          <t>VÄSTERNORRLANDS LÄN</t>
        </is>
      </c>
      <c r="E798" t="inlineStr">
        <is>
          <t>TIMRÅ</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49310-2024</t>
        </is>
      </c>
      <c r="B799" s="1" t="n">
        <v>45595</v>
      </c>
      <c r="C799" s="1" t="n">
        <v>45809</v>
      </c>
      <c r="D799" t="inlineStr">
        <is>
          <t>VÄSTERNORRLANDS LÄN</t>
        </is>
      </c>
      <c r="E799" t="inlineStr">
        <is>
          <t>TIMRÅ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49495-2024</t>
        </is>
      </c>
      <c r="B800" s="1" t="n">
        <v>45596</v>
      </c>
      <c r="C800" s="1" t="n">
        <v>45809</v>
      </c>
      <c r="D800" t="inlineStr">
        <is>
          <t>VÄSTERNORRLANDS LÄN</t>
        </is>
      </c>
      <c r="E800" t="inlineStr">
        <is>
          <t>TIMRÅ</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50699-2024</t>
        </is>
      </c>
      <c r="B801" s="1" t="n">
        <v>45602</v>
      </c>
      <c r="C801" s="1" t="n">
        <v>45809</v>
      </c>
      <c r="D801" t="inlineStr">
        <is>
          <t>VÄSTERNORRLANDS LÄN</t>
        </is>
      </c>
      <c r="E801" t="inlineStr">
        <is>
          <t>TIMRÅ</t>
        </is>
      </c>
      <c r="G801" t="n">
        <v>1.4</v>
      </c>
      <c r="H801" t="n">
        <v>0</v>
      </c>
      <c r="I801" t="n">
        <v>0</v>
      </c>
      <c r="J801" t="n">
        <v>0</v>
      </c>
      <c r="K801" t="n">
        <v>0</v>
      </c>
      <c r="L801" t="n">
        <v>0</v>
      </c>
      <c r="M801" t="n">
        <v>0</v>
      </c>
      <c r="N801" t="n">
        <v>0</v>
      </c>
      <c r="O801" t="n">
        <v>0</v>
      </c>
      <c r="P801" t="n">
        <v>0</v>
      </c>
      <c r="Q801" t="n">
        <v>0</v>
      </c>
      <c r="R801" s="2" t="inlineStr"/>
    </row>
    <row r="802" ht="15" customHeight="1">
      <c r="A802" t="inlineStr">
        <is>
          <t>A 51196-2024</t>
        </is>
      </c>
      <c r="B802" s="1" t="n">
        <v>45603</v>
      </c>
      <c r="C802" s="1" t="n">
        <v>45809</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51490-2024</t>
        </is>
      </c>
      <c r="B803" s="1" t="n">
        <v>45604</v>
      </c>
      <c r="C803" s="1" t="n">
        <v>45809</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52346-2024</t>
        </is>
      </c>
      <c r="B804" s="1" t="n">
        <v>45609</v>
      </c>
      <c r="C804" s="1" t="n">
        <v>45809</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c r="U804">
        <f>HYPERLINK("https://klasma.github.io/Logging_2262/knärot/A 52346-2024 karta knärot.png", "A 52346-2024")</f>
        <v/>
      </c>
      <c r="V804">
        <f>HYPERLINK("https://klasma.github.io/Logging_2262/klagomål/A 52346-2024 FSC-klagomål.docx", "A 52346-2024")</f>
        <v/>
      </c>
      <c r="W804">
        <f>HYPERLINK("https://klasma.github.io/Logging_2262/klagomålsmail/A 52346-2024 FSC-klagomål mail.docx", "A 52346-2024")</f>
        <v/>
      </c>
      <c r="X804">
        <f>HYPERLINK("https://klasma.github.io/Logging_2262/tillsyn/A 52346-2024 tillsynsbegäran.docx", "A 52346-2024")</f>
        <v/>
      </c>
      <c r="Y804">
        <f>HYPERLINK("https://klasma.github.io/Logging_2262/tillsynsmail/A 52346-2024 tillsynsbegäran mail.docx", "A 52346-2024")</f>
        <v/>
      </c>
    </row>
    <row r="805" ht="15" customHeight="1">
      <c r="A805" t="inlineStr">
        <is>
          <t>A 52474-2024</t>
        </is>
      </c>
      <c r="B805" s="1" t="n">
        <v>45609</v>
      </c>
      <c r="C805" s="1" t="n">
        <v>45809</v>
      </c>
      <c r="D805" t="inlineStr">
        <is>
          <t>VÄSTERNORRLANDS LÄN</t>
        </is>
      </c>
      <c r="E805" t="inlineStr">
        <is>
          <t>TIMRÅ</t>
        </is>
      </c>
      <c r="G805" t="n">
        <v>0.7</v>
      </c>
      <c r="H805" t="n">
        <v>0</v>
      </c>
      <c r="I805" t="n">
        <v>0</v>
      </c>
      <c r="J805" t="n">
        <v>0</v>
      </c>
      <c r="K805" t="n">
        <v>0</v>
      </c>
      <c r="L805" t="n">
        <v>0</v>
      </c>
      <c r="M805" t="n">
        <v>0</v>
      </c>
      <c r="N805" t="n">
        <v>0</v>
      </c>
      <c r="O805" t="n">
        <v>0</v>
      </c>
      <c r="P805" t="n">
        <v>0</v>
      </c>
      <c r="Q805" t="n">
        <v>0</v>
      </c>
      <c r="R805" s="2" t="inlineStr"/>
    </row>
    <row r="806" ht="15" customHeight="1">
      <c r="A806" t="inlineStr">
        <is>
          <t>A 52761-2024</t>
        </is>
      </c>
      <c r="B806" s="1" t="n">
        <v>45610</v>
      </c>
      <c r="C806" s="1" t="n">
        <v>45809</v>
      </c>
      <c r="D806" t="inlineStr">
        <is>
          <t>VÄSTERNORRLANDS LÄN</t>
        </is>
      </c>
      <c r="E806" t="inlineStr">
        <is>
          <t>TIMRÅ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52909-2024</t>
        </is>
      </c>
      <c r="B807" s="1" t="n">
        <v>45610</v>
      </c>
      <c r="C807" s="1" t="n">
        <v>45809</v>
      </c>
      <c r="D807" t="inlineStr">
        <is>
          <t>VÄSTERNORRLANDS LÄN</t>
        </is>
      </c>
      <c r="E807" t="inlineStr">
        <is>
          <t>TIMRÅ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53303-2024</t>
        </is>
      </c>
      <c r="B808" s="1" t="n">
        <v>45614</v>
      </c>
      <c r="C808" s="1" t="n">
        <v>45809</v>
      </c>
      <c r="D808" t="inlineStr">
        <is>
          <t>VÄSTERNORRLANDS LÄN</t>
        </is>
      </c>
      <c r="E808" t="inlineStr">
        <is>
          <t>TIMRÅ</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53299-2024</t>
        </is>
      </c>
      <c r="B809" s="1" t="n">
        <v>45614</v>
      </c>
      <c r="C809" s="1" t="n">
        <v>45809</v>
      </c>
      <c r="D809" t="inlineStr">
        <is>
          <t>VÄSTERNORRLANDS LÄN</t>
        </is>
      </c>
      <c r="E809" t="inlineStr">
        <is>
          <t>TIMRÅ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53292-2024</t>
        </is>
      </c>
      <c r="B810" s="1" t="n">
        <v>45614</v>
      </c>
      <c r="C810" s="1" t="n">
        <v>45809</v>
      </c>
      <c r="D810" t="inlineStr">
        <is>
          <t>VÄSTERNORRLANDS LÄN</t>
        </is>
      </c>
      <c r="E810" t="inlineStr">
        <is>
          <t>TIMRÅ</t>
        </is>
      </c>
      <c r="F810" t="inlineStr">
        <is>
          <t>SCA</t>
        </is>
      </c>
      <c r="G810" t="n">
        <v>6.9</v>
      </c>
      <c r="H810" t="n">
        <v>0</v>
      </c>
      <c r="I810" t="n">
        <v>0</v>
      </c>
      <c r="J810" t="n">
        <v>0</v>
      </c>
      <c r="K810" t="n">
        <v>0</v>
      </c>
      <c r="L810" t="n">
        <v>0</v>
      </c>
      <c r="M810" t="n">
        <v>0</v>
      </c>
      <c r="N810" t="n">
        <v>0</v>
      </c>
      <c r="O810" t="n">
        <v>0</v>
      </c>
      <c r="P810" t="n">
        <v>0</v>
      </c>
      <c r="Q810" t="n">
        <v>0</v>
      </c>
      <c r="R810" s="2" t="inlineStr"/>
    </row>
    <row r="811" ht="15" customHeight="1">
      <c r="A811" t="inlineStr">
        <is>
          <t>A 53302-2024</t>
        </is>
      </c>
      <c r="B811" s="1" t="n">
        <v>45614</v>
      </c>
      <c r="C811" s="1" t="n">
        <v>45809</v>
      </c>
      <c r="D811" t="inlineStr">
        <is>
          <t>VÄSTERNORRLANDS LÄN</t>
        </is>
      </c>
      <c r="E811" t="inlineStr">
        <is>
          <t>TIMRÅ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53298-2024</t>
        </is>
      </c>
      <c r="B812" s="1" t="n">
        <v>45614</v>
      </c>
      <c r="C812" s="1" t="n">
        <v>45809</v>
      </c>
      <c r="D812" t="inlineStr">
        <is>
          <t>VÄSTERNORRLANDS LÄN</t>
        </is>
      </c>
      <c r="E812" t="inlineStr">
        <is>
          <t>TIMRÅ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53294-2024</t>
        </is>
      </c>
      <c r="B813" s="1" t="n">
        <v>45614</v>
      </c>
      <c r="C813" s="1" t="n">
        <v>45809</v>
      </c>
      <c r="D813" t="inlineStr">
        <is>
          <t>VÄSTERNORRLANDS LÄN</t>
        </is>
      </c>
      <c r="E813" t="inlineStr">
        <is>
          <t>TIMRÅ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53289-2024</t>
        </is>
      </c>
      <c r="B814" s="1" t="n">
        <v>45614</v>
      </c>
      <c r="C814" s="1" t="n">
        <v>45809</v>
      </c>
      <c r="D814" t="inlineStr">
        <is>
          <t>VÄSTERNORRLANDS LÄN</t>
        </is>
      </c>
      <c r="E814" t="inlineStr">
        <is>
          <t>TIMRÅ</t>
        </is>
      </c>
      <c r="F814" t="inlineStr">
        <is>
          <t>SCA</t>
        </is>
      </c>
      <c r="G814" t="n">
        <v>7.8</v>
      </c>
      <c r="H814" t="n">
        <v>0</v>
      </c>
      <c r="I814" t="n">
        <v>0</v>
      </c>
      <c r="J814" t="n">
        <v>0</v>
      </c>
      <c r="K814" t="n">
        <v>0</v>
      </c>
      <c r="L814" t="n">
        <v>0</v>
      </c>
      <c r="M814" t="n">
        <v>0</v>
      </c>
      <c r="N814" t="n">
        <v>0</v>
      </c>
      <c r="O814" t="n">
        <v>0</v>
      </c>
      <c r="P814" t="n">
        <v>0</v>
      </c>
      <c r="Q814" t="n">
        <v>0</v>
      </c>
      <c r="R814" s="2" t="inlineStr"/>
    </row>
    <row r="815" ht="15" customHeight="1">
      <c r="A815" t="inlineStr">
        <is>
          <t>A 53301-2024</t>
        </is>
      </c>
      <c r="B815" s="1" t="n">
        <v>45614</v>
      </c>
      <c r="C815" s="1" t="n">
        <v>45809</v>
      </c>
      <c r="D815" t="inlineStr">
        <is>
          <t>VÄSTERNORRLANDS LÄN</t>
        </is>
      </c>
      <c r="E815" t="inlineStr">
        <is>
          <t>TIMRÅ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53293-2024</t>
        </is>
      </c>
      <c r="B816" s="1" t="n">
        <v>45614</v>
      </c>
      <c r="C816" s="1" t="n">
        <v>45809</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53288-2024</t>
        </is>
      </c>
      <c r="B817" s="1" t="n">
        <v>45614</v>
      </c>
      <c r="C817" s="1" t="n">
        <v>45809</v>
      </c>
      <c r="D817" t="inlineStr">
        <is>
          <t>VÄSTERNORRLANDS LÄN</t>
        </is>
      </c>
      <c r="E817" t="inlineStr">
        <is>
          <t>TIMRÅ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54236-2024</t>
        </is>
      </c>
      <c r="B818" s="1" t="n">
        <v>45616</v>
      </c>
      <c r="C818" s="1" t="n">
        <v>45809</v>
      </c>
      <c r="D818" t="inlineStr">
        <is>
          <t>VÄSTERNORRLANDS LÄN</t>
        </is>
      </c>
      <c r="E818" t="inlineStr">
        <is>
          <t>TIMRÅ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54547-2024</t>
        </is>
      </c>
      <c r="B819" s="1" t="n">
        <v>45617</v>
      </c>
      <c r="C819" s="1" t="n">
        <v>45809</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54322-2024</t>
        </is>
      </c>
      <c r="B820" s="1" t="n">
        <v>45617</v>
      </c>
      <c r="C820" s="1" t="n">
        <v>45809</v>
      </c>
      <c r="D820" t="inlineStr">
        <is>
          <t>VÄSTERNORRLANDS LÄN</t>
        </is>
      </c>
      <c r="E820" t="inlineStr">
        <is>
          <t>TIMRÅ</t>
        </is>
      </c>
      <c r="G820" t="n">
        <v>8</v>
      </c>
      <c r="H820" t="n">
        <v>0</v>
      </c>
      <c r="I820" t="n">
        <v>0</v>
      </c>
      <c r="J820" t="n">
        <v>0</v>
      </c>
      <c r="K820" t="n">
        <v>0</v>
      </c>
      <c r="L820" t="n">
        <v>0</v>
      </c>
      <c r="M820" t="n">
        <v>0</v>
      </c>
      <c r="N820" t="n">
        <v>0</v>
      </c>
      <c r="O820" t="n">
        <v>0</v>
      </c>
      <c r="P820" t="n">
        <v>0</v>
      </c>
      <c r="Q820" t="n">
        <v>0</v>
      </c>
      <c r="R820" s="2" t="inlineStr"/>
    </row>
    <row r="821" ht="15" customHeight="1">
      <c r="A821" t="inlineStr">
        <is>
          <t>A 54723-2024</t>
        </is>
      </c>
      <c r="B821" s="1" t="n">
        <v>45618</v>
      </c>
      <c r="C821" s="1" t="n">
        <v>45809</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54993-2024</t>
        </is>
      </c>
      <c r="B822" s="1" t="n">
        <v>45620</v>
      </c>
      <c r="C822" s="1" t="n">
        <v>45809</v>
      </c>
      <c r="D822" t="inlineStr">
        <is>
          <t>VÄSTERNORRLANDS LÄN</t>
        </is>
      </c>
      <c r="E822" t="inlineStr">
        <is>
          <t>TIMRÅ</t>
        </is>
      </c>
      <c r="G822" t="n">
        <v>1.9</v>
      </c>
      <c r="H822" t="n">
        <v>0</v>
      </c>
      <c r="I822" t="n">
        <v>0</v>
      </c>
      <c r="J822" t="n">
        <v>0</v>
      </c>
      <c r="K822" t="n">
        <v>0</v>
      </c>
      <c r="L822" t="n">
        <v>0</v>
      </c>
      <c r="M822" t="n">
        <v>0</v>
      </c>
      <c r="N822" t="n">
        <v>0</v>
      </c>
      <c r="O822" t="n">
        <v>0</v>
      </c>
      <c r="P822" t="n">
        <v>0</v>
      </c>
      <c r="Q822" t="n">
        <v>0</v>
      </c>
      <c r="R822" s="2" t="inlineStr"/>
    </row>
    <row r="823" ht="15" customHeight="1">
      <c r="A823" t="inlineStr">
        <is>
          <t>A 55080-2024</t>
        </is>
      </c>
      <c r="B823" s="1" t="n">
        <v>45621</v>
      </c>
      <c r="C823" s="1" t="n">
        <v>45809</v>
      </c>
      <c r="D823" t="inlineStr">
        <is>
          <t>VÄSTERNORRLANDS LÄN</t>
        </is>
      </c>
      <c r="E823" t="inlineStr">
        <is>
          <t>TIMRÅ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55576-2024</t>
        </is>
      </c>
      <c r="B824" s="1" t="n">
        <v>45622</v>
      </c>
      <c r="C824" s="1" t="n">
        <v>45809</v>
      </c>
      <c r="D824" t="inlineStr">
        <is>
          <t>VÄSTERNORRLANDS LÄN</t>
        </is>
      </c>
      <c r="E824" t="inlineStr">
        <is>
          <t>TIMRÅ</t>
        </is>
      </c>
      <c r="G824" t="n">
        <v>5.1</v>
      </c>
      <c r="H824" t="n">
        <v>0</v>
      </c>
      <c r="I824" t="n">
        <v>0</v>
      </c>
      <c r="J824" t="n">
        <v>0</v>
      </c>
      <c r="K824" t="n">
        <v>0</v>
      </c>
      <c r="L824" t="n">
        <v>0</v>
      </c>
      <c r="M824" t="n">
        <v>0</v>
      </c>
      <c r="N824" t="n">
        <v>0</v>
      </c>
      <c r="O824" t="n">
        <v>0</v>
      </c>
      <c r="P824" t="n">
        <v>0</v>
      </c>
      <c r="Q824" t="n">
        <v>0</v>
      </c>
      <c r="R824" s="2" t="inlineStr"/>
    </row>
    <row r="825" ht="15" customHeight="1">
      <c r="A825" t="inlineStr">
        <is>
          <t>A 55602-2024</t>
        </is>
      </c>
      <c r="B825" s="1" t="n">
        <v>45622</v>
      </c>
      <c r="C825" s="1" t="n">
        <v>45809</v>
      </c>
      <c r="D825" t="inlineStr">
        <is>
          <t>VÄSTERNORRLANDS LÄN</t>
        </is>
      </c>
      <c r="E825" t="inlineStr">
        <is>
          <t>TIMRÅ</t>
        </is>
      </c>
      <c r="G825" t="n">
        <v>3.9</v>
      </c>
      <c r="H825" t="n">
        <v>0</v>
      </c>
      <c r="I825" t="n">
        <v>0</v>
      </c>
      <c r="J825" t="n">
        <v>0</v>
      </c>
      <c r="K825" t="n">
        <v>0</v>
      </c>
      <c r="L825" t="n">
        <v>0</v>
      </c>
      <c r="M825" t="n">
        <v>0</v>
      </c>
      <c r="N825" t="n">
        <v>0</v>
      </c>
      <c r="O825" t="n">
        <v>0</v>
      </c>
      <c r="P825" t="n">
        <v>0</v>
      </c>
      <c r="Q825" t="n">
        <v>0</v>
      </c>
      <c r="R825" s="2" t="inlineStr"/>
    </row>
    <row r="826" ht="15" customHeight="1">
      <c r="A826" t="inlineStr">
        <is>
          <t>A 55618-2024</t>
        </is>
      </c>
      <c r="B826" s="1" t="n">
        <v>45622</v>
      </c>
      <c r="C826" s="1" t="n">
        <v>45809</v>
      </c>
      <c r="D826" t="inlineStr">
        <is>
          <t>VÄSTERNORRLANDS LÄN</t>
        </is>
      </c>
      <c r="E826" t="inlineStr">
        <is>
          <t>TIMRÅ</t>
        </is>
      </c>
      <c r="G826" t="n">
        <v>4.3</v>
      </c>
      <c r="H826" t="n">
        <v>0</v>
      </c>
      <c r="I826" t="n">
        <v>0</v>
      </c>
      <c r="J826" t="n">
        <v>0</v>
      </c>
      <c r="K826" t="n">
        <v>0</v>
      </c>
      <c r="L826" t="n">
        <v>0</v>
      </c>
      <c r="M826" t="n">
        <v>0</v>
      </c>
      <c r="N826" t="n">
        <v>0</v>
      </c>
      <c r="O826" t="n">
        <v>0</v>
      </c>
      <c r="P826" t="n">
        <v>0</v>
      </c>
      <c r="Q826" t="n">
        <v>0</v>
      </c>
      <c r="R826" s="2" t="inlineStr"/>
    </row>
    <row r="827" ht="15" customHeight="1">
      <c r="A827" t="inlineStr">
        <is>
          <t>A 55588-2024</t>
        </is>
      </c>
      <c r="B827" s="1" t="n">
        <v>45622</v>
      </c>
      <c r="C827" s="1" t="n">
        <v>45809</v>
      </c>
      <c r="D827" t="inlineStr">
        <is>
          <t>VÄSTERNORRLANDS LÄN</t>
        </is>
      </c>
      <c r="E827" t="inlineStr">
        <is>
          <t>TIMRÅ</t>
        </is>
      </c>
      <c r="G827" t="n">
        <v>2.9</v>
      </c>
      <c r="H827" t="n">
        <v>0</v>
      </c>
      <c r="I827" t="n">
        <v>0</v>
      </c>
      <c r="J827" t="n">
        <v>0</v>
      </c>
      <c r="K827" t="n">
        <v>0</v>
      </c>
      <c r="L827" t="n">
        <v>0</v>
      </c>
      <c r="M827" t="n">
        <v>0</v>
      </c>
      <c r="N827" t="n">
        <v>0</v>
      </c>
      <c r="O827" t="n">
        <v>0</v>
      </c>
      <c r="P827" t="n">
        <v>0</v>
      </c>
      <c r="Q827" t="n">
        <v>0</v>
      </c>
      <c r="R827" s="2" t="inlineStr"/>
    </row>
    <row r="828" ht="15" customHeight="1">
      <c r="A828" t="inlineStr">
        <is>
          <t>A 55729-2024</t>
        </is>
      </c>
      <c r="B828" s="1" t="n">
        <v>45622</v>
      </c>
      <c r="C828" s="1" t="n">
        <v>45809</v>
      </c>
      <c r="D828" t="inlineStr">
        <is>
          <t>VÄSTERNORRLANDS LÄN</t>
        </is>
      </c>
      <c r="E828" t="inlineStr">
        <is>
          <t>TIMRÅ</t>
        </is>
      </c>
      <c r="G828" t="n">
        <v>3.1</v>
      </c>
      <c r="H828" t="n">
        <v>0</v>
      </c>
      <c r="I828" t="n">
        <v>0</v>
      </c>
      <c r="J828" t="n">
        <v>0</v>
      </c>
      <c r="K828" t="n">
        <v>0</v>
      </c>
      <c r="L828" t="n">
        <v>0</v>
      </c>
      <c r="M828" t="n">
        <v>0</v>
      </c>
      <c r="N828" t="n">
        <v>0</v>
      </c>
      <c r="O828" t="n">
        <v>0</v>
      </c>
      <c r="P828" t="n">
        <v>0</v>
      </c>
      <c r="Q828" t="n">
        <v>0</v>
      </c>
      <c r="R828" s="2" t="inlineStr"/>
    </row>
    <row r="829" ht="15" customHeight="1">
      <c r="A829" t="inlineStr">
        <is>
          <t>A 55874-2024</t>
        </is>
      </c>
      <c r="B829" s="1" t="n">
        <v>45623</v>
      </c>
      <c r="C829" s="1" t="n">
        <v>45809</v>
      </c>
      <c r="D829" t="inlineStr">
        <is>
          <t>VÄSTERNORRLANDS LÄN</t>
        </is>
      </c>
      <c r="E829" t="inlineStr">
        <is>
          <t>TIMRÅ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55873-2024</t>
        </is>
      </c>
      <c r="B830" s="1" t="n">
        <v>45623</v>
      </c>
      <c r="C830" s="1" t="n">
        <v>45809</v>
      </c>
      <c r="D830" t="inlineStr">
        <is>
          <t>VÄSTERNORRLANDS LÄN</t>
        </is>
      </c>
      <c r="E830" t="inlineStr">
        <is>
          <t>TIMRÅ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56046-2024</t>
        </is>
      </c>
      <c r="B831" s="1" t="n">
        <v>45624</v>
      </c>
      <c r="C831" s="1" t="n">
        <v>45809</v>
      </c>
      <c r="D831" t="inlineStr">
        <is>
          <t>VÄSTERNORRLANDS LÄN</t>
        </is>
      </c>
      <c r="E831" t="inlineStr">
        <is>
          <t>TIMRÅ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56284-2024</t>
        </is>
      </c>
      <c r="B832" s="1" t="n">
        <v>45624</v>
      </c>
      <c r="C832" s="1" t="n">
        <v>45809</v>
      </c>
      <c r="D832" t="inlineStr">
        <is>
          <t>VÄSTERNORRLANDS LÄN</t>
        </is>
      </c>
      <c r="E832" t="inlineStr">
        <is>
          <t>TIMRÅ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56288-2024</t>
        </is>
      </c>
      <c r="B833" s="1" t="n">
        <v>45624</v>
      </c>
      <c r="C833" s="1" t="n">
        <v>45809</v>
      </c>
      <c r="D833" t="inlineStr">
        <is>
          <t>VÄSTERNORRLANDS LÄN</t>
        </is>
      </c>
      <c r="E833" t="inlineStr">
        <is>
          <t>TIMRÅ</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56286-2024</t>
        </is>
      </c>
      <c r="B834" s="1" t="n">
        <v>45624</v>
      </c>
      <c r="C834" s="1" t="n">
        <v>45809</v>
      </c>
      <c r="D834" t="inlineStr">
        <is>
          <t>VÄSTERNORRLANDS LÄN</t>
        </is>
      </c>
      <c r="E834" t="inlineStr">
        <is>
          <t>TIMRÅ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56155-2024</t>
        </is>
      </c>
      <c r="B835" s="1" t="n">
        <v>45624</v>
      </c>
      <c r="C835" s="1" t="n">
        <v>45809</v>
      </c>
      <c r="D835" t="inlineStr">
        <is>
          <t>VÄSTERNORRLANDS LÄN</t>
        </is>
      </c>
      <c r="E835" t="inlineStr">
        <is>
          <t>TIMRÅ</t>
        </is>
      </c>
      <c r="G835" t="n">
        <v>5.9</v>
      </c>
      <c r="H835" t="n">
        <v>0</v>
      </c>
      <c r="I835" t="n">
        <v>0</v>
      </c>
      <c r="J835" t="n">
        <v>0</v>
      </c>
      <c r="K835" t="n">
        <v>0</v>
      </c>
      <c r="L835" t="n">
        <v>0</v>
      </c>
      <c r="M835" t="n">
        <v>0</v>
      </c>
      <c r="N835" t="n">
        <v>0</v>
      </c>
      <c r="O835" t="n">
        <v>0</v>
      </c>
      <c r="P835" t="n">
        <v>0</v>
      </c>
      <c r="Q835" t="n">
        <v>0</v>
      </c>
      <c r="R835" s="2" t="inlineStr"/>
    </row>
    <row r="836" ht="15" customHeight="1">
      <c r="A836" t="inlineStr">
        <is>
          <t>A 56285-2024</t>
        </is>
      </c>
      <c r="B836" s="1" t="n">
        <v>45624</v>
      </c>
      <c r="C836" s="1" t="n">
        <v>45809</v>
      </c>
      <c r="D836" t="inlineStr">
        <is>
          <t>VÄSTERNORRLANDS LÄN</t>
        </is>
      </c>
      <c r="E836" t="inlineStr">
        <is>
          <t>TIMRÅ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56442-2024</t>
        </is>
      </c>
      <c r="B837" s="1" t="n">
        <v>45625</v>
      </c>
      <c r="C837" s="1" t="n">
        <v>45809</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56443-2024</t>
        </is>
      </c>
      <c r="B838" s="1" t="n">
        <v>45625</v>
      </c>
      <c r="C838" s="1" t="n">
        <v>45809</v>
      </c>
      <c r="D838" t="inlineStr">
        <is>
          <t>VÄSTERNORRLANDS LÄN</t>
        </is>
      </c>
      <c r="E838" t="inlineStr">
        <is>
          <t>TIMRÅ</t>
        </is>
      </c>
      <c r="G838" t="n">
        <v>2.6</v>
      </c>
      <c r="H838" t="n">
        <v>0</v>
      </c>
      <c r="I838" t="n">
        <v>0</v>
      </c>
      <c r="J838" t="n">
        <v>0</v>
      </c>
      <c r="K838" t="n">
        <v>0</v>
      </c>
      <c r="L838" t="n">
        <v>0</v>
      </c>
      <c r="M838" t="n">
        <v>0</v>
      </c>
      <c r="N838" t="n">
        <v>0</v>
      </c>
      <c r="O838" t="n">
        <v>0</v>
      </c>
      <c r="P838" t="n">
        <v>0</v>
      </c>
      <c r="Q838" t="n">
        <v>0</v>
      </c>
      <c r="R838" s="2" t="inlineStr"/>
    </row>
    <row r="839" ht="15" customHeight="1">
      <c r="A839" t="inlineStr">
        <is>
          <t>A 57063-2024</t>
        </is>
      </c>
      <c r="B839" s="1" t="n">
        <v>45629</v>
      </c>
      <c r="C839" s="1" t="n">
        <v>45809</v>
      </c>
      <c r="D839" t="inlineStr">
        <is>
          <t>VÄSTERNORRLANDS LÄN</t>
        </is>
      </c>
      <c r="E839" t="inlineStr">
        <is>
          <t>TIMRÅ</t>
        </is>
      </c>
      <c r="G839" t="n">
        <v>2.7</v>
      </c>
      <c r="H839" t="n">
        <v>0</v>
      </c>
      <c r="I839" t="n">
        <v>0</v>
      </c>
      <c r="J839" t="n">
        <v>0</v>
      </c>
      <c r="K839" t="n">
        <v>0</v>
      </c>
      <c r="L839" t="n">
        <v>0</v>
      </c>
      <c r="M839" t="n">
        <v>0</v>
      </c>
      <c r="N839" t="n">
        <v>0</v>
      </c>
      <c r="O839" t="n">
        <v>0</v>
      </c>
      <c r="P839" t="n">
        <v>0</v>
      </c>
      <c r="Q839" t="n">
        <v>0</v>
      </c>
      <c r="R839" s="2" t="inlineStr"/>
    </row>
    <row r="840" ht="15" customHeight="1">
      <c r="A840" t="inlineStr">
        <is>
          <t>A 57316-2024</t>
        </is>
      </c>
      <c r="B840" s="1" t="n">
        <v>45629</v>
      </c>
      <c r="C840" s="1" t="n">
        <v>45809</v>
      </c>
      <c r="D840" t="inlineStr">
        <is>
          <t>VÄSTERNORRLANDS LÄN</t>
        </is>
      </c>
      <c r="E840" t="inlineStr">
        <is>
          <t>TIMRÅ</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58755-2024</t>
        </is>
      </c>
      <c r="B841" s="1" t="n">
        <v>45635</v>
      </c>
      <c r="C841" s="1" t="n">
        <v>45809</v>
      </c>
      <c r="D841" t="inlineStr">
        <is>
          <t>VÄSTERNORRLANDS LÄN</t>
        </is>
      </c>
      <c r="E841" t="inlineStr">
        <is>
          <t>TIMRÅ</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58759-2024</t>
        </is>
      </c>
      <c r="B842" s="1" t="n">
        <v>45635</v>
      </c>
      <c r="C842" s="1" t="n">
        <v>45809</v>
      </c>
      <c r="D842" t="inlineStr">
        <is>
          <t>VÄSTERNORRLANDS LÄN</t>
        </is>
      </c>
      <c r="E842" t="inlineStr">
        <is>
          <t>TIMRÅ</t>
        </is>
      </c>
      <c r="F842" t="inlineStr">
        <is>
          <t>SCA</t>
        </is>
      </c>
      <c r="G842" t="n">
        <v>5</v>
      </c>
      <c r="H842" t="n">
        <v>0</v>
      </c>
      <c r="I842" t="n">
        <v>0</v>
      </c>
      <c r="J842" t="n">
        <v>0</v>
      </c>
      <c r="K842" t="n">
        <v>0</v>
      </c>
      <c r="L842" t="n">
        <v>0</v>
      </c>
      <c r="M842" t="n">
        <v>0</v>
      </c>
      <c r="N842" t="n">
        <v>0</v>
      </c>
      <c r="O842" t="n">
        <v>0</v>
      </c>
      <c r="P842" t="n">
        <v>0</v>
      </c>
      <c r="Q842" t="n">
        <v>0</v>
      </c>
      <c r="R842" s="2" t="inlineStr"/>
    </row>
    <row r="843" ht="15" customHeight="1">
      <c r="A843" t="inlineStr">
        <is>
          <t>A 58752-2024</t>
        </is>
      </c>
      <c r="B843" s="1" t="n">
        <v>45635</v>
      </c>
      <c r="C843" s="1" t="n">
        <v>45809</v>
      </c>
      <c r="D843" t="inlineStr">
        <is>
          <t>VÄSTERNORRLANDS LÄN</t>
        </is>
      </c>
      <c r="E843" t="inlineStr">
        <is>
          <t>TIMRÅ</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58760-2024</t>
        </is>
      </c>
      <c r="B844" s="1" t="n">
        <v>45635</v>
      </c>
      <c r="C844" s="1" t="n">
        <v>45809</v>
      </c>
      <c r="D844" t="inlineStr">
        <is>
          <t>VÄSTERNORRLANDS LÄN</t>
        </is>
      </c>
      <c r="E844" t="inlineStr">
        <is>
          <t>TIMRÅ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58754-2024</t>
        </is>
      </c>
      <c r="B845" s="1" t="n">
        <v>45635</v>
      </c>
      <c r="C845" s="1" t="n">
        <v>45809</v>
      </c>
      <c r="D845" t="inlineStr">
        <is>
          <t>VÄSTERNORRLANDS LÄN</t>
        </is>
      </c>
      <c r="E845" t="inlineStr">
        <is>
          <t>TIMRÅ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58930-2024</t>
        </is>
      </c>
      <c r="B846" s="1" t="n">
        <v>45636</v>
      </c>
      <c r="C846" s="1" t="n">
        <v>45809</v>
      </c>
      <c r="D846" t="inlineStr">
        <is>
          <t>VÄSTERNORRLANDS LÄN</t>
        </is>
      </c>
      <c r="E846" t="inlineStr">
        <is>
          <t>TIMRÅ</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58879-2024</t>
        </is>
      </c>
      <c r="B847" s="1" t="n">
        <v>45636</v>
      </c>
      <c r="C847" s="1" t="n">
        <v>45809</v>
      </c>
      <c r="D847" t="inlineStr">
        <is>
          <t>VÄSTERNORRLANDS LÄN</t>
        </is>
      </c>
      <c r="E847" t="inlineStr">
        <is>
          <t>TIMRÅ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58866-2024</t>
        </is>
      </c>
      <c r="B848" s="1" t="n">
        <v>45636</v>
      </c>
      <c r="C848" s="1" t="n">
        <v>45809</v>
      </c>
      <c r="D848" t="inlineStr">
        <is>
          <t>VÄSTERNORRLANDS LÄN</t>
        </is>
      </c>
      <c r="E848" t="inlineStr">
        <is>
          <t>TIMRÅ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59189-2024</t>
        </is>
      </c>
      <c r="B849" s="1" t="n">
        <v>45637</v>
      </c>
      <c r="C849" s="1" t="n">
        <v>45809</v>
      </c>
      <c r="D849" t="inlineStr">
        <is>
          <t>VÄSTERNORRLANDS LÄN</t>
        </is>
      </c>
      <c r="E849" t="inlineStr">
        <is>
          <t>TIMRÅ</t>
        </is>
      </c>
      <c r="G849" t="n">
        <v>1.7</v>
      </c>
      <c r="H849" t="n">
        <v>0</v>
      </c>
      <c r="I849" t="n">
        <v>0</v>
      </c>
      <c r="J849" t="n">
        <v>0</v>
      </c>
      <c r="K849" t="n">
        <v>0</v>
      </c>
      <c r="L849" t="n">
        <v>0</v>
      </c>
      <c r="M849" t="n">
        <v>0</v>
      </c>
      <c r="N849" t="n">
        <v>0</v>
      </c>
      <c r="O849" t="n">
        <v>0</v>
      </c>
      <c r="P849" t="n">
        <v>0</v>
      </c>
      <c r="Q849" t="n">
        <v>0</v>
      </c>
      <c r="R849" s="2" t="inlineStr"/>
    </row>
    <row r="850" ht="15" customHeight="1">
      <c r="A850" t="inlineStr">
        <is>
          <t>A 59894-2024</t>
        </is>
      </c>
      <c r="B850" s="1" t="n">
        <v>45641</v>
      </c>
      <c r="C850" s="1" t="n">
        <v>45809</v>
      </c>
      <c r="D850" t="inlineStr">
        <is>
          <t>VÄSTERNORRLANDS LÄN</t>
        </is>
      </c>
      <c r="E850" t="inlineStr">
        <is>
          <t>TIMRÅ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60696-2024</t>
        </is>
      </c>
      <c r="B851" s="1" t="n">
        <v>45642</v>
      </c>
      <c r="C851" s="1" t="n">
        <v>45809</v>
      </c>
      <c r="D851" t="inlineStr">
        <is>
          <t>VÄSTERNORRLANDS LÄN</t>
        </is>
      </c>
      <c r="E851" t="inlineStr">
        <is>
          <t>TIMRÅ</t>
        </is>
      </c>
      <c r="G851" t="n">
        <v>1</v>
      </c>
      <c r="H851" t="n">
        <v>0</v>
      </c>
      <c r="I851" t="n">
        <v>0</v>
      </c>
      <c r="J851" t="n">
        <v>0</v>
      </c>
      <c r="K851" t="n">
        <v>0</v>
      </c>
      <c r="L851" t="n">
        <v>0</v>
      </c>
      <c r="M851" t="n">
        <v>0</v>
      </c>
      <c r="N851" t="n">
        <v>0</v>
      </c>
      <c r="O851" t="n">
        <v>0</v>
      </c>
      <c r="P851" t="n">
        <v>0</v>
      </c>
      <c r="Q851" t="n">
        <v>0</v>
      </c>
      <c r="R851" s="2" t="inlineStr"/>
    </row>
    <row r="852" ht="15" customHeight="1">
      <c r="A852" t="inlineStr">
        <is>
          <t>A 60681-2024</t>
        </is>
      </c>
      <c r="B852" s="1" t="n">
        <v>45642</v>
      </c>
      <c r="C852" s="1" t="n">
        <v>45809</v>
      </c>
      <c r="D852" t="inlineStr">
        <is>
          <t>VÄSTERNORRLANDS LÄN</t>
        </is>
      </c>
      <c r="E852" t="inlineStr">
        <is>
          <t>TIMRÅ</t>
        </is>
      </c>
      <c r="G852" t="n">
        <v>2.9</v>
      </c>
      <c r="H852" t="n">
        <v>0</v>
      </c>
      <c r="I852" t="n">
        <v>0</v>
      </c>
      <c r="J852" t="n">
        <v>0</v>
      </c>
      <c r="K852" t="n">
        <v>0</v>
      </c>
      <c r="L852" t="n">
        <v>0</v>
      </c>
      <c r="M852" t="n">
        <v>0</v>
      </c>
      <c r="N852" t="n">
        <v>0</v>
      </c>
      <c r="O852" t="n">
        <v>0</v>
      </c>
      <c r="P852" t="n">
        <v>0</v>
      </c>
      <c r="Q852" t="n">
        <v>0</v>
      </c>
      <c r="R852" s="2" t="inlineStr"/>
      <c r="U852">
        <f>HYPERLINK("https://klasma.github.io/Logging_2262/knärot/A 60681-2024 karta knärot.png", "A 60681-2024")</f>
        <v/>
      </c>
      <c r="V852">
        <f>HYPERLINK("https://klasma.github.io/Logging_2262/klagomål/A 60681-2024 FSC-klagomål.docx", "A 60681-2024")</f>
        <v/>
      </c>
      <c r="W852">
        <f>HYPERLINK("https://klasma.github.io/Logging_2262/klagomålsmail/A 60681-2024 FSC-klagomål mail.docx", "A 60681-2024")</f>
        <v/>
      </c>
      <c r="X852">
        <f>HYPERLINK("https://klasma.github.io/Logging_2262/tillsyn/A 60681-2024 tillsynsbegäran.docx", "A 60681-2024")</f>
        <v/>
      </c>
      <c r="Y852">
        <f>HYPERLINK("https://klasma.github.io/Logging_2262/tillsynsmail/A 60681-2024 tillsynsbegäran mail.docx", "A 60681-2024")</f>
        <v/>
      </c>
    </row>
    <row r="853" ht="15" customHeight="1">
      <c r="A853" t="inlineStr">
        <is>
          <t>A 60110-2024</t>
        </is>
      </c>
      <c r="B853" s="1" t="n">
        <v>45642</v>
      </c>
      <c r="C853" s="1" t="n">
        <v>45809</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60111-2024</t>
        </is>
      </c>
      <c r="B854" s="1" t="n">
        <v>45642</v>
      </c>
      <c r="C854" s="1" t="n">
        <v>45809</v>
      </c>
      <c r="D854" t="inlineStr">
        <is>
          <t>VÄSTERNORRLANDS LÄN</t>
        </is>
      </c>
      <c r="E854" t="inlineStr">
        <is>
          <t>TIMRÅ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59948-2024</t>
        </is>
      </c>
      <c r="B855" s="1" t="n">
        <v>45642</v>
      </c>
      <c r="C855" s="1" t="n">
        <v>45809</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59995-2024</t>
        </is>
      </c>
      <c r="B856" s="1" t="n">
        <v>45642</v>
      </c>
      <c r="C856" s="1" t="n">
        <v>45809</v>
      </c>
      <c r="D856" t="inlineStr">
        <is>
          <t>VÄSTERNORRLANDS LÄN</t>
        </is>
      </c>
      <c r="E856" t="inlineStr">
        <is>
          <t>TIMRÅ</t>
        </is>
      </c>
      <c r="F856" t="inlineStr">
        <is>
          <t>SCA</t>
        </is>
      </c>
      <c r="G856" t="n">
        <v>19.6</v>
      </c>
      <c r="H856" t="n">
        <v>0</v>
      </c>
      <c r="I856" t="n">
        <v>0</v>
      </c>
      <c r="J856" t="n">
        <v>0</v>
      </c>
      <c r="K856" t="n">
        <v>0</v>
      </c>
      <c r="L856" t="n">
        <v>0</v>
      </c>
      <c r="M856" t="n">
        <v>0</v>
      </c>
      <c r="N856" t="n">
        <v>0</v>
      </c>
      <c r="O856" t="n">
        <v>0</v>
      </c>
      <c r="P856" t="n">
        <v>0</v>
      </c>
      <c r="Q856" t="n">
        <v>0</v>
      </c>
      <c r="R856" s="2" t="inlineStr"/>
    </row>
    <row r="857" ht="15" customHeight="1">
      <c r="A857" t="inlineStr">
        <is>
          <t>A 60761-2024</t>
        </is>
      </c>
      <c r="B857" s="1" t="n">
        <v>45644</v>
      </c>
      <c r="C857" s="1" t="n">
        <v>45809</v>
      </c>
      <c r="D857" t="inlineStr">
        <is>
          <t>VÄSTERNORRLANDS LÄN</t>
        </is>
      </c>
      <c r="E857" t="inlineStr">
        <is>
          <t>TIMRÅ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60751-2024</t>
        </is>
      </c>
      <c r="B858" s="1" t="n">
        <v>45644</v>
      </c>
      <c r="C858" s="1" t="n">
        <v>45809</v>
      </c>
      <c r="D858" t="inlineStr">
        <is>
          <t>VÄSTERNORRLANDS LÄN</t>
        </is>
      </c>
      <c r="E858" t="inlineStr">
        <is>
          <t>TIMRÅ</t>
        </is>
      </c>
      <c r="G858" t="n">
        <v>3.1</v>
      </c>
      <c r="H858" t="n">
        <v>0</v>
      </c>
      <c r="I858" t="n">
        <v>0</v>
      </c>
      <c r="J858" t="n">
        <v>0</v>
      </c>
      <c r="K858" t="n">
        <v>0</v>
      </c>
      <c r="L858" t="n">
        <v>0</v>
      </c>
      <c r="M858" t="n">
        <v>0</v>
      </c>
      <c r="N858" t="n">
        <v>0</v>
      </c>
      <c r="O858" t="n">
        <v>0</v>
      </c>
      <c r="P858" t="n">
        <v>0</v>
      </c>
      <c r="Q858" t="n">
        <v>0</v>
      </c>
      <c r="R858" s="2" t="inlineStr"/>
    </row>
    <row r="859" ht="15" customHeight="1">
      <c r="A859" t="inlineStr">
        <is>
          <t>A 61166-2024</t>
        </is>
      </c>
      <c r="B859" s="1" t="n">
        <v>45645</v>
      </c>
      <c r="C859" s="1" t="n">
        <v>45809</v>
      </c>
      <c r="D859" t="inlineStr">
        <is>
          <t>VÄSTERNORRLANDS LÄN</t>
        </is>
      </c>
      <c r="E859" t="inlineStr">
        <is>
          <t>TIMRÅ</t>
        </is>
      </c>
      <c r="G859" t="n">
        <v>2</v>
      </c>
      <c r="H859" t="n">
        <v>0</v>
      </c>
      <c r="I859" t="n">
        <v>0</v>
      </c>
      <c r="J859" t="n">
        <v>0</v>
      </c>
      <c r="K859" t="n">
        <v>0</v>
      </c>
      <c r="L859" t="n">
        <v>0</v>
      </c>
      <c r="M859" t="n">
        <v>0</v>
      </c>
      <c r="N859" t="n">
        <v>0</v>
      </c>
      <c r="O859" t="n">
        <v>0</v>
      </c>
      <c r="P859" t="n">
        <v>0</v>
      </c>
      <c r="Q859" t="n">
        <v>0</v>
      </c>
      <c r="R859" s="2" t="inlineStr"/>
    </row>
    <row r="860" ht="15" customHeight="1">
      <c r="A860" t="inlineStr">
        <is>
          <t>A 61484-2024</t>
        </is>
      </c>
      <c r="B860" s="1" t="n">
        <v>45646</v>
      </c>
      <c r="C860" s="1" t="n">
        <v>45809</v>
      </c>
      <c r="D860" t="inlineStr">
        <is>
          <t>VÄSTERNORRLANDS LÄN</t>
        </is>
      </c>
      <c r="E860" t="inlineStr">
        <is>
          <t>TIMRÅ</t>
        </is>
      </c>
      <c r="F860" t="inlineStr">
        <is>
          <t>SCA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61620-2024</t>
        </is>
      </c>
      <c r="B861" s="1" t="n">
        <v>45646</v>
      </c>
      <c r="C861" s="1" t="n">
        <v>45809</v>
      </c>
      <c r="D861" t="inlineStr">
        <is>
          <t>VÄSTERNORRLANDS LÄN</t>
        </is>
      </c>
      <c r="E861" t="inlineStr">
        <is>
          <t>TIMRÅ</t>
        </is>
      </c>
      <c r="G861" t="n">
        <v>1.4</v>
      </c>
      <c r="H861" t="n">
        <v>0</v>
      </c>
      <c r="I861" t="n">
        <v>0</v>
      </c>
      <c r="J861" t="n">
        <v>0</v>
      </c>
      <c r="K861" t="n">
        <v>0</v>
      </c>
      <c r="L861" t="n">
        <v>0</v>
      </c>
      <c r="M861" t="n">
        <v>0</v>
      </c>
      <c r="N861" t="n">
        <v>0</v>
      </c>
      <c r="O861" t="n">
        <v>0</v>
      </c>
      <c r="P861" t="n">
        <v>0</v>
      </c>
      <c r="Q861" t="n">
        <v>0</v>
      </c>
      <c r="R861" s="2" t="inlineStr"/>
    </row>
    <row r="862" ht="15" customHeight="1">
      <c r="A862" t="inlineStr">
        <is>
          <t>A 61821-2024</t>
        </is>
      </c>
      <c r="B862" s="1" t="n">
        <v>45649</v>
      </c>
      <c r="C862" s="1" t="n">
        <v>45809</v>
      </c>
      <c r="D862" t="inlineStr">
        <is>
          <t>VÄSTERNORRLANDS LÄN</t>
        </is>
      </c>
      <c r="E862" t="inlineStr">
        <is>
          <t>TIMRÅ</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62133-2024</t>
        </is>
      </c>
      <c r="B863" s="1" t="n">
        <v>45656</v>
      </c>
      <c r="C863" s="1" t="n">
        <v>45809</v>
      </c>
      <c r="D863" t="inlineStr">
        <is>
          <t>VÄSTERNORRLANDS LÄN</t>
        </is>
      </c>
      <c r="E863" t="inlineStr">
        <is>
          <t>TIMRÅ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465-2025</t>
        </is>
      </c>
      <c r="B864" s="1" t="n">
        <v>45664</v>
      </c>
      <c r="C864" s="1" t="n">
        <v>45809</v>
      </c>
      <c r="D864" t="inlineStr">
        <is>
          <t>VÄSTERNORRLANDS LÄN</t>
        </is>
      </c>
      <c r="E864" t="inlineStr">
        <is>
          <t>TIMRÅ</t>
        </is>
      </c>
      <c r="G864" t="n">
        <v>2.2</v>
      </c>
      <c r="H864" t="n">
        <v>0</v>
      </c>
      <c r="I864" t="n">
        <v>0</v>
      </c>
      <c r="J864" t="n">
        <v>0</v>
      </c>
      <c r="K864" t="n">
        <v>0</v>
      </c>
      <c r="L864" t="n">
        <v>0</v>
      </c>
      <c r="M864" t="n">
        <v>0</v>
      </c>
      <c r="N864" t="n">
        <v>0</v>
      </c>
      <c r="O864" t="n">
        <v>0</v>
      </c>
      <c r="P864" t="n">
        <v>0</v>
      </c>
      <c r="Q864" t="n">
        <v>0</v>
      </c>
      <c r="R864" s="2" t="inlineStr"/>
    </row>
    <row r="865" ht="15" customHeight="1">
      <c r="A865" t="inlineStr">
        <is>
          <t>A 472-2025</t>
        </is>
      </c>
      <c r="B865" s="1" t="n">
        <v>45664</v>
      </c>
      <c r="C865" s="1" t="n">
        <v>45809</v>
      </c>
      <c r="D865" t="inlineStr">
        <is>
          <t>VÄSTERNORRLANDS LÄN</t>
        </is>
      </c>
      <c r="E865" t="inlineStr">
        <is>
          <t>TIMRÅ</t>
        </is>
      </c>
      <c r="G865" t="n">
        <v>14.3</v>
      </c>
      <c r="H865" t="n">
        <v>0</v>
      </c>
      <c r="I865" t="n">
        <v>0</v>
      </c>
      <c r="J865" t="n">
        <v>0</v>
      </c>
      <c r="K865" t="n">
        <v>0</v>
      </c>
      <c r="L865" t="n">
        <v>0</v>
      </c>
      <c r="M865" t="n">
        <v>0</v>
      </c>
      <c r="N865" t="n">
        <v>0</v>
      </c>
      <c r="O865" t="n">
        <v>0</v>
      </c>
      <c r="P865" t="n">
        <v>0</v>
      </c>
      <c r="Q865" t="n">
        <v>0</v>
      </c>
      <c r="R865" s="2" t="inlineStr"/>
    </row>
    <row r="866" ht="15" customHeight="1">
      <c r="A866" t="inlineStr">
        <is>
          <t>A 1380-2025</t>
        </is>
      </c>
      <c r="B866" s="1" t="n">
        <v>45667</v>
      </c>
      <c r="C866" s="1" t="n">
        <v>45809</v>
      </c>
      <c r="D866" t="inlineStr">
        <is>
          <t>VÄSTERNORRLANDS LÄN</t>
        </is>
      </c>
      <c r="E866" t="inlineStr">
        <is>
          <t>TIMRÅ</t>
        </is>
      </c>
      <c r="G866" t="n">
        <v>2</v>
      </c>
      <c r="H866" t="n">
        <v>0</v>
      </c>
      <c r="I866" t="n">
        <v>0</v>
      </c>
      <c r="J866" t="n">
        <v>0</v>
      </c>
      <c r="K866" t="n">
        <v>0</v>
      </c>
      <c r="L866" t="n">
        <v>0</v>
      </c>
      <c r="M866" t="n">
        <v>0</v>
      </c>
      <c r="N866" t="n">
        <v>0</v>
      </c>
      <c r="O866" t="n">
        <v>0</v>
      </c>
      <c r="P866" t="n">
        <v>0</v>
      </c>
      <c r="Q866" t="n">
        <v>0</v>
      </c>
      <c r="R866" s="2" t="inlineStr"/>
    </row>
    <row r="867" ht="15" customHeight="1">
      <c r="A867" t="inlineStr">
        <is>
          <t>A 1388-2025</t>
        </is>
      </c>
      <c r="B867" s="1" t="n">
        <v>45667</v>
      </c>
      <c r="C867" s="1" t="n">
        <v>45809</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1386-2025</t>
        </is>
      </c>
      <c r="B868" s="1" t="n">
        <v>45667</v>
      </c>
      <c r="C868" s="1" t="n">
        <v>45809</v>
      </c>
      <c r="D868" t="inlineStr">
        <is>
          <t>VÄSTERNORRLANDS LÄN</t>
        </is>
      </c>
      <c r="E868" t="inlineStr">
        <is>
          <t>TIMRÅ</t>
        </is>
      </c>
      <c r="G868" t="n">
        <v>0.7</v>
      </c>
      <c r="H868" t="n">
        <v>0</v>
      </c>
      <c r="I868" t="n">
        <v>0</v>
      </c>
      <c r="J868" t="n">
        <v>0</v>
      </c>
      <c r="K868" t="n">
        <v>0</v>
      </c>
      <c r="L868" t="n">
        <v>0</v>
      </c>
      <c r="M868" t="n">
        <v>0</v>
      </c>
      <c r="N868" t="n">
        <v>0</v>
      </c>
      <c r="O868" t="n">
        <v>0</v>
      </c>
      <c r="P868" t="n">
        <v>0</v>
      </c>
      <c r="Q868" t="n">
        <v>0</v>
      </c>
      <c r="R868" s="2" t="inlineStr"/>
    </row>
    <row r="869" ht="15" customHeight="1">
      <c r="A869" t="inlineStr">
        <is>
          <t>A 1818-2025</t>
        </is>
      </c>
      <c r="B869" s="1" t="n">
        <v>45671</v>
      </c>
      <c r="C869" s="1" t="n">
        <v>45809</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1826-2025</t>
        </is>
      </c>
      <c r="B870" s="1" t="n">
        <v>45671</v>
      </c>
      <c r="C870" s="1" t="n">
        <v>45809</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1842-2025</t>
        </is>
      </c>
      <c r="B871" s="1" t="n">
        <v>45671</v>
      </c>
      <c r="C871" s="1" t="n">
        <v>45809</v>
      </c>
      <c r="D871" t="inlineStr">
        <is>
          <t>VÄSTERNORRLANDS LÄN</t>
        </is>
      </c>
      <c r="E871" t="inlineStr">
        <is>
          <t>TIMRÅ</t>
        </is>
      </c>
      <c r="G871" t="n">
        <v>2.1</v>
      </c>
      <c r="H871" t="n">
        <v>0</v>
      </c>
      <c r="I871" t="n">
        <v>0</v>
      </c>
      <c r="J871" t="n">
        <v>0</v>
      </c>
      <c r="K871" t="n">
        <v>0</v>
      </c>
      <c r="L871" t="n">
        <v>0</v>
      </c>
      <c r="M871" t="n">
        <v>0</v>
      </c>
      <c r="N871" t="n">
        <v>0</v>
      </c>
      <c r="O871" t="n">
        <v>0</v>
      </c>
      <c r="P871" t="n">
        <v>0</v>
      </c>
      <c r="Q871" t="n">
        <v>0</v>
      </c>
      <c r="R871" s="2" t="inlineStr"/>
    </row>
    <row r="872" ht="15" customHeight="1">
      <c r="A872" t="inlineStr">
        <is>
          <t>A 1817-2025</t>
        </is>
      </c>
      <c r="B872" s="1" t="n">
        <v>45671</v>
      </c>
      <c r="C872" s="1" t="n">
        <v>45809</v>
      </c>
      <c r="D872" t="inlineStr">
        <is>
          <t>VÄSTERNORRLANDS LÄN</t>
        </is>
      </c>
      <c r="E872" t="inlineStr">
        <is>
          <t>TIMRÅ</t>
        </is>
      </c>
      <c r="G872" t="n">
        <v>0.7</v>
      </c>
      <c r="H872" t="n">
        <v>0</v>
      </c>
      <c r="I872" t="n">
        <v>0</v>
      </c>
      <c r="J872" t="n">
        <v>0</v>
      </c>
      <c r="K872" t="n">
        <v>0</v>
      </c>
      <c r="L872" t="n">
        <v>0</v>
      </c>
      <c r="M872" t="n">
        <v>0</v>
      </c>
      <c r="N872" t="n">
        <v>0</v>
      </c>
      <c r="O872" t="n">
        <v>0</v>
      </c>
      <c r="P872" t="n">
        <v>0</v>
      </c>
      <c r="Q872" t="n">
        <v>0</v>
      </c>
      <c r="R872" s="2" t="inlineStr"/>
    </row>
    <row r="873" ht="15" customHeight="1">
      <c r="A873" t="inlineStr">
        <is>
          <t>A 1825-2025</t>
        </is>
      </c>
      <c r="B873" s="1" t="n">
        <v>45671</v>
      </c>
      <c r="C873" s="1" t="n">
        <v>45809</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2403-2025</t>
        </is>
      </c>
      <c r="B874" s="1" t="n">
        <v>45672</v>
      </c>
      <c r="C874" s="1" t="n">
        <v>45809</v>
      </c>
      <c r="D874" t="inlineStr">
        <is>
          <t>VÄSTERNORRLANDS LÄN</t>
        </is>
      </c>
      <c r="E874" t="inlineStr">
        <is>
          <t>TIMRÅ</t>
        </is>
      </c>
      <c r="G874" t="n">
        <v>3.4</v>
      </c>
      <c r="H874" t="n">
        <v>0</v>
      </c>
      <c r="I874" t="n">
        <v>0</v>
      </c>
      <c r="J874" t="n">
        <v>0</v>
      </c>
      <c r="K874" t="n">
        <v>0</v>
      </c>
      <c r="L874" t="n">
        <v>0</v>
      </c>
      <c r="M874" t="n">
        <v>0</v>
      </c>
      <c r="N874" t="n">
        <v>0</v>
      </c>
      <c r="O874" t="n">
        <v>0</v>
      </c>
      <c r="P874" t="n">
        <v>0</v>
      </c>
      <c r="Q874" t="n">
        <v>0</v>
      </c>
      <c r="R874" s="2" t="inlineStr"/>
    </row>
    <row r="875" ht="15" customHeight="1">
      <c r="A875" t="inlineStr">
        <is>
          <t>A 2123-2025</t>
        </is>
      </c>
      <c r="B875" s="1" t="n">
        <v>45672</v>
      </c>
      <c r="C875" s="1" t="n">
        <v>45809</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2733-2025</t>
        </is>
      </c>
      <c r="B876" s="1" t="n">
        <v>45677</v>
      </c>
      <c r="C876" s="1" t="n">
        <v>45809</v>
      </c>
      <c r="D876" t="inlineStr">
        <is>
          <t>VÄSTERNORRLANDS LÄN</t>
        </is>
      </c>
      <c r="E876" t="inlineStr">
        <is>
          <t>TIMRÅ</t>
        </is>
      </c>
      <c r="F876" t="inlineStr">
        <is>
          <t>SCA</t>
        </is>
      </c>
      <c r="G876" t="n">
        <v>27.8</v>
      </c>
      <c r="H876" t="n">
        <v>0</v>
      </c>
      <c r="I876" t="n">
        <v>0</v>
      </c>
      <c r="J876" t="n">
        <v>0</v>
      </c>
      <c r="K876" t="n">
        <v>0</v>
      </c>
      <c r="L876" t="n">
        <v>0</v>
      </c>
      <c r="M876" t="n">
        <v>0</v>
      </c>
      <c r="N876" t="n">
        <v>0</v>
      </c>
      <c r="O876" t="n">
        <v>0</v>
      </c>
      <c r="P876" t="n">
        <v>0</v>
      </c>
      <c r="Q876" t="n">
        <v>0</v>
      </c>
      <c r="R876" s="2" t="inlineStr"/>
    </row>
    <row r="877" ht="15" customHeight="1">
      <c r="A877" t="inlineStr">
        <is>
          <t>A 4863-2025</t>
        </is>
      </c>
      <c r="B877" s="1" t="n">
        <v>45688</v>
      </c>
      <c r="C877" s="1" t="n">
        <v>45809</v>
      </c>
      <c r="D877" t="inlineStr">
        <is>
          <t>VÄSTERNORRLANDS LÄN</t>
        </is>
      </c>
      <c r="E877" t="inlineStr">
        <is>
          <t>TIMRÅ</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5207-2025</t>
        </is>
      </c>
      <c r="B878" s="1" t="n">
        <v>45691</v>
      </c>
      <c r="C878" s="1" t="n">
        <v>45809</v>
      </c>
      <c r="D878" t="inlineStr">
        <is>
          <t>VÄSTERNORRLANDS LÄN</t>
        </is>
      </c>
      <c r="E878" t="inlineStr">
        <is>
          <t>TIMRÅ</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5211-2025</t>
        </is>
      </c>
      <c r="B879" s="1" t="n">
        <v>45691</v>
      </c>
      <c r="C879" s="1" t="n">
        <v>45809</v>
      </c>
      <c r="D879" t="inlineStr">
        <is>
          <t>VÄSTERNORRLANDS LÄN</t>
        </is>
      </c>
      <c r="E879" t="inlineStr">
        <is>
          <t>TIMRÅ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5168-2025</t>
        </is>
      </c>
      <c r="B880" s="1" t="n">
        <v>45691</v>
      </c>
      <c r="C880" s="1" t="n">
        <v>45809</v>
      </c>
      <c r="D880" t="inlineStr">
        <is>
          <t>VÄSTERNORRLANDS LÄN</t>
        </is>
      </c>
      <c r="E880" t="inlineStr">
        <is>
          <t>TIMRÅ</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5208-2025</t>
        </is>
      </c>
      <c r="B881" s="1" t="n">
        <v>45691</v>
      </c>
      <c r="C881" s="1" t="n">
        <v>45809</v>
      </c>
      <c r="D881" t="inlineStr">
        <is>
          <t>VÄSTERNORRLANDS LÄN</t>
        </is>
      </c>
      <c r="E881" t="inlineStr">
        <is>
          <t>TIMRÅ</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5213-2025</t>
        </is>
      </c>
      <c r="B882" s="1" t="n">
        <v>45691</v>
      </c>
      <c r="C882" s="1" t="n">
        <v>45809</v>
      </c>
      <c r="D882" t="inlineStr">
        <is>
          <t>VÄSTERNORRLANDS LÄN</t>
        </is>
      </c>
      <c r="E882" t="inlineStr">
        <is>
          <t>TIMRÅ</t>
        </is>
      </c>
      <c r="G882" t="n">
        <v>2.2</v>
      </c>
      <c r="H882" t="n">
        <v>0</v>
      </c>
      <c r="I882" t="n">
        <v>0</v>
      </c>
      <c r="J882" t="n">
        <v>0</v>
      </c>
      <c r="K882" t="n">
        <v>0</v>
      </c>
      <c r="L882" t="n">
        <v>0</v>
      </c>
      <c r="M882" t="n">
        <v>0</v>
      </c>
      <c r="N882" t="n">
        <v>0</v>
      </c>
      <c r="O882" t="n">
        <v>0</v>
      </c>
      <c r="P882" t="n">
        <v>0</v>
      </c>
      <c r="Q882" t="n">
        <v>0</v>
      </c>
      <c r="R882" s="2" t="inlineStr"/>
    </row>
    <row r="883" ht="15" customHeight="1">
      <c r="A883" t="inlineStr">
        <is>
          <t>A 5315-2025</t>
        </is>
      </c>
      <c r="B883" s="1" t="n">
        <v>45692</v>
      </c>
      <c r="C883" s="1" t="n">
        <v>45809</v>
      </c>
      <c r="D883" t="inlineStr">
        <is>
          <t>VÄSTERNORRLANDS LÄN</t>
        </is>
      </c>
      <c r="E883" t="inlineStr">
        <is>
          <t>TIMRÅ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5489-2025</t>
        </is>
      </c>
      <c r="B884" s="1" t="n">
        <v>45693</v>
      </c>
      <c r="C884" s="1" t="n">
        <v>45809</v>
      </c>
      <c r="D884" t="inlineStr">
        <is>
          <t>VÄSTERNORRLANDS LÄN</t>
        </is>
      </c>
      <c r="E884" t="inlineStr">
        <is>
          <t>TIMRÅ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5763-2025</t>
        </is>
      </c>
      <c r="B885" s="1" t="n">
        <v>45694</v>
      </c>
      <c r="C885" s="1" t="n">
        <v>45809</v>
      </c>
      <c r="D885" t="inlineStr">
        <is>
          <t>VÄSTERNORRLANDS LÄN</t>
        </is>
      </c>
      <c r="E885" t="inlineStr">
        <is>
          <t>TIMRÅ</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6055-2025</t>
        </is>
      </c>
      <c r="B886" s="1" t="n">
        <v>45695</v>
      </c>
      <c r="C886" s="1" t="n">
        <v>45809</v>
      </c>
      <c r="D886" t="inlineStr">
        <is>
          <t>VÄSTERNORRLANDS LÄN</t>
        </is>
      </c>
      <c r="E886" t="inlineStr">
        <is>
          <t>TIMRÅ</t>
        </is>
      </c>
      <c r="F886" t="inlineStr">
        <is>
          <t>SCA</t>
        </is>
      </c>
      <c r="G886" t="n">
        <v>6.3</v>
      </c>
      <c r="H886" t="n">
        <v>0</v>
      </c>
      <c r="I886" t="n">
        <v>0</v>
      </c>
      <c r="J886" t="n">
        <v>0</v>
      </c>
      <c r="K886" t="n">
        <v>0</v>
      </c>
      <c r="L886" t="n">
        <v>0</v>
      </c>
      <c r="M886" t="n">
        <v>0</v>
      </c>
      <c r="N886" t="n">
        <v>0</v>
      </c>
      <c r="O886" t="n">
        <v>0</v>
      </c>
      <c r="P886" t="n">
        <v>0</v>
      </c>
      <c r="Q886" t="n">
        <v>0</v>
      </c>
      <c r="R886" s="2" t="inlineStr"/>
    </row>
    <row r="887" ht="15" customHeight="1">
      <c r="A887" t="inlineStr">
        <is>
          <t>A 6259-2025</t>
        </is>
      </c>
      <c r="B887" s="1" t="n">
        <v>45698</v>
      </c>
      <c r="C887" s="1" t="n">
        <v>45809</v>
      </c>
      <c r="D887" t="inlineStr">
        <is>
          <t>VÄSTERNORRLANDS LÄN</t>
        </is>
      </c>
      <c r="E887" t="inlineStr">
        <is>
          <t>TIMRÅ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6394-2025</t>
        </is>
      </c>
      <c r="B888" s="1" t="n">
        <v>45699</v>
      </c>
      <c r="C888" s="1" t="n">
        <v>45809</v>
      </c>
      <c r="D888" t="inlineStr">
        <is>
          <t>VÄSTERNORRLANDS LÄN</t>
        </is>
      </c>
      <c r="E888" t="inlineStr">
        <is>
          <t>TIMRÅ</t>
        </is>
      </c>
      <c r="G888" t="n">
        <v>2.9</v>
      </c>
      <c r="H888" t="n">
        <v>0</v>
      </c>
      <c r="I888" t="n">
        <v>0</v>
      </c>
      <c r="J888" t="n">
        <v>0</v>
      </c>
      <c r="K888" t="n">
        <v>0</v>
      </c>
      <c r="L888" t="n">
        <v>0</v>
      </c>
      <c r="M888" t="n">
        <v>0</v>
      </c>
      <c r="N888" t="n">
        <v>0</v>
      </c>
      <c r="O888" t="n">
        <v>0</v>
      </c>
      <c r="P888" t="n">
        <v>0</v>
      </c>
      <c r="Q888" t="n">
        <v>0</v>
      </c>
      <c r="R888" s="2" t="inlineStr"/>
    </row>
    <row r="889" ht="15" customHeight="1">
      <c r="A889" t="inlineStr">
        <is>
          <t>A 6424-2025</t>
        </is>
      </c>
      <c r="B889" s="1" t="n">
        <v>45699</v>
      </c>
      <c r="C889" s="1" t="n">
        <v>45809</v>
      </c>
      <c r="D889" t="inlineStr">
        <is>
          <t>VÄSTERNORRLANDS LÄN</t>
        </is>
      </c>
      <c r="E889" t="inlineStr">
        <is>
          <t>TIMRÅ</t>
        </is>
      </c>
      <c r="F889" t="inlineStr">
        <is>
          <t>SCA</t>
        </is>
      </c>
      <c r="G889" t="n">
        <v>15.7</v>
      </c>
      <c r="H889" t="n">
        <v>0</v>
      </c>
      <c r="I889" t="n">
        <v>0</v>
      </c>
      <c r="J889" t="n">
        <v>0</v>
      </c>
      <c r="K889" t="n">
        <v>0</v>
      </c>
      <c r="L889" t="n">
        <v>0</v>
      </c>
      <c r="M889" t="n">
        <v>0</v>
      </c>
      <c r="N889" t="n">
        <v>0</v>
      </c>
      <c r="O889" t="n">
        <v>0</v>
      </c>
      <c r="P889" t="n">
        <v>0</v>
      </c>
      <c r="Q889" t="n">
        <v>0</v>
      </c>
      <c r="R889" s="2" t="inlineStr"/>
    </row>
    <row r="890" ht="15" customHeight="1">
      <c r="A890" t="inlineStr">
        <is>
          <t>A 6814-2025</t>
        </is>
      </c>
      <c r="B890" s="1" t="n">
        <v>45700</v>
      </c>
      <c r="C890" s="1" t="n">
        <v>45809</v>
      </c>
      <c r="D890" t="inlineStr">
        <is>
          <t>VÄSTERNORRLANDS LÄN</t>
        </is>
      </c>
      <c r="E890" t="inlineStr">
        <is>
          <t>TIMRÅ</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7866-2025</t>
        </is>
      </c>
      <c r="B891" s="1" t="n">
        <v>45706</v>
      </c>
      <c r="C891" s="1" t="n">
        <v>45809</v>
      </c>
      <c r="D891" t="inlineStr">
        <is>
          <t>VÄSTERNORRLANDS LÄN</t>
        </is>
      </c>
      <c r="E891" t="inlineStr">
        <is>
          <t>TIMRÅ</t>
        </is>
      </c>
      <c r="F891" t="inlineStr">
        <is>
          <t>SCA</t>
        </is>
      </c>
      <c r="G891" t="n">
        <v>18.1</v>
      </c>
      <c r="H891" t="n">
        <v>0</v>
      </c>
      <c r="I891" t="n">
        <v>0</v>
      </c>
      <c r="J891" t="n">
        <v>0</v>
      </c>
      <c r="K891" t="n">
        <v>0</v>
      </c>
      <c r="L891" t="n">
        <v>0</v>
      </c>
      <c r="M891" t="n">
        <v>0</v>
      </c>
      <c r="N891" t="n">
        <v>0</v>
      </c>
      <c r="O891" t="n">
        <v>0</v>
      </c>
      <c r="P891" t="n">
        <v>0</v>
      </c>
      <c r="Q891" t="n">
        <v>0</v>
      </c>
      <c r="R891" s="2" t="inlineStr"/>
    </row>
    <row r="892" ht="15" customHeight="1">
      <c r="A892" t="inlineStr">
        <is>
          <t>A 8078-2025</t>
        </is>
      </c>
      <c r="B892" s="1" t="n">
        <v>45707</v>
      </c>
      <c r="C892" s="1" t="n">
        <v>45809</v>
      </c>
      <c r="D892" t="inlineStr">
        <is>
          <t>VÄSTERNORRLANDS LÄN</t>
        </is>
      </c>
      <c r="E892" t="inlineStr">
        <is>
          <t>TIMRÅ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7963-2025</t>
        </is>
      </c>
      <c r="B893" s="1" t="n">
        <v>45707</v>
      </c>
      <c r="C893" s="1" t="n">
        <v>45809</v>
      </c>
      <c r="D893" t="inlineStr">
        <is>
          <t>VÄSTERNORRLANDS LÄN</t>
        </is>
      </c>
      <c r="E893" t="inlineStr">
        <is>
          <t>TIMRÅ</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9717-2025</t>
        </is>
      </c>
      <c r="B894" s="1" t="n">
        <v>45716</v>
      </c>
      <c r="C894" s="1" t="n">
        <v>45809</v>
      </c>
      <c r="D894" t="inlineStr">
        <is>
          <t>VÄSTERNORRLANDS LÄN</t>
        </is>
      </c>
      <c r="E894" t="inlineStr">
        <is>
          <t>TIMRÅ</t>
        </is>
      </c>
      <c r="G894" t="n">
        <v>4.6</v>
      </c>
      <c r="H894" t="n">
        <v>0</v>
      </c>
      <c r="I894" t="n">
        <v>0</v>
      </c>
      <c r="J894" t="n">
        <v>0</v>
      </c>
      <c r="K894" t="n">
        <v>0</v>
      </c>
      <c r="L894" t="n">
        <v>0</v>
      </c>
      <c r="M894" t="n">
        <v>0</v>
      </c>
      <c r="N894" t="n">
        <v>0</v>
      </c>
      <c r="O894" t="n">
        <v>0</v>
      </c>
      <c r="P894" t="n">
        <v>0</v>
      </c>
      <c r="Q894" t="n">
        <v>0</v>
      </c>
      <c r="R894" s="2" t="inlineStr"/>
    </row>
    <row r="895" ht="15" customHeight="1">
      <c r="A895" t="inlineStr">
        <is>
          <t>A 10520-2025</t>
        </is>
      </c>
      <c r="B895" s="1" t="n">
        <v>45721</v>
      </c>
      <c r="C895" s="1" t="n">
        <v>45809</v>
      </c>
      <c r="D895" t="inlineStr">
        <is>
          <t>VÄSTERNORRLANDS LÄN</t>
        </is>
      </c>
      <c r="E895" t="inlineStr">
        <is>
          <t>TIMRÅ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10958-2025</t>
        </is>
      </c>
      <c r="B896" s="1" t="n">
        <v>45723</v>
      </c>
      <c r="C896" s="1" t="n">
        <v>45809</v>
      </c>
      <c r="D896" t="inlineStr">
        <is>
          <t>VÄSTERNORRLANDS LÄN</t>
        </is>
      </c>
      <c r="E896" t="inlineStr">
        <is>
          <t>TIMRÅ</t>
        </is>
      </c>
      <c r="G896" t="n">
        <v>0.9</v>
      </c>
      <c r="H896" t="n">
        <v>0</v>
      </c>
      <c r="I896" t="n">
        <v>0</v>
      </c>
      <c r="J896" t="n">
        <v>0</v>
      </c>
      <c r="K896" t="n">
        <v>0</v>
      </c>
      <c r="L896" t="n">
        <v>0</v>
      </c>
      <c r="M896" t="n">
        <v>0</v>
      </c>
      <c r="N896" t="n">
        <v>0</v>
      </c>
      <c r="O896" t="n">
        <v>0</v>
      </c>
      <c r="P896" t="n">
        <v>0</v>
      </c>
      <c r="Q896" t="n">
        <v>0</v>
      </c>
      <c r="R896" s="2" t="inlineStr"/>
    </row>
    <row r="897" ht="15" customHeight="1">
      <c r="A897" t="inlineStr">
        <is>
          <t>A 10947-2025</t>
        </is>
      </c>
      <c r="B897" s="1" t="n">
        <v>45723</v>
      </c>
      <c r="C897" s="1" t="n">
        <v>45809</v>
      </c>
      <c r="D897" t="inlineStr">
        <is>
          <t>VÄSTERNORRLANDS LÄN</t>
        </is>
      </c>
      <c r="E897" t="inlineStr">
        <is>
          <t>TIMRÅ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11625-2025</t>
        </is>
      </c>
      <c r="B898" s="1" t="n">
        <v>45727</v>
      </c>
      <c r="C898" s="1" t="n">
        <v>45809</v>
      </c>
      <c r="D898" t="inlineStr">
        <is>
          <t>VÄSTERNORRLANDS LÄN</t>
        </is>
      </c>
      <c r="E898" t="inlineStr">
        <is>
          <t>TIMRÅ</t>
        </is>
      </c>
      <c r="G898" t="n">
        <v>12.4</v>
      </c>
      <c r="H898" t="n">
        <v>0</v>
      </c>
      <c r="I898" t="n">
        <v>0</v>
      </c>
      <c r="J898" t="n">
        <v>0</v>
      </c>
      <c r="K898" t="n">
        <v>0</v>
      </c>
      <c r="L898" t="n">
        <v>0</v>
      </c>
      <c r="M898" t="n">
        <v>0</v>
      </c>
      <c r="N898" t="n">
        <v>0</v>
      </c>
      <c r="O898" t="n">
        <v>0</v>
      </c>
      <c r="P898" t="n">
        <v>0</v>
      </c>
      <c r="Q898" t="n">
        <v>0</v>
      </c>
      <c r="R898" s="2" t="inlineStr"/>
    </row>
    <row r="899" ht="15" customHeight="1">
      <c r="A899" t="inlineStr">
        <is>
          <t>A 11631-2025</t>
        </is>
      </c>
      <c r="B899" s="1" t="n">
        <v>45727</v>
      </c>
      <c r="C899" s="1" t="n">
        <v>45809</v>
      </c>
      <c r="D899" t="inlineStr">
        <is>
          <t>VÄSTERNORRLANDS LÄN</t>
        </is>
      </c>
      <c r="E899" t="inlineStr">
        <is>
          <t>TIMRÅ</t>
        </is>
      </c>
      <c r="G899" t="n">
        <v>6.6</v>
      </c>
      <c r="H899" t="n">
        <v>0</v>
      </c>
      <c r="I899" t="n">
        <v>0</v>
      </c>
      <c r="J899" t="n">
        <v>0</v>
      </c>
      <c r="K899" t="n">
        <v>0</v>
      </c>
      <c r="L899" t="n">
        <v>0</v>
      </c>
      <c r="M899" t="n">
        <v>0</v>
      </c>
      <c r="N899" t="n">
        <v>0</v>
      </c>
      <c r="O899" t="n">
        <v>0</v>
      </c>
      <c r="P899" t="n">
        <v>0</v>
      </c>
      <c r="Q899" t="n">
        <v>0</v>
      </c>
      <c r="R899" s="2" t="inlineStr"/>
    </row>
    <row r="900" ht="15" customHeight="1">
      <c r="A900" t="inlineStr">
        <is>
          <t>A 12786-2025</t>
        </is>
      </c>
      <c r="B900" s="1" t="n">
        <v>45733</v>
      </c>
      <c r="C900" s="1" t="n">
        <v>45809</v>
      </c>
      <c r="D900" t="inlineStr">
        <is>
          <t>VÄSTERNORRLANDS LÄN</t>
        </is>
      </c>
      <c r="E900" t="inlineStr">
        <is>
          <t>TIMRÅ</t>
        </is>
      </c>
      <c r="G900" t="n">
        <v>1.3</v>
      </c>
      <c r="H900" t="n">
        <v>0</v>
      </c>
      <c r="I900" t="n">
        <v>0</v>
      </c>
      <c r="J900" t="n">
        <v>0</v>
      </c>
      <c r="K900" t="n">
        <v>0</v>
      </c>
      <c r="L900" t="n">
        <v>0</v>
      </c>
      <c r="M900" t="n">
        <v>0</v>
      </c>
      <c r="N900" t="n">
        <v>0</v>
      </c>
      <c r="O900" t="n">
        <v>0</v>
      </c>
      <c r="P900" t="n">
        <v>0</v>
      </c>
      <c r="Q900" t="n">
        <v>0</v>
      </c>
      <c r="R900" s="2" t="inlineStr"/>
    </row>
    <row r="901" ht="15" customHeight="1">
      <c r="A901" t="inlineStr">
        <is>
          <t>A 13218-2025</t>
        </is>
      </c>
      <c r="B901" s="1" t="n">
        <v>45735</v>
      </c>
      <c r="C901" s="1" t="n">
        <v>45809</v>
      </c>
      <c r="D901" t="inlineStr">
        <is>
          <t>VÄSTERNORRLANDS LÄN</t>
        </is>
      </c>
      <c r="E901" t="inlineStr">
        <is>
          <t>TIMRÅ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13316-2025</t>
        </is>
      </c>
      <c r="B902" s="1" t="n">
        <v>45735</v>
      </c>
      <c r="C902" s="1" t="n">
        <v>45809</v>
      </c>
      <c r="D902" t="inlineStr">
        <is>
          <t>VÄSTERNORRLANDS LÄN</t>
        </is>
      </c>
      <c r="E902" t="inlineStr">
        <is>
          <t>TIMRÅ</t>
        </is>
      </c>
      <c r="F902" t="inlineStr">
        <is>
          <t>SCA</t>
        </is>
      </c>
      <c r="G902" t="n">
        <v>11.7</v>
      </c>
      <c r="H902" t="n">
        <v>0</v>
      </c>
      <c r="I902" t="n">
        <v>0</v>
      </c>
      <c r="J902" t="n">
        <v>0</v>
      </c>
      <c r="K902" t="n">
        <v>0</v>
      </c>
      <c r="L902" t="n">
        <v>0</v>
      </c>
      <c r="M902" t="n">
        <v>0</v>
      </c>
      <c r="N902" t="n">
        <v>0</v>
      </c>
      <c r="O902" t="n">
        <v>0</v>
      </c>
      <c r="P902" t="n">
        <v>0</v>
      </c>
      <c r="Q902" t="n">
        <v>0</v>
      </c>
      <c r="R902" s="2" t="inlineStr"/>
    </row>
    <row r="903" ht="15" customHeight="1">
      <c r="A903" t="inlineStr">
        <is>
          <t>A 13251-2025</t>
        </is>
      </c>
      <c r="B903" s="1" t="n">
        <v>45735</v>
      </c>
      <c r="C903" s="1" t="n">
        <v>45809</v>
      </c>
      <c r="D903" t="inlineStr">
        <is>
          <t>VÄSTERNORRLANDS LÄN</t>
        </is>
      </c>
      <c r="E903" t="inlineStr">
        <is>
          <t>TIMRÅ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13642-2025</t>
        </is>
      </c>
      <c r="B904" s="1" t="n">
        <v>45736</v>
      </c>
      <c r="C904" s="1" t="n">
        <v>45809</v>
      </c>
      <c r="D904" t="inlineStr">
        <is>
          <t>VÄSTERNORRLANDS LÄN</t>
        </is>
      </c>
      <c r="E904" t="inlineStr">
        <is>
          <t>TIMRÅ</t>
        </is>
      </c>
      <c r="G904" t="n">
        <v>4.9</v>
      </c>
      <c r="H904" t="n">
        <v>0</v>
      </c>
      <c r="I904" t="n">
        <v>0</v>
      </c>
      <c r="J904" t="n">
        <v>0</v>
      </c>
      <c r="K904" t="n">
        <v>0</v>
      </c>
      <c r="L904" t="n">
        <v>0</v>
      </c>
      <c r="M904" t="n">
        <v>0</v>
      </c>
      <c r="N904" t="n">
        <v>0</v>
      </c>
      <c r="O904" t="n">
        <v>0</v>
      </c>
      <c r="P904" t="n">
        <v>0</v>
      </c>
      <c r="Q904" t="n">
        <v>0</v>
      </c>
      <c r="R904" s="2" t="inlineStr"/>
    </row>
    <row r="905" ht="15" customHeight="1">
      <c r="A905" t="inlineStr">
        <is>
          <t>A 13862-2025</t>
        </is>
      </c>
      <c r="B905" s="1" t="n">
        <v>45737</v>
      </c>
      <c r="C905" s="1" t="n">
        <v>45809</v>
      </c>
      <c r="D905" t="inlineStr">
        <is>
          <t>VÄSTERNORRLANDS LÄN</t>
        </is>
      </c>
      <c r="E905" t="inlineStr">
        <is>
          <t>TIMRÅ</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13861-2025</t>
        </is>
      </c>
      <c r="B906" s="1" t="n">
        <v>45737</v>
      </c>
      <c r="C906" s="1" t="n">
        <v>45809</v>
      </c>
      <c r="D906" t="inlineStr">
        <is>
          <t>VÄSTERNORRLANDS LÄN</t>
        </is>
      </c>
      <c r="E906" t="inlineStr">
        <is>
          <t>TIMRÅ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14926-2025</t>
        </is>
      </c>
      <c r="B907" s="1" t="n">
        <v>45743</v>
      </c>
      <c r="C907" s="1" t="n">
        <v>45809</v>
      </c>
      <c r="D907" t="inlineStr">
        <is>
          <t>VÄSTERNORRLANDS LÄN</t>
        </is>
      </c>
      <c r="E907" t="inlineStr">
        <is>
          <t>TIMRÅ</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14955-2025</t>
        </is>
      </c>
      <c r="B908" s="1" t="n">
        <v>45743</v>
      </c>
      <c r="C908" s="1" t="n">
        <v>45809</v>
      </c>
      <c r="D908" t="inlineStr">
        <is>
          <t>VÄSTERNORRLANDS LÄN</t>
        </is>
      </c>
      <c r="E908" t="inlineStr">
        <is>
          <t>TIMRÅ</t>
        </is>
      </c>
      <c r="G908" t="n">
        <v>0.8</v>
      </c>
      <c r="H908" t="n">
        <v>0</v>
      </c>
      <c r="I908" t="n">
        <v>0</v>
      </c>
      <c r="J908" t="n">
        <v>0</v>
      </c>
      <c r="K908" t="n">
        <v>0</v>
      </c>
      <c r="L908" t="n">
        <v>0</v>
      </c>
      <c r="M908" t="n">
        <v>0</v>
      </c>
      <c r="N908" t="n">
        <v>0</v>
      </c>
      <c r="O908" t="n">
        <v>0</v>
      </c>
      <c r="P908" t="n">
        <v>0</v>
      </c>
      <c r="Q908" t="n">
        <v>0</v>
      </c>
      <c r="R908" s="2" t="inlineStr"/>
    </row>
    <row r="909" ht="15" customHeight="1">
      <c r="A909" t="inlineStr">
        <is>
          <t>A 16084-2025</t>
        </is>
      </c>
      <c r="B909" s="1" t="n">
        <v>45749</v>
      </c>
      <c r="C909" s="1" t="n">
        <v>45809</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16302-2025</t>
        </is>
      </c>
      <c r="B910" s="1" t="n">
        <v>45751</v>
      </c>
      <c r="C910" s="1" t="n">
        <v>45809</v>
      </c>
      <c r="D910" t="inlineStr">
        <is>
          <t>VÄSTERNORRLANDS LÄN</t>
        </is>
      </c>
      <c r="E910" t="inlineStr">
        <is>
          <t>TIMRÅ</t>
        </is>
      </c>
      <c r="F910" t="inlineStr">
        <is>
          <t>SCA</t>
        </is>
      </c>
      <c r="G910" t="n">
        <v>0.3</v>
      </c>
      <c r="H910" t="n">
        <v>0</v>
      </c>
      <c r="I910" t="n">
        <v>0</v>
      </c>
      <c r="J910" t="n">
        <v>0</v>
      </c>
      <c r="K910" t="n">
        <v>0</v>
      </c>
      <c r="L910" t="n">
        <v>0</v>
      </c>
      <c r="M910" t="n">
        <v>0</v>
      </c>
      <c r="N910" t="n">
        <v>0</v>
      </c>
      <c r="O910" t="n">
        <v>0</v>
      </c>
      <c r="P910" t="n">
        <v>0</v>
      </c>
      <c r="Q910" t="n">
        <v>0</v>
      </c>
      <c r="R910" s="2" t="inlineStr"/>
    </row>
    <row r="911" ht="15" customHeight="1">
      <c r="A911" t="inlineStr">
        <is>
          <t>A 16935-2025</t>
        </is>
      </c>
      <c r="B911" s="1" t="n">
        <v>45755</v>
      </c>
      <c r="C911" s="1" t="n">
        <v>45809</v>
      </c>
      <c r="D911" t="inlineStr">
        <is>
          <t>VÄSTERNORRLANDS LÄN</t>
        </is>
      </c>
      <c r="E911" t="inlineStr">
        <is>
          <t>TIMRÅ</t>
        </is>
      </c>
      <c r="G911" t="n">
        <v>3.6</v>
      </c>
      <c r="H911" t="n">
        <v>0</v>
      </c>
      <c r="I911" t="n">
        <v>0</v>
      </c>
      <c r="J911" t="n">
        <v>0</v>
      </c>
      <c r="K911" t="n">
        <v>0</v>
      </c>
      <c r="L911" t="n">
        <v>0</v>
      </c>
      <c r="M911" t="n">
        <v>0</v>
      </c>
      <c r="N911" t="n">
        <v>0</v>
      </c>
      <c r="O911" t="n">
        <v>0</v>
      </c>
      <c r="P911" t="n">
        <v>0</v>
      </c>
      <c r="Q911" t="n">
        <v>0</v>
      </c>
      <c r="R911" s="2" t="inlineStr"/>
    </row>
    <row r="912" ht="15" customHeight="1">
      <c r="A912" t="inlineStr">
        <is>
          <t>A 18130-2025</t>
        </is>
      </c>
      <c r="B912" s="1" t="n">
        <v>45761</v>
      </c>
      <c r="C912" s="1" t="n">
        <v>45809</v>
      </c>
      <c r="D912" t="inlineStr">
        <is>
          <t>VÄSTERNORRLANDS LÄN</t>
        </is>
      </c>
      <c r="E912" t="inlineStr">
        <is>
          <t>TIMRÅ</t>
        </is>
      </c>
      <c r="G912" t="n">
        <v>3.1</v>
      </c>
      <c r="H912" t="n">
        <v>0</v>
      </c>
      <c r="I912" t="n">
        <v>0</v>
      </c>
      <c r="J912" t="n">
        <v>0</v>
      </c>
      <c r="K912" t="n">
        <v>0</v>
      </c>
      <c r="L912" t="n">
        <v>0</v>
      </c>
      <c r="M912" t="n">
        <v>0</v>
      </c>
      <c r="N912" t="n">
        <v>0</v>
      </c>
      <c r="O912" t="n">
        <v>0</v>
      </c>
      <c r="P912" t="n">
        <v>0</v>
      </c>
      <c r="Q912" t="n">
        <v>0</v>
      </c>
      <c r="R912" s="2" t="inlineStr"/>
    </row>
    <row r="913" ht="15" customHeight="1">
      <c r="A913" t="inlineStr">
        <is>
          <t>A 17974-2025</t>
        </is>
      </c>
      <c r="B913" s="1" t="n">
        <v>45761</v>
      </c>
      <c r="C913" s="1" t="n">
        <v>45809</v>
      </c>
      <c r="D913" t="inlineStr">
        <is>
          <t>VÄSTERNORRLANDS LÄN</t>
        </is>
      </c>
      <c r="E913" t="inlineStr">
        <is>
          <t>TIMRÅ</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18415-2025</t>
        </is>
      </c>
      <c r="B914" s="1" t="n">
        <v>45762</v>
      </c>
      <c r="C914" s="1" t="n">
        <v>45809</v>
      </c>
      <c r="D914" t="inlineStr">
        <is>
          <t>VÄSTERNORRLANDS LÄN</t>
        </is>
      </c>
      <c r="E914" t="inlineStr">
        <is>
          <t>TIMRÅ</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18375-2025</t>
        </is>
      </c>
      <c r="B915" s="1" t="n">
        <v>45762</v>
      </c>
      <c r="C915" s="1" t="n">
        <v>45809</v>
      </c>
      <c r="D915" t="inlineStr">
        <is>
          <t>VÄSTERNORRLANDS LÄN</t>
        </is>
      </c>
      <c r="E915" t="inlineStr">
        <is>
          <t>TIMRÅ</t>
        </is>
      </c>
      <c r="G915" t="n">
        <v>0.5</v>
      </c>
      <c r="H915" t="n">
        <v>0</v>
      </c>
      <c r="I915" t="n">
        <v>0</v>
      </c>
      <c r="J915" t="n">
        <v>0</v>
      </c>
      <c r="K915" t="n">
        <v>0</v>
      </c>
      <c r="L915" t="n">
        <v>0</v>
      </c>
      <c r="M915" t="n">
        <v>0</v>
      </c>
      <c r="N915" t="n">
        <v>0</v>
      </c>
      <c r="O915" t="n">
        <v>0</v>
      </c>
      <c r="P915" t="n">
        <v>0</v>
      </c>
      <c r="Q915" t="n">
        <v>0</v>
      </c>
      <c r="R915" s="2" t="inlineStr"/>
    </row>
    <row r="916" ht="15" customHeight="1">
      <c r="A916" t="inlineStr">
        <is>
          <t>A 18814-2025</t>
        </is>
      </c>
      <c r="B916" s="1" t="n">
        <v>45764</v>
      </c>
      <c r="C916" s="1" t="n">
        <v>45809</v>
      </c>
      <c r="D916" t="inlineStr">
        <is>
          <t>VÄSTERNORRLANDS LÄN</t>
        </is>
      </c>
      <c r="E916" t="inlineStr">
        <is>
          <t>TIMRÅ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18824-2025</t>
        </is>
      </c>
      <c r="B917" s="1" t="n">
        <v>45764</v>
      </c>
      <c r="C917" s="1" t="n">
        <v>45809</v>
      </c>
      <c r="D917" t="inlineStr">
        <is>
          <t>VÄSTERNORRLANDS LÄN</t>
        </is>
      </c>
      <c r="E917" t="inlineStr">
        <is>
          <t>TIMRÅ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19341-2025</t>
        </is>
      </c>
      <c r="B918" s="1" t="n">
        <v>45769</v>
      </c>
      <c r="C918" s="1" t="n">
        <v>45809</v>
      </c>
      <c r="D918" t="inlineStr">
        <is>
          <t>VÄSTERNORRLANDS LÄN</t>
        </is>
      </c>
      <c r="E918" t="inlineStr">
        <is>
          <t>TIMRÅ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19371-2025</t>
        </is>
      </c>
      <c r="B919" s="1" t="n">
        <v>45769</v>
      </c>
      <c r="C919" s="1" t="n">
        <v>45809</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21286-2025</t>
        </is>
      </c>
      <c r="B920" s="1" t="n">
        <v>45779</v>
      </c>
      <c r="C920" s="1" t="n">
        <v>45809</v>
      </c>
      <c r="D920" t="inlineStr">
        <is>
          <t>VÄSTERNORRLANDS LÄN</t>
        </is>
      </c>
      <c r="E920" t="inlineStr">
        <is>
          <t>TIMRÅ</t>
        </is>
      </c>
      <c r="F920" t="inlineStr">
        <is>
          <t>SCA</t>
        </is>
      </c>
      <c r="G920" t="n">
        <v>8.9</v>
      </c>
      <c r="H920" t="n">
        <v>0</v>
      </c>
      <c r="I920" t="n">
        <v>0</v>
      </c>
      <c r="J920" t="n">
        <v>0</v>
      </c>
      <c r="K920" t="n">
        <v>0</v>
      </c>
      <c r="L920" t="n">
        <v>0</v>
      </c>
      <c r="M920" t="n">
        <v>0</v>
      </c>
      <c r="N920" t="n">
        <v>0</v>
      </c>
      <c r="O920" t="n">
        <v>0</v>
      </c>
      <c r="P920" t="n">
        <v>0</v>
      </c>
      <c r="Q920" t="n">
        <v>0</v>
      </c>
      <c r="R920" s="2" t="inlineStr"/>
    </row>
    <row r="921" ht="15" customHeight="1">
      <c r="A921" t="inlineStr">
        <is>
          <t>A 21483-2025</t>
        </is>
      </c>
      <c r="B921" s="1" t="n">
        <v>45782</v>
      </c>
      <c r="C921" s="1" t="n">
        <v>45809</v>
      </c>
      <c r="D921" t="inlineStr">
        <is>
          <t>VÄSTERNORRLANDS LÄN</t>
        </is>
      </c>
      <c r="E921" t="inlineStr">
        <is>
          <t>TIMRÅ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21760-2025</t>
        </is>
      </c>
      <c r="B922" s="1" t="n">
        <v>45783</v>
      </c>
      <c r="C922" s="1" t="n">
        <v>45809</v>
      </c>
      <c r="D922" t="inlineStr">
        <is>
          <t>VÄSTERNORRLANDS LÄN</t>
        </is>
      </c>
      <c r="E922" t="inlineStr">
        <is>
          <t>TIMRÅ</t>
        </is>
      </c>
      <c r="G922" t="n">
        <v>1.5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45809</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45809</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45809</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21998-2025</t>
        </is>
      </c>
      <c r="B926" s="1" t="n">
        <v>45784</v>
      </c>
      <c r="C926" s="1" t="n">
        <v>45809</v>
      </c>
      <c r="D926" t="inlineStr">
        <is>
          <t>VÄSTERNORRLANDS LÄN</t>
        </is>
      </c>
      <c r="E926" t="inlineStr">
        <is>
          <t>TIMRÅ</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21929-2025</t>
        </is>
      </c>
      <c r="B927" s="1" t="n">
        <v>45784</v>
      </c>
      <c r="C927" s="1" t="n">
        <v>45809</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22240-2025</t>
        </is>
      </c>
      <c r="B928" s="1" t="n">
        <v>45785</v>
      </c>
      <c r="C928" s="1" t="n">
        <v>45809</v>
      </c>
      <c r="D928" t="inlineStr">
        <is>
          <t>VÄSTERNORRLANDS LÄN</t>
        </is>
      </c>
      <c r="E928" t="inlineStr">
        <is>
          <t>TIMRÅ</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22389-2025</t>
        </is>
      </c>
      <c r="B929" s="1" t="n">
        <v>45786</v>
      </c>
      <c r="C929" s="1" t="n">
        <v>45809</v>
      </c>
      <c r="D929" t="inlineStr">
        <is>
          <t>VÄSTERNORRLANDS LÄN</t>
        </is>
      </c>
      <c r="E929" t="inlineStr">
        <is>
          <t>TIMRÅ</t>
        </is>
      </c>
      <c r="F929" t="inlineStr">
        <is>
          <t>SCA</t>
        </is>
      </c>
      <c r="G929" t="n">
        <v>36.5</v>
      </c>
      <c r="H929" t="n">
        <v>0</v>
      </c>
      <c r="I929" t="n">
        <v>0</v>
      </c>
      <c r="J929" t="n">
        <v>0</v>
      </c>
      <c r="K929" t="n">
        <v>0</v>
      </c>
      <c r="L929" t="n">
        <v>0</v>
      </c>
      <c r="M929" t="n">
        <v>0</v>
      </c>
      <c r="N929" t="n">
        <v>0</v>
      </c>
      <c r="O929" t="n">
        <v>0</v>
      </c>
      <c r="P929" t="n">
        <v>0</v>
      </c>
      <c r="Q929" t="n">
        <v>0</v>
      </c>
      <c r="R929" s="2" t="inlineStr"/>
    </row>
    <row r="930" ht="15" customHeight="1">
      <c r="A930" t="inlineStr">
        <is>
          <t>A 22821-2025</t>
        </is>
      </c>
      <c r="B930" s="1" t="n">
        <v>45789</v>
      </c>
      <c r="C930" s="1" t="n">
        <v>45809</v>
      </c>
      <c r="D930" t="inlineStr">
        <is>
          <t>VÄSTERNORRLANDS LÄN</t>
        </is>
      </c>
      <c r="E930" t="inlineStr">
        <is>
          <t>TIMRÅ</t>
        </is>
      </c>
      <c r="G930" t="n">
        <v>1.2</v>
      </c>
      <c r="H930" t="n">
        <v>0</v>
      </c>
      <c r="I930" t="n">
        <v>0</v>
      </c>
      <c r="J930" t="n">
        <v>0</v>
      </c>
      <c r="K930" t="n">
        <v>0</v>
      </c>
      <c r="L930" t="n">
        <v>0</v>
      </c>
      <c r="M930" t="n">
        <v>0</v>
      </c>
      <c r="N930" t="n">
        <v>0</v>
      </c>
      <c r="O930" t="n">
        <v>0</v>
      </c>
      <c r="P930" t="n">
        <v>0</v>
      </c>
      <c r="Q930" t="n">
        <v>0</v>
      </c>
      <c r="R930" s="2" t="inlineStr"/>
    </row>
    <row r="931" ht="15" customHeight="1">
      <c r="A931" t="inlineStr">
        <is>
          <t>A 22818-2025</t>
        </is>
      </c>
      <c r="B931" s="1" t="n">
        <v>45789</v>
      </c>
      <c r="C931" s="1" t="n">
        <v>45809</v>
      </c>
      <c r="D931" t="inlineStr">
        <is>
          <t>VÄSTERNORRLANDS LÄN</t>
        </is>
      </c>
      <c r="E931" t="inlineStr">
        <is>
          <t>TIMRÅ</t>
        </is>
      </c>
      <c r="G931" t="n">
        <v>2.8</v>
      </c>
      <c r="H931" t="n">
        <v>0</v>
      </c>
      <c r="I931" t="n">
        <v>0</v>
      </c>
      <c r="J931" t="n">
        <v>0</v>
      </c>
      <c r="K931" t="n">
        <v>0</v>
      </c>
      <c r="L931" t="n">
        <v>0</v>
      </c>
      <c r="M931" t="n">
        <v>0</v>
      </c>
      <c r="N931" t="n">
        <v>0</v>
      </c>
      <c r="O931" t="n">
        <v>0</v>
      </c>
      <c r="P931" t="n">
        <v>0</v>
      </c>
      <c r="Q931" t="n">
        <v>0</v>
      </c>
      <c r="R931" s="2" t="inlineStr"/>
    </row>
    <row r="932" ht="15" customHeight="1">
      <c r="A932" t="inlineStr">
        <is>
          <t>A 22820-2025</t>
        </is>
      </c>
      <c r="B932" s="1" t="n">
        <v>45789</v>
      </c>
      <c r="C932" s="1" t="n">
        <v>45809</v>
      </c>
      <c r="D932" t="inlineStr">
        <is>
          <t>VÄSTERNORRLANDS LÄN</t>
        </is>
      </c>
      <c r="E932" t="inlineStr">
        <is>
          <t>TIMRÅ</t>
        </is>
      </c>
      <c r="G932" t="n">
        <v>1.1</v>
      </c>
      <c r="H932" t="n">
        <v>0</v>
      </c>
      <c r="I932" t="n">
        <v>0</v>
      </c>
      <c r="J932" t="n">
        <v>0</v>
      </c>
      <c r="K932" t="n">
        <v>0</v>
      </c>
      <c r="L932" t="n">
        <v>0</v>
      </c>
      <c r="M932" t="n">
        <v>0</v>
      </c>
      <c r="N932" t="n">
        <v>0</v>
      </c>
      <c r="O932" t="n">
        <v>0</v>
      </c>
      <c r="P932" t="n">
        <v>0</v>
      </c>
      <c r="Q932" t="n">
        <v>0</v>
      </c>
      <c r="R932" s="2" t="inlineStr"/>
    </row>
    <row r="933" ht="15" customHeight="1">
      <c r="A933" t="inlineStr">
        <is>
          <t>A 22668-2025</t>
        </is>
      </c>
      <c r="B933" s="1" t="n">
        <v>45789</v>
      </c>
      <c r="C933" s="1" t="n">
        <v>45809</v>
      </c>
      <c r="D933" t="inlineStr">
        <is>
          <t>VÄSTERNORRLANDS LÄN</t>
        </is>
      </c>
      <c r="E933" t="inlineStr">
        <is>
          <t>TIMRÅ</t>
        </is>
      </c>
      <c r="F933" t="inlineStr">
        <is>
          <t>SCA</t>
        </is>
      </c>
      <c r="G933" t="n">
        <v>10.7</v>
      </c>
      <c r="H933" t="n">
        <v>0</v>
      </c>
      <c r="I933" t="n">
        <v>0</v>
      </c>
      <c r="J933" t="n">
        <v>0</v>
      </c>
      <c r="K933" t="n">
        <v>0</v>
      </c>
      <c r="L933" t="n">
        <v>0</v>
      </c>
      <c r="M933" t="n">
        <v>0</v>
      </c>
      <c r="N933" t="n">
        <v>0</v>
      </c>
      <c r="O933" t="n">
        <v>0</v>
      </c>
      <c r="P933" t="n">
        <v>0</v>
      </c>
      <c r="Q933" t="n">
        <v>0</v>
      </c>
      <c r="R933" s="2" t="inlineStr"/>
    </row>
    <row r="934" ht="15" customHeight="1">
      <c r="A934" t="inlineStr">
        <is>
          <t>A 22855-2025</t>
        </is>
      </c>
      <c r="B934" s="1" t="n">
        <v>45790</v>
      </c>
      <c r="C934" s="1" t="n">
        <v>45809</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23030-2025</t>
        </is>
      </c>
      <c r="B935" s="1" t="n">
        <v>45790</v>
      </c>
      <c r="C935" s="1" t="n">
        <v>45809</v>
      </c>
      <c r="D935" t="inlineStr">
        <is>
          <t>VÄSTERNORRLANDS LÄN</t>
        </is>
      </c>
      <c r="E935" t="inlineStr">
        <is>
          <t>TIMRÅ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23247-2025</t>
        </is>
      </c>
      <c r="B936" s="1" t="n">
        <v>45791</v>
      </c>
      <c r="C936" s="1" t="n">
        <v>45809</v>
      </c>
      <c r="D936" t="inlineStr">
        <is>
          <t>VÄSTERNORRLANDS LÄN</t>
        </is>
      </c>
      <c r="E936" t="inlineStr">
        <is>
          <t>TIMRÅ</t>
        </is>
      </c>
      <c r="G936" t="n">
        <v>0.8</v>
      </c>
      <c r="H936" t="n">
        <v>0</v>
      </c>
      <c r="I936" t="n">
        <v>0</v>
      </c>
      <c r="J936" t="n">
        <v>0</v>
      </c>
      <c r="K936" t="n">
        <v>0</v>
      </c>
      <c r="L936" t="n">
        <v>0</v>
      </c>
      <c r="M936" t="n">
        <v>0</v>
      </c>
      <c r="N936" t="n">
        <v>0</v>
      </c>
      <c r="O936" t="n">
        <v>0</v>
      </c>
      <c r="P936" t="n">
        <v>0</v>
      </c>
      <c r="Q936" t="n">
        <v>0</v>
      </c>
      <c r="R936" s="2" t="inlineStr"/>
    </row>
    <row r="937" ht="15" customHeight="1">
      <c r="A937" t="inlineStr">
        <is>
          <t>A 23346-2025</t>
        </is>
      </c>
      <c r="B937" s="1" t="n">
        <v>45791</v>
      </c>
      <c r="C937" s="1" t="n">
        <v>45809</v>
      </c>
      <c r="D937" t="inlineStr">
        <is>
          <t>VÄSTERNORRLANDS LÄN</t>
        </is>
      </c>
      <c r="E937" t="inlineStr">
        <is>
          <t>TIMRÅ</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23248-2025</t>
        </is>
      </c>
      <c r="B938" s="1" t="n">
        <v>45791</v>
      </c>
      <c r="C938" s="1" t="n">
        <v>45809</v>
      </c>
      <c r="D938" t="inlineStr">
        <is>
          <t>VÄSTERNORRLANDS LÄN</t>
        </is>
      </c>
      <c r="E938" t="inlineStr">
        <is>
          <t>TIMRÅ</t>
        </is>
      </c>
      <c r="G938" t="n">
        <v>1.2</v>
      </c>
      <c r="H938" t="n">
        <v>0</v>
      </c>
      <c r="I938" t="n">
        <v>0</v>
      </c>
      <c r="J938" t="n">
        <v>0</v>
      </c>
      <c r="K938" t="n">
        <v>0</v>
      </c>
      <c r="L938" t="n">
        <v>0</v>
      </c>
      <c r="M938" t="n">
        <v>0</v>
      </c>
      <c r="N938" t="n">
        <v>0</v>
      </c>
      <c r="O938" t="n">
        <v>0</v>
      </c>
      <c r="P938" t="n">
        <v>0</v>
      </c>
      <c r="Q938" t="n">
        <v>0</v>
      </c>
      <c r="R938" s="2" t="inlineStr"/>
    </row>
    <row r="939" ht="15" customHeight="1">
      <c r="A939" t="inlineStr">
        <is>
          <t>A 23173-2025</t>
        </is>
      </c>
      <c r="B939" s="1" t="n">
        <v>45791</v>
      </c>
      <c r="C939" s="1" t="n">
        <v>45809</v>
      </c>
      <c r="D939" t="inlineStr">
        <is>
          <t>VÄSTERNORRLANDS LÄN</t>
        </is>
      </c>
      <c r="E939" t="inlineStr">
        <is>
          <t>TIMRÅ</t>
        </is>
      </c>
      <c r="G939" t="n">
        <v>2.3</v>
      </c>
      <c r="H939" t="n">
        <v>0</v>
      </c>
      <c r="I939" t="n">
        <v>0</v>
      </c>
      <c r="J939" t="n">
        <v>0</v>
      </c>
      <c r="K939" t="n">
        <v>0</v>
      </c>
      <c r="L939" t="n">
        <v>0</v>
      </c>
      <c r="M939" t="n">
        <v>0</v>
      </c>
      <c r="N939" t="n">
        <v>0</v>
      </c>
      <c r="O939" t="n">
        <v>0</v>
      </c>
      <c r="P939" t="n">
        <v>0</v>
      </c>
      <c r="Q939" t="n">
        <v>0</v>
      </c>
      <c r="R939" s="2" t="inlineStr"/>
      <c r="U939">
        <f>HYPERLINK("https://klasma.github.io/Logging_222262/knärot/A 23173-2025 karta knärot.png", "A 23173-2025")</f>
        <v/>
      </c>
      <c r="V939">
        <f>HYPERLINK("https://klasma.github.io/Logging_222262/klagomål/A 23173-2025 FSC-klagomål.docx", "A 23173-2025")</f>
        <v/>
      </c>
      <c r="W939">
        <f>HYPERLINK("https://klasma.github.io/Logging_222262/klagomålsmail/A 23173-2025 FSC-klagomål mail.docx", "A 23173-2025")</f>
        <v/>
      </c>
      <c r="X939">
        <f>HYPERLINK("https://klasma.github.io/Logging_222262/tillsyn/A 23173-2025 tillsynsbegäran.docx", "A 23173-2025")</f>
        <v/>
      </c>
      <c r="Y939">
        <f>HYPERLINK("https://klasma.github.io/Logging_222262/tillsynsmail/A 23173-2025 tillsynsbegäran mail.docx", "A 23173-2025")</f>
        <v/>
      </c>
    </row>
    <row r="940" ht="15" customHeight="1">
      <c r="A940" t="inlineStr">
        <is>
          <t>A 23839-2025</t>
        </is>
      </c>
      <c r="B940" s="1" t="n">
        <v>45793</v>
      </c>
      <c r="C940" s="1" t="n">
        <v>45809</v>
      </c>
      <c r="D940" t="inlineStr">
        <is>
          <t>VÄSTERNORRLANDS LÄN</t>
        </is>
      </c>
      <c r="E940" t="inlineStr">
        <is>
          <t>TIMRÅ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23957-2025</t>
        </is>
      </c>
      <c r="B941" s="1" t="n">
        <v>45796</v>
      </c>
      <c r="C941" s="1" t="n">
        <v>45809</v>
      </c>
      <c r="D941" t="inlineStr">
        <is>
          <t>VÄSTERNORRLANDS LÄN</t>
        </is>
      </c>
      <c r="E941" t="inlineStr">
        <is>
          <t>TIMRÅ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24529-2025</t>
        </is>
      </c>
      <c r="B942" s="1" t="n">
        <v>45798</v>
      </c>
      <c r="C942" s="1" t="n">
        <v>45809</v>
      </c>
      <c r="D942" t="inlineStr">
        <is>
          <t>VÄSTERNORRLANDS LÄN</t>
        </is>
      </c>
      <c r="E942" t="inlineStr">
        <is>
          <t>TIMRÅ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25190-2025</t>
        </is>
      </c>
      <c r="B943" s="1" t="n">
        <v>45798</v>
      </c>
      <c r="C943" s="1" t="n">
        <v>45809</v>
      </c>
      <c r="D943" t="inlineStr">
        <is>
          <t>VÄSTERNORRLANDS LÄN</t>
        </is>
      </c>
      <c r="E943" t="inlineStr">
        <is>
          <t>TIMRÅ</t>
        </is>
      </c>
      <c r="G943" t="n">
        <v>1.7</v>
      </c>
      <c r="H943" t="n">
        <v>0</v>
      </c>
      <c r="I943" t="n">
        <v>0</v>
      </c>
      <c r="J943" t="n">
        <v>0</v>
      </c>
      <c r="K943" t="n">
        <v>0</v>
      </c>
      <c r="L943" t="n">
        <v>0</v>
      </c>
      <c r="M943" t="n">
        <v>0</v>
      </c>
      <c r="N943" t="n">
        <v>0</v>
      </c>
      <c r="O943" t="n">
        <v>0</v>
      </c>
      <c r="P943" t="n">
        <v>0</v>
      </c>
      <c r="Q943" t="n">
        <v>0</v>
      </c>
      <c r="R943" s="2" t="inlineStr"/>
    </row>
    <row r="944" ht="15" customHeight="1">
      <c r="A944" t="inlineStr">
        <is>
          <t>A 25427-2025</t>
        </is>
      </c>
      <c r="B944" s="1" t="n">
        <v>45800</v>
      </c>
      <c r="C944" s="1" t="n">
        <v>45809</v>
      </c>
      <c r="D944" t="inlineStr">
        <is>
          <t>VÄSTERNORRLANDS LÄN</t>
        </is>
      </c>
      <c r="E944" t="inlineStr">
        <is>
          <t>TIMRÅ</t>
        </is>
      </c>
      <c r="G944" t="n">
        <v>7.2</v>
      </c>
      <c r="H944" t="n">
        <v>0</v>
      </c>
      <c r="I944" t="n">
        <v>0</v>
      </c>
      <c r="J944" t="n">
        <v>0</v>
      </c>
      <c r="K944" t="n">
        <v>0</v>
      </c>
      <c r="L944" t="n">
        <v>0</v>
      </c>
      <c r="M944" t="n">
        <v>0</v>
      </c>
      <c r="N944" t="n">
        <v>0</v>
      </c>
      <c r="O944" t="n">
        <v>0</v>
      </c>
      <c r="P944" t="n">
        <v>0</v>
      </c>
      <c r="Q944" t="n">
        <v>0</v>
      </c>
      <c r="R944" s="2" t="inlineStr"/>
    </row>
    <row r="945" ht="15" customHeight="1">
      <c r="A945" t="inlineStr">
        <is>
          <t>A 25782-2025</t>
        </is>
      </c>
      <c r="B945" s="1" t="n">
        <v>45804</v>
      </c>
      <c r="C945" s="1" t="n">
        <v>45809</v>
      </c>
      <c r="D945" t="inlineStr">
        <is>
          <t>VÄSTERNORRLANDS LÄN</t>
        </is>
      </c>
      <c r="E945" t="inlineStr">
        <is>
          <t>TIMRÅ</t>
        </is>
      </c>
      <c r="F945" t="inlineStr">
        <is>
          <t>SCA</t>
        </is>
      </c>
      <c r="G945" t="n">
        <v>22.3</v>
      </c>
      <c r="H945" t="n">
        <v>0</v>
      </c>
      <c r="I945" t="n">
        <v>0</v>
      </c>
      <c r="J945" t="n">
        <v>0</v>
      </c>
      <c r="K945" t="n">
        <v>0</v>
      </c>
      <c r="L945" t="n">
        <v>0</v>
      </c>
      <c r="M945" t="n">
        <v>0</v>
      </c>
      <c r="N945" t="n">
        <v>0</v>
      </c>
      <c r="O945" t="n">
        <v>0</v>
      </c>
      <c r="P945" t="n">
        <v>0</v>
      </c>
      <c r="Q945" t="n">
        <v>0</v>
      </c>
      <c r="R945" s="2" t="inlineStr"/>
    </row>
    <row r="946">
      <c r="A946" t="inlineStr">
        <is>
          <t>A 26300-2025</t>
        </is>
      </c>
      <c r="B946" s="1" t="n">
        <v>45805</v>
      </c>
      <c r="C946" s="1" t="n">
        <v>45809</v>
      </c>
      <c r="D946" t="inlineStr">
        <is>
          <t>VÄSTERNORRLANDS LÄN</t>
        </is>
      </c>
      <c r="E946" t="inlineStr">
        <is>
          <t>TIMRÅ</t>
        </is>
      </c>
      <c r="F946" t="inlineStr">
        <is>
          <t>SCA</t>
        </is>
      </c>
      <c r="G946" t="n">
        <v>0.7</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2025-06-01T11:53:17Z</dcterms:created>
  <dcterms:modified xmlns:dcterms="http://purl.org/dc/terms/" xmlns:xsi="http://www.w3.org/2001/XMLSchema-instance" xsi:type="dcterms:W3CDTF">2025-06-01T11:53:18Z</dcterms:modified>
</cp:coreProperties>
</file>