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45986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45986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45986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45986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45986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45986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45986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45986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45986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45986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45986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45986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45986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45986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45986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45986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45986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45986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45986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45986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45986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45986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45986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45986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45986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45986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45986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45986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45986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45986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45986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28007-2023</t>
        </is>
      </c>
      <c r="B33" s="1" t="n">
        <v>45098</v>
      </c>
      <c r="C33" s="1" t="n">
        <v>45986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1.1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Spillkråka
Svart trolldruva
Kungsfågel
Nattviol</t>
        </is>
      </c>
      <c r="S33">
        <f>HYPERLINK("https://klasma.github.io/Logging_2262/artfynd/A 28007-2023 artfynd.xlsx", "A 28007-2023")</f>
        <v/>
      </c>
      <c r="T33">
        <f>HYPERLINK("https://klasma.github.io/Logging_2262/kartor/A 28007-2023 karta.png", "A 28007-2023")</f>
        <v/>
      </c>
      <c r="V33">
        <f>HYPERLINK("https://klasma.github.io/Logging_2262/klagomål/A 28007-2023 FSC-klagomål.docx", "A 28007-2023")</f>
        <v/>
      </c>
      <c r="W33">
        <f>HYPERLINK("https://klasma.github.io/Logging_2262/klagomålsmail/A 28007-2023 FSC-klagomål mail.docx", "A 28007-2023")</f>
        <v/>
      </c>
      <c r="X33">
        <f>HYPERLINK("https://klasma.github.io/Logging_2262/tillsyn/A 28007-2023 tillsynsbegäran.docx", "A 28007-2023")</f>
        <v/>
      </c>
      <c r="Y33">
        <f>HYPERLINK("https://klasma.github.io/Logging_2262/tillsynsmail/A 28007-2023 tillsynsbegäran mail.docx", "A 28007-2023")</f>
        <v/>
      </c>
      <c r="Z33">
        <f>HYPERLINK("https://klasma.github.io/Logging_2262/fåglar/A 28007-2023 prioriterade fågelarter.docx", "A 28007-2023")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45986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45986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11288-2024</t>
        </is>
      </c>
      <c r="B36" s="1" t="n">
        <v>45371</v>
      </c>
      <c r="C36" s="1" t="n">
        <v>45986</v>
      </c>
      <c r="D36" t="inlineStr">
        <is>
          <t>VÄSTERNORRLANDS LÄN</t>
        </is>
      </c>
      <c r="E36" t="inlineStr">
        <is>
          <t>TIMRÅ</t>
        </is>
      </c>
      <c r="G36" t="n">
        <v>2.4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Stor aspticka
Gråspett
Skogsduva</t>
        </is>
      </c>
      <c r="S36">
        <f>HYPERLINK("https://klasma.github.io/Logging_2262/artfynd/A 11288-2024 artfynd.xlsx", "A 11288-2024")</f>
        <v/>
      </c>
      <c r="T36">
        <f>HYPERLINK("https://klasma.github.io/Logging_2262/kartor/A 11288-2024 karta.png", "A 11288-2024")</f>
        <v/>
      </c>
      <c r="V36">
        <f>HYPERLINK("https://klasma.github.io/Logging_2262/klagomål/A 11288-2024 FSC-klagomål.docx", "A 11288-2024")</f>
        <v/>
      </c>
      <c r="W36">
        <f>HYPERLINK("https://klasma.github.io/Logging_2262/klagomålsmail/A 11288-2024 FSC-klagomål mail.docx", "A 11288-2024")</f>
        <v/>
      </c>
      <c r="X36">
        <f>HYPERLINK("https://klasma.github.io/Logging_2262/tillsyn/A 11288-2024 tillsynsbegäran.docx", "A 11288-2024")</f>
        <v/>
      </c>
      <c r="Y36">
        <f>HYPERLINK("https://klasma.github.io/Logging_2262/tillsynsmail/A 11288-2024 tillsynsbegäran mail.docx", "A 11288-2024")</f>
        <v/>
      </c>
      <c r="Z36">
        <f>HYPERLINK("https://klasma.github.io/Logging_2262/fåglar/A 11288-2024 prioriterade fågelarter.docx", "A 11288-2024")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45986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38488-2025</t>
        </is>
      </c>
      <c r="B38" s="1" t="n">
        <v>45884.34447916667</v>
      </c>
      <c r="C38" s="1" t="n">
        <v>45986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Kandelabersvamp
Leptoporus mollis
Lunglav
Ullticka</t>
        </is>
      </c>
      <c r="S38">
        <f>HYPERLINK("https://klasma.github.io/Logging_2262/artfynd/A 38488-2025 artfynd.xlsx", "A 38488-2025")</f>
        <v/>
      </c>
      <c r="T38">
        <f>HYPERLINK("https://klasma.github.io/Logging_2262/kartor/A 38488-2025 karta.png", "A 38488-2025")</f>
        <v/>
      </c>
      <c r="U38">
        <f>HYPERLINK("https://klasma.github.io/Logging_2262/knärot/A 38488-2025 karta knärot.png", "A 38488-2025")</f>
        <v/>
      </c>
      <c r="V38">
        <f>HYPERLINK("https://klasma.github.io/Logging_2262/klagomål/A 38488-2025 FSC-klagomål.docx", "A 38488-2025")</f>
        <v/>
      </c>
      <c r="W38">
        <f>HYPERLINK("https://klasma.github.io/Logging_2262/klagomålsmail/A 38488-2025 FSC-klagomål mail.docx", "A 38488-2025")</f>
        <v/>
      </c>
      <c r="X38">
        <f>HYPERLINK("https://klasma.github.io/Logging_2262/tillsyn/A 38488-2025 tillsynsbegäran.docx", "A 38488-2025")</f>
        <v/>
      </c>
      <c r="Y38">
        <f>HYPERLINK("https://klasma.github.io/Logging_2262/tillsynsmail/A 38488-2025 tillsynsbegäran mail.docx", "A 38488-2025")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45986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45986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22210-2025</t>
        </is>
      </c>
      <c r="B41" s="1" t="n">
        <v>45785.65743055556</v>
      </c>
      <c r="C41" s="1" t="n">
        <v>45986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Doftskinn
Gammelgransskål
Rävticka</t>
        </is>
      </c>
      <c r="S41">
        <f>HYPERLINK("https://klasma.github.io/Logging_2262/artfynd/A 22210-2025 artfynd.xlsx", "A 22210-2025")</f>
        <v/>
      </c>
      <c r="T41">
        <f>HYPERLINK("https://klasma.github.io/Logging_2262/kartor/A 22210-2025 karta.png", "A 22210-2025")</f>
        <v/>
      </c>
      <c r="V41">
        <f>HYPERLINK("https://klasma.github.io/Logging_2262/klagomål/A 22210-2025 FSC-klagomål.docx", "A 22210-2025")</f>
        <v/>
      </c>
      <c r="W41">
        <f>HYPERLINK("https://klasma.github.io/Logging_2262/klagomålsmail/A 22210-2025 FSC-klagomål mail.docx", "A 22210-2025")</f>
        <v/>
      </c>
      <c r="X41">
        <f>HYPERLINK("https://klasma.github.io/Logging_2262/tillsyn/A 22210-2025 tillsynsbegäran.docx", "A 22210-2025")</f>
        <v/>
      </c>
      <c r="Y41">
        <f>HYPERLINK("https://klasma.github.io/Logging_2262/tillsynsmail/A 22210-2025 tillsynsbegäran mail.docx", "A 22210-2025")</f>
        <v/>
      </c>
    </row>
    <row r="42" ht="15" customHeight="1">
      <c r="A42" t="inlineStr">
        <is>
          <t>A 22427-2025</t>
        </is>
      </c>
      <c r="B42" s="1" t="n">
        <v>45786</v>
      </c>
      <c r="C42" s="1" t="n">
        <v>45986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7.1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Tretåig hackspett
Nattviol</t>
        </is>
      </c>
      <c r="S42">
        <f>HYPERLINK("https://klasma.github.io/Logging_2262/artfynd/A 22427-2025 artfynd.xlsx", "A 22427-2025")</f>
        <v/>
      </c>
      <c r="T42">
        <f>HYPERLINK("https://klasma.github.io/Logging_2262/kartor/A 22427-2025 karta.png", "A 22427-2025")</f>
        <v/>
      </c>
      <c r="V42">
        <f>HYPERLINK("https://klasma.github.io/Logging_2262/klagomål/A 22427-2025 FSC-klagomål.docx", "A 22427-2025")</f>
        <v/>
      </c>
      <c r="W42">
        <f>HYPERLINK("https://klasma.github.io/Logging_2262/klagomålsmail/A 22427-2025 FSC-klagomål mail.docx", "A 22427-2025")</f>
        <v/>
      </c>
      <c r="X42">
        <f>HYPERLINK("https://klasma.github.io/Logging_2262/tillsyn/A 22427-2025 tillsynsbegäran.docx", "A 22427-2025")</f>
        <v/>
      </c>
      <c r="Y42">
        <f>HYPERLINK("https://klasma.github.io/Logging_2262/tillsynsmail/A 22427-2025 tillsynsbegäran mail.docx", "A 22427-2025")</f>
        <v/>
      </c>
      <c r="Z42">
        <f>HYPERLINK("https://klasma.github.io/Logging_2262/fåglar/A 22427-2025 prioriterade fågelarter.docx", "A 22427-2025")</f>
        <v/>
      </c>
    </row>
    <row r="43" ht="15" customHeight="1">
      <c r="A43" t="inlineStr">
        <is>
          <t>A 23158-2025</t>
        </is>
      </c>
      <c r="B43" s="1" t="n">
        <v>45791.4071875</v>
      </c>
      <c r="C43" s="1" t="n">
        <v>45986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Violettgrå tagellav
Tjäder</t>
        </is>
      </c>
      <c r="S43">
        <f>HYPERLINK("https://klasma.github.io/Logging_2262/artfynd/A 23158-2025 artfynd.xlsx", "A 23158-2025")</f>
        <v/>
      </c>
      <c r="T43">
        <f>HYPERLINK("https://klasma.github.io/Logging_2262/kartor/A 23158-2025 karta.png", "A 23158-2025")</f>
        <v/>
      </c>
      <c r="V43">
        <f>HYPERLINK("https://klasma.github.io/Logging_2262/klagomål/A 23158-2025 FSC-klagomål.docx", "A 23158-2025")</f>
        <v/>
      </c>
      <c r="W43">
        <f>HYPERLINK("https://klasma.github.io/Logging_2262/klagomålsmail/A 23158-2025 FSC-klagomål mail.docx", "A 23158-2025")</f>
        <v/>
      </c>
      <c r="X43">
        <f>HYPERLINK("https://klasma.github.io/Logging_2262/tillsyn/A 23158-2025 tillsynsbegäran.docx", "A 23158-2025")</f>
        <v/>
      </c>
      <c r="Y43">
        <f>HYPERLINK("https://klasma.github.io/Logging_2262/tillsynsmail/A 23158-2025 tillsynsbegäran mail.docx", "A 23158-2025")</f>
        <v/>
      </c>
      <c r="Z43">
        <f>HYPERLINK("https://klasma.github.io/Logging_2262/fåglar/A 23158-2025 prioriterade fågelarter.docx", "A 23158-2025")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45986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23282-2025</t>
        </is>
      </c>
      <c r="B45" s="1" t="n">
        <v>45791.57351851852</v>
      </c>
      <c r="C45" s="1" t="n">
        <v>45986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3.3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Spillkråka
Vedticka
Fläcknycklar</t>
        </is>
      </c>
      <c r="S45">
        <f>HYPERLINK("https://klasma.github.io/Logging_2262/artfynd/A 23282-2025 artfynd.xlsx", "A 23282-2025")</f>
        <v/>
      </c>
      <c r="T45">
        <f>HYPERLINK("https://klasma.github.io/Logging_2262/kartor/A 23282-2025 karta.png", "A 23282-2025")</f>
        <v/>
      </c>
      <c r="V45">
        <f>HYPERLINK("https://klasma.github.io/Logging_2262/klagomål/A 23282-2025 FSC-klagomål.docx", "A 23282-2025")</f>
        <v/>
      </c>
      <c r="W45">
        <f>HYPERLINK("https://klasma.github.io/Logging_2262/klagomålsmail/A 23282-2025 FSC-klagomål mail.docx", "A 23282-2025")</f>
        <v/>
      </c>
      <c r="X45">
        <f>HYPERLINK("https://klasma.github.io/Logging_2262/tillsyn/A 23282-2025 tillsynsbegäran.docx", "A 23282-2025")</f>
        <v/>
      </c>
      <c r="Y45">
        <f>HYPERLINK("https://klasma.github.io/Logging_2262/tillsynsmail/A 23282-2025 tillsynsbegäran mail.docx", "A 23282-2025")</f>
        <v/>
      </c>
      <c r="Z45">
        <f>HYPERLINK("https://klasma.github.io/Logging_2262/fåglar/A 23282-2025 prioriterade fågelarter.docx", "A 23282-2025")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45986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27307-2025</t>
        </is>
      </c>
      <c r="B47" s="1" t="n">
        <v>45812.57344907407</v>
      </c>
      <c r="C47" s="1" t="n">
        <v>45986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Skrovellav
Stuplav</t>
        </is>
      </c>
      <c r="S47">
        <f>HYPERLINK("https://klasma.github.io/Logging_2262/artfynd/A 27307-2025 artfynd.xlsx", "A 27307-2025")</f>
        <v/>
      </c>
      <c r="T47">
        <f>HYPERLINK("https://klasma.github.io/Logging_2262/kartor/A 27307-2025 karta.png", "A 27307-2025")</f>
        <v/>
      </c>
      <c r="V47">
        <f>HYPERLINK("https://klasma.github.io/Logging_2262/klagomål/A 27307-2025 FSC-klagomål.docx", "A 27307-2025")</f>
        <v/>
      </c>
      <c r="W47">
        <f>HYPERLINK("https://klasma.github.io/Logging_2262/klagomålsmail/A 27307-2025 FSC-klagomål mail.docx", "A 27307-2025")</f>
        <v/>
      </c>
      <c r="X47">
        <f>HYPERLINK("https://klasma.github.io/Logging_2262/tillsyn/A 27307-2025 tillsynsbegäran.docx", "A 27307-2025")</f>
        <v/>
      </c>
      <c r="Y47">
        <f>HYPERLINK("https://klasma.github.io/Logging_2262/tillsynsmail/A 27307-2025 tillsynsbegäran mail.docx", "A 27307-2025")</f>
        <v/>
      </c>
    </row>
    <row r="48" ht="15" customHeight="1">
      <c r="A48" t="inlineStr">
        <is>
          <t>A 27337-2025</t>
        </is>
      </c>
      <c r="B48" s="1" t="n">
        <v>45812.6150462963</v>
      </c>
      <c r="C48" s="1" t="n">
        <v>45986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Ullticka
Vedticka</t>
        </is>
      </c>
      <c r="S48">
        <f>HYPERLINK("https://klasma.github.io/Logging_2262/artfynd/A 27337-2025 artfynd.xlsx", "A 27337-2025")</f>
        <v/>
      </c>
      <c r="T48">
        <f>HYPERLINK("https://klasma.github.io/Logging_2262/kartor/A 27337-2025 karta.png", "A 27337-2025")</f>
        <v/>
      </c>
      <c r="V48">
        <f>HYPERLINK("https://klasma.github.io/Logging_2262/klagomål/A 27337-2025 FSC-klagomål.docx", "A 27337-2025")</f>
        <v/>
      </c>
      <c r="W48">
        <f>HYPERLINK("https://klasma.github.io/Logging_2262/klagomålsmail/A 27337-2025 FSC-klagomål mail.docx", "A 27337-2025")</f>
        <v/>
      </c>
      <c r="X48">
        <f>HYPERLINK("https://klasma.github.io/Logging_2262/tillsyn/A 27337-2025 tillsynsbegäran.docx", "A 27337-2025")</f>
        <v/>
      </c>
      <c r="Y48">
        <f>HYPERLINK("https://klasma.github.io/Logging_2262/tillsynsmail/A 27337-2025 tillsynsbegäran mail.docx", "A 27337-2025")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45986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45986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47816-2022</t>
        </is>
      </c>
      <c r="B51" s="1" t="n">
        <v>44854</v>
      </c>
      <c r="C51" s="1" t="n">
        <v>45986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Tallticka
Violettgrå tagellav</t>
        </is>
      </c>
      <c r="S51">
        <f>HYPERLINK("https://klasma.github.io/Logging_2262/artfynd/A 47816-2022 artfynd.xlsx", "A 47816-2022")</f>
        <v/>
      </c>
      <c r="T51">
        <f>HYPERLINK("https://klasma.github.io/Logging_2262/kartor/A 47816-2022 karta.png", "A 47816-2022")</f>
        <v/>
      </c>
      <c r="V51">
        <f>HYPERLINK("https://klasma.github.io/Logging_2262/klagomål/A 47816-2022 FSC-klagomål.docx", "A 47816-2022")</f>
        <v/>
      </c>
      <c r="W51">
        <f>HYPERLINK("https://klasma.github.io/Logging_2262/klagomålsmail/A 47816-2022 FSC-klagomål mail.docx", "A 47816-2022")</f>
        <v/>
      </c>
      <c r="X51">
        <f>HYPERLINK("https://klasma.github.io/Logging_2262/tillsyn/A 47816-2022 tillsynsbegäran.docx", "A 47816-2022")</f>
        <v/>
      </c>
      <c r="Y51">
        <f>HYPERLINK("https://klasma.github.io/Logging_2262/tillsynsmail/A 47816-2022 tillsynsbegäran mail.docx", "A 47816-2022")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45986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Leptoporus mollis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45986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45986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45986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45986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45986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45986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45986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22072-2025</t>
        </is>
      </c>
      <c r="B60" s="1" t="n">
        <v>45785.40699074074</v>
      </c>
      <c r="C60" s="1" t="n">
        <v>45986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Ullticka</t>
        </is>
      </c>
      <c r="S60">
        <f>HYPERLINK("https://klasma.github.io/Logging_2262/artfynd/A 22072-2025 artfynd.xlsx", "A 22072-2025")</f>
        <v/>
      </c>
      <c r="T60">
        <f>HYPERLINK("https://klasma.github.io/Logging_2262/kartor/A 22072-2025 karta.png", "A 22072-2025")</f>
        <v/>
      </c>
      <c r="V60">
        <f>HYPERLINK("https://klasma.github.io/Logging_2262/klagomål/A 22072-2025 FSC-klagomål.docx", "A 22072-2025")</f>
        <v/>
      </c>
      <c r="W60">
        <f>HYPERLINK("https://klasma.github.io/Logging_2262/klagomålsmail/A 22072-2025 FSC-klagomål mail.docx", "A 22072-2025")</f>
        <v/>
      </c>
      <c r="X60">
        <f>HYPERLINK("https://klasma.github.io/Logging_2262/tillsyn/A 22072-2025 tillsynsbegäran.docx", "A 22072-2025")</f>
        <v/>
      </c>
      <c r="Y60">
        <f>HYPERLINK("https://klasma.github.io/Logging_2262/tillsynsmail/A 22072-2025 tillsynsbegäran mail.docx", "A 22072-2025")</f>
        <v/>
      </c>
    </row>
    <row r="61" ht="15" customHeight="1">
      <c r="A61" t="inlineStr">
        <is>
          <t>A 43413-2023</t>
        </is>
      </c>
      <c r="B61" s="1" t="n">
        <v>45183</v>
      </c>
      <c r="C61" s="1" t="n">
        <v>45986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Harticka</t>
        </is>
      </c>
      <c r="S61">
        <f>HYPERLINK("https://klasma.github.io/Logging_2262/artfynd/A 43413-2023 artfynd.xlsx", "A 43413-2023")</f>
        <v/>
      </c>
      <c r="T61">
        <f>HYPERLINK("https://klasma.github.io/Logging_2262/kartor/A 43413-2023 karta.png", "A 43413-2023")</f>
        <v/>
      </c>
      <c r="V61">
        <f>HYPERLINK("https://klasma.github.io/Logging_2262/klagomål/A 43413-2023 FSC-klagomål.docx", "A 43413-2023")</f>
        <v/>
      </c>
      <c r="W61">
        <f>HYPERLINK("https://klasma.github.io/Logging_2262/klagomålsmail/A 43413-2023 FSC-klagomål mail.docx", "A 43413-2023")</f>
        <v/>
      </c>
      <c r="X61">
        <f>HYPERLINK("https://klasma.github.io/Logging_2262/tillsyn/A 43413-2023 tillsynsbegäran.docx", "A 43413-2023")</f>
        <v/>
      </c>
      <c r="Y61">
        <f>HYPERLINK("https://klasma.github.io/Logging_2262/tillsynsmail/A 43413-2023 tillsynsbegäran mail.docx", "A 43413-2023")</f>
        <v/>
      </c>
    </row>
    <row r="62" ht="15" customHeight="1">
      <c r="A62" t="inlineStr">
        <is>
          <t>A 49202-2022</t>
        </is>
      </c>
      <c r="B62" s="1" t="n">
        <v>44860</v>
      </c>
      <c r="C62" s="1" t="n">
        <v>45986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HYPERLINK("https://klasma.github.io/Logging_2262/artfynd/A 49202-2022 artfynd.xlsx", "A 49202-2022")</f>
        <v/>
      </c>
      <c r="T62">
        <f>HYPERLINK("https://klasma.github.io/Logging_2262/kartor/A 49202-2022 karta.png", "A 49202-2022")</f>
        <v/>
      </c>
      <c r="V62">
        <f>HYPERLINK("https://klasma.github.io/Logging_2262/klagomål/A 49202-2022 FSC-klagomål.docx", "A 49202-2022")</f>
        <v/>
      </c>
      <c r="W62">
        <f>HYPERLINK("https://klasma.github.io/Logging_2262/klagomålsmail/A 49202-2022 FSC-klagomål mail.docx", "A 49202-2022")</f>
        <v/>
      </c>
      <c r="X62">
        <f>HYPERLINK("https://klasma.github.io/Logging_2262/tillsyn/A 49202-2022 tillsynsbegäran.docx", "A 49202-2022")</f>
        <v/>
      </c>
      <c r="Y62">
        <f>HYPERLINK("https://klasma.github.io/Logging_2262/tillsynsmail/A 49202-2022 tillsynsbegäran mail.docx", "A 49202-2022")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45986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45986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45986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45986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30187-2025</t>
        </is>
      </c>
      <c r="B67" s="1" t="n">
        <v>45827.3472800926</v>
      </c>
      <c r="C67" s="1" t="n">
        <v>45986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30187-2025 artfynd.xlsx", "A 30187-2025")</f>
        <v/>
      </c>
      <c r="T67">
        <f>HYPERLINK("https://klasma.github.io/Logging_2262/kartor/A 30187-2025 karta.png", "A 30187-2025")</f>
        <v/>
      </c>
      <c r="V67">
        <f>HYPERLINK("https://klasma.github.io/Logging_2262/klagomål/A 30187-2025 FSC-klagomål.docx", "A 30187-2025")</f>
        <v/>
      </c>
      <c r="W67">
        <f>HYPERLINK("https://klasma.github.io/Logging_2262/klagomålsmail/A 30187-2025 FSC-klagomål mail.docx", "A 30187-2025")</f>
        <v/>
      </c>
      <c r="X67">
        <f>HYPERLINK("https://klasma.github.io/Logging_2262/tillsyn/A 30187-2025 tillsynsbegäran.docx", "A 30187-2025")</f>
        <v/>
      </c>
      <c r="Y67">
        <f>HYPERLINK("https://klasma.github.io/Logging_2262/tillsynsmail/A 30187-2025 tillsynsbegäran mail.docx", "A 30187-2025")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45986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45986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45986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45986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45986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45986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45986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45986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45986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35003-2023</t>
        </is>
      </c>
      <c r="B77" s="1" t="n">
        <v>45142</v>
      </c>
      <c r="C77" s="1" t="n">
        <v>45986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HYPERLINK("https://klasma.github.io/Logging_2262/artfynd/A 35003-2023 artfynd.xlsx", "A 35003-2023")</f>
        <v/>
      </c>
      <c r="T77">
        <f>HYPERLINK("https://klasma.github.io/Logging_2262/kartor/A 35003-2023 karta.png", "A 35003-2023")</f>
        <v/>
      </c>
      <c r="V77">
        <f>HYPERLINK("https://klasma.github.io/Logging_2262/klagomål/A 35003-2023 FSC-klagomål.docx", "A 35003-2023")</f>
        <v/>
      </c>
      <c r="W77">
        <f>HYPERLINK("https://klasma.github.io/Logging_2262/klagomålsmail/A 35003-2023 FSC-klagomål mail.docx", "A 35003-2023")</f>
        <v/>
      </c>
      <c r="X77">
        <f>HYPERLINK("https://klasma.github.io/Logging_2262/tillsyn/A 35003-2023 tillsynsbegäran.docx", "A 35003-2023")</f>
        <v/>
      </c>
      <c r="Y77">
        <f>HYPERLINK("https://klasma.github.io/Logging_2262/tillsynsmail/A 35003-2023 tillsynsbegäran mail.docx", "A 35003-2023")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45986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45986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45986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45986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22050-2025</t>
        </is>
      </c>
      <c r="B82" s="1" t="n">
        <v>45785.34451388889</v>
      </c>
      <c r="C82" s="1" t="n">
        <v>45986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22050-2025 artfynd.xlsx", "A 22050-2025")</f>
        <v/>
      </c>
      <c r="T82">
        <f>HYPERLINK("https://klasma.github.io/Logging_2262/kartor/A 22050-2025 karta.png", "A 22050-2025")</f>
        <v/>
      </c>
      <c r="V82">
        <f>HYPERLINK("https://klasma.github.io/Logging_2262/klagomål/A 22050-2025 FSC-klagomål.docx", "A 22050-2025")</f>
        <v/>
      </c>
      <c r="W82">
        <f>HYPERLINK("https://klasma.github.io/Logging_2262/klagomålsmail/A 22050-2025 FSC-klagomål mail.docx", "A 22050-2025")</f>
        <v/>
      </c>
      <c r="X82">
        <f>HYPERLINK("https://klasma.github.io/Logging_2262/tillsyn/A 22050-2025 tillsynsbegäran.docx", "A 22050-2025")</f>
        <v/>
      </c>
      <c r="Y82">
        <f>HYPERLINK("https://klasma.github.io/Logging_2262/tillsynsmail/A 22050-2025 tillsynsbegäran mail.docx", "A 22050-2025")</f>
        <v/>
      </c>
    </row>
    <row r="83" ht="15" customHeight="1">
      <c r="A83" t="inlineStr">
        <is>
          <t>A 22212-2025</t>
        </is>
      </c>
      <c r="B83" s="1" t="n">
        <v>45785.65763888889</v>
      </c>
      <c r="C83" s="1" t="n">
        <v>45986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HYPERLINK("https://klasma.github.io/Logging_2262/artfynd/A 22212-2025 artfynd.xlsx", "A 22212-2025")</f>
        <v/>
      </c>
      <c r="T83">
        <f>HYPERLINK("https://klasma.github.io/Logging_2262/kartor/A 22212-2025 karta.png", "A 22212-2025")</f>
        <v/>
      </c>
      <c r="V83">
        <f>HYPERLINK("https://klasma.github.io/Logging_2262/klagomål/A 22212-2025 FSC-klagomål.docx", "A 22212-2025")</f>
        <v/>
      </c>
      <c r="W83">
        <f>HYPERLINK("https://klasma.github.io/Logging_2262/klagomålsmail/A 22212-2025 FSC-klagomål mail.docx", "A 22212-2025")</f>
        <v/>
      </c>
      <c r="X83">
        <f>HYPERLINK("https://klasma.github.io/Logging_2262/tillsyn/A 22212-2025 tillsynsbegäran.docx", "A 22212-2025")</f>
        <v/>
      </c>
      <c r="Y83">
        <f>HYPERLINK("https://klasma.github.io/Logging_2262/tillsynsmail/A 22212-2025 tillsynsbegäran mail.docx", "A 22212-2025")</f>
        <v/>
      </c>
    </row>
    <row r="84" ht="15" customHeight="1">
      <c r="A84" t="inlineStr">
        <is>
          <t>A 7904-2024</t>
        </is>
      </c>
      <c r="B84" s="1" t="n">
        <v>45349</v>
      </c>
      <c r="C84" s="1" t="n">
        <v>45986</v>
      </c>
      <c r="D84" t="inlineStr">
        <is>
          <t>VÄSTERNORRLANDS LÄN</t>
        </is>
      </c>
      <c r="E84" t="inlineStr">
        <is>
          <t>TIMRÅ</t>
        </is>
      </c>
      <c r="G84" t="n">
        <v>7.3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Bergviol</t>
        </is>
      </c>
      <c r="S84">
        <f>HYPERLINK("https://klasma.github.io/Logging_2262/artfynd/A 7904-2024 artfynd.xlsx", "A 7904-2024")</f>
        <v/>
      </c>
      <c r="T84">
        <f>HYPERLINK("https://klasma.github.io/Logging_2262/kartor/A 7904-2024 karta.png", "A 7904-2024")</f>
        <v/>
      </c>
      <c r="V84">
        <f>HYPERLINK("https://klasma.github.io/Logging_2262/klagomål/A 7904-2024 FSC-klagomål.docx", "A 7904-2024")</f>
        <v/>
      </c>
      <c r="W84">
        <f>HYPERLINK("https://klasma.github.io/Logging_2262/klagomålsmail/A 7904-2024 FSC-klagomål mail.docx", "A 7904-2024")</f>
        <v/>
      </c>
      <c r="X84">
        <f>HYPERLINK("https://klasma.github.io/Logging_2262/tillsyn/A 7904-2024 tillsynsbegäran.docx", "A 7904-2024")</f>
        <v/>
      </c>
      <c r="Y84">
        <f>HYPERLINK("https://klasma.github.io/Logging_2262/tillsynsmail/A 7904-2024 tillsynsbegäran mail.docx", "A 7904-2024")</f>
        <v/>
      </c>
    </row>
    <row r="85" ht="15" customHeight="1">
      <c r="A85" t="inlineStr">
        <is>
          <t>A 22819-2025</t>
        </is>
      </c>
      <c r="B85" s="1" t="n">
        <v>45789.71935185185</v>
      </c>
      <c r="C85" s="1" t="n">
        <v>45986</v>
      </c>
      <c r="D85" t="inlineStr">
        <is>
          <t>VÄSTERNORRLANDS LÄN</t>
        </is>
      </c>
      <c r="E85" t="inlineStr">
        <is>
          <t>TIMRÅ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HYPERLINK("https://klasma.github.io/Logging_2262/artfynd/A 22819-2025 artfynd.xlsx", "A 22819-2025")</f>
        <v/>
      </c>
      <c r="T85">
        <f>HYPERLINK("https://klasma.github.io/Logging_2262/kartor/A 22819-2025 karta.png", "A 22819-2025")</f>
        <v/>
      </c>
      <c r="V85">
        <f>HYPERLINK("https://klasma.github.io/Logging_2262/klagomål/A 22819-2025 FSC-klagomål.docx", "A 22819-2025")</f>
        <v/>
      </c>
      <c r="W85">
        <f>HYPERLINK("https://klasma.github.io/Logging_2262/klagomålsmail/A 22819-2025 FSC-klagomål mail.docx", "A 22819-2025")</f>
        <v/>
      </c>
      <c r="X85">
        <f>HYPERLINK("https://klasma.github.io/Logging_2262/tillsyn/A 22819-2025 tillsynsbegäran.docx", "A 22819-2025")</f>
        <v/>
      </c>
      <c r="Y85">
        <f>HYPERLINK("https://klasma.github.io/Logging_2262/tillsynsmail/A 22819-2025 tillsynsbegäran mail.docx", "A 22819-2025")</f>
        <v/>
      </c>
      <c r="Z85">
        <f>HYPERLINK("https://klasma.github.io/Logging_2262/fåglar/A 22819-2025 prioriterade fågelarter.docx", "A 22819-2025")</f>
        <v/>
      </c>
    </row>
    <row r="86" ht="15" customHeight="1">
      <c r="A86" t="inlineStr">
        <is>
          <t>A 8998-2024</t>
        </is>
      </c>
      <c r="B86" s="1" t="n">
        <v>45356</v>
      </c>
      <c r="C86" s="1" t="n">
        <v>45986</v>
      </c>
      <c r="D86" t="inlineStr">
        <is>
          <t>VÄSTERNORRLANDS LÄN</t>
        </is>
      </c>
      <c r="E86" t="inlineStr">
        <is>
          <t>TIMRÅ</t>
        </is>
      </c>
      <c r="G86" t="n">
        <v>2.1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8998-2024 artfynd.xlsx", "A 8998-2024")</f>
        <v/>
      </c>
      <c r="T86">
        <f>HYPERLINK("https://klasma.github.io/Logging_2262/kartor/A 8998-2024 karta.png", "A 8998-2024")</f>
        <v/>
      </c>
      <c r="V86">
        <f>HYPERLINK("https://klasma.github.io/Logging_2262/klagomål/A 8998-2024 FSC-klagomål.docx", "A 8998-2024")</f>
        <v/>
      </c>
      <c r="W86">
        <f>HYPERLINK("https://klasma.github.io/Logging_2262/klagomålsmail/A 8998-2024 FSC-klagomål mail.docx", "A 8998-2024")</f>
        <v/>
      </c>
      <c r="X86">
        <f>HYPERLINK("https://klasma.github.io/Logging_2262/tillsyn/A 8998-2024 tillsynsbegäran.docx", "A 8998-2024")</f>
        <v/>
      </c>
      <c r="Y86">
        <f>HYPERLINK("https://klasma.github.io/Logging_2262/tillsynsmail/A 8998-2024 tillsynsbegäran mail.docx", "A 8998-2024")</f>
        <v/>
      </c>
    </row>
    <row r="87" ht="15" customHeight="1">
      <c r="A87" t="inlineStr">
        <is>
          <t>A 12753-2022</t>
        </is>
      </c>
      <c r="B87" s="1" t="n">
        <v>44641</v>
      </c>
      <c r="C87" s="1" t="n">
        <v>45986</v>
      </c>
      <c r="D87" t="inlineStr">
        <is>
          <t>VÄSTERNORRLANDS LÄN</t>
        </is>
      </c>
      <c r="E87" t="inlineStr">
        <is>
          <t>TIMRÅ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Strutbräken</t>
        </is>
      </c>
      <c r="S87">
        <f>HYPERLINK("https://klasma.github.io/Logging_2262/artfynd/A 12753-2022 artfynd.xlsx", "A 12753-2022")</f>
        <v/>
      </c>
      <c r="T87">
        <f>HYPERLINK("https://klasma.github.io/Logging_2262/kartor/A 12753-2022 karta.png", "A 12753-2022")</f>
        <v/>
      </c>
      <c r="V87">
        <f>HYPERLINK("https://klasma.github.io/Logging_2262/klagomål/A 12753-2022 FSC-klagomål.docx", "A 12753-2022")</f>
        <v/>
      </c>
      <c r="W87">
        <f>HYPERLINK("https://klasma.github.io/Logging_2262/klagomålsmail/A 12753-2022 FSC-klagomål mail.docx", "A 12753-2022")</f>
        <v/>
      </c>
      <c r="X87">
        <f>HYPERLINK("https://klasma.github.io/Logging_2262/tillsyn/A 12753-2022 tillsynsbegäran.docx", "A 12753-2022")</f>
        <v/>
      </c>
      <c r="Y87">
        <f>HYPERLINK("https://klasma.github.io/Logging_2262/tillsynsmail/A 12753-2022 tillsynsbegäran mail.docx", "A 12753-2022")</f>
        <v/>
      </c>
    </row>
    <row r="88" ht="15" customHeight="1">
      <c r="A88" t="inlineStr">
        <is>
          <t>A 23159-2025</t>
        </is>
      </c>
      <c r="B88" s="1" t="n">
        <v>45791.40748842592</v>
      </c>
      <c r="C88" s="1" t="n">
        <v>45986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23159-2025 artfynd.xlsx", "A 23159-2025")</f>
        <v/>
      </c>
      <c r="T88">
        <f>HYPERLINK("https://klasma.github.io/Logging_2262/kartor/A 23159-2025 karta.png", "A 23159-2025")</f>
        <v/>
      </c>
      <c r="V88">
        <f>HYPERLINK("https://klasma.github.io/Logging_2262/klagomål/A 23159-2025 FSC-klagomål.docx", "A 23159-2025")</f>
        <v/>
      </c>
      <c r="W88">
        <f>HYPERLINK("https://klasma.github.io/Logging_2262/klagomålsmail/A 23159-2025 FSC-klagomål mail.docx", "A 23159-2025")</f>
        <v/>
      </c>
      <c r="X88">
        <f>HYPERLINK("https://klasma.github.io/Logging_2262/tillsyn/A 23159-2025 tillsynsbegäran.docx", "A 23159-2025")</f>
        <v/>
      </c>
      <c r="Y88">
        <f>HYPERLINK("https://klasma.github.io/Logging_2262/tillsynsmail/A 23159-2025 tillsynsbegäran mail.docx", "A 23159-2025")</f>
        <v/>
      </c>
    </row>
    <row r="89" ht="15" customHeight="1">
      <c r="A89" t="inlineStr">
        <is>
          <t>A 22897-2025</t>
        </is>
      </c>
      <c r="B89" s="1" t="n">
        <v>45790</v>
      </c>
      <c r="C89" s="1" t="n">
        <v>45986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22897-2025 artfynd.xlsx", "A 22897-2025")</f>
        <v/>
      </c>
      <c r="T89">
        <f>HYPERLINK("https://klasma.github.io/Logging_2262/kartor/A 22897-2025 karta.png", "A 22897-2025")</f>
        <v/>
      </c>
      <c r="V89">
        <f>HYPERLINK("https://klasma.github.io/Logging_2262/klagomål/A 22897-2025 FSC-klagomål.docx", "A 22897-2025")</f>
        <v/>
      </c>
      <c r="W89">
        <f>HYPERLINK("https://klasma.github.io/Logging_2262/klagomålsmail/A 22897-2025 FSC-klagomål mail.docx", "A 22897-2025")</f>
        <v/>
      </c>
      <c r="X89">
        <f>HYPERLINK("https://klasma.github.io/Logging_2262/tillsyn/A 22897-2025 tillsynsbegäran.docx", "A 22897-2025")</f>
        <v/>
      </c>
      <c r="Y89">
        <f>HYPERLINK("https://klasma.github.io/Logging_2262/tillsynsmail/A 22897-2025 tillsynsbegäran mail.docx", "A 22897-2025")</f>
        <v/>
      </c>
    </row>
    <row r="90" ht="15" customHeight="1">
      <c r="A90" t="inlineStr">
        <is>
          <t>A 23283-2025</t>
        </is>
      </c>
      <c r="B90" s="1" t="n">
        <v>45791.57354166666</v>
      </c>
      <c r="C90" s="1" t="n">
        <v>45986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23283-2025 artfynd.xlsx", "A 23283-2025")</f>
        <v/>
      </c>
      <c r="T90">
        <f>HYPERLINK("https://klasma.github.io/Logging_2262/kartor/A 23283-2025 karta.png", "A 23283-2025")</f>
        <v/>
      </c>
      <c r="V90">
        <f>HYPERLINK("https://klasma.github.io/Logging_2262/klagomål/A 23283-2025 FSC-klagomål.docx", "A 23283-2025")</f>
        <v/>
      </c>
      <c r="W90">
        <f>HYPERLINK("https://klasma.github.io/Logging_2262/klagomålsmail/A 23283-2025 FSC-klagomål mail.docx", "A 23283-2025")</f>
        <v/>
      </c>
      <c r="X90">
        <f>HYPERLINK("https://klasma.github.io/Logging_2262/tillsyn/A 23283-2025 tillsynsbegäran.docx", "A 23283-2025")</f>
        <v/>
      </c>
      <c r="Y90">
        <f>HYPERLINK("https://klasma.github.io/Logging_2262/tillsynsmail/A 23283-2025 tillsynsbegäran mail.docx", "A 23283-2025")</f>
        <v/>
      </c>
    </row>
    <row r="91" ht="15" customHeight="1">
      <c r="A91" t="inlineStr">
        <is>
          <t>A 23171-2025</t>
        </is>
      </c>
      <c r="B91" s="1" t="n">
        <v>45791.4278587963</v>
      </c>
      <c r="C91" s="1" t="n">
        <v>45986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23171-2025 artfynd.xlsx", "A 23171-2025")</f>
        <v/>
      </c>
      <c r="T91">
        <f>HYPERLINK("https://klasma.github.io/Logging_2262/kartor/A 23171-2025 karta.png", "A 23171-2025")</f>
        <v/>
      </c>
      <c r="V91">
        <f>HYPERLINK("https://klasma.github.io/Logging_2262/klagomål/A 23171-2025 FSC-klagomål.docx", "A 23171-2025")</f>
        <v/>
      </c>
      <c r="W91">
        <f>HYPERLINK("https://klasma.github.io/Logging_2262/klagomålsmail/A 23171-2025 FSC-klagomål mail.docx", "A 23171-2025")</f>
        <v/>
      </c>
      <c r="X91">
        <f>HYPERLINK("https://klasma.github.io/Logging_2262/tillsyn/A 23171-2025 tillsynsbegäran.docx", "A 23171-2025")</f>
        <v/>
      </c>
      <c r="Y91">
        <f>HYPERLINK("https://klasma.github.io/Logging_2262/tillsynsmail/A 23171-2025 tillsynsbegäran mail.docx", "A 23171-2025")</f>
        <v/>
      </c>
    </row>
    <row r="92" ht="15" customHeight="1">
      <c r="A92" t="inlineStr">
        <is>
          <t>A 24423-2025</t>
        </is>
      </c>
      <c r="B92" s="1" t="n">
        <v>45797.67813657408</v>
      </c>
      <c r="C92" s="1" t="n">
        <v>45986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HYPERLINK("https://klasma.github.io/Logging_2262/artfynd/A 24423-2025 artfynd.xlsx", "A 24423-2025")</f>
        <v/>
      </c>
      <c r="T92">
        <f>HYPERLINK("https://klasma.github.io/Logging_2262/kartor/A 24423-2025 karta.png", "A 24423-2025")</f>
        <v/>
      </c>
      <c r="V92">
        <f>HYPERLINK("https://klasma.github.io/Logging_2262/klagomål/A 24423-2025 FSC-klagomål.docx", "A 24423-2025")</f>
        <v/>
      </c>
      <c r="W92">
        <f>HYPERLINK("https://klasma.github.io/Logging_2262/klagomålsmail/A 24423-2025 FSC-klagomål mail.docx", "A 24423-2025")</f>
        <v/>
      </c>
      <c r="X92">
        <f>HYPERLINK("https://klasma.github.io/Logging_2262/tillsyn/A 24423-2025 tillsynsbegäran.docx", "A 24423-2025")</f>
        <v/>
      </c>
      <c r="Y92">
        <f>HYPERLINK("https://klasma.github.io/Logging_2262/tillsynsmail/A 24423-2025 tillsynsbegäran mail.docx", "A 24423-2025")</f>
        <v/>
      </c>
    </row>
    <row r="93" ht="15" customHeight="1">
      <c r="A93" t="inlineStr">
        <is>
          <t>A 1152-2024</t>
        </is>
      </c>
      <c r="B93" s="1" t="n">
        <v>45302</v>
      </c>
      <c r="C93" s="1" t="n">
        <v>45986</v>
      </c>
      <c r="D93" t="inlineStr">
        <is>
          <t>VÄSTERNORRLANDS LÄN</t>
        </is>
      </c>
      <c r="E93" t="inlineStr">
        <is>
          <t>TIMRÅ</t>
        </is>
      </c>
      <c r="G93" t="n">
        <v>5.8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HYPERLINK("https://klasma.github.io/Logging_2262/artfynd/A 1152-2024 artfynd.xlsx", "A 1152-2024")</f>
        <v/>
      </c>
      <c r="T93">
        <f>HYPERLINK("https://klasma.github.io/Logging_2262/kartor/A 1152-2024 karta.png", "A 1152-2024")</f>
        <v/>
      </c>
      <c r="V93">
        <f>HYPERLINK("https://klasma.github.io/Logging_2262/klagomål/A 1152-2024 FSC-klagomål.docx", "A 1152-2024")</f>
        <v/>
      </c>
      <c r="W93">
        <f>HYPERLINK("https://klasma.github.io/Logging_2262/klagomålsmail/A 1152-2024 FSC-klagomål mail.docx", "A 1152-2024")</f>
        <v/>
      </c>
      <c r="X93">
        <f>HYPERLINK("https://klasma.github.io/Logging_2262/tillsyn/A 1152-2024 tillsynsbegäran.docx", "A 1152-2024")</f>
        <v/>
      </c>
      <c r="Y93">
        <f>HYPERLINK("https://klasma.github.io/Logging_2262/tillsynsmail/A 1152-2024 tillsynsbegäran mail.docx", "A 1152-2024")</f>
        <v/>
      </c>
    </row>
    <row r="94" ht="15" customHeight="1">
      <c r="A94" t="inlineStr">
        <is>
          <t>A 33503-2023</t>
        </is>
      </c>
      <c r="B94" s="1" t="n">
        <v>45131</v>
      </c>
      <c r="C94" s="1" t="n">
        <v>45986</v>
      </c>
      <c r="D94" t="inlineStr">
        <is>
          <t>VÄSTERNORRLANDS LÄN</t>
        </is>
      </c>
      <c r="E94" t="inlineStr">
        <is>
          <t>TIMRÅ</t>
        </is>
      </c>
      <c r="G94" t="n">
        <v>28.3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HYPERLINK("https://klasma.github.io/Logging_2262/artfynd/A 33503-2023 artfynd.xlsx", "A 33503-2023")</f>
        <v/>
      </c>
      <c r="T94">
        <f>HYPERLINK("https://klasma.github.io/Logging_2262/kartor/A 33503-2023 karta.png", "A 33503-2023")</f>
        <v/>
      </c>
      <c r="V94">
        <f>HYPERLINK("https://klasma.github.io/Logging_2262/klagomål/A 33503-2023 FSC-klagomål.docx", "A 33503-2023")</f>
        <v/>
      </c>
      <c r="W94">
        <f>HYPERLINK("https://klasma.github.io/Logging_2262/klagomålsmail/A 33503-2023 FSC-klagomål mail.docx", "A 33503-2023")</f>
        <v/>
      </c>
      <c r="X94">
        <f>HYPERLINK("https://klasma.github.io/Logging_2262/tillsyn/A 33503-2023 tillsynsbegäran.docx", "A 33503-2023")</f>
        <v/>
      </c>
      <c r="Y94">
        <f>HYPERLINK("https://klasma.github.io/Logging_2262/tillsynsmail/A 33503-2023 tillsynsbegäran mail.docx", "A 33503-2023")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45986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52113-2025</t>
        </is>
      </c>
      <c r="B96" s="1" t="n">
        <v>45952.69873842593</v>
      </c>
      <c r="C96" s="1" t="n">
        <v>45986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13.3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Bergviol</t>
        </is>
      </c>
      <c r="S96">
        <f>HYPERLINK("https://klasma.github.io/Logging_2262/artfynd/A 52113-2025 artfynd.xlsx", "A 52113-2025")</f>
        <v/>
      </c>
      <c r="T96">
        <f>HYPERLINK("https://klasma.github.io/Logging_2262/kartor/A 52113-2025 karta.png", "A 52113-2025")</f>
        <v/>
      </c>
      <c r="V96">
        <f>HYPERLINK("https://klasma.github.io/Logging_2262/klagomål/A 52113-2025 FSC-klagomål.docx", "A 52113-2025")</f>
        <v/>
      </c>
      <c r="W96">
        <f>HYPERLINK("https://klasma.github.io/Logging_2262/klagomålsmail/A 52113-2025 FSC-klagomål mail.docx", "A 52113-2025")</f>
        <v/>
      </c>
      <c r="X96">
        <f>HYPERLINK("https://klasma.github.io/Logging_2262/tillsyn/A 52113-2025 tillsynsbegäran.docx", "A 52113-2025")</f>
        <v/>
      </c>
      <c r="Y96">
        <f>HYPERLINK("https://klasma.github.io/Logging_2262/tillsynsmail/A 52113-2025 tillsynsbegäran mail.docx", "A 52113-2025")</f>
        <v/>
      </c>
    </row>
    <row r="97" ht="15" customHeight="1">
      <c r="A97" t="inlineStr">
        <is>
          <t>A 39150-2024</t>
        </is>
      </c>
      <c r="B97" s="1" t="n">
        <v>45548</v>
      </c>
      <c r="C97" s="1" t="n">
        <v>45986</v>
      </c>
      <c r="D97" t="inlineStr">
        <is>
          <t>VÄSTERNORRLANDS LÄN</t>
        </is>
      </c>
      <c r="E97" t="inlineStr">
        <is>
          <t>TIMRÅ</t>
        </is>
      </c>
      <c r="G97" t="n">
        <v>4.4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HYPERLINK("https://klasma.github.io/Logging_2262/artfynd/A 39150-2024 artfynd.xlsx", "A 39150-2024")</f>
        <v/>
      </c>
      <c r="T97">
        <f>HYPERLINK("https://klasma.github.io/Logging_2262/kartor/A 39150-2024 karta.png", "A 39150-2024")</f>
        <v/>
      </c>
      <c r="V97">
        <f>HYPERLINK("https://klasma.github.io/Logging_2262/klagomål/A 39150-2024 FSC-klagomål.docx", "A 39150-2024")</f>
        <v/>
      </c>
      <c r="W97">
        <f>HYPERLINK("https://klasma.github.io/Logging_2262/klagomålsmail/A 39150-2024 FSC-klagomål mail.docx", "A 39150-2024")</f>
        <v/>
      </c>
      <c r="X97">
        <f>HYPERLINK("https://klasma.github.io/Logging_2262/tillsyn/A 39150-2024 tillsynsbegäran.docx", "A 39150-2024")</f>
        <v/>
      </c>
      <c r="Y97">
        <f>HYPERLINK("https://klasma.github.io/Logging_2262/tillsynsmail/A 39150-2024 tillsynsbegäran mail.docx", "A 39150-2024")</f>
        <v/>
      </c>
    </row>
    <row r="98" ht="15" customHeight="1">
      <c r="A98" t="inlineStr">
        <is>
          <t>A 62081-2024</t>
        </is>
      </c>
      <c r="B98" s="1" t="n">
        <v>45656</v>
      </c>
      <c r="C98" s="1" t="n">
        <v>45986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62081-2024 artfynd.xlsx", "A 62081-2024")</f>
        <v/>
      </c>
      <c r="T98">
        <f>HYPERLINK("https://klasma.github.io/Logging_2262/kartor/A 62081-2024 karta.png", "A 62081-2024")</f>
        <v/>
      </c>
      <c r="U98">
        <f>HYPERLINK("https://klasma.github.io/Logging_2262/knärot/A 62081-2024 karta knärot.png", "A 62081-2024")</f>
        <v/>
      </c>
      <c r="V98">
        <f>HYPERLINK("https://klasma.github.io/Logging_2262/klagomål/A 62081-2024 FSC-klagomål.docx", "A 62081-2024")</f>
        <v/>
      </c>
      <c r="W98">
        <f>HYPERLINK("https://klasma.github.io/Logging_2262/klagomålsmail/A 62081-2024 FSC-klagomål mail.docx", "A 62081-2024")</f>
        <v/>
      </c>
      <c r="X98">
        <f>HYPERLINK("https://klasma.github.io/Logging_2262/tillsyn/A 62081-2024 tillsynsbegäran.docx", "A 62081-2024")</f>
        <v/>
      </c>
      <c r="Y98">
        <f>HYPERLINK("https://klasma.github.io/Logging_2262/tillsynsmail/A 62081-2024 tillsynsbegäran mail.docx", "A 62081-2024")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45986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7272-2025</t>
        </is>
      </c>
      <c r="B100" s="1" t="n">
        <v>45702.61481481481</v>
      </c>
      <c r="C100" s="1" t="n">
        <v>45986</v>
      </c>
      <c r="D100" t="inlineStr">
        <is>
          <t>VÄSTERNORRLANDS LÄN</t>
        </is>
      </c>
      <c r="E100" t="inlineStr">
        <is>
          <t>TIMRÅ</t>
        </is>
      </c>
      <c r="G100" t="n">
        <v>2.9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Reliktbock</t>
        </is>
      </c>
      <c r="S100">
        <f>HYPERLINK("https://klasma.github.io/Logging_2262/artfynd/A 7272-2025 artfynd.xlsx", "A 7272-2025")</f>
        <v/>
      </c>
      <c r="T100">
        <f>HYPERLINK("https://klasma.github.io/Logging_2262/kartor/A 7272-2025 karta.png", "A 7272-2025")</f>
        <v/>
      </c>
      <c r="V100">
        <f>HYPERLINK("https://klasma.github.io/Logging_2262/klagomål/A 7272-2025 FSC-klagomål.docx", "A 7272-2025")</f>
        <v/>
      </c>
      <c r="W100">
        <f>HYPERLINK("https://klasma.github.io/Logging_2262/klagomålsmail/A 7272-2025 FSC-klagomål mail.docx", "A 7272-2025")</f>
        <v/>
      </c>
      <c r="X100">
        <f>HYPERLINK("https://klasma.github.io/Logging_2262/tillsyn/A 7272-2025 tillsynsbegäran.docx", "A 7272-2025")</f>
        <v/>
      </c>
      <c r="Y100">
        <f>HYPERLINK("https://klasma.github.io/Logging_2262/tillsynsmail/A 7272-2025 tillsynsbegäran mail.docx", "A 7272-2025")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45986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56916-2025</t>
        </is>
      </c>
      <c r="B102" s="1" t="n">
        <v>45978.58446759259</v>
      </c>
      <c r="C102" s="1" t="n">
        <v>45986</v>
      </c>
      <c r="D102" t="inlineStr">
        <is>
          <t>VÄSTERNORRLANDS LÄN</t>
        </is>
      </c>
      <c r="E102" t="inlineStr">
        <is>
          <t>TIMRÅ</t>
        </is>
      </c>
      <c r="G102" t="n">
        <v>1.3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HYPERLINK("https://klasma.github.io/Logging_2262/artfynd/A 56916-2025 artfynd.xlsx", "A 56916-2025")</f>
        <v/>
      </c>
      <c r="T102">
        <f>HYPERLINK("https://klasma.github.io/Logging_2262/kartor/A 56916-2025 karta.png", "A 56916-2025")</f>
        <v/>
      </c>
      <c r="V102">
        <f>HYPERLINK("https://klasma.github.io/Logging_2262/klagomål/A 56916-2025 FSC-klagomål.docx", "A 56916-2025")</f>
        <v/>
      </c>
      <c r="W102">
        <f>HYPERLINK("https://klasma.github.io/Logging_2262/klagomålsmail/A 56916-2025 FSC-klagomål mail.docx", "A 56916-2025")</f>
        <v/>
      </c>
      <c r="X102">
        <f>HYPERLINK("https://klasma.github.io/Logging_2262/tillsyn/A 56916-2025 tillsynsbegäran.docx", "A 56916-2025")</f>
        <v/>
      </c>
      <c r="Y102">
        <f>HYPERLINK("https://klasma.github.io/Logging_2262/tillsynsmail/A 56916-2025 tillsynsbegäran mail.docx", "A 56916-2025")</f>
        <v/>
      </c>
      <c r="Z102">
        <f>HYPERLINK("https://klasma.github.io/Logging_2262/fåglar/A 56916-2025 prioriterade fågelarter.docx", "A 56916-2025")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45986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53300-2024</t>
        </is>
      </c>
      <c r="B104" s="1" t="n">
        <v>45614.38832175926</v>
      </c>
      <c r="C104" s="1" t="n">
        <v>45986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53300-2024 artfynd.xlsx", "A 53300-2024")</f>
        <v/>
      </c>
      <c r="T104">
        <f>HYPERLINK("https://klasma.github.io/Logging_2262/kartor/A 53300-2024 karta.png", "A 53300-2024")</f>
        <v/>
      </c>
      <c r="V104">
        <f>HYPERLINK("https://klasma.github.io/Logging_2262/klagomål/A 53300-2024 FSC-klagomål.docx", "A 53300-2024")</f>
        <v/>
      </c>
      <c r="W104">
        <f>HYPERLINK("https://klasma.github.io/Logging_2262/klagomålsmail/A 53300-2024 FSC-klagomål mail.docx", "A 53300-2024")</f>
        <v/>
      </c>
      <c r="X104">
        <f>HYPERLINK("https://klasma.github.io/Logging_2262/tillsyn/A 53300-2024 tillsynsbegäran.docx", "A 53300-2024")</f>
        <v/>
      </c>
      <c r="Y104">
        <f>HYPERLINK("https://klasma.github.io/Logging_2262/tillsynsmail/A 53300-2024 tillsynsbegäran mail.docx", "A 53300-2024")</f>
        <v/>
      </c>
    </row>
    <row r="105" ht="15" customHeight="1">
      <c r="A105" t="inlineStr">
        <is>
          <t>A 35190-2025</t>
        </is>
      </c>
      <c r="B105" s="1" t="n">
        <v>45853.34451388889</v>
      </c>
      <c r="C105" s="1" t="n">
        <v>45986</v>
      </c>
      <c r="D105" t="inlineStr">
        <is>
          <t>VÄSTERNORRLANDS LÄN</t>
        </is>
      </c>
      <c r="E105" t="inlineStr">
        <is>
          <t>TIMRÅ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HYPERLINK("https://klasma.github.io/Logging_2262/artfynd/A 35190-2025 artfynd.xlsx", "A 35190-2025")</f>
        <v/>
      </c>
      <c r="T105">
        <f>HYPERLINK("https://klasma.github.io/Logging_2262/kartor/A 35190-2025 karta.png", "A 35190-2025")</f>
        <v/>
      </c>
      <c r="V105">
        <f>HYPERLINK("https://klasma.github.io/Logging_2262/klagomål/A 35190-2025 FSC-klagomål.docx", "A 35190-2025")</f>
        <v/>
      </c>
      <c r="W105">
        <f>HYPERLINK("https://klasma.github.io/Logging_2262/klagomålsmail/A 35190-2025 FSC-klagomål mail.docx", "A 35190-2025")</f>
        <v/>
      </c>
      <c r="X105">
        <f>HYPERLINK("https://klasma.github.io/Logging_2262/tillsyn/A 35190-2025 tillsynsbegäran.docx", "A 35190-2025")</f>
        <v/>
      </c>
      <c r="Y105">
        <f>HYPERLINK("https://klasma.github.io/Logging_2262/tillsynsmail/A 35190-2025 tillsynsbegäran mail.docx", "A 35190-2025")</f>
        <v/>
      </c>
    </row>
    <row r="106" ht="15" customHeight="1">
      <c r="A106" t="inlineStr">
        <is>
          <t>A 6770-2023</t>
        </is>
      </c>
      <c r="B106" s="1" t="n">
        <v>44966</v>
      </c>
      <c r="C106" s="1" t="n">
        <v>45986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HYPERLINK("https://klasma.github.io/Logging_2262/artfynd/A 6770-2023 artfynd.xlsx", "A 6770-2023")</f>
        <v/>
      </c>
      <c r="T106">
        <f>HYPERLINK("https://klasma.github.io/Logging_2262/kartor/A 6770-2023 karta.png", "A 6770-2023")</f>
        <v/>
      </c>
      <c r="V106">
        <f>HYPERLINK("https://klasma.github.io/Logging_2262/klagomål/A 6770-2023 FSC-klagomål.docx", "A 6770-2023")</f>
        <v/>
      </c>
      <c r="W106">
        <f>HYPERLINK("https://klasma.github.io/Logging_2262/klagomålsmail/A 6770-2023 FSC-klagomål mail.docx", "A 6770-2023")</f>
        <v/>
      </c>
      <c r="X106">
        <f>HYPERLINK("https://klasma.github.io/Logging_2262/tillsyn/A 6770-2023 tillsynsbegäran.docx", "A 6770-2023")</f>
        <v/>
      </c>
      <c r="Y106">
        <f>HYPERLINK("https://klasma.github.io/Logging_2262/tillsynsmail/A 6770-2023 tillsynsbegäran mail.docx", "A 6770-2023")</f>
        <v/>
      </c>
    </row>
    <row r="107" ht="15" customHeight="1">
      <c r="A107" t="inlineStr">
        <is>
          <t>A 35680-2025</t>
        </is>
      </c>
      <c r="B107" s="1" t="n">
        <v>45859</v>
      </c>
      <c r="C107" s="1" t="n">
        <v>45986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10.6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35680-2025 artfynd.xlsx", "A 35680-2025")</f>
        <v/>
      </c>
      <c r="T107">
        <f>HYPERLINK("https://klasma.github.io/Logging_2262/kartor/A 35680-2025 karta.png", "A 35680-2025")</f>
        <v/>
      </c>
      <c r="U107">
        <f>HYPERLINK("https://klasma.github.io/Logging_2262/knärot/A 35680-2025 karta knärot.png", "A 35680-2025")</f>
        <v/>
      </c>
      <c r="V107">
        <f>HYPERLINK("https://klasma.github.io/Logging_2262/klagomål/A 35680-2025 FSC-klagomål.docx", "A 35680-2025")</f>
        <v/>
      </c>
      <c r="W107">
        <f>HYPERLINK("https://klasma.github.io/Logging_2262/klagomålsmail/A 35680-2025 FSC-klagomål mail.docx", "A 35680-2025")</f>
        <v/>
      </c>
      <c r="X107">
        <f>HYPERLINK("https://klasma.github.io/Logging_2262/tillsyn/A 35680-2025 tillsynsbegäran.docx", "A 35680-2025")</f>
        <v/>
      </c>
      <c r="Y107">
        <f>HYPERLINK("https://klasma.github.io/Logging_2262/tillsynsmail/A 35680-2025 tillsynsbegäran mail.docx", "A 35680-2025")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45986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53295-2024</t>
        </is>
      </c>
      <c r="B109" s="1" t="n">
        <v>45614.38761574074</v>
      </c>
      <c r="C109" s="1" t="n">
        <v>45986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HYPERLINK("https://klasma.github.io/Logging_2262/artfynd/A 53295-2024 artfynd.xlsx", "A 53295-2024")</f>
        <v/>
      </c>
      <c r="T109">
        <f>HYPERLINK("https://klasma.github.io/Logging_2262/kartor/A 53295-2024 karta.png", "A 53295-2024")</f>
        <v/>
      </c>
      <c r="V109">
        <f>HYPERLINK("https://klasma.github.io/Logging_2262/klagomål/A 53295-2024 FSC-klagomål.docx", "A 53295-2024")</f>
        <v/>
      </c>
      <c r="W109">
        <f>HYPERLINK("https://klasma.github.io/Logging_2262/klagomålsmail/A 53295-2024 FSC-klagomål mail.docx", "A 53295-2024")</f>
        <v/>
      </c>
      <c r="X109">
        <f>HYPERLINK("https://klasma.github.io/Logging_2262/tillsyn/A 53295-2024 tillsynsbegäran.docx", "A 53295-2024")</f>
        <v/>
      </c>
      <c r="Y109">
        <f>HYPERLINK("https://klasma.github.io/Logging_2262/tillsynsmail/A 53295-2024 tillsynsbegäran mail.docx", "A 53295-2024")</f>
        <v/>
      </c>
    </row>
    <row r="110" ht="15" customHeight="1">
      <c r="A110" t="inlineStr">
        <is>
          <t>A 16301-2025</t>
        </is>
      </c>
      <c r="B110" s="1" t="n">
        <v>45751.34609953704</v>
      </c>
      <c r="C110" s="1" t="n">
        <v>45986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16301-2025 artfynd.xlsx", "A 16301-2025")</f>
        <v/>
      </c>
      <c r="T110">
        <f>HYPERLINK("https://klasma.github.io/Logging_2262/kartor/A 16301-2025 karta.png", "A 16301-2025")</f>
        <v/>
      </c>
      <c r="U110">
        <f>HYPERLINK("https://klasma.github.io/Logging_2262/knärot/A 16301-2025 karta knärot.png", "A 16301-2025")</f>
        <v/>
      </c>
      <c r="V110">
        <f>HYPERLINK("https://klasma.github.io/Logging_2262/klagomål/A 16301-2025 FSC-klagomål.docx", "A 16301-2025")</f>
        <v/>
      </c>
      <c r="W110">
        <f>HYPERLINK("https://klasma.github.io/Logging_2262/klagomålsmail/A 16301-2025 FSC-klagomål mail.docx", "A 16301-2025")</f>
        <v/>
      </c>
      <c r="X110">
        <f>HYPERLINK("https://klasma.github.io/Logging_2262/tillsyn/A 16301-2025 tillsynsbegäran.docx", "A 16301-2025")</f>
        <v/>
      </c>
      <c r="Y110">
        <f>HYPERLINK("https://klasma.github.io/Logging_2262/tillsynsmail/A 16301-2025 tillsynsbegäran mail.docx", "A 16301-2025")</f>
        <v/>
      </c>
    </row>
    <row r="111" ht="15" customHeight="1">
      <c r="A111" t="inlineStr">
        <is>
          <t>A 56287-2024</t>
        </is>
      </c>
      <c r="B111" s="1" t="n">
        <v>45624.67935185185</v>
      </c>
      <c r="C111" s="1" t="n">
        <v>45986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56287-2024 artfynd.xlsx", "A 56287-2024")</f>
        <v/>
      </c>
      <c r="T111">
        <f>HYPERLINK("https://klasma.github.io/Logging_2262/kartor/A 56287-2024 karta.png", "A 56287-2024")</f>
        <v/>
      </c>
      <c r="V111">
        <f>HYPERLINK("https://klasma.github.io/Logging_2262/klagomål/A 56287-2024 FSC-klagomål.docx", "A 56287-2024")</f>
        <v/>
      </c>
      <c r="W111">
        <f>HYPERLINK("https://klasma.github.io/Logging_2262/klagomålsmail/A 56287-2024 FSC-klagomål mail.docx", "A 56287-2024")</f>
        <v/>
      </c>
      <c r="X111">
        <f>HYPERLINK("https://klasma.github.io/Logging_2262/tillsyn/A 56287-2024 tillsynsbegäran.docx", "A 56287-2024")</f>
        <v/>
      </c>
      <c r="Y111">
        <f>HYPERLINK("https://klasma.github.io/Logging_2262/tillsynsmail/A 56287-2024 tillsynsbegäran mail.docx", "A 56287-2024")</f>
        <v/>
      </c>
    </row>
    <row r="112" ht="15" customHeight="1">
      <c r="A112" t="inlineStr">
        <is>
          <t>A 21845-2024</t>
        </is>
      </c>
      <c r="B112" s="1" t="n">
        <v>45442</v>
      </c>
      <c r="C112" s="1" t="n">
        <v>45986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14.7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21845-2024 artfynd.xlsx", "A 21845-2024")</f>
        <v/>
      </c>
      <c r="T112">
        <f>HYPERLINK("https://klasma.github.io/Logging_2262/kartor/A 21845-2024 karta.png", "A 21845-2024")</f>
        <v/>
      </c>
      <c r="V112">
        <f>HYPERLINK("https://klasma.github.io/Logging_2262/klagomål/A 21845-2024 FSC-klagomål.docx", "A 21845-2024")</f>
        <v/>
      </c>
      <c r="W112">
        <f>HYPERLINK("https://klasma.github.io/Logging_2262/klagomålsmail/A 21845-2024 FSC-klagomål mail.docx", "A 21845-2024")</f>
        <v/>
      </c>
      <c r="X112">
        <f>HYPERLINK("https://klasma.github.io/Logging_2262/tillsyn/A 21845-2024 tillsynsbegäran.docx", "A 21845-2024")</f>
        <v/>
      </c>
      <c r="Y112">
        <f>HYPERLINK("https://klasma.github.io/Logging_2262/tillsynsmail/A 21845-2024 tillsynsbegäran mail.docx", "A 21845-2024")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45986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45721-2024</t>
        </is>
      </c>
      <c r="B114" s="1" t="n">
        <v>45579.59434027778</v>
      </c>
      <c r="C114" s="1" t="n">
        <v>45986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HYPERLINK("https://klasma.github.io/Logging_2262/artfynd/A 45721-2024 artfynd.xlsx", "A 45721-2024")</f>
        <v/>
      </c>
      <c r="T114">
        <f>HYPERLINK("https://klasma.github.io/Logging_2262/kartor/A 45721-2024 karta.png", "A 45721-2024")</f>
        <v/>
      </c>
      <c r="V114">
        <f>HYPERLINK("https://klasma.github.io/Logging_2262/klagomål/A 45721-2024 FSC-klagomål.docx", "A 45721-2024")</f>
        <v/>
      </c>
      <c r="W114">
        <f>HYPERLINK("https://klasma.github.io/Logging_2262/klagomålsmail/A 45721-2024 FSC-klagomål mail.docx", "A 45721-2024")</f>
        <v/>
      </c>
      <c r="X114">
        <f>HYPERLINK("https://klasma.github.io/Logging_2262/tillsyn/A 45721-2024 tillsynsbegäran.docx", "A 45721-2024")</f>
        <v/>
      </c>
      <c r="Y114">
        <f>HYPERLINK("https://klasma.github.io/Logging_2262/tillsynsmail/A 45721-2024 tillsynsbegäran mail.docx", "A 45721-2024")</f>
        <v/>
      </c>
    </row>
    <row r="115" ht="15" customHeight="1">
      <c r="A115" t="inlineStr">
        <is>
          <t>A 12785-2022</t>
        </is>
      </c>
      <c r="B115" s="1" t="n">
        <v>44641</v>
      </c>
      <c r="C115" s="1" t="n">
        <v>45986</v>
      </c>
      <c r="D115" t="inlineStr">
        <is>
          <t>VÄSTERNORRLANDS LÄN</t>
        </is>
      </c>
      <c r="E115" t="inlineStr">
        <is>
          <t>TIMRÅ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HYPERLINK("https://klasma.github.io/Logging_2262/artfynd/A 12785-2022 artfynd.xlsx", "A 12785-2022")</f>
        <v/>
      </c>
      <c r="T115">
        <f>HYPERLINK("https://klasma.github.io/Logging_2262/kartor/A 12785-2022 karta.png", "A 12785-2022")</f>
        <v/>
      </c>
      <c r="V115">
        <f>HYPERLINK("https://klasma.github.io/Logging_2262/klagomål/A 12785-2022 FSC-klagomål.docx", "A 12785-2022")</f>
        <v/>
      </c>
      <c r="W115">
        <f>HYPERLINK("https://klasma.github.io/Logging_2262/klagomålsmail/A 12785-2022 FSC-klagomål mail.docx", "A 12785-2022")</f>
        <v/>
      </c>
      <c r="X115">
        <f>HYPERLINK("https://klasma.github.io/Logging_2262/tillsyn/A 12785-2022 tillsynsbegäran.docx", "A 12785-2022")</f>
        <v/>
      </c>
      <c r="Y115">
        <f>HYPERLINK("https://klasma.github.io/Logging_2262/tillsynsmail/A 12785-2022 tillsynsbegäran mail.docx", "A 12785-2022")</f>
        <v/>
      </c>
    </row>
    <row r="116" ht="15" customHeight="1">
      <c r="A116" t="inlineStr">
        <is>
          <t>A 57242-2022</t>
        </is>
      </c>
      <c r="B116" s="1" t="n">
        <v>44889</v>
      </c>
      <c r="C116" s="1" t="n">
        <v>45986</v>
      </c>
      <c r="D116" t="inlineStr">
        <is>
          <t>VÄSTERNORRLANDS LÄN</t>
        </is>
      </c>
      <c r="E116" t="inlineStr">
        <is>
          <t>TIMRÅ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Flodpärlmussla</t>
        </is>
      </c>
      <c r="S116">
        <f>HYPERLINK("https://klasma.github.io/Logging_2262/artfynd/A 57242-2022 artfynd.xlsx", "A 57242-2022")</f>
        <v/>
      </c>
      <c r="T116">
        <f>HYPERLINK("https://klasma.github.io/Logging_2262/kartor/A 57242-2022 karta.png", "A 57242-2022")</f>
        <v/>
      </c>
      <c r="V116">
        <f>HYPERLINK("https://klasma.github.io/Logging_2262/klagomål/A 57242-2022 FSC-klagomål.docx", "A 57242-2022")</f>
        <v/>
      </c>
      <c r="W116">
        <f>HYPERLINK("https://klasma.github.io/Logging_2262/klagomålsmail/A 57242-2022 FSC-klagomål mail.docx", "A 57242-2022")</f>
        <v/>
      </c>
      <c r="X116">
        <f>HYPERLINK("https://klasma.github.io/Logging_2262/tillsyn/A 57242-2022 tillsynsbegäran.docx", "A 57242-2022")</f>
        <v/>
      </c>
      <c r="Y116">
        <f>HYPERLINK("https://klasma.github.io/Logging_2262/tillsynsmail/A 57242-2022 tillsynsbegäran mail.docx", "A 57242-2022")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45986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65001-2020</t>
        </is>
      </c>
      <c r="B118" s="1" t="n">
        <v>44167</v>
      </c>
      <c r="C118" s="1" t="n">
        <v>45986</v>
      </c>
      <c r="D118" t="inlineStr">
        <is>
          <t>VÄSTERNORRLANDS LÄN</t>
        </is>
      </c>
      <c r="E118" t="inlineStr">
        <is>
          <t>TIMRÅ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47570-2021</t>
        </is>
      </c>
      <c r="B119" s="1" t="n">
        <v>44447.94371527778</v>
      </c>
      <c r="C119" s="1" t="n">
        <v>45986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28695-2021</t>
        </is>
      </c>
      <c r="B120" s="1" t="n">
        <v>44357</v>
      </c>
      <c r="C120" s="1" t="n">
        <v>45986</v>
      </c>
      <c r="D120" t="inlineStr">
        <is>
          <t>VÄSTERNORRLANDS LÄN</t>
        </is>
      </c>
      <c r="E120" t="inlineStr">
        <is>
          <t>TIMRÅ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20487-2021</t>
        </is>
      </c>
      <c r="B121" s="1" t="n">
        <v>44315</v>
      </c>
      <c r="C121" s="1" t="n">
        <v>45986</v>
      </c>
      <c r="D121" t="inlineStr">
        <is>
          <t>VÄSTERNORRLANDS LÄN</t>
        </is>
      </c>
      <c r="E121" t="inlineStr">
        <is>
          <t>TIMRÅ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66154-2021</t>
        </is>
      </c>
      <c r="B122" s="1" t="n">
        <v>44517</v>
      </c>
      <c r="C122" s="1" t="n">
        <v>45986</v>
      </c>
      <c r="D122" t="inlineStr">
        <is>
          <t>VÄSTERNORRLANDS LÄN</t>
        </is>
      </c>
      <c r="E122" t="inlineStr">
        <is>
          <t>TIMRÅ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74044-2021</t>
        </is>
      </c>
      <c r="B123" s="1" t="n">
        <v>44557</v>
      </c>
      <c r="C123" s="1" t="n">
        <v>45986</v>
      </c>
      <c r="D123" t="inlineStr">
        <is>
          <t>VÄSTERNORRLANDS LÄN</t>
        </is>
      </c>
      <c r="E123" t="inlineStr">
        <is>
          <t>TIMRÅ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43233-2022</t>
        </is>
      </c>
      <c r="B124" s="1" t="n">
        <v>44833</v>
      </c>
      <c r="C124" s="1" t="n">
        <v>45986</v>
      </c>
      <c r="D124" t="inlineStr">
        <is>
          <t>VÄSTERNORRLANDS LÄN</t>
        </is>
      </c>
      <c r="E124" t="inlineStr">
        <is>
          <t>TIMRÅ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63960-2020</t>
        </is>
      </c>
      <c r="B125" s="1" t="n">
        <v>44165</v>
      </c>
      <c r="C125" s="1" t="n">
        <v>45986</v>
      </c>
      <c r="D125" t="inlineStr">
        <is>
          <t>VÄSTERNORRLANDS LÄN</t>
        </is>
      </c>
      <c r="E125" t="inlineStr">
        <is>
          <t>TIMRÅ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74043-2021</t>
        </is>
      </c>
      <c r="B126" s="1" t="n">
        <v>44557</v>
      </c>
      <c r="C126" s="1" t="n">
        <v>45986</v>
      </c>
      <c r="D126" t="inlineStr">
        <is>
          <t>VÄSTERNORRLANDS LÄN</t>
        </is>
      </c>
      <c r="E126" t="inlineStr">
        <is>
          <t>TIMRÅ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23693-2022</t>
        </is>
      </c>
      <c r="B127" s="1" t="n">
        <v>44721</v>
      </c>
      <c r="C127" s="1" t="n">
        <v>45986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47569-2021</t>
        </is>
      </c>
      <c r="B128" s="1" t="n">
        <v>44447</v>
      </c>
      <c r="C128" s="1" t="n">
        <v>45986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38445-2022</t>
        </is>
      </c>
      <c r="B129" s="1" t="n">
        <v>44813</v>
      </c>
      <c r="C129" s="1" t="n">
        <v>45986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45986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52096-2022</t>
        </is>
      </c>
      <c r="B131" s="1" t="n">
        <v>44868</v>
      </c>
      <c r="C131" s="1" t="n">
        <v>45986</v>
      </c>
      <c r="D131" t="inlineStr">
        <is>
          <t>VÄSTERNORRLANDS LÄN</t>
        </is>
      </c>
      <c r="E131" t="inlineStr">
        <is>
          <t>TIMRÅ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28702-2021</t>
        </is>
      </c>
      <c r="B132" s="1" t="n">
        <v>44357</v>
      </c>
      <c r="C132" s="1" t="n">
        <v>45986</v>
      </c>
      <c r="D132" t="inlineStr">
        <is>
          <t>VÄSTERNORRLANDS LÄN</t>
        </is>
      </c>
      <c r="E132" t="inlineStr">
        <is>
          <t>TIMRÅ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1555-2021</t>
        </is>
      </c>
      <c r="B133" s="1" t="n">
        <v>44209</v>
      </c>
      <c r="C133" s="1" t="n">
        <v>45986</v>
      </c>
      <c r="D133" t="inlineStr">
        <is>
          <t>VÄSTERNORRLANDS LÄN</t>
        </is>
      </c>
      <c r="E133" t="inlineStr">
        <is>
          <t>TIMRÅ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64571-2020</t>
        </is>
      </c>
      <c r="B134" s="1" t="n">
        <v>44166</v>
      </c>
      <c r="C134" s="1" t="n">
        <v>45986</v>
      </c>
      <c r="D134" t="inlineStr">
        <is>
          <t>VÄSTERNORRLANDS LÄN</t>
        </is>
      </c>
      <c r="E134" t="inlineStr">
        <is>
          <t>TIMRÅ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45986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45986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67673-2021</t>
        </is>
      </c>
      <c r="B137" s="1" t="n">
        <v>44524</v>
      </c>
      <c r="C137" s="1" t="n">
        <v>45986</v>
      </c>
      <c r="D137" t="inlineStr">
        <is>
          <t>VÄSTERNORRLANDS LÄN</t>
        </is>
      </c>
      <c r="E137" t="inlineStr">
        <is>
          <t>TIMRÅ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74148-2021</t>
        </is>
      </c>
      <c r="B138" s="1" t="n">
        <v>44557</v>
      </c>
      <c r="C138" s="1" t="n">
        <v>45986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45986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45986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45986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45986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45986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67610-2020</t>
        </is>
      </c>
      <c r="B144" s="1" t="n">
        <v>44181</v>
      </c>
      <c r="C144" s="1" t="n">
        <v>45986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32210-2021</t>
        </is>
      </c>
      <c r="B145" s="1" t="n">
        <v>44371</v>
      </c>
      <c r="C145" s="1" t="n">
        <v>45986</v>
      </c>
      <c r="D145" t="inlineStr">
        <is>
          <t>VÄSTERNORRLANDS LÄN</t>
        </is>
      </c>
      <c r="E145" t="inlineStr">
        <is>
          <t>TIMRÅ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32287-2021</t>
        </is>
      </c>
      <c r="B146" s="1" t="n">
        <v>44371</v>
      </c>
      <c r="C146" s="1" t="n">
        <v>45986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Kyrkan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45986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52448-2022</t>
        </is>
      </c>
      <c r="B148" s="1" t="n">
        <v>44874.46287037037</v>
      </c>
      <c r="C148" s="1" t="n">
        <v>45986</v>
      </c>
      <c r="D148" t="inlineStr">
        <is>
          <t>VÄSTERNORRLANDS LÄN</t>
        </is>
      </c>
      <c r="E148" t="inlineStr">
        <is>
          <t>TIMRÅ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45986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45986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32483-2021</t>
        </is>
      </c>
      <c r="B151" s="1" t="n">
        <v>44371</v>
      </c>
      <c r="C151" s="1" t="n">
        <v>45986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45986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53659-2022</t>
        </is>
      </c>
      <c r="B153" s="1" t="n">
        <v>44879.9560300926</v>
      </c>
      <c r="C153" s="1" t="n">
        <v>45986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64433-2021</t>
        </is>
      </c>
      <c r="B154" s="1" t="n">
        <v>44511</v>
      </c>
      <c r="C154" s="1" t="n">
        <v>45986</v>
      </c>
      <c r="D154" t="inlineStr">
        <is>
          <t>VÄSTERNORRLANDS LÄN</t>
        </is>
      </c>
      <c r="E154" t="inlineStr">
        <is>
          <t>TIMRÅ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42281-2022</t>
        </is>
      </c>
      <c r="B155" s="1" t="n">
        <v>44830</v>
      </c>
      <c r="C155" s="1" t="n">
        <v>45986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1559-2021</t>
        </is>
      </c>
      <c r="B156" s="1" t="n">
        <v>44209.44664351852</v>
      </c>
      <c r="C156" s="1" t="n">
        <v>45986</v>
      </c>
      <c r="D156" t="inlineStr">
        <is>
          <t>VÄSTERNORRLANDS LÄN</t>
        </is>
      </c>
      <c r="E156" t="inlineStr">
        <is>
          <t>TIMRÅ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7367-2021</t>
        </is>
      </c>
      <c r="B157" s="1" t="n">
        <v>44237</v>
      </c>
      <c r="C157" s="1" t="n">
        <v>45986</v>
      </c>
      <c r="D157" t="inlineStr">
        <is>
          <t>VÄSTERNORRLANDS LÄN</t>
        </is>
      </c>
      <c r="E157" t="inlineStr">
        <is>
          <t>TIMRÅ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45986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45986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45986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66837-2020</t>
        </is>
      </c>
      <c r="B161" s="1" t="n">
        <v>44179</v>
      </c>
      <c r="C161" s="1" t="n">
        <v>45986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Kommuner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45986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45986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45986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45986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45986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45986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45986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45986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45986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45986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45986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45986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45986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45986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45986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45986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45986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45986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45986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45986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45986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45986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45986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45986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45986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52909-2024</t>
        </is>
      </c>
      <c r="B187" s="1" t="n">
        <v>45610.69864583333</v>
      </c>
      <c r="C187" s="1" t="n">
        <v>45986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43994-2023</t>
        </is>
      </c>
      <c r="B188" s="1" t="n">
        <v>45187</v>
      </c>
      <c r="C188" s="1" t="n">
        <v>45986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2226-2022</t>
        </is>
      </c>
      <c r="B189" s="1" t="n">
        <v>44578</v>
      </c>
      <c r="C189" s="1" t="n">
        <v>45986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45986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45986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45986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20732-2021</t>
        </is>
      </c>
      <c r="B193" s="1" t="n">
        <v>44316</v>
      </c>
      <c r="C193" s="1" t="n">
        <v>45986</v>
      </c>
      <c r="D193" t="inlineStr">
        <is>
          <t>VÄSTERNORRLANDS LÄN</t>
        </is>
      </c>
      <c r="E193" t="inlineStr">
        <is>
          <t>TIMRÅ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45986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16302-2025</t>
        </is>
      </c>
      <c r="B195" s="1" t="n">
        <v>45751.34613425926</v>
      </c>
      <c r="C195" s="1" t="n">
        <v>45986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24988-2022</t>
        </is>
      </c>
      <c r="B196" s="1" t="n">
        <v>44728</v>
      </c>
      <c r="C196" s="1" t="n">
        <v>45986</v>
      </c>
      <c r="D196" t="inlineStr">
        <is>
          <t>VÄSTERNORRLANDS LÄN</t>
        </is>
      </c>
      <c r="E196" t="inlineStr">
        <is>
          <t>TIMRÅ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11269-2022</t>
        </is>
      </c>
      <c r="B197" s="1" t="n">
        <v>44629.71497685185</v>
      </c>
      <c r="C197" s="1" t="n">
        <v>45986</v>
      </c>
      <c r="D197" t="inlineStr">
        <is>
          <t>VÄSTERNORRLANDS LÄN</t>
        </is>
      </c>
      <c r="E197" t="inlineStr">
        <is>
          <t>TIMRÅ</t>
        </is>
      </c>
      <c r="G197" t="n">
        <v>16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8506-2024</t>
        </is>
      </c>
      <c r="B198" s="1" t="n">
        <v>45351</v>
      </c>
      <c r="C198" s="1" t="n">
        <v>45986</v>
      </c>
      <c r="D198" t="inlineStr">
        <is>
          <t>VÄSTERNORRLANDS LÄN</t>
        </is>
      </c>
      <c r="E198" t="inlineStr">
        <is>
          <t>TIMRÅ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45986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45986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45986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21998-2025</t>
        </is>
      </c>
      <c r="B202" s="1" t="n">
        <v>45784.69828703703</v>
      </c>
      <c r="C202" s="1" t="n">
        <v>45986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60111-2024</t>
        </is>
      </c>
      <c r="B203" s="1" t="n">
        <v>45642</v>
      </c>
      <c r="C203" s="1" t="n">
        <v>45986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21929-2025</t>
        </is>
      </c>
      <c r="B204" s="1" t="n">
        <v>45784.55241898148</v>
      </c>
      <c r="C204" s="1" t="n">
        <v>45986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22240-2025</t>
        </is>
      </c>
      <c r="B205" s="1" t="n">
        <v>45785.67780092593</v>
      </c>
      <c r="C205" s="1" t="n">
        <v>45986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57063-2024</t>
        </is>
      </c>
      <c r="B206" s="1" t="n">
        <v>45629.35313657407</v>
      </c>
      <c r="C206" s="1" t="n">
        <v>45986</v>
      </c>
      <c r="D206" t="inlineStr">
        <is>
          <t>VÄSTERNORRLANDS LÄN</t>
        </is>
      </c>
      <c r="E206" t="inlineStr">
        <is>
          <t>TIMRÅ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38623-2025</t>
        </is>
      </c>
      <c r="B207" s="1" t="n">
        <v>45884.55336805555</v>
      </c>
      <c r="C207" s="1" t="n">
        <v>45986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22818-2025</t>
        </is>
      </c>
      <c r="B208" s="1" t="n">
        <v>45789.71915509259</v>
      </c>
      <c r="C208" s="1" t="n">
        <v>45986</v>
      </c>
      <c r="D208" t="inlineStr">
        <is>
          <t>VÄSTERNORRLANDS LÄN</t>
        </is>
      </c>
      <c r="E208" t="inlineStr">
        <is>
          <t>TIMRÅ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23670-2022</t>
        </is>
      </c>
      <c r="B209" s="1" t="n">
        <v>44721.92605324074</v>
      </c>
      <c r="C209" s="1" t="n">
        <v>45986</v>
      </c>
      <c r="D209" t="inlineStr">
        <is>
          <t>VÄSTERNORRLANDS LÄN</t>
        </is>
      </c>
      <c r="E209" t="inlineStr">
        <is>
          <t>TIMRÅ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38716-2025</t>
        </is>
      </c>
      <c r="B210" s="1" t="n">
        <v>45886.51091435185</v>
      </c>
      <c r="C210" s="1" t="n">
        <v>45986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22820-2025</t>
        </is>
      </c>
      <c r="B211" s="1" t="n">
        <v>45789.71949074074</v>
      </c>
      <c r="C211" s="1" t="n">
        <v>45986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22821-2025</t>
        </is>
      </c>
      <c r="B212" s="1" t="n">
        <v>45789.71967592592</v>
      </c>
      <c r="C212" s="1" t="n">
        <v>45986</v>
      </c>
      <c r="D212" t="inlineStr">
        <is>
          <t>VÄSTERNORRLANDS LÄN</t>
        </is>
      </c>
      <c r="E212" t="inlineStr">
        <is>
          <t>TIMRÅ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32487-2021</t>
        </is>
      </c>
      <c r="B213" s="1" t="n">
        <v>44371</v>
      </c>
      <c r="C213" s="1" t="n">
        <v>45986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Kyrkan</t>
        </is>
      </c>
      <c r="G213" t="n">
        <v>21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22368-2024</t>
        </is>
      </c>
      <c r="B214" s="1" t="n">
        <v>45446</v>
      </c>
      <c r="C214" s="1" t="n">
        <v>45986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44030-2024</t>
        </is>
      </c>
      <c r="B215" s="1" t="n">
        <v>45572</v>
      </c>
      <c r="C215" s="1" t="n">
        <v>45986</v>
      </c>
      <c r="D215" t="inlineStr">
        <is>
          <t>VÄSTERNORRLANDS LÄN</t>
        </is>
      </c>
      <c r="E215" t="inlineStr">
        <is>
          <t>TIMRÅ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22668-2025</t>
        </is>
      </c>
      <c r="B216" s="1" t="n">
        <v>45789</v>
      </c>
      <c r="C216" s="1" t="n">
        <v>45986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22389-2025</t>
        </is>
      </c>
      <c r="B217" s="1" t="n">
        <v>45786.51099537037</v>
      </c>
      <c r="C217" s="1" t="n">
        <v>45986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45986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22855-2025</t>
        </is>
      </c>
      <c r="B219" s="1" t="n">
        <v>45790.34469907408</v>
      </c>
      <c r="C219" s="1" t="n">
        <v>45986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61373-2022</t>
        </is>
      </c>
      <c r="B220" s="1" t="n">
        <v>44915</v>
      </c>
      <c r="C220" s="1" t="n">
        <v>45986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23173-2025</t>
        </is>
      </c>
      <c r="B221" s="1" t="n">
        <v>45791.42796296296</v>
      </c>
      <c r="C221" s="1" t="n">
        <v>45986</v>
      </c>
      <c r="D221" t="inlineStr">
        <is>
          <t>VÄSTERNORRLANDS LÄN</t>
        </is>
      </c>
      <c r="E221" t="inlineStr">
        <is>
          <t>TIMRÅ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HYPERLINK("https://klasma.github.io/Logging_2262/knärot/A 23173-2025 karta knärot.png", "A 23173-2025")</f>
        <v/>
      </c>
      <c r="V221">
        <f>HYPERLINK("https://klasma.github.io/Logging_2262/klagomål/A 23173-2025 FSC-klagomål.docx", "A 23173-2025")</f>
        <v/>
      </c>
      <c r="W221">
        <f>HYPERLINK("https://klasma.github.io/Logging_2262/klagomålsmail/A 23173-2025 FSC-klagomål mail.docx", "A 23173-2025")</f>
        <v/>
      </c>
      <c r="X221">
        <f>HYPERLINK("https://klasma.github.io/Logging_2262/tillsyn/A 23173-2025 tillsynsbegäran.docx", "A 23173-2025")</f>
        <v/>
      </c>
      <c r="Y221">
        <f>HYPERLINK("https://klasma.github.io/Logging_2262/tillsynsmail/A 23173-2025 tillsynsbegäran mail.docx", "A 23173-2025")</f>
        <v/>
      </c>
    </row>
    <row r="222" ht="15" customHeight="1">
      <c r="A222" t="inlineStr">
        <is>
          <t>A 29003-2025</t>
        </is>
      </c>
      <c r="B222" s="1" t="n">
        <v>45821.39233796296</v>
      </c>
      <c r="C222" s="1" t="n">
        <v>45986</v>
      </c>
      <c r="D222" t="inlineStr">
        <is>
          <t>VÄSTERNORRLANDS LÄN</t>
        </is>
      </c>
      <c r="E222" t="inlineStr">
        <is>
          <t>TIMRÅ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23030-2025</t>
        </is>
      </c>
      <c r="B223" s="1" t="n">
        <v>45790.65737268519</v>
      </c>
      <c r="C223" s="1" t="n">
        <v>45986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39194-2025</t>
        </is>
      </c>
      <c r="B224" s="1" t="n">
        <v>45888.67773148148</v>
      </c>
      <c r="C224" s="1" t="n">
        <v>45986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2123-2025</t>
        </is>
      </c>
      <c r="B225" s="1" t="n">
        <v>45672</v>
      </c>
      <c r="C225" s="1" t="n">
        <v>45986</v>
      </c>
      <c r="D225" t="inlineStr">
        <is>
          <t>VÄSTERNORRLANDS LÄN</t>
        </is>
      </c>
      <c r="E225" t="inlineStr">
        <is>
          <t>TIMRÅ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23839-2025</t>
        </is>
      </c>
      <c r="B226" s="1" t="n">
        <v>45793.61495370371</v>
      </c>
      <c r="C226" s="1" t="n">
        <v>45986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7152-2022</t>
        </is>
      </c>
      <c r="B227" s="1" t="n">
        <v>44603.92236111111</v>
      </c>
      <c r="C227" s="1" t="n">
        <v>45986</v>
      </c>
      <c r="D227" t="inlineStr">
        <is>
          <t>VÄSTERNORRLANDS LÄN</t>
        </is>
      </c>
      <c r="E227" t="inlineStr">
        <is>
          <t>TIMRÅ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60074-2023</t>
        </is>
      </c>
      <c r="B228" s="1" t="n">
        <v>45258</v>
      </c>
      <c r="C228" s="1" t="n">
        <v>45986</v>
      </c>
      <c r="D228" t="inlineStr">
        <is>
          <t>VÄSTERNORRLANDS LÄN</t>
        </is>
      </c>
      <c r="E228" t="inlineStr">
        <is>
          <t>TIMRÅ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35262-2021</t>
        </is>
      </c>
      <c r="B229" s="1" t="n">
        <v>44384</v>
      </c>
      <c r="C229" s="1" t="n">
        <v>45986</v>
      </c>
      <c r="D229" t="inlineStr">
        <is>
          <t>VÄSTERNORRLANDS LÄN</t>
        </is>
      </c>
      <c r="E229" t="inlineStr">
        <is>
          <t>TIMRÅ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23957-2025</t>
        </is>
      </c>
      <c r="B230" s="1" t="n">
        <v>45796.365</v>
      </c>
      <c r="C230" s="1" t="n">
        <v>45986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38992-2024</t>
        </is>
      </c>
      <c r="B231" s="1" t="n">
        <v>45548</v>
      </c>
      <c r="C231" s="1" t="n">
        <v>45986</v>
      </c>
      <c r="D231" t="inlineStr">
        <is>
          <t>VÄSTERNORRLANDS LÄN</t>
        </is>
      </c>
      <c r="E231" t="inlineStr">
        <is>
          <t>TIMRÅ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40192-2025</t>
        </is>
      </c>
      <c r="B232" s="1" t="n">
        <v>45894.65702546296</v>
      </c>
      <c r="C232" s="1" t="n">
        <v>45986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40484-2025</t>
        </is>
      </c>
      <c r="B233" s="1" t="n">
        <v>45895</v>
      </c>
      <c r="C233" s="1" t="n">
        <v>45986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45986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50699-2024</t>
        </is>
      </c>
      <c r="B235" s="1" t="n">
        <v>45602</v>
      </c>
      <c r="C235" s="1" t="n">
        <v>45986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6394-2025</t>
        </is>
      </c>
      <c r="B236" s="1" t="n">
        <v>45699.43229166666</v>
      </c>
      <c r="C236" s="1" t="n">
        <v>45986</v>
      </c>
      <c r="D236" t="inlineStr">
        <is>
          <t>VÄSTERNORRLANDS LÄN</t>
        </is>
      </c>
      <c r="E236" t="inlineStr">
        <is>
          <t>TIMRÅ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27696-2025</t>
        </is>
      </c>
      <c r="B237" s="1" t="n">
        <v>45813</v>
      </c>
      <c r="C237" s="1" t="n">
        <v>45986</v>
      </c>
      <c r="D237" t="inlineStr">
        <is>
          <t>VÄSTERNORRLANDS LÄN</t>
        </is>
      </c>
      <c r="E237" t="inlineStr">
        <is>
          <t>TIMRÅ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52705-2022</t>
        </is>
      </c>
      <c r="B238" s="1" t="n">
        <v>44874.92969907408</v>
      </c>
      <c r="C238" s="1" t="n">
        <v>45986</v>
      </c>
      <c r="D238" t="inlineStr">
        <is>
          <t>VÄSTERNORRLANDS LÄN</t>
        </is>
      </c>
      <c r="E238" t="inlineStr">
        <is>
          <t>TIMRÅ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24529-2025</t>
        </is>
      </c>
      <c r="B239" s="1" t="n">
        <v>45798.42756944444</v>
      </c>
      <c r="C239" s="1" t="n">
        <v>45986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40717-2025</t>
        </is>
      </c>
      <c r="B240" s="1" t="n">
        <v>45897.34467592592</v>
      </c>
      <c r="C240" s="1" t="n">
        <v>45986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19455-2024</t>
        </is>
      </c>
      <c r="B241" s="1" t="n">
        <v>45429</v>
      </c>
      <c r="C241" s="1" t="n">
        <v>45986</v>
      </c>
      <c r="D241" t="inlineStr">
        <is>
          <t>VÄSTERNORRLANDS LÄN</t>
        </is>
      </c>
      <c r="E241" t="inlineStr">
        <is>
          <t>TIMRÅ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69203-2020</t>
        </is>
      </c>
      <c r="B242" s="1" t="n">
        <v>44191</v>
      </c>
      <c r="C242" s="1" t="n">
        <v>45986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32105-2024</t>
        </is>
      </c>
      <c r="B243" s="1" t="n">
        <v>45511</v>
      </c>
      <c r="C243" s="1" t="n">
        <v>45986</v>
      </c>
      <c r="D243" t="inlineStr">
        <is>
          <t>VÄSTERNORRLANDS LÄN</t>
        </is>
      </c>
      <c r="E243" t="inlineStr">
        <is>
          <t>TIMRÅ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53703-2021</t>
        </is>
      </c>
      <c r="B244" s="1" t="n">
        <v>44469</v>
      </c>
      <c r="C244" s="1" t="n">
        <v>45986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41097-2025</t>
        </is>
      </c>
      <c r="B245" s="1" t="n">
        <v>45898.44824074074</v>
      </c>
      <c r="C245" s="1" t="n">
        <v>45986</v>
      </c>
      <c r="D245" t="inlineStr">
        <is>
          <t>VÄSTERNORRLANDS LÄN</t>
        </is>
      </c>
      <c r="E245" t="inlineStr">
        <is>
          <t>TIMRÅ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41077-2025</t>
        </is>
      </c>
      <c r="B246" s="1" t="n">
        <v>45898.42746527777</v>
      </c>
      <c r="C246" s="1" t="n">
        <v>45986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HYPERLINK("https://klasma.github.io/Logging_2262/knärot/A 41077-2025 karta knärot.png", "A 41077-2025")</f>
        <v/>
      </c>
      <c r="V246">
        <f>HYPERLINK("https://klasma.github.io/Logging_2262/klagomål/A 41077-2025 FSC-klagomål.docx", "A 41077-2025")</f>
        <v/>
      </c>
      <c r="W246">
        <f>HYPERLINK("https://klasma.github.io/Logging_2262/klagomålsmail/A 41077-2025 FSC-klagomål mail.docx", "A 41077-2025")</f>
        <v/>
      </c>
      <c r="X246">
        <f>HYPERLINK("https://klasma.github.io/Logging_2262/tillsyn/A 41077-2025 tillsynsbegäran.docx", "A 41077-2025")</f>
        <v/>
      </c>
      <c r="Y246">
        <f>HYPERLINK("https://klasma.github.io/Logging_2262/tillsynsmail/A 41077-2025 tillsynsbegäran mail.docx", "A 41077-2025")</f>
        <v/>
      </c>
    </row>
    <row r="247" ht="15" customHeight="1">
      <c r="A247" t="inlineStr">
        <is>
          <t>A 41098-2025</t>
        </is>
      </c>
      <c r="B247" s="1" t="n">
        <v>45898.44826388889</v>
      </c>
      <c r="C247" s="1" t="n">
        <v>45986</v>
      </c>
      <c r="D247" t="inlineStr">
        <is>
          <t>VÄSTERNORRLANDS LÄN</t>
        </is>
      </c>
      <c r="E247" t="inlineStr">
        <is>
          <t>TIMRÅ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54322-2024</t>
        </is>
      </c>
      <c r="B248" s="1" t="n">
        <v>45617</v>
      </c>
      <c r="C248" s="1" t="n">
        <v>45986</v>
      </c>
      <c r="D248" t="inlineStr">
        <is>
          <t>VÄSTERNORRLANDS LÄN</t>
        </is>
      </c>
      <c r="E248" t="inlineStr">
        <is>
          <t>TIMRÅ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42065-2025</t>
        </is>
      </c>
      <c r="B249" s="1" t="n">
        <v>45903.65372685185</v>
      </c>
      <c r="C249" s="1" t="n">
        <v>45986</v>
      </c>
      <c r="D249" t="inlineStr">
        <is>
          <t>VÄSTERNORRLANDS LÄN</t>
        </is>
      </c>
      <c r="E249" t="inlineStr">
        <is>
          <t>TIMRÅ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42040-2025</t>
        </is>
      </c>
      <c r="B250" s="1" t="n">
        <v>45903.61538194444</v>
      </c>
      <c r="C250" s="1" t="n">
        <v>45986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42058-2025</t>
        </is>
      </c>
      <c r="B251" s="1" t="n">
        <v>45903.645</v>
      </c>
      <c r="C251" s="1" t="n">
        <v>45986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45688-2022</t>
        </is>
      </c>
      <c r="B252" s="1" t="n">
        <v>44845</v>
      </c>
      <c r="C252" s="1" t="n">
        <v>45986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26300-2025</t>
        </is>
      </c>
      <c r="B253" s="1" t="n">
        <v>45805.6364699074</v>
      </c>
      <c r="C253" s="1" t="n">
        <v>45986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58879-2024</t>
        </is>
      </c>
      <c r="B254" s="1" t="n">
        <v>45636.44822916666</v>
      </c>
      <c r="C254" s="1" t="n">
        <v>45986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42144-2025</t>
        </is>
      </c>
      <c r="B255" s="1" t="n">
        <v>45904.37346064814</v>
      </c>
      <c r="C255" s="1" t="n">
        <v>45986</v>
      </c>
      <c r="D255" t="inlineStr">
        <is>
          <t>VÄSTERNORRLANDS LÄN</t>
        </is>
      </c>
      <c r="E255" t="inlineStr">
        <is>
          <t>TIMRÅ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61166-2024</t>
        </is>
      </c>
      <c r="B256" s="1" t="n">
        <v>45645.59753472222</v>
      </c>
      <c r="C256" s="1" t="n">
        <v>45986</v>
      </c>
      <c r="D256" t="inlineStr">
        <is>
          <t>VÄSTERNORRLANDS LÄN</t>
        </is>
      </c>
      <c r="E256" t="inlineStr">
        <is>
          <t>TIMRÅ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51582-2025</t>
        </is>
      </c>
      <c r="B257" s="1" t="n">
        <v>45951.34561342592</v>
      </c>
      <c r="C257" s="1" t="n">
        <v>45986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39302-2025</t>
        </is>
      </c>
      <c r="B258" s="1" t="n">
        <v>45889</v>
      </c>
      <c r="C258" s="1" t="n">
        <v>45986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51482-2025</t>
        </is>
      </c>
      <c r="B259" s="1" t="n">
        <v>45950.62047453703</v>
      </c>
      <c r="C259" s="1" t="n">
        <v>45986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51510-2025</t>
        </is>
      </c>
      <c r="B260" s="1" t="n">
        <v>45950.64591435185</v>
      </c>
      <c r="C260" s="1" t="n">
        <v>45986</v>
      </c>
      <c r="D260" t="inlineStr">
        <is>
          <t>VÄSTERNORRLANDS LÄN</t>
        </is>
      </c>
      <c r="E260" t="inlineStr">
        <is>
          <t>TIMRÅ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51779-2025</t>
        </is>
      </c>
      <c r="B261" s="1" t="n">
        <v>45951.65715277778</v>
      </c>
      <c r="C261" s="1" t="n">
        <v>45986</v>
      </c>
      <c r="D261" t="inlineStr">
        <is>
          <t>VÄSTERNORRLANDS LÄN</t>
        </is>
      </c>
      <c r="E261" t="inlineStr">
        <is>
          <t>TIMRÅ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51580-2025</t>
        </is>
      </c>
      <c r="B262" s="1" t="n">
        <v>45951.34542824074</v>
      </c>
      <c r="C262" s="1" t="n">
        <v>45986</v>
      </c>
      <c r="D262" t="inlineStr">
        <is>
          <t>VÄSTERNORRLANDS LÄN</t>
        </is>
      </c>
      <c r="E262" t="inlineStr">
        <is>
          <t>TIMRÅ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51585-2025</t>
        </is>
      </c>
      <c r="B263" s="1" t="n">
        <v>45951.34582175926</v>
      </c>
      <c r="C263" s="1" t="n">
        <v>45986</v>
      </c>
      <c r="D263" t="inlineStr">
        <is>
          <t>VÄSTERNORRLANDS LÄN</t>
        </is>
      </c>
      <c r="E263" t="inlineStr">
        <is>
          <t>TIMRÅ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51590-2025</t>
        </is>
      </c>
      <c r="B264" s="1" t="n">
        <v>45951.36527777778</v>
      </c>
      <c r="C264" s="1" t="n">
        <v>45986</v>
      </c>
      <c r="D264" t="inlineStr">
        <is>
          <t>VÄSTERNORRLANDS LÄN</t>
        </is>
      </c>
      <c r="E264" t="inlineStr">
        <is>
          <t>TIMRÅ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51457-2025</t>
        </is>
      </c>
      <c r="B265" s="1" t="n">
        <v>45950.59730324074</v>
      </c>
      <c r="C265" s="1" t="n">
        <v>45986</v>
      </c>
      <c r="D265" t="inlineStr">
        <is>
          <t>VÄSTERNORRLANDS LÄN</t>
        </is>
      </c>
      <c r="E265" t="inlineStr">
        <is>
          <t>TIMRÅ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42657-2025</t>
        </is>
      </c>
      <c r="B266" s="1" t="n">
        <v>45907.49268518519</v>
      </c>
      <c r="C266" s="1" t="n">
        <v>45986</v>
      </c>
      <c r="D266" t="inlineStr">
        <is>
          <t>VÄSTERNORRLANDS LÄN</t>
        </is>
      </c>
      <c r="E266" t="inlineStr">
        <is>
          <t>TIMRÅ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13254-2023</t>
        </is>
      </c>
      <c r="B267" s="1" t="n">
        <v>45002</v>
      </c>
      <c r="C267" s="1" t="n">
        <v>45986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45986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51788-2025</t>
        </is>
      </c>
      <c r="B269" s="1" t="n">
        <v>45951.67846064815</v>
      </c>
      <c r="C269" s="1" t="n">
        <v>45986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51584-2025</t>
        </is>
      </c>
      <c r="B270" s="1" t="n">
        <v>45951.34575231482</v>
      </c>
      <c r="C270" s="1" t="n">
        <v>45986</v>
      </c>
      <c r="D270" t="inlineStr">
        <is>
          <t>VÄSTERNORRLANDS LÄN</t>
        </is>
      </c>
      <c r="E270" t="inlineStr">
        <is>
          <t>TIMRÅ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52123-2025</t>
        </is>
      </c>
      <c r="B271" s="1" t="n">
        <v>45952.71978009259</v>
      </c>
      <c r="C271" s="1" t="n">
        <v>45986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60166-2022</t>
        </is>
      </c>
      <c r="B272" s="1" t="n">
        <v>44909</v>
      </c>
      <c r="C272" s="1" t="n">
        <v>45986</v>
      </c>
      <c r="D272" t="inlineStr">
        <is>
          <t>VÄSTERNORRLANDS LÄN</t>
        </is>
      </c>
      <c r="E272" t="inlineStr">
        <is>
          <t>TIMRÅ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59189-2024</t>
        </is>
      </c>
      <c r="B273" s="1" t="n">
        <v>45637</v>
      </c>
      <c r="C273" s="1" t="n">
        <v>45986</v>
      </c>
      <c r="D273" t="inlineStr">
        <is>
          <t>VÄSTERNORRLANDS LÄN</t>
        </is>
      </c>
      <c r="E273" t="inlineStr">
        <is>
          <t>TIMRÅ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52227-2025</t>
        </is>
      </c>
      <c r="B274" s="1" t="n">
        <v>45953.44878472222</v>
      </c>
      <c r="C274" s="1" t="n">
        <v>45986</v>
      </c>
      <c r="D274" t="inlineStr">
        <is>
          <t>VÄSTERNORRLANDS LÄN</t>
        </is>
      </c>
      <c r="E274" t="inlineStr">
        <is>
          <t>TIMRÅ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52228-2025</t>
        </is>
      </c>
      <c r="B275" s="1" t="n">
        <v>45953.4488425926</v>
      </c>
      <c r="C275" s="1" t="n">
        <v>45986</v>
      </c>
      <c r="D275" t="inlineStr">
        <is>
          <t>VÄSTERNORRLANDS LÄN</t>
        </is>
      </c>
      <c r="E275" t="inlineStr">
        <is>
          <t>TIMRÅ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45586-2024</t>
        </is>
      </c>
      <c r="B276" s="1" t="n">
        <v>45579.40659722222</v>
      </c>
      <c r="C276" s="1" t="n">
        <v>45986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52090-2025</t>
        </is>
      </c>
      <c r="B277" s="1" t="n">
        <v>45952.67783564814</v>
      </c>
      <c r="C277" s="1" t="n">
        <v>45986</v>
      </c>
      <c r="D277" t="inlineStr">
        <is>
          <t>VÄSTERNORRLANDS LÄN</t>
        </is>
      </c>
      <c r="E277" t="inlineStr">
        <is>
          <t>TIMRÅ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13251-2025</t>
        </is>
      </c>
      <c r="B278" s="1" t="n">
        <v>45735</v>
      </c>
      <c r="C278" s="1" t="n">
        <v>45986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52151-2025</t>
        </is>
      </c>
      <c r="B279" s="1" t="n">
        <v>45953.34508101852</v>
      </c>
      <c r="C279" s="1" t="n">
        <v>45986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52124-2025</t>
        </is>
      </c>
      <c r="B280" s="1" t="n">
        <v>45952.72013888889</v>
      </c>
      <c r="C280" s="1" t="n">
        <v>45986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52356-2025</t>
        </is>
      </c>
      <c r="B281" s="1" t="n">
        <v>45953.80394675926</v>
      </c>
      <c r="C281" s="1" t="n">
        <v>45986</v>
      </c>
      <c r="D281" t="inlineStr">
        <is>
          <t>VÄSTERNORRLANDS LÄN</t>
        </is>
      </c>
      <c r="E281" t="inlineStr">
        <is>
          <t>TIMRÅ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51841-2025</t>
        </is>
      </c>
      <c r="B282" s="1" t="n">
        <v>45952.34482638889</v>
      </c>
      <c r="C282" s="1" t="n">
        <v>45986</v>
      </c>
      <c r="D282" t="inlineStr">
        <is>
          <t>VÄSTERNORRLANDS LÄN</t>
        </is>
      </c>
      <c r="E282" t="inlineStr">
        <is>
          <t>TIMRÅ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52275-2025</t>
        </is>
      </c>
      <c r="B283" s="1" t="n">
        <v>45953.55248842593</v>
      </c>
      <c r="C283" s="1" t="n">
        <v>45986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9203-2022</t>
        </is>
      </c>
      <c r="B284" s="1" t="n">
        <v>44615</v>
      </c>
      <c r="C284" s="1" t="n">
        <v>45986</v>
      </c>
      <c r="D284" t="inlineStr">
        <is>
          <t>VÄSTERNORRLANDS LÄN</t>
        </is>
      </c>
      <c r="E284" t="inlineStr">
        <is>
          <t>TIMRÅ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52091-2025</t>
        </is>
      </c>
      <c r="B285" s="1" t="n">
        <v>45952.67809027778</v>
      </c>
      <c r="C285" s="1" t="n">
        <v>45986</v>
      </c>
      <c r="D285" t="inlineStr">
        <is>
          <t>VÄSTERNORRLANDS LÄN</t>
        </is>
      </c>
      <c r="E285" t="inlineStr">
        <is>
          <t>TIMRÅ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52867-2025</t>
        </is>
      </c>
      <c r="B286" s="1" t="n">
        <v>45957.51130787037</v>
      </c>
      <c r="C286" s="1" t="n">
        <v>45986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44011-2025</t>
        </is>
      </c>
      <c r="B287" s="1" t="n">
        <v>45915.46614583334</v>
      </c>
      <c r="C287" s="1" t="n">
        <v>45986</v>
      </c>
      <c r="D287" t="inlineStr">
        <is>
          <t>VÄSTERNORRLANDS LÄN</t>
        </is>
      </c>
      <c r="E287" t="inlineStr">
        <is>
          <t>TIMRÅ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52627-2025</t>
        </is>
      </c>
      <c r="B288" s="1" t="n">
        <v>45953</v>
      </c>
      <c r="C288" s="1" t="n">
        <v>45986</v>
      </c>
      <c r="D288" t="inlineStr">
        <is>
          <t>VÄSTERNORRLANDS LÄN</t>
        </is>
      </c>
      <c r="E288" t="inlineStr">
        <is>
          <t>TIMRÅ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16555-2023</t>
        </is>
      </c>
      <c r="B289" s="1" t="n">
        <v>45029</v>
      </c>
      <c r="C289" s="1" t="n">
        <v>45986</v>
      </c>
      <c r="D289" t="inlineStr">
        <is>
          <t>VÄSTERNORRLANDS LÄN</t>
        </is>
      </c>
      <c r="E289" t="inlineStr">
        <is>
          <t>TIMRÅ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44033-2025</t>
        </is>
      </c>
      <c r="B290" s="1" t="n">
        <v>45915.49049768518</v>
      </c>
      <c r="C290" s="1" t="n">
        <v>45986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27098-2025</t>
        </is>
      </c>
      <c r="B291" s="1" t="n">
        <v>45811.6778125</v>
      </c>
      <c r="C291" s="1" t="n">
        <v>45986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45942-2024</t>
        </is>
      </c>
      <c r="B292" s="1" t="n">
        <v>45580</v>
      </c>
      <c r="C292" s="1" t="n">
        <v>45986</v>
      </c>
      <c r="D292" t="inlineStr">
        <is>
          <t>VÄSTERNORRLANDS LÄN</t>
        </is>
      </c>
      <c r="E292" t="inlineStr">
        <is>
          <t>TIMRÅ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57403-2022</t>
        </is>
      </c>
      <c r="B293" s="1" t="n">
        <v>44889</v>
      </c>
      <c r="C293" s="1" t="n">
        <v>45986</v>
      </c>
      <c r="D293" t="inlineStr">
        <is>
          <t>VÄSTERNORRLANDS LÄN</t>
        </is>
      </c>
      <c r="E293" t="inlineStr">
        <is>
          <t>TIMRÅ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40483-2025</t>
        </is>
      </c>
      <c r="B294" s="1" t="n">
        <v>45895</v>
      </c>
      <c r="C294" s="1" t="n">
        <v>45986</v>
      </c>
      <c r="D294" t="inlineStr">
        <is>
          <t>VÄSTERNORRLANDS LÄN</t>
        </is>
      </c>
      <c r="E294" t="inlineStr">
        <is>
          <t>TIMRÅ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44013-2025</t>
        </is>
      </c>
      <c r="B295" s="1" t="n">
        <v>45915.46914351852</v>
      </c>
      <c r="C295" s="1" t="n">
        <v>45986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34035-2021</t>
        </is>
      </c>
      <c r="B296" s="1" t="n">
        <v>44378</v>
      </c>
      <c r="C296" s="1" t="n">
        <v>45986</v>
      </c>
      <c r="D296" t="inlineStr">
        <is>
          <t>VÄSTERNORRLANDS LÄN</t>
        </is>
      </c>
      <c r="E296" t="inlineStr">
        <is>
          <t>TIMRÅ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52561-2025</t>
        </is>
      </c>
      <c r="B297" s="1" t="n">
        <v>45954.5725</v>
      </c>
      <c r="C297" s="1" t="n">
        <v>45986</v>
      </c>
      <c r="D297" t="inlineStr">
        <is>
          <t>VÄSTERNORRLANDS LÄN</t>
        </is>
      </c>
      <c r="E297" t="inlineStr">
        <is>
          <t>TIMRÅ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16519-2022</t>
        </is>
      </c>
      <c r="B298" s="1" t="n">
        <v>44671.926875</v>
      </c>
      <c r="C298" s="1" t="n">
        <v>45986</v>
      </c>
      <c r="D298" t="inlineStr">
        <is>
          <t>VÄSTERNORRLANDS LÄN</t>
        </is>
      </c>
      <c r="E298" t="inlineStr">
        <is>
          <t>TIMRÅ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44296-2025</t>
        </is>
      </c>
      <c r="B299" s="1" t="n">
        <v>45916.36511574074</v>
      </c>
      <c r="C299" s="1" t="n">
        <v>45986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44281-2025</t>
        </is>
      </c>
      <c r="B300" s="1" t="n">
        <v>45916.34513888889</v>
      </c>
      <c r="C300" s="1" t="n">
        <v>45986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44421-2025</t>
        </is>
      </c>
      <c r="B301" s="1" t="n">
        <v>45916.55245370371</v>
      </c>
      <c r="C301" s="1" t="n">
        <v>45986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20226-2024</t>
        </is>
      </c>
      <c r="B302" s="1" t="n">
        <v>45434</v>
      </c>
      <c r="C302" s="1" t="n">
        <v>45986</v>
      </c>
      <c r="D302" t="inlineStr">
        <is>
          <t>VÄSTERNORRLANDS LÄN</t>
        </is>
      </c>
      <c r="E302" t="inlineStr">
        <is>
          <t>TIMRÅ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44326-2025</t>
        </is>
      </c>
      <c r="B303" s="1" t="n">
        <v>45916.40740740741</v>
      </c>
      <c r="C303" s="1" t="n">
        <v>45986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38286-2024</t>
        </is>
      </c>
      <c r="B304" s="1" t="n">
        <v>45545.61614583333</v>
      </c>
      <c r="C304" s="1" t="n">
        <v>45986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57840-2022</t>
        </is>
      </c>
      <c r="B305" s="1" t="n">
        <v>44897</v>
      </c>
      <c r="C305" s="1" t="n">
        <v>45986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44325-2025</t>
        </is>
      </c>
      <c r="B306" s="1" t="n">
        <v>45916.40726851852</v>
      </c>
      <c r="C306" s="1" t="n">
        <v>45986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580-2022</t>
        </is>
      </c>
      <c r="B307" s="1" t="n">
        <v>44566</v>
      </c>
      <c r="C307" s="1" t="n">
        <v>45986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46971-2022</t>
        </is>
      </c>
      <c r="B308" s="1" t="n">
        <v>44851.953125</v>
      </c>
      <c r="C308" s="1" t="n">
        <v>45986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53508-2025</t>
        </is>
      </c>
      <c r="B309" s="1" t="n">
        <v>45960.34491898148</v>
      </c>
      <c r="C309" s="1" t="n">
        <v>45986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28674-2025</t>
        </is>
      </c>
      <c r="B310" s="1" t="n">
        <v>45819.67739583334</v>
      </c>
      <c r="C310" s="1" t="n">
        <v>45986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45986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44796-2025</t>
        </is>
      </c>
      <c r="B312" s="1" t="n">
        <v>45918.34475694445</v>
      </c>
      <c r="C312" s="1" t="n">
        <v>45986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44807-2025</t>
        </is>
      </c>
      <c r="B313" s="1" t="n">
        <v>45918.36494212963</v>
      </c>
      <c r="C313" s="1" t="n">
        <v>45986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28138-2025</t>
        </is>
      </c>
      <c r="B314" s="1" t="n">
        <v>45818.34482638889</v>
      </c>
      <c r="C314" s="1" t="n">
        <v>45986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24739-2024</t>
        </is>
      </c>
      <c r="B315" s="1" t="n">
        <v>45460</v>
      </c>
      <c r="C315" s="1" t="n">
        <v>45986</v>
      </c>
      <c r="D315" t="inlineStr">
        <is>
          <t>VÄSTERNORRLANDS LÄN</t>
        </is>
      </c>
      <c r="E315" t="inlineStr">
        <is>
          <t>TIMRÅ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28405-2025</t>
        </is>
      </c>
      <c r="B316" s="1" t="n">
        <v>45819.34549768519</v>
      </c>
      <c r="C316" s="1" t="n">
        <v>45986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57762-2023</t>
        </is>
      </c>
      <c r="B317" s="1" t="n">
        <v>45246</v>
      </c>
      <c r="C317" s="1" t="n">
        <v>45986</v>
      </c>
      <c r="D317" t="inlineStr">
        <is>
          <t>VÄSTERNORRLANDS LÄN</t>
        </is>
      </c>
      <c r="E317" t="inlineStr">
        <is>
          <t>TIMRÅ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60011-2023</t>
        </is>
      </c>
      <c r="B318" s="1" t="n">
        <v>45257</v>
      </c>
      <c r="C318" s="1" t="n">
        <v>45986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56442-2024</t>
        </is>
      </c>
      <c r="B319" s="1" t="n">
        <v>45625</v>
      </c>
      <c r="C319" s="1" t="n">
        <v>45986</v>
      </c>
      <c r="D319" t="inlineStr">
        <is>
          <t>VÄSTERNORRLANDS LÄN</t>
        </is>
      </c>
      <c r="E319" t="inlineStr">
        <is>
          <t>TIMRÅ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14578-2024</t>
        </is>
      </c>
      <c r="B320" s="1" t="n">
        <v>45394.95059027777</v>
      </c>
      <c r="C320" s="1" t="n">
        <v>45986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8632-2023</t>
        </is>
      </c>
      <c r="B321" s="1" t="n">
        <v>44977.934375</v>
      </c>
      <c r="C321" s="1" t="n">
        <v>45986</v>
      </c>
      <c r="D321" t="inlineStr">
        <is>
          <t>VÄSTERNORRLANDS LÄN</t>
        </is>
      </c>
      <c r="E321" t="inlineStr">
        <is>
          <t>TIMRÅ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59964-2021</t>
        </is>
      </c>
      <c r="B322" s="1" t="n">
        <v>44494</v>
      </c>
      <c r="C322" s="1" t="n">
        <v>45986</v>
      </c>
      <c r="D322" t="inlineStr">
        <is>
          <t>VÄSTERNORRLANDS LÄN</t>
        </is>
      </c>
      <c r="E322" t="inlineStr">
        <is>
          <t>TIMRÅ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54347-2025</t>
        </is>
      </c>
      <c r="B323" s="1" t="n">
        <v>45965.36548611111</v>
      </c>
      <c r="C323" s="1" t="n">
        <v>45986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20936-2024</t>
        </is>
      </c>
      <c r="B324" s="1" t="n">
        <v>45439</v>
      </c>
      <c r="C324" s="1" t="n">
        <v>45986</v>
      </c>
      <c r="D324" t="inlineStr">
        <is>
          <t>VÄSTERNORRLANDS LÄN</t>
        </is>
      </c>
      <c r="E324" t="inlineStr">
        <is>
          <t>TIMRÅ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45339-2025</t>
        </is>
      </c>
      <c r="B325" s="1" t="n">
        <v>45922.34416666667</v>
      </c>
      <c r="C325" s="1" t="n">
        <v>45986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29480-2025</t>
        </is>
      </c>
      <c r="B326" s="1" t="n">
        <v>45824.71908564815</v>
      </c>
      <c r="C326" s="1" t="n">
        <v>45986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29437-2025</t>
        </is>
      </c>
      <c r="B327" s="1" t="n">
        <v>45824.6578125</v>
      </c>
      <c r="C327" s="1" t="n">
        <v>45986</v>
      </c>
      <c r="D327" t="inlineStr">
        <is>
          <t>VÄSTERNORRLANDS LÄN</t>
        </is>
      </c>
      <c r="E327" t="inlineStr">
        <is>
          <t>TIMRÅ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29191-2025</t>
        </is>
      </c>
      <c r="B328" s="1" t="n">
        <v>45822.42765046296</v>
      </c>
      <c r="C328" s="1" t="n">
        <v>45986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29190-2025</t>
        </is>
      </c>
      <c r="B329" s="1" t="n">
        <v>45822.42746527777</v>
      </c>
      <c r="C329" s="1" t="n">
        <v>45986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55008-2025</t>
        </is>
      </c>
      <c r="B330" s="1" t="n">
        <v>45967.61501157407</v>
      </c>
      <c r="C330" s="1" t="n">
        <v>45986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33287-2024</t>
        </is>
      </c>
      <c r="B331" s="1" t="n">
        <v>45518.74296296296</v>
      </c>
      <c r="C331" s="1" t="n">
        <v>45986</v>
      </c>
      <c r="D331" t="inlineStr">
        <is>
          <t>VÄSTERNORRLANDS LÄN</t>
        </is>
      </c>
      <c r="E331" t="inlineStr">
        <is>
          <t>TIMRÅ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43006-2024</t>
        </is>
      </c>
      <c r="B332" s="1" t="n">
        <v>45567.38202546296</v>
      </c>
      <c r="C332" s="1" t="n">
        <v>45986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46016-2025</t>
        </is>
      </c>
      <c r="B333" s="1" t="n">
        <v>45924.42755787037</v>
      </c>
      <c r="C333" s="1" t="n">
        <v>45986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37861-2024</t>
        </is>
      </c>
      <c r="B334" s="1" t="n">
        <v>45544</v>
      </c>
      <c r="C334" s="1" t="n">
        <v>45986</v>
      </c>
      <c r="D334" t="inlineStr">
        <is>
          <t>VÄSTERNORRLANDS LÄN</t>
        </is>
      </c>
      <c r="E334" t="inlineStr">
        <is>
          <t>TIMRÅ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46019-2025</t>
        </is>
      </c>
      <c r="B335" s="1" t="n">
        <v>45924.42788194444</v>
      </c>
      <c r="C335" s="1" t="n">
        <v>45986</v>
      </c>
      <c r="D335" t="inlineStr">
        <is>
          <t>VÄSTERNORRLANDS LÄN</t>
        </is>
      </c>
      <c r="E335" t="inlineStr">
        <is>
          <t>TIMRÅ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44011-2024</t>
        </is>
      </c>
      <c r="B336" s="1" t="n">
        <v>45572.55322916667</v>
      </c>
      <c r="C336" s="1" t="n">
        <v>45986</v>
      </c>
      <c r="D336" t="inlineStr">
        <is>
          <t>VÄSTERNORRLANDS LÄN</t>
        </is>
      </c>
      <c r="E336" t="inlineStr">
        <is>
          <t>TIMRÅ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52114-2025</t>
        </is>
      </c>
      <c r="B337" s="1" t="n">
        <v>45952.69902777778</v>
      </c>
      <c r="C337" s="1" t="n">
        <v>45986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30315-2025</t>
        </is>
      </c>
      <c r="B338" s="1" t="n">
        <v>45827.49060185185</v>
      </c>
      <c r="C338" s="1" t="n">
        <v>45986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23556-2024</t>
        </is>
      </c>
      <c r="B339" s="1" t="n">
        <v>45453</v>
      </c>
      <c r="C339" s="1" t="n">
        <v>45986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56765-2023</t>
        </is>
      </c>
      <c r="B340" s="1" t="n">
        <v>45244</v>
      </c>
      <c r="C340" s="1" t="n">
        <v>45986</v>
      </c>
      <c r="D340" t="inlineStr">
        <is>
          <t>VÄSTERNORRLANDS LÄN</t>
        </is>
      </c>
      <c r="E340" t="inlineStr">
        <is>
          <t>TIMRÅ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55591-2025</t>
        </is>
      </c>
      <c r="B341" s="1" t="n">
        <v>45971.68888888889</v>
      </c>
      <c r="C341" s="1" t="n">
        <v>45986</v>
      </c>
      <c r="D341" t="inlineStr">
        <is>
          <t>VÄSTERNORRLANDS LÄN</t>
        </is>
      </c>
      <c r="E341" t="inlineStr">
        <is>
          <t>TIMRÅ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68391-2021</t>
        </is>
      </c>
      <c r="B342" s="1" t="n">
        <v>44526</v>
      </c>
      <c r="C342" s="1" t="n">
        <v>45986</v>
      </c>
      <c r="D342" t="inlineStr">
        <is>
          <t>VÄSTERNORRLANDS LÄN</t>
        </is>
      </c>
      <c r="E342" t="inlineStr">
        <is>
          <t>TIMRÅ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46960-2025</t>
        </is>
      </c>
      <c r="B343" s="1" t="n">
        <v>45929.48690972223</v>
      </c>
      <c r="C343" s="1" t="n">
        <v>45986</v>
      </c>
      <c r="D343" t="inlineStr">
        <is>
          <t>VÄSTERNORRLANDS LÄN</t>
        </is>
      </c>
      <c r="E343" t="inlineStr">
        <is>
          <t>TIMRÅ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20837-2023</t>
        </is>
      </c>
      <c r="B344" s="1" t="n">
        <v>45058.68621527778</v>
      </c>
      <c r="C344" s="1" t="n">
        <v>45986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46827-2025</t>
        </is>
      </c>
      <c r="B345" s="1" t="n">
        <v>45927.34444444445</v>
      </c>
      <c r="C345" s="1" t="n">
        <v>45986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30827-2025</t>
        </is>
      </c>
      <c r="B346" s="1" t="n">
        <v>45831.67759259259</v>
      </c>
      <c r="C346" s="1" t="n">
        <v>45986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47608-2025</t>
        </is>
      </c>
      <c r="B347" s="1" t="n">
        <v>45930</v>
      </c>
      <c r="C347" s="1" t="n">
        <v>45986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30816-2025</t>
        </is>
      </c>
      <c r="B348" s="1" t="n">
        <v>45831.66094907407</v>
      </c>
      <c r="C348" s="1" t="n">
        <v>45986</v>
      </c>
      <c r="D348" t="inlineStr">
        <is>
          <t>VÄSTERNORRLANDS LÄN</t>
        </is>
      </c>
      <c r="E348" t="inlineStr">
        <is>
          <t>TIMRÅ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23611-2021</t>
        </is>
      </c>
      <c r="B349" s="1" t="n">
        <v>44334</v>
      </c>
      <c r="C349" s="1" t="n">
        <v>45986</v>
      </c>
      <c r="D349" t="inlineStr">
        <is>
          <t>VÄSTERNORRLANDS LÄN</t>
        </is>
      </c>
      <c r="E349" t="inlineStr">
        <is>
          <t>TIMRÅ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47272-2025</t>
        </is>
      </c>
      <c r="B350" s="1" t="n">
        <v>45930</v>
      </c>
      <c r="C350" s="1" t="n">
        <v>45986</v>
      </c>
      <c r="D350" t="inlineStr">
        <is>
          <t>VÄSTERNORRLANDS LÄN</t>
        </is>
      </c>
      <c r="E350" t="inlineStr">
        <is>
          <t>TIMRÅ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52010-2022</t>
        </is>
      </c>
      <c r="B351" s="1" t="n">
        <v>44872</v>
      </c>
      <c r="C351" s="1" t="n">
        <v>45986</v>
      </c>
      <c r="D351" t="inlineStr">
        <is>
          <t>VÄSTERNORRLANDS LÄN</t>
        </is>
      </c>
      <c r="E351" t="inlineStr">
        <is>
          <t>TIMRÅ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47475-2025</t>
        </is>
      </c>
      <c r="B352" s="1" t="n">
        <v>45930</v>
      </c>
      <c r="C352" s="1" t="n">
        <v>45986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55639-2025</t>
        </is>
      </c>
      <c r="B353" s="1" t="n">
        <v>45972.34539351852</v>
      </c>
      <c r="C353" s="1" t="n">
        <v>45986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27495-2023</t>
        </is>
      </c>
      <c r="B354" s="1" t="n">
        <v>45092</v>
      </c>
      <c r="C354" s="1" t="n">
        <v>45986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13341-2024</t>
        </is>
      </c>
      <c r="B355" s="1" t="n">
        <v>45386.94486111111</v>
      </c>
      <c r="C355" s="1" t="n">
        <v>45986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14572-2024</t>
        </is>
      </c>
      <c r="B356" s="1" t="n">
        <v>45394.94991898148</v>
      </c>
      <c r="C356" s="1" t="n">
        <v>45986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55745-2025</t>
        </is>
      </c>
      <c r="B357" s="1" t="n">
        <v>45972.57354166666</v>
      </c>
      <c r="C357" s="1" t="n">
        <v>45986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55638-2025</t>
        </is>
      </c>
      <c r="B358" s="1" t="n">
        <v>45972.34515046296</v>
      </c>
      <c r="C358" s="1" t="n">
        <v>45986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31339-2025</t>
        </is>
      </c>
      <c r="B359" s="1" t="n">
        <v>45833.42782407408</v>
      </c>
      <c r="C359" s="1" t="n">
        <v>45986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47479-2025</t>
        </is>
      </c>
      <c r="B360" s="1" t="n">
        <v>45930</v>
      </c>
      <c r="C360" s="1" t="n">
        <v>45986</v>
      </c>
      <c r="D360" t="inlineStr">
        <is>
          <t>VÄSTERNORRLANDS LÄN</t>
        </is>
      </c>
      <c r="E360" t="inlineStr">
        <is>
          <t>TIMRÅ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31370-2025</t>
        </is>
      </c>
      <c r="B361" s="1" t="n">
        <v>45833.44155092593</v>
      </c>
      <c r="C361" s="1" t="n">
        <v>45986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74177-2021</t>
        </is>
      </c>
      <c r="B362" s="1" t="n">
        <v>44558</v>
      </c>
      <c r="C362" s="1" t="n">
        <v>45986</v>
      </c>
      <c r="D362" t="inlineStr">
        <is>
          <t>VÄSTERNORRLANDS LÄN</t>
        </is>
      </c>
      <c r="E362" t="inlineStr">
        <is>
          <t>TIMRÅ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18814-2025</t>
        </is>
      </c>
      <c r="B363" s="1" t="n">
        <v>45764.3653587963</v>
      </c>
      <c r="C363" s="1" t="n">
        <v>45986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45986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45986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41457-2022</t>
        </is>
      </c>
      <c r="B366" s="1" t="n">
        <v>44826</v>
      </c>
      <c r="C366" s="1" t="n">
        <v>45986</v>
      </c>
      <c r="D366" t="inlineStr">
        <is>
          <t>VÄSTERNORRLANDS LÄN</t>
        </is>
      </c>
      <c r="E366" t="inlineStr">
        <is>
          <t>TIMRÅ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41465-2022</t>
        </is>
      </c>
      <c r="B367" s="1" t="n">
        <v>44826.94804398148</v>
      </c>
      <c r="C367" s="1" t="n">
        <v>45986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31351-2025</t>
        </is>
      </c>
      <c r="B368" s="1" t="n">
        <v>45833.42950231482</v>
      </c>
      <c r="C368" s="1" t="n">
        <v>45986</v>
      </c>
      <c r="D368" t="inlineStr">
        <is>
          <t>VÄSTERNORRLANDS LÄN</t>
        </is>
      </c>
      <c r="E368" t="inlineStr">
        <is>
          <t>TIMRÅ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31325-2025</t>
        </is>
      </c>
      <c r="B369" s="1" t="n">
        <v>45833.41020833333</v>
      </c>
      <c r="C369" s="1" t="n">
        <v>45986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53298-2024</t>
        </is>
      </c>
      <c r="B370" s="1" t="n">
        <v>45614.38810185185</v>
      </c>
      <c r="C370" s="1" t="n">
        <v>45986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53299-2024</t>
        </is>
      </c>
      <c r="B371" s="1" t="n">
        <v>45614.38815972222</v>
      </c>
      <c r="C371" s="1" t="n">
        <v>45986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45338-2025</t>
        </is>
      </c>
      <c r="B372" s="1" t="n">
        <v>45922</v>
      </c>
      <c r="C372" s="1" t="n">
        <v>45986</v>
      </c>
      <c r="D372" t="inlineStr">
        <is>
          <t>VÄSTERNORRLANDS LÄN</t>
        </is>
      </c>
      <c r="E372" t="inlineStr">
        <is>
          <t>TIMRÅ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54547-2024</t>
        </is>
      </c>
      <c r="B373" s="1" t="n">
        <v>45617.61572916667</v>
      </c>
      <c r="C373" s="1" t="n">
        <v>45986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44404-2023</t>
        </is>
      </c>
      <c r="B374" s="1" t="n">
        <v>45188</v>
      </c>
      <c r="C374" s="1" t="n">
        <v>45986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56660-2025</t>
        </is>
      </c>
      <c r="B375" s="1" t="n">
        <v>45975.65680555555</v>
      </c>
      <c r="C375" s="1" t="n">
        <v>45986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19244-2023</t>
        </is>
      </c>
      <c r="B376" s="1" t="n">
        <v>45048</v>
      </c>
      <c r="C376" s="1" t="n">
        <v>45986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5722-2024</t>
        </is>
      </c>
      <c r="B377" s="1" t="n">
        <v>45334</v>
      </c>
      <c r="C377" s="1" t="n">
        <v>45986</v>
      </c>
      <c r="D377" t="inlineStr">
        <is>
          <t>VÄSTERNORRLANDS LÄN</t>
        </is>
      </c>
      <c r="E377" t="inlineStr">
        <is>
          <t>TIMRÅ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32487-2021</t>
        </is>
      </c>
      <c r="B378" s="1" t="n">
        <v>44371</v>
      </c>
      <c r="C378" s="1" t="n">
        <v>45986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Kyrkan</t>
        </is>
      </c>
      <c r="G378" t="n">
        <v>21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47908-2025</t>
        </is>
      </c>
      <c r="B379" s="1" t="n">
        <v>45932.5109837963</v>
      </c>
      <c r="C379" s="1" t="n">
        <v>45986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57044-2025</t>
        </is>
      </c>
      <c r="B380" s="1" t="n">
        <v>45979.34629629629</v>
      </c>
      <c r="C380" s="1" t="n">
        <v>45986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31734-2025</t>
        </is>
      </c>
      <c r="B381" s="1" t="n">
        <v>45834.47052083333</v>
      </c>
      <c r="C381" s="1" t="n">
        <v>45986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16935-2025</t>
        </is>
      </c>
      <c r="B382" s="1" t="n">
        <v>45755.40678240741</v>
      </c>
      <c r="C382" s="1" t="n">
        <v>45986</v>
      </c>
      <c r="D382" t="inlineStr">
        <is>
          <t>VÄSTERNORRLANDS LÄN</t>
        </is>
      </c>
      <c r="E382" t="inlineStr">
        <is>
          <t>TIMRÅ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47150-2023</t>
        </is>
      </c>
      <c r="B383" s="1" t="n">
        <v>45201</v>
      </c>
      <c r="C383" s="1" t="n">
        <v>45986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32427-2025</t>
        </is>
      </c>
      <c r="B384" s="1" t="n">
        <v>45838.36493055556</v>
      </c>
      <c r="C384" s="1" t="n">
        <v>45986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33749-2024</t>
        </is>
      </c>
      <c r="B385" s="1" t="n">
        <v>45520</v>
      </c>
      <c r="C385" s="1" t="n">
        <v>45986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32912-2025</t>
        </is>
      </c>
      <c r="B386" s="1" t="n">
        <v>45839.63586805556</v>
      </c>
      <c r="C386" s="1" t="n">
        <v>45986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1826-2025</t>
        </is>
      </c>
      <c r="B387" s="1" t="n">
        <v>45671.53855324074</v>
      </c>
      <c r="C387" s="1" t="n">
        <v>45986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32366-2025</t>
        </is>
      </c>
      <c r="B388" s="1" t="n">
        <v>45837.65679398148</v>
      </c>
      <c r="C388" s="1" t="n">
        <v>45986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48604-2025</t>
        </is>
      </c>
      <c r="B389" s="1" t="n">
        <v>45936.46949074074</v>
      </c>
      <c r="C389" s="1" t="n">
        <v>45986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32964-2025</t>
        </is>
      </c>
      <c r="B390" s="1" t="n">
        <v>45839.71916666667</v>
      </c>
      <c r="C390" s="1" t="n">
        <v>45986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56973-2025</t>
        </is>
      </c>
      <c r="B391" s="1" t="n">
        <v>45978.68487268518</v>
      </c>
      <c r="C391" s="1" t="n">
        <v>45986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53305-2021</t>
        </is>
      </c>
      <c r="B392" s="1" t="n">
        <v>44467</v>
      </c>
      <c r="C392" s="1" t="n">
        <v>45986</v>
      </c>
      <c r="D392" t="inlineStr">
        <is>
          <t>VÄSTERNORRLANDS LÄN</t>
        </is>
      </c>
      <c r="E392" t="inlineStr">
        <is>
          <t>TIMRÅ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32070-2023</t>
        </is>
      </c>
      <c r="B393" s="1" t="n">
        <v>45107</v>
      </c>
      <c r="C393" s="1" t="n">
        <v>45986</v>
      </c>
      <c r="D393" t="inlineStr">
        <is>
          <t>VÄSTERNORRLANDS LÄN</t>
        </is>
      </c>
      <c r="E393" t="inlineStr">
        <is>
          <t>TIMRÅ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48849-2025</t>
        </is>
      </c>
      <c r="B394" s="1" t="n">
        <v>45937.42913194445</v>
      </c>
      <c r="C394" s="1" t="n">
        <v>45986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32375-2025</t>
        </is>
      </c>
      <c r="B395" s="1" t="n">
        <v>45837.71907407408</v>
      </c>
      <c r="C395" s="1" t="n">
        <v>45986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32373-2025</t>
        </is>
      </c>
      <c r="B396" s="1" t="n">
        <v>45837.69824074074</v>
      </c>
      <c r="C396" s="1" t="n">
        <v>45986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49495-2024</t>
        </is>
      </c>
      <c r="B397" s="1" t="n">
        <v>45596.36559027778</v>
      </c>
      <c r="C397" s="1" t="n">
        <v>45986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49057-2025</t>
        </is>
      </c>
      <c r="B398" s="1" t="n">
        <v>45937.64086805555</v>
      </c>
      <c r="C398" s="1" t="n">
        <v>45986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49509-2025</t>
        </is>
      </c>
      <c r="B399" s="1" t="n">
        <v>45939.37962962963</v>
      </c>
      <c r="C399" s="1" t="n">
        <v>45986</v>
      </c>
      <c r="D399" t="inlineStr">
        <is>
          <t>VÄSTERNORRLANDS LÄN</t>
        </is>
      </c>
      <c r="E399" t="inlineStr">
        <is>
          <t>TIMRÅ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49512-2025</t>
        </is>
      </c>
      <c r="B400" s="1" t="n">
        <v>45939.38305555555</v>
      </c>
      <c r="C400" s="1" t="n">
        <v>45986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49257-2025</t>
        </is>
      </c>
      <c r="B401" s="1" t="n">
        <v>45938.49212962963</v>
      </c>
      <c r="C401" s="1" t="n">
        <v>45986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33043-2025</t>
        </is>
      </c>
      <c r="B402" s="1" t="n">
        <v>45840.40680555555</v>
      </c>
      <c r="C402" s="1" t="n">
        <v>45986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44001-2025</t>
        </is>
      </c>
      <c r="B403" s="1" t="n">
        <v>45915</v>
      </c>
      <c r="C403" s="1" t="n">
        <v>45986</v>
      </c>
      <c r="D403" t="inlineStr">
        <is>
          <t>VÄSTERNORRLANDS LÄN</t>
        </is>
      </c>
      <c r="E403" t="inlineStr">
        <is>
          <t>TIMRÅ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49058-2025</t>
        </is>
      </c>
      <c r="B404" s="1" t="n">
        <v>45937.64094907408</v>
      </c>
      <c r="C404" s="1" t="n">
        <v>45986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57775-2025</t>
        </is>
      </c>
      <c r="B405" s="1" t="n">
        <v>45981.56496527778</v>
      </c>
      <c r="C405" s="1" t="n">
        <v>45986</v>
      </c>
      <c r="D405" t="inlineStr">
        <is>
          <t>VÄSTERNORRLANDS LÄN</t>
        </is>
      </c>
      <c r="E405" t="inlineStr">
        <is>
          <t>TIMRÅ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33044-2025</t>
        </is>
      </c>
      <c r="B406" s="1" t="n">
        <v>45840.40699074074</v>
      </c>
      <c r="C406" s="1" t="n">
        <v>45986</v>
      </c>
      <c r="D406" t="inlineStr">
        <is>
          <t>VÄSTERNORRLANDS LÄN</t>
        </is>
      </c>
      <c r="E406" t="inlineStr">
        <is>
          <t>TIMRÅ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49575-2025</t>
        </is>
      </c>
      <c r="B407" s="1" t="n">
        <v>45939.49052083334</v>
      </c>
      <c r="C407" s="1" t="n">
        <v>45986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25644-2022</t>
        </is>
      </c>
      <c r="B408" s="1" t="n">
        <v>44732</v>
      </c>
      <c r="C408" s="1" t="n">
        <v>45986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53289-2024</t>
        </is>
      </c>
      <c r="B409" s="1" t="n">
        <v>45614.38622685185</v>
      </c>
      <c r="C409" s="1" t="n">
        <v>45986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53292-2024</t>
        </is>
      </c>
      <c r="B410" s="1" t="n">
        <v>45614.38694444444</v>
      </c>
      <c r="C410" s="1" t="n">
        <v>45986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57782-2025</t>
        </is>
      </c>
      <c r="B411" s="1" t="n">
        <v>45981.57255787037</v>
      </c>
      <c r="C411" s="1" t="n">
        <v>45986</v>
      </c>
      <c r="D411" t="inlineStr">
        <is>
          <t>VÄSTERNORRLANDS LÄN</t>
        </is>
      </c>
      <c r="E411" t="inlineStr">
        <is>
          <t>TIMRÅ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33112-2025</t>
        </is>
      </c>
      <c r="B412" s="1" t="n">
        <v>45840.48953703704</v>
      </c>
      <c r="C412" s="1" t="n">
        <v>45986</v>
      </c>
      <c r="D412" t="inlineStr">
        <is>
          <t>VÄSTERNORRLANDS LÄN</t>
        </is>
      </c>
      <c r="E412" t="inlineStr">
        <is>
          <t>TIMRÅ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33225-2025</t>
        </is>
      </c>
      <c r="B413" s="1" t="n">
        <v>45840.63600694444</v>
      </c>
      <c r="C413" s="1" t="n">
        <v>45986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57072-2023</t>
        </is>
      </c>
      <c r="B414" s="1" t="n">
        <v>45244.96715277778</v>
      </c>
      <c r="C414" s="1" t="n">
        <v>45986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18824-2025</t>
        </is>
      </c>
      <c r="B415" s="1" t="n">
        <v>45764.38584490741</v>
      </c>
      <c r="C415" s="1" t="n">
        <v>45986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33891-2025</t>
        </is>
      </c>
      <c r="B416" s="1" t="n">
        <v>45842.57388888889</v>
      </c>
      <c r="C416" s="1" t="n">
        <v>45986</v>
      </c>
      <c r="D416" t="inlineStr">
        <is>
          <t>VÄSTERNORRLANDS LÄN</t>
        </is>
      </c>
      <c r="E416" t="inlineStr">
        <is>
          <t>TIMRÅ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34229-2025</t>
        </is>
      </c>
      <c r="B417" s="1" t="n">
        <v>45845.65732638889</v>
      </c>
      <c r="C417" s="1" t="n">
        <v>45986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9717-2025</t>
        </is>
      </c>
      <c r="B418" s="1" t="n">
        <v>45716</v>
      </c>
      <c r="C418" s="1" t="n">
        <v>45986</v>
      </c>
      <c r="D418" t="inlineStr">
        <is>
          <t>VÄSTERNORRLANDS LÄN</t>
        </is>
      </c>
      <c r="E418" t="inlineStr">
        <is>
          <t>TIMRÅ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49646-2025</t>
        </is>
      </c>
      <c r="B419" s="1" t="n">
        <v>45939.61747685185</v>
      </c>
      <c r="C419" s="1" t="n">
        <v>45986</v>
      </c>
      <c r="D419" t="inlineStr">
        <is>
          <t>VÄSTERNORRLANDS LÄN</t>
        </is>
      </c>
      <c r="E419" t="inlineStr">
        <is>
          <t>TIMRÅ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35477-2022</t>
        </is>
      </c>
      <c r="B420" s="1" t="n">
        <v>44798.92681712963</v>
      </c>
      <c r="C420" s="1" t="n">
        <v>45986</v>
      </c>
      <c r="D420" t="inlineStr">
        <is>
          <t>VÄSTERNORRLANDS LÄN</t>
        </is>
      </c>
      <c r="E420" t="inlineStr">
        <is>
          <t>TIMRÅ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57974-2025</t>
        </is>
      </c>
      <c r="B421" s="1" t="n">
        <v>45982.39275462963</v>
      </c>
      <c r="C421" s="1" t="n">
        <v>45986</v>
      </c>
      <c r="D421" t="inlineStr">
        <is>
          <t>VÄSTERNORRLANDS LÄN</t>
        </is>
      </c>
      <c r="E421" t="inlineStr">
        <is>
          <t>TIMRÅ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58312-2025</t>
        </is>
      </c>
      <c r="B422" s="1" t="n">
        <v>45985.47010416666</v>
      </c>
      <c r="C422" s="1" t="n">
        <v>45986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23676-2022</t>
        </is>
      </c>
      <c r="B423" s="1" t="n">
        <v>44721</v>
      </c>
      <c r="C423" s="1" t="n">
        <v>45986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50122-2025</t>
        </is>
      </c>
      <c r="B424" s="1" t="n">
        <v>45943.55063657407</v>
      </c>
      <c r="C424" s="1" t="n">
        <v>45986</v>
      </c>
      <c r="D424" t="inlineStr">
        <is>
          <t>VÄSTERNORRLANDS LÄN</t>
        </is>
      </c>
      <c r="E424" t="inlineStr">
        <is>
          <t>TIMRÅ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17040-2022</t>
        </is>
      </c>
      <c r="B425" s="1" t="n">
        <v>44676</v>
      </c>
      <c r="C425" s="1" t="n">
        <v>45986</v>
      </c>
      <c r="D425" t="inlineStr">
        <is>
          <t>VÄSTERNORRLANDS LÄN</t>
        </is>
      </c>
      <c r="E425" t="inlineStr">
        <is>
          <t>TIMRÅ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50181-2025</t>
        </is>
      </c>
      <c r="B426" s="1" t="n">
        <v>45943.61526620371</v>
      </c>
      <c r="C426" s="1" t="n">
        <v>45986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45720-2024</t>
        </is>
      </c>
      <c r="B427" s="1" t="n">
        <v>45579.59424768519</v>
      </c>
      <c r="C427" s="1" t="n">
        <v>45986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58327-2025</t>
        </is>
      </c>
      <c r="B428" s="1" t="n">
        <v>45985.47813657407</v>
      </c>
      <c r="C428" s="1" t="n">
        <v>45986</v>
      </c>
      <c r="D428" t="inlineStr">
        <is>
          <t>VÄSTERNORRLANDS LÄN</t>
        </is>
      </c>
      <c r="E428" t="inlineStr">
        <is>
          <t>TIMRÅ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58265-2025</t>
        </is>
      </c>
      <c r="B429" s="1" t="n">
        <v>45985.42018518518</v>
      </c>
      <c r="C429" s="1" t="n">
        <v>45986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27243-2021</t>
        </is>
      </c>
      <c r="B430" s="1" t="n">
        <v>44350</v>
      </c>
      <c r="C430" s="1" t="n">
        <v>45986</v>
      </c>
      <c r="D430" t="inlineStr">
        <is>
          <t>VÄSTERNORRLANDS LÄN</t>
        </is>
      </c>
      <c r="E430" t="inlineStr">
        <is>
          <t>TIMRÅ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34299-2025</t>
        </is>
      </c>
      <c r="B431" s="1" t="n">
        <v>45846.34501157407</v>
      </c>
      <c r="C431" s="1" t="n">
        <v>45986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58283-2025</t>
        </is>
      </c>
      <c r="B432" s="1" t="n">
        <v>45985.44314814815</v>
      </c>
      <c r="C432" s="1" t="n">
        <v>45986</v>
      </c>
      <c r="D432" t="inlineStr">
        <is>
          <t>VÄSTERNORRLANDS LÄN</t>
        </is>
      </c>
      <c r="E432" t="inlineStr">
        <is>
          <t>TIMRÅ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49751-2025</t>
        </is>
      </c>
      <c r="B433" s="1" t="n">
        <v>45940.34512731482</v>
      </c>
      <c r="C433" s="1" t="n">
        <v>45986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34498-2025</t>
        </is>
      </c>
      <c r="B434" s="1" t="n">
        <v>45847.42768518518</v>
      </c>
      <c r="C434" s="1" t="n">
        <v>45986</v>
      </c>
      <c r="D434" t="inlineStr">
        <is>
          <t>VÄSTERNORRLANDS LÄN</t>
        </is>
      </c>
      <c r="E434" t="inlineStr">
        <is>
          <t>TIMRÅ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58311-2025</t>
        </is>
      </c>
      <c r="B435" s="1" t="n">
        <v>45985.46954861111</v>
      </c>
      <c r="C435" s="1" t="n">
        <v>45986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50638-2023</t>
        </is>
      </c>
      <c r="B436" s="1" t="n">
        <v>45210</v>
      </c>
      <c r="C436" s="1" t="n">
        <v>45986</v>
      </c>
      <c r="D436" t="inlineStr">
        <is>
          <t>VÄSTERNORRLANDS LÄN</t>
        </is>
      </c>
      <c r="E436" t="inlineStr">
        <is>
          <t>TIMRÅ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34499-2025</t>
        </is>
      </c>
      <c r="B437" s="1" t="n">
        <v>45847.42783564814</v>
      </c>
      <c r="C437" s="1" t="n">
        <v>45986</v>
      </c>
      <c r="D437" t="inlineStr">
        <is>
          <t>VÄSTERNORRLANDS LÄN</t>
        </is>
      </c>
      <c r="E437" t="inlineStr">
        <is>
          <t>TIMRÅ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1818-2025</t>
        </is>
      </c>
      <c r="B438" s="1" t="n">
        <v>45671</v>
      </c>
      <c r="C438" s="1" t="n">
        <v>45986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1825-2025</t>
        </is>
      </c>
      <c r="B439" s="1" t="n">
        <v>45671.53853009259</v>
      </c>
      <c r="C439" s="1" t="n">
        <v>45986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34879-2025</t>
        </is>
      </c>
      <c r="B440" s="1" t="n">
        <v>45849.46824074074</v>
      </c>
      <c r="C440" s="1" t="n">
        <v>45986</v>
      </c>
      <c r="D440" t="inlineStr">
        <is>
          <t>VÄSTERNORRLANDS LÄN</t>
        </is>
      </c>
      <c r="E440" t="inlineStr">
        <is>
          <t>TIMRÅ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55602-2024</t>
        </is>
      </c>
      <c r="B441" s="1" t="n">
        <v>45622</v>
      </c>
      <c r="C441" s="1" t="n">
        <v>45986</v>
      </c>
      <c r="D441" t="inlineStr">
        <is>
          <t>VÄSTERNORRLANDS LÄN</t>
        </is>
      </c>
      <c r="E441" t="inlineStr">
        <is>
          <t>TIMRÅ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23851-2024</t>
        </is>
      </c>
      <c r="B442" s="1" t="n">
        <v>45455</v>
      </c>
      <c r="C442" s="1" t="n">
        <v>45986</v>
      </c>
      <c r="D442" t="inlineStr">
        <is>
          <t>VÄSTERNORRLANDS LÄN</t>
        </is>
      </c>
      <c r="E442" t="inlineStr">
        <is>
          <t>TIMRÅ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23878-2024</t>
        </is>
      </c>
      <c r="B443" s="1" t="n">
        <v>45455</v>
      </c>
      <c r="C443" s="1" t="n">
        <v>45986</v>
      </c>
      <c r="D443" t="inlineStr">
        <is>
          <t>VÄSTERNORRLANDS LÄN</t>
        </is>
      </c>
      <c r="E443" t="inlineStr">
        <is>
          <t>TIMRÅ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31508-2025</t>
        </is>
      </c>
      <c r="B444" s="1" t="n">
        <v>45833</v>
      </c>
      <c r="C444" s="1" t="n">
        <v>45986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48031-2024</t>
        </is>
      </c>
      <c r="B445" s="1" t="n">
        <v>45589.48760416666</v>
      </c>
      <c r="C445" s="1" t="n">
        <v>45986</v>
      </c>
      <c r="D445" t="inlineStr">
        <is>
          <t>VÄSTERNORRLANDS LÄN</t>
        </is>
      </c>
      <c r="E445" t="inlineStr">
        <is>
          <t>TIMRÅ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35476-2025</t>
        </is>
      </c>
      <c r="B446" s="1" t="n">
        <v>45855.67744212963</v>
      </c>
      <c r="C446" s="1" t="n">
        <v>45986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44991-2023</t>
        </is>
      </c>
      <c r="B447" s="1" t="n">
        <v>45190</v>
      </c>
      <c r="C447" s="1" t="n">
        <v>45986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35667-2025</t>
        </is>
      </c>
      <c r="B448" s="1" t="n">
        <v>45859.61546296296</v>
      </c>
      <c r="C448" s="1" t="n">
        <v>45986</v>
      </c>
      <c r="D448" t="inlineStr">
        <is>
          <t>VÄSTERNORRLANDS LÄN</t>
        </is>
      </c>
      <c r="E448" t="inlineStr">
        <is>
          <t>TIMRÅ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35659-2025</t>
        </is>
      </c>
      <c r="B449" s="1" t="n">
        <v>45859.59447916667</v>
      </c>
      <c r="C449" s="1" t="n">
        <v>45986</v>
      </c>
      <c r="D449" t="inlineStr">
        <is>
          <t>VÄSTERNORRLANDS LÄN</t>
        </is>
      </c>
      <c r="E449" t="inlineStr">
        <is>
          <t>TIMRÅ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25190-2025</t>
        </is>
      </c>
      <c r="B450" s="1" t="n">
        <v>45798</v>
      </c>
      <c r="C450" s="1" t="n">
        <v>45986</v>
      </c>
      <c r="D450" t="inlineStr">
        <is>
          <t>VÄSTERNORRLANDS LÄN</t>
        </is>
      </c>
      <c r="E450" t="inlineStr">
        <is>
          <t>TIMRÅ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35665-2025</t>
        </is>
      </c>
      <c r="B451" s="1" t="n">
        <v>45859</v>
      </c>
      <c r="C451" s="1" t="n">
        <v>45986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35666-2025</t>
        </is>
      </c>
      <c r="B452" s="1" t="n">
        <v>45859.61543981481</v>
      </c>
      <c r="C452" s="1" t="n">
        <v>45986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35693-2025</t>
        </is>
      </c>
      <c r="B453" s="1" t="n">
        <v>45860.34459490741</v>
      </c>
      <c r="C453" s="1" t="n">
        <v>45986</v>
      </c>
      <c r="D453" t="inlineStr">
        <is>
          <t>VÄSTERNORRLANDS LÄN</t>
        </is>
      </c>
      <c r="E453" t="inlineStr">
        <is>
          <t>TIMRÅ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35694-2025</t>
        </is>
      </c>
      <c r="B454" s="1" t="n">
        <v>45860.34461805555</v>
      </c>
      <c r="C454" s="1" t="n">
        <v>45986</v>
      </c>
      <c r="D454" t="inlineStr">
        <is>
          <t>VÄSTERNORRLANDS LÄN</t>
        </is>
      </c>
      <c r="E454" t="inlineStr">
        <is>
          <t>TIMRÅ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25427-2025</t>
        </is>
      </c>
      <c r="B455" s="1" t="n">
        <v>45800.70986111111</v>
      </c>
      <c r="C455" s="1" t="n">
        <v>45986</v>
      </c>
      <c r="D455" t="inlineStr">
        <is>
          <t>VÄSTERNORRLANDS LÄN</t>
        </is>
      </c>
      <c r="E455" t="inlineStr">
        <is>
          <t>TIMRÅ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6055-2025</t>
        </is>
      </c>
      <c r="B456" s="1" t="n">
        <v>45695.71903935185</v>
      </c>
      <c r="C456" s="1" t="n">
        <v>45986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35854-2025</t>
        </is>
      </c>
      <c r="B457" s="1" t="n">
        <v>45861</v>
      </c>
      <c r="C457" s="1" t="n">
        <v>45986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4124-2023</t>
        </is>
      </c>
      <c r="B458" s="1" t="n">
        <v>44952</v>
      </c>
      <c r="C458" s="1" t="n">
        <v>45986</v>
      </c>
      <c r="D458" t="inlineStr">
        <is>
          <t>VÄSTERNORRLANDS LÄN</t>
        </is>
      </c>
      <c r="E458" t="inlineStr">
        <is>
          <t>TIMRÅ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43130-2023</t>
        </is>
      </c>
      <c r="B459" s="1" t="n">
        <v>45182.94908564815</v>
      </c>
      <c r="C459" s="1" t="n">
        <v>45986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56170-2022</t>
        </is>
      </c>
      <c r="B460" s="1" t="n">
        <v>44889</v>
      </c>
      <c r="C460" s="1" t="n">
        <v>45986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36869-2025</t>
        </is>
      </c>
      <c r="B461" s="1" t="n">
        <v>45874</v>
      </c>
      <c r="C461" s="1" t="n">
        <v>45986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13218-2025</t>
        </is>
      </c>
      <c r="B462" s="1" t="n">
        <v>45735.44883101852</v>
      </c>
      <c r="C462" s="1" t="n">
        <v>45986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37470-2025</t>
        </is>
      </c>
      <c r="B463" s="1" t="n">
        <v>45877.58502314815</v>
      </c>
      <c r="C463" s="1" t="n">
        <v>45986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9472-2021</t>
        </is>
      </c>
      <c r="B464" s="1" t="n">
        <v>44250</v>
      </c>
      <c r="C464" s="1" t="n">
        <v>45986</v>
      </c>
      <c r="D464" t="inlineStr">
        <is>
          <t>VÄSTERNORRLANDS LÄN</t>
        </is>
      </c>
      <c r="E464" t="inlineStr">
        <is>
          <t>TIMRÅ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9202-2022</t>
        </is>
      </c>
      <c r="B465" s="1" t="n">
        <v>44615</v>
      </c>
      <c r="C465" s="1" t="n">
        <v>45986</v>
      </c>
      <c r="D465" t="inlineStr">
        <is>
          <t>VÄSTERNORRLANDS LÄN</t>
        </is>
      </c>
      <c r="E465" t="inlineStr">
        <is>
          <t>TIMRÅ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45627-2024</t>
        </is>
      </c>
      <c r="B466" s="1" t="n">
        <v>45579</v>
      </c>
      <c r="C466" s="1" t="n">
        <v>45986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37695-2025</t>
        </is>
      </c>
      <c r="B467" s="1" t="n">
        <v>45880.57357638889</v>
      </c>
      <c r="C467" s="1" t="n">
        <v>45986</v>
      </c>
      <c r="D467" t="inlineStr">
        <is>
          <t>VÄSTERNORRLANDS LÄN</t>
        </is>
      </c>
      <c r="E467" t="inlineStr">
        <is>
          <t>TIMRÅ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37684-2025</t>
        </is>
      </c>
      <c r="B468" s="1" t="n">
        <v>45880.55261574074</v>
      </c>
      <c r="C468" s="1" t="n">
        <v>45986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36204-2025</t>
        </is>
      </c>
      <c r="B469" s="1" t="n">
        <v>45867</v>
      </c>
      <c r="C469" s="1" t="n">
        <v>45986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HYPERLINK("https://klasma.github.io/Logging_2262/knärot/A 36204-2025 karta knärot.png", "A 36204-2025")</f>
        <v/>
      </c>
      <c r="V469">
        <f>HYPERLINK("https://klasma.github.io/Logging_2262/klagomål/A 36204-2025 FSC-klagomål.docx", "A 36204-2025")</f>
        <v/>
      </c>
      <c r="W469">
        <f>HYPERLINK("https://klasma.github.io/Logging_2262/klagomålsmail/A 36204-2025 FSC-klagomål mail.docx", "A 36204-2025")</f>
        <v/>
      </c>
      <c r="X469">
        <f>HYPERLINK("https://klasma.github.io/Logging_2262/tillsyn/A 36204-2025 tillsynsbegäran.docx", "A 36204-2025")</f>
        <v/>
      </c>
      <c r="Y469">
        <f>HYPERLINK("https://klasma.github.io/Logging_2262/tillsynsmail/A 36204-2025 tillsynsbegäran mail.docx", "A 36204-2025")</f>
        <v/>
      </c>
    </row>
    <row r="470" ht="15" customHeight="1">
      <c r="A470" t="inlineStr">
        <is>
          <t>A 18415-2025</t>
        </is>
      </c>
      <c r="B470" s="1" t="n">
        <v>45762.61503472222</v>
      </c>
      <c r="C470" s="1" t="n">
        <v>45986</v>
      </c>
      <c r="D470" t="inlineStr">
        <is>
          <t>VÄSTERNORRLANDS LÄN</t>
        </is>
      </c>
      <c r="E470" t="inlineStr">
        <is>
          <t>TIMRÅ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67063-2021</t>
        </is>
      </c>
      <c r="B471" s="1" t="n">
        <v>44522.92043981481</v>
      </c>
      <c r="C471" s="1" t="n">
        <v>45986</v>
      </c>
      <c r="D471" t="inlineStr">
        <is>
          <t>VÄSTERNORRLANDS LÄN</t>
        </is>
      </c>
      <c r="E471" t="inlineStr">
        <is>
          <t>TIMRÅ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38110-2025</t>
        </is>
      </c>
      <c r="B472" s="1" t="n">
        <v>45882</v>
      </c>
      <c r="C472" s="1" t="n">
        <v>45986</v>
      </c>
      <c r="D472" t="inlineStr">
        <is>
          <t>VÄSTERNORRLANDS LÄN</t>
        </is>
      </c>
      <c r="E472" t="inlineStr">
        <is>
          <t>TIMRÅ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38306-2025</t>
        </is>
      </c>
      <c r="B473" s="1" t="n">
        <v>45883.46928240741</v>
      </c>
      <c r="C473" s="1" t="n">
        <v>45986</v>
      </c>
      <c r="D473" t="inlineStr">
        <is>
          <t>VÄSTERNORRLANDS LÄN</t>
        </is>
      </c>
      <c r="E473" t="inlineStr">
        <is>
          <t>TIMRÅ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48397-2024</t>
        </is>
      </c>
      <c r="B474" s="1" t="n">
        <v>45590.61517361111</v>
      </c>
      <c r="C474" s="1" t="n">
        <v>45986</v>
      </c>
      <c r="D474" t="inlineStr">
        <is>
          <t>VÄSTERNORRLANDS LÄN</t>
        </is>
      </c>
      <c r="E474" t="inlineStr">
        <is>
          <t>TIMRÅ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38624-2025</t>
        </is>
      </c>
      <c r="B475" s="1" t="n">
        <v>45884.55347222222</v>
      </c>
      <c r="C475" s="1" t="n">
        <v>45986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20839-2023</t>
        </is>
      </c>
      <c r="B476" s="1" t="n">
        <v>45058.68923611111</v>
      </c>
      <c r="C476" s="1" t="n">
        <v>45986</v>
      </c>
      <c r="D476" t="inlineStr">
        <is>
          <t>VÄSTERNORRLANDS LÄN</t>
        </is>
      </c>
      <c r="E476" t="inlineStr">
        <is>
          <t>TIMRÅ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20840-2023</t>
        </is>
      </c>
      <c r="B477" s="1" t="n">
        <v>45058</v>
      </c>
      <c r="C477" s="1" t="n">
        <v>45986</v>
      </c>
      <c r="D477" t="inlineStr">
        <is>
          <t>VÄSTERNORRLANDS LÄN</t>
        </is>
      </c>
      <c r="E477" t="inlineStr">
        <is>
          <t>TIMRÅ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69203-2020</t>
        </is>
      </c>
      <c r="B478" s="1" t="n">
        <v>44191</v>
      </c>
      <c r="C478" s="1" t="n">
        <v>45986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43959-2023</t>
        </is>
      </c>
      <c r="B479" s="1" t="n">
        <v>45187.9603587963</v>
      </c>
      <c r="C479" s="1" t="n">
        <v>45986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38938-2025</t>
        </is>
      </c>
      <c r="B480" s="1" t="n">
        <v>45884</v>
      </c>
      <c r="C480" s="1" t="n">
        <v>45986</v>
      </c>
      <c r="D480" t="inlineStr">
        <is>
          <t>VÄSTERNORRLANDS LÄN</t>
        </is>
      </c>
      <c r="E480" t="inlineStr">
        <is>
          <t>TIMRÅ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56288-2024</t>
        </is>
      </c>
      <c r="B481" s="1" t="n">
        <v>45624.67949074074</v>
      </c>
      <c r="C481" s="1" t="n">
        <v>45986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37676-2024</t>
        </is>
      </c>
      <c r="B482" s="1" t="n">
        <v>45541</v>
      </c>
      <c r="C482" s="1" t="n">
        <v>45986</v>
      </c>
      <c r="D482" t="inlineStr">
        <is>
          <t>VÄSTERNORRLANDS LÄN</t>
        </is>
      </c>
      <c r="E482" t="inlineStr">
        <is>
          <t>TIMRÅ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46021-2022</t>
        </is>
      </c>
      <c r="B483" s="1" t="n">
        <v>44846</v>
      </c>
      <c r="C483" s="1" t="n">
        <v>45986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Kyrkan</t>
        </is>
      </c>
      <c r="G483" t="n">
        <v>18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39691-2022</t>
        </is>
      </c>
      <c r="B484" s="1" t="n">
        <v>44818.9474537037</v>
      </c>
      <c r="C484" s="1" t="n">
        <v>45986</v>
      </c>
      <c r="D484" t="inlineStr">
        <is>
          <t>VÄSTERNORRLANDS LÄN</t>
        </is>
      </c>
      <c r="E484" t="inlineStr">
        <is>
          <t>TIMRÅ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68774-2021</t>
        </is>
      </c>
      <c r="B485" s="1" t="n">
        <v>44529.94496527778</v>
      </c>
      <c r="C485" s="1" t="n">
        <v>45986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39693-2023</t>
        </is>
      </c>
      <c r="B486" s="1" t="n">
        <v>45166</v>
      </c>
      <c r="C486" s="1" t="n">
        <v>45986</v>
      </c>
      <c r="D486" t="inlineStr">
        <is>
          <t>VÄSTERNORRLANDS LÄN</t>
        </is>
      </c>
      <c r="E486" t="inlineStr">
        <is>
          <t>TIMRÅ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56284-2024</t>
        </is>
      </c>
      <c r="B487" s="1" t="n">
        <v>45624.67894675926</v>
      </c>
      <c r="C487" s="1" t="n">
        <v>45986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43964-2023</t>
        </is>
      </c>
      <c r="B488" s="1" t="n">
        <v>45187</v>
      </c>
      <c r="C488" s="1" t="n">
        <v>45986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45886-2024</t>
        </is>
      </c>
      <c r="B489" s="1" t="n">
        <v>45580</v>
      </c>
      <c r="C489" s="1" t="n">
        <v>45986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14926-2025</t>
        </is>
      </c>
      <c r="B490" s="1" t="n">
        <v>45743.55283564814</v>
      </c>
      <c r="C490" s="1" t="n">
        <v>45986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12786-2025</t>
        </is>
      </c>
      <c r="B491" s="1" t="n">
        <v>45733.60231481482</v>
      </c>
      <c r="C491" s="1" t="n">
        <v>45986</v>
      </c>
      <c r="D491" t="inlineStr">
        <is>
          <t>VÄSTERNORRLANDS LÄN</t>
        </is>
      </c>
      <c r="E491" t="inlineStr">
        <is>
          <t>TIMRÅ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32048-2024</t>
        </is>
      </c>
      <c r="B492" s="1" t="n">
        <v>45510</v>
      </c>
      <c r="C492" s="1" t="n">
        <v>45986</v>
      </c>
      <c r="D492" t="inlineStr">
        <is>
          <t>VÄSTERNORRLANDS LÄN</t>
        </is>
      </c>
      <c r="E492" t="inlineStr">
        <is>
          <t>TIMRÅ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59942-2022</t>
        </is>
      </c>
      <c r="B493" s="1" t="n">
        <v>44901</v>
      </c>
      <c r="C493" s="1" t="n">
        <v>45986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25414-2022</t>
        </is>
      </c>
      <c r="B494" s="1" t="n">
        <v>44732</v>
      </c>
      <c r="C494" s="1" t="n">
        <v>45986</v>
      </c>
      <c r="D494" t="inlineStr">
        <is>
          <t>VÄSTERNORRLANDS LÄN</t>
        </is>
      </c>
      <c r="E494" t="inlineStr">
        <is>
          <t>TIMRÅ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39046-2023</t>
        </is>
      </c>
      <c r="B495" s="1" t="n">
        <v>45163</v>
      </c>
      <c r="C495" s="1" t="n">
        <v>45986</v>
      </c>
      <c r="D495" t="inlineStr">
        <is>
          <t>VÄSTERNORRLANDS LÄN</t>
        </is>
      </c>
      <c r="E495" t="inlineStr">
        <is>
          <t>TIMRÅ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14680-2022</t>
        </is>
      </c>
      <c r="B496" s="1" t="n">
        <v>44655</v>
      </c>
      <c r="C496" s="1" t="n">
        <v>45986</v>
      </c>
      <c r="D496" t="inlineStr">
        <is>
          <t>VÄSTERNORRLANDS LÄN</t>
        </is>
      </c>
      <c r="E496" t="inlineStr">
        <is>
          <t>TIMRÅ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69663-2021</t>
        </is>
      </c>
      <c r="B497" s="1" t="n">
        <v>44531</v>
      </c>
      <c r="C497" s="1" t="n">
        <v>45986</v>
      </c>
      <c r="D497" t="inlineStr">
        <is>
          <t>VÄSTERNORRLANDS LÄN</t>
        </is>
      </c>
      <c r="E497" t="inlineStr">
        <is>
          <t>TIMRÅ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4125-2023</t>
        </is>
      </c>
      <c r="B498" s="1" t="n">
        <v>44952</v>
      </c>
      <c r="C498" s="1" t="n">
        <v>45986</v>
      </c>
      <c r="D498" t="inlineStr">
        <is>
          <t>VÄSTERNORRLANDS LÄN</t>
        </is>
      </c>
      <c r="E498" t="inlineStr">
        <is>
          <t>TIMRÅ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40664-2024</t>
        </is>
      </c>
      <c r="B499" s="1" t="n">
        <v>45558</v>
      </c>
      <c r="C499" s="1" t="n">
        <v>45986</v>
      </c>
      <c r="D499" t="inlineStr">
        <is>
          <t>VÄSTERNORRLANDS LÄN</t>
        </is>
      </c>
      <c r="E499" t="inlineStr">
        <is>
          <t>TIMRÅ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26662-2024</t>
        </is>
      </c>
      <c r="B500" s="1" t="n">
        <v>45469</v>
      </c>
      <c r="C500" s="1" t="n">
        <v>45986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53288-2024</t>
        </is>
      </c>
      <c r="B501" s="1" t="n">
        <v>45614.38604166666</v>
      </c>
      <c r="C501" s="1" t="n">
        <v>45986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53294-2024</t>
        </is>
      </c>
      <c r="B502" s="1" t="n">
        <v>45614.3875462963</v>
      </c>
      <c r="C502" s="1" t="n">
        <v>45986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24304-2022</t>
        </is>
      </c>
      <c r="B503" s="1" t="n">
        <v>44725</v>
      </c>
      <c r="C503" s="1" t="n">
        <v>45986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10947-2025</t>
        </is>
      </c>
      <c r="B504" s="1" t="n">
        <v>45723.34417824074</v>
      </c>
      <c r="C504" s="1" t="n">
        <v>45986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57316-2024</t>
        </is>
      </c>
      <c r="B505" s="1" t="n">
        <v>45629.61498842593</v>
      </c>
      <c r="C505" s="1" t="n">
        <v>45986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58754-2024</t>
        </is>
      </c>
      <c r="B506" s="1" t="n">
        <v>45635.71917824074</v>
      </c>
      <c r="C506" s="1" t="n">
        <v>45986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48785-2023</t>
        </is>
      </c>
      <c r="B507" s="1" t="n">
        <v>45208</v>
      </c>
      <c r="C507" s="1" t="n">
        <v>45986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56286-2024</t>
        </is>
      </c>
      <c r="B508" s="1" t="n">
        <v>45624.67921296296</v>
      </c>
      <c r="C508" s="1" t="n">
        <v>45986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53957-2022</t>
        </is>
      </c>
      <c r="B509" s="1" t="n">
        <v>44880.95756944444</v>
      </c>
      <c r="C509" s="1" t="n">
        <v>45986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27489-2023</t>
        </is>
      </c>
      <c r="B510" s="1" t="n">
        <v>45092</v>
      </c>
      <c r="C510" s="1" t="n">
        <v>45986</v>
      </c>
      <c r="D510" t="inlineStr">
        <is>
          <t>VÄSTERNORRLANDS LÄN</t>
        </is>
      </c>
      <c r="E510" t="inlineStr">
        <is>
          <t>TIMRÅ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55441-2023</t>
        </is>
      </c>
      <c r="B511" s="1" t="n">
        <v>45231</v>
      </c>
      <c r="C511" s="1" t="n">
        <v>45986</v>
      </c>
      <c r="D511" t="inlineStr">
        <is>
          <t>VÄSTERNORRLANDS LÄN</t>
        </is>
      </c>
      <c r="E511" t="inlineStr">
        <is>
          <t>TIMRÅ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36987-2021</t>
        </is>
      </c>
      <c r="B512" s="1" t="n">
        <v>44393</v>
      </c>
      <c r="C512" s="1" t="n">
        <v>45986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14955-2025</t>
        </is>
      </c>
      <c r="B513" s="1" t="n">
        <v>45743</v>
      </c>
      <c r="C513" s="1" t="n">
        <v>45986</v>
      </c>
      <c r="D513" t="inlineStr">
        <is>
          <t>VÄSTERNORRLANDS LÄN</t>
        </is>
      </c>
      <c r="E513" t="inlineStr">
        <is>
          <t>TIMRÅ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47089-2024</t>
        </is>
      </c>
      <c r="B514" s="1" t="n">
        <v>45586.51078703703</v>
      </c>
      <c r="C514" s="1" t="n">
        <v>45986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55729-2024</t>
        </is>
      </c>
      <c r="B515" s="1" t="n">
        <v>45622</v>
      </c>
      <c r="C515" s="1" t="n">
        <v>45986</v>
      </c>
      <c r="D515" t="inlineStr">
        <is>
          <t>VÄSTERNORRLANDS LÄN</t>
        </is>
      </c>
      <c r="E515" t="inlineStr">
        <is>
          <t>TIMRÅ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43129-2023</t>
        </is>
      </c>
      <c r="B516" s="1" t="n">
        <v>45182</v>
      </c>
      <c r="C516" s="1" t="n">
        <v>45986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55080-2024</t>
        </is>
      </c>
      <c r="B517" s="1" t="n">
        <v>45621.4275462963</v>
      </c>
      <c r="C517" s="1" t="n">
        <v>45986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44378-2023</t>
        </is>
      </c>
      <c r="B518" s="1" t="n">
        <v>45188.92491898148</v>
      </c>
      <c r="C518" s="1" t="n">
        <v>45986</v>
      </c>
      <c r="D518" t="inlineStr">
        <is>
          <t>VÄSTERNORRLANDS LÄN</t>
        </is>
      </c>
      <c r="E518" t="inlineStr">
        <is>
          <t>TIMRÅ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20835-2023</t>
        </is>
      </c>
      <c r="B519" s="1" t="n">
        <v>45058</v>
      </c>
      <c r="C519" s="1" t="n">
        <v>45986</v>
      </c>
      <c r="D519" t="inlineStr">
        <is>
          <t>VÄSTERNORRLANDS LÄN</t>
        </is>
      </c>
      <c r="E519" t="inlineStr">
        <is>
          <t>TIMRÅ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9480-2021</t>
        </is>
      </c>
      <c r="B520" s="1" t="n">
        <v>44250</v>
      </c>
      <c r="C520" s="1" t="n">
        <v>45986</v>
      </c>
      <c r="D520" t="inlineStr">
        <is>
          <t>VÄSTERNORRLANDS LÄN</t>
        </is>
      </c>
      <c r="E520" t="inlineStr">
        <is>
          <t>TIMRÅ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9503-2021</t>
        </is>
      </c>
      <c r="B521" s="1" t="n">
        <v>44250</v>
      </c>
      <c r="C521" s="1" t="n">
        <v>45986</v>
      </c>
      <c r="D521" t="inlineStr">
        <is>
          <t>VÄSTERNORRLANDS LÄN</t>
        </is>
      </c>
      <c r="E521" t="inlineStr">
        <is>
          <t>TIMRÅ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40593-2024</t>
        </is>
      </c>
      <c r="B522" s="1" t="n">
        <v>45555</v>
      </c>
      <c r="C522" s="1" t="n">
        <v>45986</v>
      </c>
      <c r="D522" t="inlineStr">
        <is>
          <t>VÄSTERNORRLANDS LÄN</t>
        </is>
      </c>
      <c r="E522" t="inlineStr">
        <is>
          <t>TIMRÅ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30835-2023</t>
        </is>
      </c>
      <c r="B523" s="1" t="n">
        <v>45112.94381944444</v>
      </c>
      <c r="C523" s="1" t="n">
        <v>45986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43113-2023</t>
        </is>
      </c>
      <c r="B524" s="1" t="n">
        <v>45182</v>
      </c>
      <c r="C524" s="1" t="n">
        <v>45986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37165-2021</t>
        </is>
      </c>
      <c r="B525" s="1" t="n">
        <v>44396</v>
      </c>
      <c r="C525" s="1" t="n">
        <v>45986</v>
      </c>
      <c r="D525" t="inlineStr">
        <is>
          <t>VÄSTERNORRLANDS LÄN</t>
        </is>
      </c>
      <c r="E525" t="inlineStr">
        <is>
          <t>TIMRÅ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61484-2024</t>
        </is>
      </c>
      <c r="B526" s="1" t="n">
        <v>45646.53160879629</v>
      </c>
      <c r="C526" s="1" t="n">
        <v>45986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21443-2024</t>
        </is>
      </c>
      <c r="B527" s="1" t="n">
        <v>45441</v>
      </c>
      <c r="C527" s="1" t="n">
        <v>45986</v>
      </c>
      <c r="D527" t="inlineStr">
        <is>
          <t>VÄSTERNORRLANDS LÄN</t>
        </is>
      </c>
      <c r="E527" t="inlineStr">
        <is>
          <t>TIMRÅ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74150-2021</t>
        </is>
      </c>
      <c r="B528" s="1" t="n">
        <v>44557</v>
      </c>
      <c r="C528" s="1" t="n">
        <v>45986</v>
      </c>
      <c r="D528" t="inlineStr">
        <is>
          <t>VÄSTERNORRLANDS LÄN</t>
        </is>
      </c>
      <c r="E528" t="inlineStr">
        <is>
          <t>TIMRÅ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48704-2024</t>
        </is>
      </c>
      <c r="B529" s="1" t="n">
        <v>45593.53160879629</v>
      </c>
      <c r="C529" s="1" t="n">
        <v>45986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56723-2022</t>
        </is>
      </c>
      <c r="B530" s="1" t="n">
        <v>44893.9297337963</v>
      </c>
      <c r="C530" s="1" t="n">
        <v>45986</v>
      </c>
      <c r="D530" t="inlineStr">
        <is>
          <t>VÄSTERNORRLANDS LÄN</t>
        </is>
      </c>
      <c r="E530" t="inlineStr">
        <is>
          <t>TIMRÅ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20527-2024</t>
        </is>
      </c>
      <c r="B531" s="1" t="n">
        <v>45435.94592592592</v>
      </c>
      <c r="C531" s="1" t="n">
        <v>45986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38996-2024</t>
        </is>
      </c>
      <c r="B532" s="1" t="n">
        <v>45548.41377314815</v>
      </c>
      <c r="C532" s="1" t="n">
        <v>45986</v>
      </c>
      <c r="D532" t="inlineStr">
        <is>
          <t>VÄSTERNORRLANDS LÄN</t>
        </is>
      </c>
      <c r="E532" t="inlineStr">
        <is>
          <t>TIMRÅ</t>
        </is>
      </c>
      <c r="G532" t="n">
        <v>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16786-2023</t>
        </is>
      </c>
      <c r="B533" s="1" t="n">
        <v>45032</v>
      </c>
      <c r="C533" s="1" t="n">
        <v>45986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20786-2024</t>
        </is>
      </c>
      <c r="B534" s="1" t="n">
        <v>45437</v>
      </c>
      <c r="C534" s="1" t="n">
        <v>45986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2073-2022</t>
        </is>
      </c>
      <c r="B535" s="1" t="n">
        <v>44575.92912037037</v>
      </c>
      <c r="C535" s="1" t="n">
        <v>45986</v>
      </c>
      <c r="D535" t="inlineStr">
        <is>
          <t>VÄSTERNORRLANDS LÄN</t>
        </is>
      </c>
      <c r="E535" t="inlineStr">
        <is>
          <t>TIMRÅ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44405-2023</t>
        </is>
      </c>
      <c r="B536" s="1" t="n">
        <v>45188</v>
      </c>
      <c r="C536" s="1" t="n">
        <v>45986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55588-2024</t>
        </is>
      </c>
      <c r="B537" s="1" t="n">
        <v>45622</v>
      </c>
      <c r="C537" s="1" t="n">
        <v>45986</v>
      </c>
      <c r="D537" t="inlineStr">
        <is>
          <t>VÄSTERNORRLANDS LÄN</t>
        </is>
      </c>
      <c r="E537" t="inlineStr">
        <is>
          <t>TIMRÅ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20841-2023</t>
        </is>
      </c>
      <c r="B538" s="1" t="n">
        <v>45058</v>
      </c>
      <c r="C538" s="1" t="n">
        <v>45986</v>
      </c>
      <c r="D538" t="inlineStr">
        <is>
          <t>VÄSTERNORRLANDS LÄN</t>
        </is>
      </c>
      <c r="E538" t="inlineStr">
        <is>
          <t>TIMRÅ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16055-2024</t>
        </is>
      </c>
      <c r="B539" s="1" t="n">
        <v>45406</v>
      </c>
      <c r="C539" s="1" t="n">
        <v>45986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48563-2024</t>
        </is>
      </c>
      <c r="B540" s="1" t="n">
        <v>45593.38608796296</v>
      </c>
      <c r="C540" s="1" t="n">
        <v>45986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22486-2024</t>
        </is>
      </c>
      <c r="B541" s="1" t="n">
        <v>45446</v>
      </c>
      <c r="C541" s="1" t="n">
        <v>45986</v>
      </c>
      <c r="D541" t="inlineStr">
        <is>
          <t>VÄSTERNORRLANDS LÄN</t>
        </is>
      </c>
      <c r="E541" t="inlineStr">
        <is>
          <t>TIMRÅ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18778-2023</t>
        </is>
      </c>
      <c r="B542" s="1" t="n">
        <v>45043</v>
      </c>
      <c r="C542" s="1" t="n">
        <v>45986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54993-2024</t>
        </is>
      </c>
      <c r="B543" s="1" t="n">
        <v>45620.95182870371</v>
      </c>
      <c r="C543" s="1" t="n">
        <v>45986</v>
      </c>
      <c r="D543" t="inlineStr">
        <is>
          <t>VÄSTERNORRLANDS LÄN</t>
        </is>
      </c>
      <c r="E543" t="inlineStr">
        <is>
          <t>TIMRÅ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45723-2023</t>
        </is>
      </c>
      <c r="B544" s="1" t="n">
        <v>45195</v>
      </c>
      <c r="C544" s="1" t="n">
        <v>45986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45774-2023</t>
        </is>
      </c>
      <c r="B545" s="1" t="n">
        <v>45189</v>
      </c>
      <c r="C545" s="1" t="n">
        <v>45986</v>
      </c>
      <c r="D545" t="inlineStr">
        <is>
          <t>VÄSTERNORRLANDS LÄN</t>
        </is>
      </c>
      <c r="E545" t="inlineStr">
        <is>
          <t>TIMRÅ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42094-2024</t>
        </is>
      </c>
      <c r="B546" s="1" t="n">
        <v>45562</v>
      </c>
      <c r="C546" s="1" t="n">
        <v>45986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41605-2023</t>
        </is>
      </c>
      <c r="B547" s="1" t="n">
        <v>45175.65100694444</v>
      </c>
      <c r="C547" s="1" t="n">
        <v>45986</v>
      </c>
      <c r="D547" t="inlineStr">
        <is>
          <t>VÄSTERNORRLANDS LÄN</t>
        </is>
      </c>
      <c r="E547" t="inlineStr">
        <is>
          <t>TIMRÅ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54723-2024</t>
        </is>
      </c>
      <c r="B548" s="1" t="n">
        <v>45618.43747685185</v>
      </c>
      <c r="C548" s="1" t="n">
        <v>45986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56443-2024</t>
        </is>
      </c>
      <c r="B549" s="1" t="n">
        <v>45625</v>
      </c>
      <c r="C549" s="1" t="n">
        <v>45986</v>
      </c>
      <c r="D549" t="inlineStr">
        <is>
          <t>VÄSTERNORRLANDS LÄN</t>
        </is>
      </c>
      <c r="E549" t="inlineStr">
        <is>
          <t>TIMRÅ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31562-2023</t>
        </is>
      </c>
      <c r="B550" s="1" t="n">
        <v>45117</v>
      </c>
      <c r="C550" s="1" t="n">
        <v>45986</v>
      </c>
      <c r="D550" t="inlineStr">
        <is>
          <t>VÄSTERNORRLANDS LÄN</t>
        </is>
      </c>
      <c r="E550" t="inlineStr">
        <is>
          <t>TIMRÅ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45673-2024</t>
        </is>
      </c>
      <c r="B551" s="1" t="n">
        <v>45579.51072916666</v>
      </c>
      <c r="C551" s="1" t="n">
        <v>45986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18130-2025</t>
        </is>
      </c>
      <c r="B552" s="1" t="n">
        <v>45761.59958333334</v>
      </c>
      <c r="C552" s="1" t="n">
        <v>45986</v>
      </c>
      <c r="D552" t="inlineStr">
        <is>
          <t>VÄSTERNORRLANDS LÄN</t>
        </is>
      </c>
      <c r="E552" t="inlineStr">
        <is>
          <t>TIMRÅ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52213-2022</t>
        </is>
      </c>
      <c r="B553" s="1" t="n">
        <v>44869</v>
      </c>
      <c r="C553" s="1" t="n">
        <v>45986</v>
      </c>
      <c r="D553" t="inlineStr">
        <is>
          <t>VÄSTERNORRLANDS LÄN</t>
        </is>
      </c>
      <c r="E553" t="inlineStr">
        <is>
          <t>TIMRÅ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52346-2024</t>
        </is>
      </c>
      <c r="B554" s="1" t="n">
        <v>45609.34423611111</v>
      </c>
      <c r="C554" s="1" t="n">
        <v>45986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HYPERLINK("https://klasma.github.io/Logging_2262/knärot/A 52346-2024 karta knärot.png", "A 52346-2024")</f>
        <v/>
      </c>
      <c r="V554">
        <f>HYPERLINK("https://klasma.github.io/Logging_2262/klagomål/A 52346-2024 FSC-klagomål.docx", "A 52346-2024")</f>
        <v/>
      </c>
      <c r="W554">
        <f>HYPERLINK("https://klasma.github.io/Logging_2262/klagomålsmail/A 52346-2024 FSC-klagomål mail.docx", "A 52346-2024")</f>
        <v/>
      </c>
      <c r="X554">
        <f>HYPERLINK("https://klasma.github.io/Logging_2262/tillsyn/A 52346-2024 tillsynsbegäran.docx", "A 52346-2024")</f>
        <v/>
      </c>
      <c r="Y554">
        <f>HYPERLINK("https://klasma.github.io/Logging_2262/tillsynsmail/A 52346-2024 tillsynsbegäran mail.docx", "A 52346-2024")</f>
        <v/>
      </c>
    </row>
    <row r="555" ht="15" customHeight="1">
      <c r="A555" t="inlineStr">
        <is>
          <t>A 20526-2024</t>
        </is>
      </c>
      <c r="B555" s="1" t="n">
        <v>45435</v>
      </c>
      <c r="C555" s="1" t="n">
        <v>45986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22416-2024</t>
        </is>
      </c>
      <c r="B556" s="1" t="n">
        <v>45446</v>
      </c>
      <c r="C556" s="1" t="n">
        <v>45986</v>
      </c>
      <c r="D556" t="inlineStr">
        <is>
          <t>VÄSTERNORRLANDS LÄN</t>
        </is>
      </c>
      <c r="E556" t="inlineStr">
        <is>
          <t>TIMRÅ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13343-2024</t>
        </is>
      </c>
      <c r="B557" s="1" t="n">
        <v>45386.94517361111</v>
      </c>
      <c r="C557" s="1" t="n">
        <v>45986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31150-2023</t>
        </is>
      </c>
      <c r="B558" s="1" t="n">
        <v>45103</v>
      </c>
      <c r="C558" s="1" t="n">
        <v>45986</v>
      </c>
      <c r="D558" t="inlineStr">
        <is>
          <t>VÄSTERNORRLANDS LÄN</t>
        </is>
      </c>
      <c r="E558" t="inlineStr">
        <is>
          <t>TIMRÅ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45629-2024</t>
        </is>
      </c>
      <c r="B559" s="1" t="n">
        <v>45579.46957175926</v>
      </c>
      <c r="C559" s="1" t="n">
        <v>45986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35417-2021</t>
        </is>
      </c>
      <c r="B560" s="1" t="n">
        <v>44385.43622685185</v>
      </c>
      <c r="C560" s="1" t="n">
        <v>45986</v>
      </c>
      <c r="D560" t="inlineStr">
        <is>
          <t>VÄSTERNORRLANDS LÄN</t>
        </is>
      </c>
      <c r="E560" t="inlineStr">
        <is>
          <t>TIMRÅ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45630-2024</t>
        </is>
      </c>
      <c r="B561" s="1" t="n">
        <v>45579.46971064815</v>
      </c>
      <c r="C561" s="1" t="n">
        <v>45986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4126-2023</t>
        </is>
      </c>
      <c r="B562" s="1" t="n">
        <v>44952</v>
      </c>
      <c r="C562" s="1" t="n">
        <v>45986</v>
      </c>
      <c r="D562" t="inlineStr">
        <is>
          <t>VÄSTERNORRLANDS LÄN</t>
        </is>
      </c>
      <c r="E562" t="inlineStr">
        <is>
          <t>TIMRÅ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61821-2024</t>
        </is>
      </c>
      <c r="B563" s="1" t="n">
        <v>45649.61491898148</v>
      </c>
      <c r="C563" s="1" t="n">
        <v>45986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69274-2021</t>
        </is>
      </c>
      <c r="B564" s="1" t="n">
        <v>44530</v>
      </c>
      <c r="C564" s="1" t="n">
        <v>45986</v>
      </c>
      <c r="D564" t="inlineStr">
        <is>
          <t>VÄSTERNORRLANDS LÄN</t>
        </is>
      </c>
      <c r="E564" t="inlineStr">
        <is>
          <t>TIMRÅ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69278-2021</t>
        </is>
      </c>
      <c r="B565" s="1" t="n">
        <v>44531.44428240741</v>
      </c>
      <c r="C565" s="1" t="n">
        <v>45986</v>
      </c>
      <c r="D565" t="inlineStr">
        <is>
          <t>VÄSTERNORRLANDS LÄN</t>
        </is>
      </c>
      <c r="E565" t="inlineStr">
        <is>
          <t>TIMRÅ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24304-2023</t>
        </is>
      </c>
      <c r="B566" s="1" t="n">
        <v>45079</v>
      </c>
      <c r="C566" s="1" t="n">
        <v>45986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9317-2022</t>
        </is>
      </c>
      <c r="B567" s="1" t="n">
        <v>44616</v>
      </c>
      <c r="C567" s="1" t="n">
        <v>45986</v>
      </c>
      <c r="D567" t="inlineStr">
        <is>
          <t>VÄSTERNORRLANDS LÄN</t>
        </is>
      </c>
      <c r="E567" t="inlineStr">
        <is>
          <t>TIMRÅ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53301-2024</t>
        </is>
      </c>
      <c r="B568" s="1" t="n">
        <v>45614.3884837963</v>
      </c>
      <c r="C568" s="1" t="n">
        <v>45986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30680-2024</t>
        </is>
      </c>
      <c r="B569" s="1" t="n">
        <v>45495</v>
      </c>
      <c r="C569" s="1" t="n">
        <v>45986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16315-2024</t>
        </is>
      </c>
      <c r="B570" s="1" t="n">
        <v>45407</v>
      </c>
      <c r="C570" s="1" t="n">
        <v>45986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7151-2024</t>
        </is>
      </c>
      <c r="B571" s="1" t="n">
        <v>45344</v>
      </c>
      <c r="C571" s="1" t="n">
        <v>45986</v>
      </c>
      <c r="D571" t="inlineStr">
        <is>
          <t>VÄSTERNORRLANDS LÄN</t>
        </is>
      </c>
      <c r="E571" t="inlineStr">
        <is>
          <t>TIMRÅ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11479-2022</t>
        </is>
      </c>
      <c r="B572" s="1" t="n">
        <v>44630.92299768519</v>
      </c>
      <c r="C572" s="1" t="n">
        <v>45986</v>
      </c>
      <c r="D572" t="inlineStr">
        <is>
          <t>VÄSTERNORRLANDS LÄN</t>
        </is>
      </c>
      <c r="E572" t="inlineStr">
        <is>
          <t>TIMRÅ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18684-2023</t>
        </is>
      </c>
      <c r="B573" s="1" t="n">
        <v>45042</v>
      </c>
      <c r="C573" s="1" t="n">
        <v>45986</v>
      </c>
      <c r="D573" t="inlineStr">
        <is>
          <t>VÄSTERNORRLANDS LÄN</t>
        </is>
      </c>
      <c r="E573" t="inlineStr">
        <is>
          <t>TIMRÅ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45608-2024</t>
        </is>
      </c>
      <c r="B574" s="1" t="n">
        <v>45579.4483912037</v>
      </c>
      <c r="C574" s="1" t="n">
        <v>45986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58895-2023</t>
        </is>
      </c>
      <c r="B575" s="1" t="n">
        <v>45252</v>
      </c>
      <c r="C575" s="1" t="n">
        <v>45986</v>
      </c>
      <c r="D575" t="inlineStr">
        <is>
          <t>VÄSTERNORRLANDS LÄN</t>
        </is>
      </c>
      <c r="E575" t="inlineStr">
        <is>
          <t>TIMRÅ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52220-2022</t>
        </is>
      </c>
      <c r="B576" s="1" t="n">
        <v>44869</v>
      </c>
      <c r="C576" s="1" t="n">
        <v>45986</v>
      </c>
      <c r="D576" t="inlineStr">
        <is>
          <t>VÄSTERNORRLANDS LÄN</t>
        </is>
      </c>
      <c r="E576" t="inlineStr">
        <is>
          <t>TIMRÅ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52232-2022</t>
        </is>
      </c>
      <c r="B577" s="1" t="n">
        <v>44869</v>
      </c>
      <c r="C577" s="1" t="n">
        <v>45986</v>
      </c>
      <c r="D577" t="inlineStr">
        <is>
          <t>VÄSTERNORRLANDS LÄN</t>
        </is>
      </c>
      <c r="E577" t="inlineStr">
        <is>
          <t>TIMRÅ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55179-2022</t>
        </is>
      </c>
      <c r="B578" s="1" t="n">
        <v>44886</v>
      </c>
      <c r="C578" s="1" t="n">
        <v>45986</v>
      </c>
      <c r="D578" t="inlineStr">
        <is>
          <t>VÄSTERNORRLANDS LÄN</t>
        </is>
      </c>
      <c r="E578" t="inlineStr">
        <is>
          <t>TIMRÅ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62133-2024</t>
        </is>
      </c>
      <c r="B579" s="1" t="n">
        <v>45656.63576388889</v>
      </c>
      <c r="C579" s="1" t="n">
        <v>45986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40519-2021</t>
        </is>
      </c>
      <c r="B580" s="1" t="n">
        <v>44420</v>
      </c>
      <c r="C580" s="1" t="n">
        <v>45986</v>
      </c>
      <c r="D580" t="inlineStr">
        <is>
          <t>VÄSTERNORRLANDS LÄN</t>
        </is>
      </c>
      <c r="E580" t="inlineStr">
        <is>
          <t>TIMRÅ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1467-2024</t>
        </is>
      </c>
      <c r="B581" s="1" t="n">
        <v>45303</v>
      </c>
      <c r="C581" s="1" t="n">
        <v>45986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23049-2024</t>
        </is>
      </c>
      <c r="B582" s="1" t="n">
        <v>45450</v>
      </c>
      <c r="C582" s="1" t="n">
        <v>45986</v>
      </c>
      <c r="D582" t="inlineStr">
        <is>
          <t>VÄSTERNORRLANDS LÄN</t>
        </is>
      </c>
      <c r="E582" t="inlineStr">
        <is>
          <t>TIMRÅ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10852-2024</t>
        </is>
      </c>
      <c r="B583" s="1" t="n">
        <v>45370</v>
      </c>
      <c r="C583" s="1" t="n">
        <v>45986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74020-2021</t>
        </is>
      </c>
      <c r="B584" s="1" t="n">
        <v>44557.43879629629</v>
      </c>
      <c r="C584" s="1" t="n">
        <v>45986</v>
      </c>
      <c r="D584" t="inlineStr">
        <is>
          <t>VÄSTERNORRLANDS LÄN</t>
        </is>
      </c>
      <c r="E584" t="inlineStr">
        <is>
          <t>TIMRÅ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1842-2025</t>
        </is>
      </c>
      <c r="B585" s="1" t="n">
        <v>45671.57582175926</v>
      </c>
      <c r="C585" s="1" t="n">
        <v>45986</v>
      </c>
      <c r="D585" t="inlineStr">
        <is>
          <t>VÄSTERNORRLANDS LÄN</t>
        </is>
      </c>
      <c r="E585" t="inlineStr">
        <is>
          <t>TIMRÅ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44432-2022</t>
        </is>
      </c>
      <c r="B586" s="1" t="n">
        <v>44839</v>
      </c>
      <c r="C586" s="1" t="n">
        <v>45986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35939-2023</t>
        </is>
      </c>
      <c r="B587" s="1" t="n">
        <v>45148</v>
      </c>
      <c r="C587" s="1" t="n">
        <v>45986</v>
      </c>
      <c r="D587" t="inlineStr">
        <is>
          <t>VÄSTERNORRLANDS LÄN</t>
        </is>
      </c>
      <c r="E587" t="inlineStr">
        <is>
          <t>TIMRÅ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30612-2024</t>
        </is>
      </c>
      <c r="B588" s="1" t="n">
        <v>45495</v>
      </c>
      <c r="C588" s="1" t="n">
        <v>45986</v>
      </c>
      <c r="D588" t="inlineStr">
        <is>
          <t>VÄSTERNORRLANDS LÄN</t>
        </is>
      </c>
      <c r="E588" t="inlineStr">
        <is>
          <t>TIMRÅ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13861-2025</t>
        </is>
      </c>
      <c r="B589" s="1" t="n">
        <v>45737.5741550926</v>
      </c>
      <c r="C589" s="1" t="n">
        <v>45986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58998-2023</t>
        </is>
      </c>
      <c r="B590" s="1" t="n">
        <v>45250</v>
      </c>
      <c r="C590" s="1" t="n">
        <v>45986</v>
      </c>
      <c r="D590" t="inlineStr">
        <is>
          <t>VÄSTERNORRLANDS LÄN</t>
        </is>
      </c>
      <c r="E590" t="inlineStr">
        <is>
          <t>TIMRÅ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31343-2023</t>
        </is>
      </c>
      <c r="B591" s="1" t="n">
        <v>45104</v>
      </c>
      <c r="C591" s="1" t="n">
        <v>45986</v>
      </c>
      <c r="D591" t="inlineStr">
        <is>
          <t>VÄSTERNORRLANDS LÄN</t>
        </is>
      </c>
      <c r="E591" t="inlineStr">
        <is>
          <t>TIMRÅ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16863-2024</t>
        </is>
      </c>
      <c r="B592" s="1" t="n">
        <v>45411</v>
      </c>
      <c r="C592" s="1" t="n">
        <v>45986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1416-2023</t>
        </is>
      </c>
      <c r="B593" s="1" t="n">
        <v>44936.92666666667</v>
      </c>
      <c r="C593" s="1" t="n">
        <v>45986</v>
      </c>
      <c r="D593" t="inlineStr">
        <is>
          <t>VÄSTERNORRLANDS LÄN</t>
        </is>
      </c>
      <c r="E593" t="inlineStr">
        <is>
          <t>TIMRÅ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5649-2022</t>
        </is>
      </c>
      <c r="B594" s="1" t="n">
        <v>44595.92520833333</v>
      </c>
      <c r="C594" s="1" t="n">
        <v>45986</v>
      </c>
      <c r="D594" t="inlineStr">
        <is>
          <t>VÄSTERNORRLANDS LÄN</t>
        </is>
      </c>
      <c r="E594" t="inlineStr">
        <is>
          <t>TIMRÅ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60681-2024</t>
        </is>
      </c>
      <c r="B595" s="1" t="n">
        <v>45642</v>
      </c>
      <c r="C595" s="1" t="n">
        <v>45986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HYPERLINK("https://klasma.github.io/Logging_2262/knärot/A 60681-2024 karta knärot.png", "A 60681-2024")</f>
        <v/>
      </c>
      <c r="V595">
        <f>HYPERLINK("https://klasma.github.io/Logging_2262/klagomål/A 60681-2024 FSC-klagomål.docx", "A 60681-2024")</f>
        <v/>
      </c>
      <c r="W595">
        <f>HYPERLINK("https://klasma.github.io/Logging_2262/klagomålsmail/A 60681-2024 FSC-klagomål mail.docx", "A 60681-2024")</f>
        <v/>
      </c>
      <c r="X595">
        <f>HYPERLINK("https://klasma.github.io/Logging_2262/tillsyn/A 60681-2024 tillsynsbegäran.docx", "A 60681-2024")</f>
        <v/>
      </c>
      <c r="Y595">
        <f>HYPERLINK("https://klasma.github.io/Logging_2262/tillsynsmail/A 60681-2024 tillsynsbegäran mail.docx", "A 60681-2024")</f>
        <v/>
      </c>
    </row>
    <row r="596" ht="15" customHeight="1">
      <c r="A596" t="inlineStr">
        <is>
          <t>A 51999-2022</t>
        </is>
      </c>
      <c r="B596" s="1" t="n">
        <v>44872</v>
      </c>
      <c r="C596" s="1" t="n">
        <v>45986</v>
      </c>
      <c r="D596" t="inlineStr">
        <is>
          <t>VÄSTERNORRLANDS LÄN</t>
        </is>
      </c>
      <c r="E596" t="inlineStr">
        <is>
          <t>TIMRÅ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524-2023</t>
        </is>
      </c>
      <c r="B597" s="1" t="n">
        <v>44924</v>
      </c>
      <c r="C597" s="1" t="n">
        <v>45986</v>
      </c>
      <c r="D597" t="inlineStr">
        <is>
          <t>VÄSTERNORRLANDS LÄN</t>
        </is>
      </c>
      <c r="E597" t="inlineStr">
        <is>
          <t>TIMRÅ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2403-2025</t>
        </is>
      </c>
      <c r="B598" s="1" t="n">
        <v>45672</v>
      </c>
      <c r="C598" s="1" t="n">
        <v>45986</v>
      </c>
      <c r="D598" t="inlineStr">
        <is>
          <t>VÄSTERNORRLANDS LÄN</t>
        </is>
      </c>
      <c r="E598" t="inlineStr">
        <is>
          <t>TIMRÅ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49310-2024</t>
        </is>
      </c>
      <c r="B599" s="1" t="n">
        <v>45595</v>
      </c>
      <c r="C599" s="1" t="n">
        <v>45986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16084-2025</t>
        </is>
      </c>
      <c r="B600" s="1" t="n">
        <v>45749</v>
      </c>
      <c r="C600" s="1" t="n">
        <v>45986</v>
      </c>
      <c r="D600" t="inlineStr">
        <is>
          <t>VÄSTERNORRLANDS LÄN</t>
        </is>
      </c>
      <c r="E600" t="inlineStr">
        <is>
          <t>TIMRÅ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1817-2025</t>
        </is>
      </c>
      <c r="B601" s="1" t="n">
        <v>45671.51324074074</v>
      </c>
      <c r="C601" s="1" t="n">
        <v>45986</v>
      </c>
      <c r="D601" t="inlineStr">
        <is>
          <t>VÄSTERNORRLANDS LÄN</t>
        </is>
      </c>
      <c r="E601" t="inlineStr">
        <is>
          <t>TIMRÅ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55872-2022</t>
        </is>
      </c>
      <c r="B602" s="1" t="n">
        <v>44888.92847222222</v>
      </c>
      <c r="C602" s="1" t="n">
        <v>45986</v>
      </c>
      <c r="D602" t="inlineStr">
        <is>
          <t>VÄSTERNORRLANDS LÄN</t>
        </is>
      </c>
      <c r="E602" t="inlineStr">
        <is>
          <t>TIMRÅ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69266-2021</t>
        </is>
      </c>
      <c r="B603" s="1" t="n">
        <v>44530</v>
      </c>
      <c r="C603" s="1" t="n">
        <v>45986</v>
      </c>
      <c r="D603" t="inlineStr">
        <is>
          <t>VÄSTERNORRLANDS LÄN</t>
        </is>
      </c>
      <c r="E603" t="inlineStr">
        <is>
          <t>TIMRÅ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53302-2024</t>
        </is>
      </c>
      <c r="B604" s="1" t="n">
        <v>45614.38864583334</v>
      </c>
      <c r="C604" s="1" t="n">
        <v>45986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53303-2024</t>
        </is>
      </c>
      <c r="B605" s="1" t="n">
        <v>45614.38878472222</v>
      </c>
      <c r="C605" s="1" t="n">
        <v>45986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4123-2023</t>
        </is>
      </c>
      <c r="B606" s="1" t="n">
        <v>44952</v>
      </c>
      <c r="C606" s="1" t="n">
        <v>45986</v>
      </c>
      <c r="D606" t="inlineStr">
        <is>
          <t>VÄSTERNORRLANDS LÄN</t>
        </is>
      </c>
      <c r="E606" t="inlineStr">
        <is>
          <t>TIMRÅ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50355-2023</t>
        </is>
      </c>
      <c r="B607" s="1" t="n">
        <v>45209</v>
      </c>
      <c r="C607" s="1" t="n">
        <v>45986</v>
      </c>
      <c r="D607" t="inlineStr">
        <is>
          <t>VÄSTERNORRLANDS LÄN</t>
        </is>
      </c>
      <c r="E607" t="inlineStr">
        <is>
          <t>TIMRÅ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43568-2024</t>
        </is>
      </c>
      <c r="B608" s="1" t="n">
        <v>45569.40684027778</v>
      </c>
      <c r="C608" s="1" t="n">
        <v>45986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33667-2023</t>
        </is>
      </c>
      <c r="B609" s="1" t="n">
        <v>45119</v>
      </c>
      <c r="C609" s="1" t="n">
        <v>45986</v>
      </c>
      <c r="D609" t="inlineStr">
        <is>
          <t>VÄSTERNORRLANDS LÄN</t>
        </is>
      </c>
      <c r="E609" t="inlineStr">
        <is>
          <t>TIMRÅ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28373-2023</t>
        </is>
      </c>
      <c r="B610" s="1" t="n">
        <v>45099.95390046296</v>
      </c>
      <c r="C610" s="1" t="n">
        <v>45986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57268-2022</t>
        </is>
      </c>
      <c r="B611" s="1" t="n">
        <v>44895.92809027778</v>
      </c>
      <c r="C611" s="1" t="n">
        <v>45986</v>
      </c>
      <c r="D611" t="inlineStr">
        <is>
          <t>VÄSTERNORRLANDS LÄN</t>
        </is>
      </c>
      <c r="E611" t="inlineStr">
        <is>
          <t>TIMRÅ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41596-2024</t>
        </is>
      </c>
      <c r="B612" s="1" t="n">
        <v>45560.57388888889</v>
      </c>
      <c r="C612" s="1" t="n">
        <v>45986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19341-2025</t>
        </is>
      </c>
      <c r="B613" s="1" t="n">
        <v>45769.59504629629</v>
      </c>
      <c r="C613" s="1" t="n">
        <v>45986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43526-2024</t>
        </is>
      </c>
      <c r="B614" s="1" t="n">
        <v>45569.34474537037</v>
      </c>
      <c r="C614" s="1" t="n">
        <v>45986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18375-2025</t>
        </is>
      </c>
      <c r="B615" s="1" t="n">
        <v>45762.57328703703</v>
      </c>
      <c r="C615" s="1" t="n">
        <v>45986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55576-2024</t>
        </is>
      </c>
      <c r="B616" s="1" t="n">
        <v>45622</v>
      </c>
      <c r="C616" s="1" t="n">
        <v>45986</v>
      </c>
      <c r="D616" t="inlineStr">
        <is>
          <t>VÄSTERNORRLANDS LÄN</t>
        </is>
      </c>
      <c r="E616" t="inlineStr">
        <is>
          <t>TIMRÅ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39048-2023</t>
        </is>
      </c>
      <c r="B617" s="1" t="n">
        <v>45163.92715277777</v>
      </c>
      <c r="C617" s="1" t="n">
        <v>45986</v>
      </c>
      <c r="D617" t="inlineStr">
        <is>
          <t>VÄSTERNORRLANDS LÄN</t>
        </is>
      </c>
      <c r="E617" t="inlineStr">
        <is>
          <t>TIMRÅ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30907-2024</t>
        </is>
      </c>
      <c r="B618" s="1" t="n">
        <v>45498</v>
      </c>
      <c r="C618" s="1" t="n">
        <v>45986</v>
      </c>
      <c r="D618" t="inlineStr">
        <is>
          <t>VÄSTERNORRLANDS LÄN</t>
        </is>
      </c>
      <c r="E618" t="inlineStr">
        <is>
          <t>TIMRÅ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17002-2023</t>
        </is>
      </c>
      <c r="B619" s="1" t="n">
        <v>45033</v>
      </c>
      <c r="C619" s="1" t="n">
        <v>45986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17974-2025</t>
        </is>
      </c>
      <c r="B620" s="1" t="n">
        <v>45761</v>
      </c>
      <c r="C620" s="1" t="n">
        <v>45986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21286-2025</t>
        </is>
      </c>
      <c r="B621" s="1" t="n">
        <v>45779.69825231482</v>
      </c>
      <c r="C621" s="1" t="n">
        <v>45986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21483-2025</t>
        </is>
      </c>
      <c r="B622" s="1" t="n">
        <v>45782.59474537037</v>
      </c>
      <c r="C622" s="1" t="n">
        <v>45986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21596-2025</t>
        </is>
      </c>
      <c r="B623" s="1" t="n">
        <v>45783.34482638889</v>
      </c>
      <c r="C623" s="1" t="n">
        <v>45986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21760-2025</t>
        </is>
      </c>
      <c r="B624" s="1" t="n">
        <v>45783.63148148148</v>
      </c>
      <c r="C624" s="1" t="n">
        <v>45986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21764-2025</t>
        </is>
      </c>
      <c r="B625" s="1" t="n">
        <v>45783.63800925926</v>
      </c>
      <c r="C625" s="1" t="n">
        <v>45986</v>
      </c>
      <c r="D625" t="inlineStr">
        <is>
          <t>VÄSTERNORRLANDS LÄN</t>
        </is>
      </c>
      <c r="E625" t="inlineStr">
        <is>
          <t>TIMRÅ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21599-2025</t>
        </is>
      </c>
      <c r="B626" s="1" t="n">
        <v>45783.34505787037</v>
      </c>
      <c r="C626" s="1" t="n">
        <v>45986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2025-11-25T10:20:03Z</dcterms:created>
  <dcterms:modified xmlns:dcterms="http://purl.org/dc/terms/" xmlns:xsi="http://www.w3.org/2001/XMLSchema-instance" xsi:type="dcterms:W3CDTF">2025-11-25T10:20:04Z</dcterms:modified>
</cp:coreProperties>
</file>